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pivotTables/pivotTable1.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hidePivotFieldList="1" defaultThemeVersion="202300"/>
  <mc:AlternateContent xmlns:mc="http://schemas.openxmlformats.org/markup-compatibility/2006">
    <mc:Choice Requires="x15">
      <x15ac:absPath xmlns:x15ac="http://schemas.microsoft.com/office/spreadsheetml/2010/11/ac" url="https://d.docs.live.net/e2a95cfba4fb0187/Escritorio/Tableros de Control/1. Auditorías Internas/"/>
    </mc:Choice>
  </mc:AlternateContent>
  <xr:revisionPtr revIDLastSave="3787" documentId="8_{B94AFFE1-3DFB-409E-960F-FF1A97CB5BC7}" xr6:coauthVersionLast="47" xr6:coauthVersionMax="47" xr10:uidLastSave="{EC479A91-364C-48E4-B4F8-C02F1FBC83CB}"/>
  <bookViews>
    <workbookView xWindow="-108" yWindow="-108" windowWidth="23256" windowHeight="13896" firstSheet="5" activeTab="7" xr2:uid="{1DDFC7D2-4AC6-463B-A183-030839382AE4}"/>
  </bookViews>
  <sheets>
    <sheet name="Tablero" sheetId="4" r:id="rId1"/>
    <sheet name="Log_cambios" sheetId="7" r:id="rId2"/>
    <sheet name="Detalle" sheetId="5" r:id="rId3"/>
    <sheet name="Informe_Planes_de_Acción" sheetId="6" r:id="rId4"/>
    <sheet name="Compromisos 1 trimestre" sheetId="14" state="hidden" r:id="rId5"/>
    <sheet name="Calculos" sheetId="3" r:id="rId6"/>
    <sheet name="Resumen" sheetId="2" r:id="rId7"/>
    <sheet name="Base de datos" sheetId="1" r:id="rId8"/>
    <sheet name="Informes PDF" sheetId="17" r:id="rId9"/>
    <sheet name="Programa Anual de Auditoría" sheetId="18" r:id="rId10"/>
    <sheet name="Hoja1" sheetId="15" state="hidden" r:id="rId11"/>
    <sheet name="Hoja2" sheetId="16" state="hidden" r:id="rId12"/>
    <sheet name="CONSULTA_EDUARDO" sheetId="12" state="hidden" r:id="rId13"/>
    <sheet name="CONSULTA_FELIPE" sheetId="10" state="hidden" r:id="rId14"/>
  </sheets>
  <definedNames>
    <definedName name="_xlnm._FilterDatabase" localSheetId="7" hidden="1">'Base de datos'!$A$1:$AC$165</definedName>
    <definedName name="_xlnm.Print_Area" localSheetId="0">Tablero!$D$4:$Q$31</definedName>
    <definedName name="DatosExternos_1" localSheetId="12" hidden="1">CONSULTA_EDUARDO!$A$1:$U$6</definedName>
    <definedName name="DatosExternos_1" localSheetId="13" hidden="1">CONSULTA_FELIPE!$A$1:$U$26</definedName>
    <definedName name="SegmentaciónDeDatos_Auditoría">#N/A</definedName>
    <definedName name="SegmentaciónDeDatos_Meses__Fecha_de_cierre_Auditoría">#N/A</definedName>
    <definedName name="SegmentaciónDeDatos_Plan_Auditoría">#N/A</definedName>
    <definedName name="SegmentaciónDeDatos_Responsable">#N/A</definedName>
    <definedName name="Tabla_Responsables">Informe_Planes_de_Acción!$C$5:$I$19</definedName>
    <definedName name="TablaAuditoria">Informe_Planes_de_Acción!$K$5</definedName>
    <definedName name="TablaResponsables">Informe_Planes_de_Acción!$C$5</definedName>
  </definedNames>
  <calcPr calcId="191029"/>
  <pivotCaches>
    <pivotCache cacheId="0" r:id="rId15"/>
    <pivotCache cacheId="1" r:id="rId16"/>
    <pivotCache cacheId="2" r:id="rId17"/>
  </pivotCaches>
  <extLst>
    <ext xmlns:x14="http://schemas.microsoft.com/office/spreadsheetml/2009/9/main" uri="{BBE1A952-AA13-448e-AADC-164F8A28A991}">
      <x14:slicerCaches>
        <x14:slicerCache r:id="rId18"/>
        <x14:slicerCache r:id="rId19"/>
        <x14:slicerCache r:id="rId20"/>
        <x14:slicerCache r:id="rId2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9" i="3" l="1"/>
  <c r="B128" i="3"/>
  <c r="B127" i="3"/>
  <c r="B126" i="3"/>
  <c r="B125" i="3"/>
  <c r="B124" i="3"/>
  <c r="AB2" i="2"/>
  <c r="AB3" i="2"/>
  <c r="AB4" i="2"/>
  <c r="AB5"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A2"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Z2"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38" i="2"/>
  <c r="Z39" i="2"/>
  <c r="Z40" i="2"/>
  <c r="Z41" i="2"/>
  <c r="Z42" i="2"/>
  <c r="Z43" i="2"/>
  <c r="Z44" i="2"/>
  <c r="Z45" i="2"/>
  <c r="Z46" i="2"/>
  <c r="Z47" i="2"/>
  <c r="Z48" i="2"/>
  <c r="Z49" i="2"/>
  <c r="Z50" i="2"/>
  <c r="Z51" i="2"/>
  <c r="Y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X2"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W2" i="2"/>
  <c r="W3" i="2"/>
  <c r="W4" i="2"/>
  <c r="W5" i="2"/>
  <c r="W6" i="2"/>
  <c r="W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S23" i="6"/>
  <c r="Q23" i="6"/>
  <c r="P23" i="6"/>
  <c r="O23" i="6"/>
  <c r="N23" i="6"/>
  <c r="M23" i="6"/>
  <c r="I33" i="6"/>
  <c r="G33" i="6"/>
  <c r="F33" i="6"/>
  <c r="E33" i="6"/>
  <c r="D33" i="6"/>
  <c r="I18" i="6"/>
  <c r="M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Q117" i="1" s="1"/>
  <c r="M118" i="1"/>
  <c r="Q118" i="1" s="1"/>
  <c r="M119" i="1"/>
  <c r="Q119" i="1" s="1"/>
  <c r="M120" i="1"/>
  <c r="Q120" i="1" s="1"/>
  <c r="M121" i="1"/>
  <c r="Q121" i="1" s="1"/>
  <c r="M122" i="1"/>
  <c r="Q122" i="1" s="1"/>
  <c r="M123" i="1"/>
  <c r="Q123" i="1" s="1"/>
  <c r="M124" i="1"/>
  <c r="Q124" i="1" s="1"/>
  <c r="M125" i="1"/>
  <c r="Q125" i="1" s="1"/>
  <c r="M126" i="1"/>
  <c r="Q126" i="1" s="1"/>
  <c r="M127" i="1"/>
  <c r="Q127" i="1" s="1"/>
  <c r="M128" i="1"/>
  <c r="Q128" i="1" s="1"/>
  <c r="M129" i="1"/>
  <c r="Q129" i="1" s="1"/>
  <c r="M130" i="1"/>
  <c r="Q130" i="1" s="1"/>
  <c r="M131" i="1"/>
  <c r="Q131" i="1" s="1"/>
  <c r="M132" i="1"/>
  <c r="Q132" i="1" s="1"/>
  <c r="M133" i="1"/>
  <c r="Q133" i="1" s="1"/>
  <c r="M134" i="1"/>
  <c r="Q134" i="1" s="1"/>
  <c r="M135" i="1"/>
  <c r="Q135" i="1" s="1"/>
  <c r="M136" i="1"/>
  <c r="Q136" i="1" s="1"/>
  <c r="M137" i="1"/>
  <c r="Q137" i="1" s="1"/>
  <c r="M138" i="1"/>
  <c r="Q138" i="1" s="1"/>
  <c r="M139" i="1"/>
  <c r="Q139" i="1" s="1"/>
  <c r="M140" i="1"/>
  <c r="Q140" i="1" s="1"/>
  <c r="M141" i="1"/>
  <c r="Q141" i="1" s="1"/>
  <c r="M142" i="1"/>
  <c r="Q142" i="1" s="1"/>
  <c r="M143" i="1"/>
  <c r="Q143" i="1" s="1"/>
  <c r="M144" i="1"/>
  <c r="Q144" i="1" s="1"/>
  <c r="M145" i="1"/>
  <c r="Q145" i="1" s="1"/>
  <c r="M146" i="1"/>
  <c r="Q146" i="1" s="1"/>
  <c r="M147" i="1"/>
  <c r="Q147" i="1" s="1"/>
  <c r="M148" i="1"/>
  <c r="Q148" i="1" s="1"/>
  <c r="M149" i="1"/>
  <c r="Q149" i="1" s="1"/>
  <c r="M150" i="1"/>
  <c r="Q150" i="1" s="1"/>
  <c r="M151" i="1"/>
  <c r="Q151" i="1" s="1"/>
  <c r="M152" i="1"/>
  <c r="Q152" i="1" s="1"/>
  <c r="M153" i="1"/>
  <c r="Q153" i="1" s="1"/>
  <c r="M154" i="1"/>
  <c r="M155" i="1"/>
  <c r="M156" i="1"/>
  <c r="M157" i="1"/>
  <c r="M158" i="1"/>
  <c r="M159" i="1"/>
  <c r="M160" i="1"/>
  <c r="M161" i="1"/>
  <c r="M162" i="1"/>
  <c r="M163" i="1"/>
  <c r="M164" i="1"/>
  <c r="M165" i="1"/>
  <c r="D50" i="2"/>
  <c r="D51" i="2"/>
  <c r="E50" i="2"/>
  <c r="E51" i="2"/>
  <c r="F50" i="2"/>
  <c r="F51" i="2"/>
  <c r="G50" i="2"/>
  <c r="G51" i="2"/>
  <c r="H50" i="2"/>
  <c r="H51" i="2"/>
  <c r="I50" i="2"/>
  <c r="I51" i="2"/>
  <c r="J50" i="2"/>
  <c r="J51" i="2"/>
  <c r="K50" i="2"/>
  <c r="K51" i="2"/>
  <c r="L50" i="2"/>
  <c r="L51" i="2"/>
  <c r="Q50" i="2"/>
  <c r="Q51" i="2"/>
  <c r="R50" i="2"/>
  <c r="R51" i="2"/>
  <c r="S50" i="2"/>
  <c r="S51" i="2"/>
  <c r="T50" i="2"/>
  <c r="T51" i="2"/>
  <c r="U50" i="2"/>
  <c r="U51" i="2"/>
  <c r="V50" i="2"/>
  <c r="V51" i="2"/>
  <c r="G18" i="6"/>
  <c r="F18" i="6"/>
  <c r="E18" i="6"/>
  <c r="D18" i="6"/>
  <c r="S22" i="6"/>
  <c r="Q22" i="6"/>
  <c r="P22" i="6"/>
  <c r="O22" i="6"/>
  <c r="N22" i="6"/>
  <c r="M22" i="6"/>
  <c r="D47" i="2"/>
  <c r="D48" i="2"/>
  <c r="D49" i="2"/>
  <c r="E47" i="2"/>
  <c r="E48" i="2"/>
  <c r="E49" i="2"/>
  <c r="F47" i="2"/>
  <c r="F48" i="2"/>
  <c r="F49" i="2"/>
  <c r="G47" i="2"/>
  <c r="G48" i="2"/>
  <c r="G49" i="2"/>
  <c r="H47" i="2"/>
  <c r="H48" i="2"/>
  <c r="H49" i="2"/>
  <c r="I47" i="2"/>
  <c r="I48" i="2"/>
  <c r="I49" i="2"/>
  <c r="J47" i="2"/>
  <c r="J48" i="2"/>
  <c r="J49" i="2"/>
  <c r="K47" i="2"/>
  <c r="K48" i="2"/>
  <c r="K49" i="2"/>
  <c r="L47" i="2"/>
  <c r="L48" i="2"/>
  <c r="L49" i="2"/>
  <c r="Q47" i="2"/>
  <c r="Q48" i="2"/>
  <c r="Q49" i="2"/>
  <c r="R47" i="2"/>
  <c r="R48" i="2"/>
  <c r="R49" i="2"/>
  <c r="S47" i="2"/>
  <c r="S48" i="2"/>
  <c r="S49" i="2"/>
  <c r="T47" i="2"/>
  <c r="T48" i="2"/>
  <c r="T49" i="2"/>
  <c r="U47" i="2"/>
  <c r="U48" i="2"/>
  <c r="U49" i="2"/>
  <c r="V47" i="2"/>
  <c r="V48" i="2"/>
  <c r="V49" i="2"/>
  <c r="Z8" i="6"/>
  <c r="Y8" i="6"/>
  <c r="X8" i="6"/>
  <c r="W8" i="6"/>
  <c r="Z7" i="6"/>
  <c r="Y7" i="6"/>
  <c r="X7" i="6"/>
  <c r="W7" i="6"/>
  <c r="Z6" i="6"/>
  <c r="Y6" i="6"/>
  <c r="X6" i="6"/>
  <c r="W6" i="6"/>
  <c r="V2" i="2"/>
  <c r="V3" i="2"/>
  <c r="V4" i="2"/>
  <c r="V5" i="2"/>
  <c r="V6" i="2"/>
  <c r="V7" i="2"/>
  <c r="V8" i="2"/>
  <c r="V9" i="2"/>
  <c r="V10" i="2"/>
  <c r="V11" i="2"/>
  <c r="V12" i="2"/>
  <c r="V13" i="2"/>
  <c r="V14" i="2"/>
  <c r="V15" i="2"/>
  <c r="V16" i="2"/>
  <c r="V17" i="2"/>
  <c r="V18" i="2"/>
  <c r="V19" i="2"/>
  <c r="V20" i="2"/>
  <c r="V21" i="2"/>
  <c r="V22" i="2"/>
  <c r="V23" i="2"/>
  <c r="V24" i="2"/>
  <c r="V25" i="2"/>
  <c r="V26" i="2"/>
  <c r="V27" i="2"/>
  <c r="V28" i="2"/>
  <c r="V29" i="2"/>
  <c r="V30" i="2"/>
  <c r="V31" i="2"/>
  <c r="V32" i="2"/>
  <c r="V33" i="2"/>
  <c r="V34" i="2"/>
  <c r="V35" i="2"/>
  <c r="V36" i="2"/>
  <c r="V37" i="2"/>
  <c r="V38" i="2"/>
  <c r="V39" i="2"/>
  <c r="V40" i="2"/>
  <c r="V41" i="2"/>
  <c r="V42" i="2"/>
  <c r="V43" i="2"/>
  <c r="V44" i="2"/>
  <c r="V45" i="2"/>
  <c r="V46" i="2"/>
  <c r="R2" i="2"/>
  <c r="R3" i="2"/>
  <c r="R4" i="2"/>
  <c r="R5" i="2"/>
  <c r="R6" i="2"/>
  <c r="R7" i="2"/>
  <c r="R8" i="2"/>
  <c r="R9" i="2"/>
  <c r="R10" i="2"/>
  <c r="R11" i="2"/>
  <c r="R12" i="2"/>
  <c r="R13" i="2"/>
  <c r="R14" i="2"/>
  <c r="R15" i="2"/>
  <c r="R16" i="2"/>
  <c r="R17" i="2"/>
  <c r="R18" i="2"/>
  <c r="R19" i="2"/>
  <c r="R20" i="2"/>
  <c r="R21" i="2"/>
  <c r="R22" i="2"/>
  <c r="R23" i="2"/>
  <c r="R24" i="2"/>
  <c r="R25" i="2"/>
  <c r="R26" i="2"/>
  <c r="R27" i="2"/>
  <c r="R28" i="2"/>
  <c r="R29" i="2"/>
  <c r="R30" i="2"/>
  <c r="R31" i="2"/>
  <c r="R32" i="2"/>
  <c r="R33" i="2"/>
  <c r="R34" i="2"/>
  <c r="R35" i="2"/>
  <c r="R36" i="2"/>
  <c r="R37" i="2"/>
  <c r="R38" i="2"/>
  <c r="R39" i="2"/>
  <c r="R40" i="2"/>
  <c r="R41" i="2"/>
  <c r="R42" i="2"/>
  <c r="R43" i="2"/>
  <c r="R44" i="2"/>
  <c r="R45" i="2"/>
  <c r="R46" i="2"/>
  <c r="U2" i="2"/>
  <c r="U3" i="2"/>
  <c r="U4" i="2"/>
  <c r="U5" i="2"/>
  <c r="U6" i="2"/>
  <c r="U7" i="2"/>
  <c r="U8" i="2"/>
  <c r="U9" i="2"/>
  <c r="U10" i="2"/>
  <c r="U11" i="2"/>
  <c r="U12" i="2"/>
  <c r="U13" i="2"/>
  <c r="U14" i="2"/>
  <c r="U15" i="2"/>
  <c r="U16" i="2"/>
  <c r="U17" i="2"/>
  <c r="U18" i="2"/>
  <c r="U19" i="2"/>
  <c r="U20" i="2"/>
  <c r="U21" i="2"/>
  <c r="U22" i="2"/>
  <c r="U23" i="2"/>
  <c r="U24" i="2"/>
  <c r="U25" i="2"/>
  <c r="U26" i="2"/>
  <c r="U27" i="2"/>
  <c r="U28" i="2"/>
  <c r="U29" i="2"/>
  <c r="U30" i="2"/>
  <c r="U31" i="2"/>
  <c r="U32" i="2"/>
  <c r="U33" i="2"/>
  <c r="U34" i="2"/>
  <c r="U35" i="2"/>
  <c r="U36" i="2"/>
  <c r="U37" i="2"/>
  <c r="U38" i="2"/>
  <c r="U39" i="2"/>
  <c r="U40" i="2"/>
  <c r="U41" i="2"/>
  <c r="U42" i="2"/>
  <c r="U43" i="2"/>
  <c r="U44" i="2"/>
  <c r="U45" i="2"/>
  <c r="U46" i="2"/>
  <c r="T2" i="2"/>
  <c r="T3" i="2"/>
  <c r="T4" i="2"/>
  <c r="T5" i="2"/>
  <c r="T6" i="2"/>
  <c r="T7" i="2"/>
  <c r="T8" i="2"/>
  <c r="T9" i="2"/>
  <c r="T10" i="2"/>
  <c r="T11" i="2"/>
  <c r="T12" i="2"/>
  <c r="T13" i="2"/>
  <c r="T14" i="2"/>
  <c r="T15" i="2"/>
  <c r="T16" i="2"/>
  <c r="T17" i="2"/>
  <c r="T18" i="2"/>
  <c r="T19" i="2"/>
  <c r="T20" i="2"/>
  <c r="T21" i="2"/>
  <c r="T22" i="2"/>
  <c r="T23" i="2"/>
  <c r="T24" i="2"/>
  <c r="T25" i="2"/>
  <c r="T26" i="2"/>
  <c r="T27" i="2"/>
  <c r="T28" i="2"/>
  <c r="T29" i="2"/>
  <c r="T30" i="2"/>
  <c r="T31" i="2"/>
  <c r="T32" i="2"/>
  <c r="T33" i="2"/>
  <c r="T34" i="2"/>
  <c r="T35" i="2"/>
  <c r="T36" i="2"/>
  <c r="T37" i="2"/>
  <c r="T38" i="2"/>
  <c r="T39" i="2"/>
  <c r="T40" i="2"/>
  <c r="T41" i="2"/>
  <c r="T42" i="2"/>
  <c r="T43" i="2"/>
  <c r="T44" i="2"/>
  <c r="T45" i="2"/>
  <c r="T46" i="2"/>
  <c r="S2" i="2"/>
  <c r="S3" i="2"/>
  <c r="S4" i="2"/>
  <c r="S5" i="2"/>
  <c r="S6" i="2"/>
  <c r="S7" i="2"/>
  <c r="S8" i="2"/>
  <c r="S9" i="2"/>
  <c r="S10" i="2"/>
  <c r="S11" i="2"/>
  <c r="S12" i="2"/>
  <c r="S13" i="2"/>
  <c r="S14" i="2"/>
  <c r="S15" i="2"/>
  <c r="S16" i="2"/>
  <c r="S17" i="2"/>
  <c r="S18" i="2"/>
  <c r="S19" i="2"/>
  <c r="S20" i="2"/>
  <c r="S21" i="2"/>
  <c r="S22" i="2"/>
  <c r="S23" i="2"/>
  <c r="S24" i="2"/>
  <c r="S25" i="2"/>
  <c r="S26" i="2"/>
  <c r="S27" i="2"/>
  <c r="S28" i="2"/>
  <c r="S29" i="2"/>
  <c r="S30" i="2"/>
  <c r="S31" i="2"/>
  <c r="S32" i="2"/>
  <c r="S33" i="2"/>
  <c r="S34" i="2"/>
  <c r="S35" i="2"/>
  <c r="S36" i="2"/>
  <c r="S37" i="2"/>
  <c r="S38" i="2"/>
  <c r="S39" i="2"/>
  <c r="S40" i="2"/>
  <c r="S41" i="2"/>
  <c r="S42" i="2"/>
  <c r="S43" i="2"/>
  <c r="S44" i="2"/>
  <c r="S45" i="2"/>
  <c r="S46" i="2"/>
  <c r="Q3" i="2"/>
  <c r="Q4" i="2"/>
  <c r="Q5" i="2"/>
  <c r="Q6" i="2"/>
  <c r="Q7" i="2"/>
  <c r="Q8" i="2"/>
  <c r="Q9" i="2"/>
  <c r="Q10" i="2"/>
  <c r="Q11" i="2"/>
  <c r="Q12" i="2"/>
  <c r="Q13" i="2"/>
  <c r="Q14" i="2"/>
  <c r="Q15" i="2"/>
  <c r="Q16" i="2"/>
  <c r="Q17" i="2"/>
  <c r="Q18" i="2"/>
  <c r="Q19" i="2"/>
  <c r="Q20" i="2"/>
  <c r="Q21" i="2"/>
  <c r="Q22" i="2"/>
  <c r="Q23" i="2"/>
  <c r="Q24" i="2"/>
  <c r="Q25" i="2"/>
  <c r="Q26" i="2"/>
  <c r="Q27" i="2"/>
  <c r="Q28" i="2"/>
  <c r="Q29" i="2"/>
  <c r="Q30" i="2"/>
  <c r="Q31" i="2"/>
  <c r="Q32" i="2"/>
  <c r="Q33" i="2"/>
  <c r="Q34" i="2"/>
  <c r="Q35" i="2"/>
  <c r="Q36" i="2"/>
  <c r="Q37" i="2"/>
  <c r="Q38" i="2"/>
  <c r="Q39" i="2"/>
  <c r="Q40" i="2"/>
  <c r="Q41" i="2"/>
  <c r="Q42" i="2"/>
  <c r="Q43" i="2"/>
  <c r="Q44" i="2"/>
  <c r="Q45" i="2"/>
  <c r="Q46" i="2"/>
  <c r="Q2" i="2"/>
  <c r="F8" i="2"/>
  <c r="P23" i="2"/>
  <c r="D46" i="2"/>
  <c r="E46" i="2"/>
  <c r="F46" i="2"/>
  <c r="G46" i="2"/>
  <c r="H46" i="2"/>
  <c r="I46" i="2"/>
  <c r="J46" i="2"/>
  <c r="K46" i="2"/>
  <c r="L46" i="2"/>
  <c r="D45" i="2"/>
  <c r="E45" i="2"/>
  <c r="F45" i="2"/>
  <c r="G45" i="2"/>
  <c r="H45" i="2"/>
  <c r="I45" i="2"/>
  <c r="J45" i="2"/>
  <c r="K45" i="2"/>
  <c r="L45" i="2"/>
  <c r="D43" i="2"/>
  <c r="D44" i="2"/>
  <c r="E43" i="2"/>
  <c r="E44" i="2"/>
  <c r="F43" i="2"/>
  <c r="F44" i="2"/>
  <c r="G43" i="2"/>
  <c r="G44" i="2"/>
  <c r="H43" i="2"/>
  <c r="H44" i="2"/>
  <c r="I43" i="2"/>
  <c r="I44" i="2"/>
  <c r="J43" i="2"/>
  <c r="J44" i="2"/>
  <c r="K43" i="2"/>
  <c r="K44" i="2"/>
  <c r="L43" i="2"/>
  <c r="L44" i="2"/>
  <c r="D42" i="2"/>
  <c r="E42" i="2"/>
  <c r="F42" i="2"/>
  <c r="G42" i="2"/>
  <c r="H42" i="2"/>
  <c r="I42" i="2"/>
  <c r="J42" i="2"/>
  <c r="K42" i="2"/>
  <c r="L42" i="2"/>
  <c r="D39" i="2"/>
  <c r="D40" i="2"/>
  <c r="D41" i="2"/>
  <c r="E39" i="2"/>
  <c r="E40" i="2"/>
  <c r="E41" i="2"/>
  <c r="F39" i="2"/>
  <c r="F40" i="2"/>
  <c r="F41" i="2"/>
  <c r="G39" i="2"/>
  <c r="G40" i="2"/>
  <c r="G41" i="2"/>
  <c r="H39" i="2"/>
  <c r="H40" i="2"/>
  <c r="H41" i="2"/>
  <c r="I39" i="2"/>
  <c r="I40" i="2"/>
  <c r="I41" i="2"/>
  <c r="J39" i="2"/>
  <c r="J40" i="2"/>
  <c r="J41" i="2"/>
  <c r="K39" i="2"/>
  <c r="K40" i="2"/>
  <c r="K41" i="2"/>
  <c r="L39" i="2"/>
  <c r="L40" i="2"/>
  <c r="L41" i="2"/>
  <c r="D35" i="2"/>
  <c r="D36" i="2"/>
  <c r="D37" i="2"/>
  <c r="D38" i="2"/>
  <c r="E35" i="2"/>
  <c r="E36" i="2"/>
  <c r="E37" i="2"/>
  <c r="E38" i="2"/>
  <c r="F35" i="2"/>
  <c r="F36" i="2"/>
  <c r="F37" i="2"/>
  <c r="F38" i="2"/>
  <c r="G35" i="2"/>
  <c r="G36" i="2"/>
  <c r="G37" i="2"/>
  <c r="G38" i="2"/>
  <c r="H35" i="2"/>
  <c r="H36" i="2"/>
  <c r="H37" i="2"/>
  <c r="H38" i="2"/>
  <c r="I35" i="2"/>
  <c r="I36" i="2"/>
  <c r="I37" i="2"/>
  <c r="I38" i="2"/>
  <c r="J35" i="2"/>
  <c r="J36" i="2"/>
  <c r="J37" i="2"/>
  <c r="J38" i="2"/>
  <c r="K35" i="2"/>
  <c r="K36" i="2"/>
  <c r="K37" i="2"/>
  <c r="K38" i="2"/>
  <c r="L35" i="2"/>
  <c r="L36" i="2"/>
  <c r="L37" i="2"/>
  <c r="L38" i="2"/>
  <c r="D31" i="2"/>
  <c r="D32" i="2"/>
  <c r="D33" i="2"/>
  <c r="D34" i="2"/>
  <c r="E31" i="2"/>
  <c r="E32" i="2"/>
  <c r="E33" i="2"/>
  <c r="E34" i="2"/>
  <c r="F31" i="2"/>
  <c r="F32" i="2"/>
  <c r="F33" i="2"/>
  <c r="F34" i="2"/>
  <c r="G31" i="2"/>
  <c r="G32" i="2"/>
  <c r="G33" i="2"/>
  <c r="G34" i="2"/>
  <c r="H31" i="2"/>
  <c r="H32" i="2"/>
  <c r="H33" i="2"/>
  <c r="H34" i="2"/>
  <c r="I31" i="2"/>
  <c r="I32" i="2"/>
  <c r="I33" i="2"/>
  <c r="I34" i="2"/>
  <c r="J31" i="2"/>
  <c r="J32" i="2"/>
  <c r="J33" i="2"/>
  <c r="J34" i="2"/>
  <c r="K31" i="2"/>
  <c r="K32" i="2"/>
  <c r="K33" i="2"/>
  <c r="K34" i="2"/>
  <c r="L31" i="2"/>
  <c r="L32" i="2"/>
  <c r="L33" i="2"/>
  <c r="L34" i="2"/>
  <c r="D29" i="2"/>
  <c r="D30" i="2"/>
  <c r="E29" i="2"/>
  <c r="E30" i="2"/>
  <c r="F29" i="2"/>
  <c r="F30" i="2"/>
  <c r="G29" i="2"/>
  <c r="G30" i="2"/>
  <c r="H29" i="2"/>
  <c r="H30" i="2"/>
  <c r="I29" i="2"/>
  <c r="I30" i="2"/>
  <c r="J29" i="2"/>
  <c r="J30" i="2"/>
  <c r="K29" i="2"/>
  <c r="K30" i="2"/>
  <c r="L29" i="2"/>
  <c r="L30" i="2"/>
  <c r="D28" i="2"/>
  <c r="E28" i="2"/>
  <c r="F28" i="2"/>
  <c r="G28" i="2"/>
  <c r="H28" i="2"/>
  <c r="I28" i="2"/>
  <c r="J28" i="2"/>
  <c r="K28" i="2"/>
  <c r="L28" i="2"/>
  <c r="D26" i="2"/>
  <c r="D27" i="2"/>
  <c r="E26" i="2"/>
  <c r="E27" i="2"/>
  <c r="F26" i="2"/>
  <c r="F27" i="2"/>
  <c r="G26" i="2"/>
  <c r="G27" i="2"/>
  <c r="H26" i="2"/>
  <c r="H27" i="2"/>
  <c r="I26" i="2"/>
  <c r="I27" i="2"/>
  <c r="J26" i="2"/>
  <c r="J27" i="2"/>
  <c r="K26" i="2"/>
  <c r="K27" i="2"/>
  <c r="L26" i="2"/>
  <c r="L27" i="2"/>
  <c r="D20" i="2"/>
  <c r="D21" i="2"/>
  <c r="D22" i="2"/>
  <c r="D23" i="2"/>
  <c r="D24" i="2"/>
  <c r="D25" i="2"/>
  <c r="E20" i="2"/>
  <c r="E21" i="2"/>
  <c r="E22" i="2"/>
  <c r="E23" i="2"/>
  <c r="E24" i="2"/>
  <c r="E25" i="2"/>
  <c r="F20" i="2"/>
  <c r="F21" i="2"/>
  <c r="F22" i="2"/>
  <c r="F23" i="2"/>
  <c r="F24" i="2"/>
  <c r="F25" i="2"/>
  <c r="G20" i="2"/>
  <c r="G21" i="2"/>
  <c r="G22" i="2"/>
  <c r="G23" i="2"/>
  <c r="G24" i="2"/>
  <c r="G25" i="2"/>
  <c r="H20" i="2"/>
  <c r="H21" i="2"/>
  <c r="H22" i="2"/>
  <c r="H23" i="2"/>
  <c r="H24" i="2"/>
  <c r="H25" i="2"/>
  <c r="I20" i="2"/>
  <c r="I21" i="2"/>
  <c r="I22" i="2"/>
  <c r="I23" i="2"/>
  <c r="I24" i="2"/>
  <c r="I25" i="2"/>
  <c r="J20" i="2"/>
  <c r="J21" i="2"/>
  <c r="J22" i="2"/>
  <c r="J23" i="2"/>
  <c r="J24" i="2"/>
  <c r="J25" i="2"/>
  <c r="K20" i="2"/>
  <c r="K21" i="2"/>
  <c r="K22" i="2"/>
  <c r="K23" i="2"/>
  <c r="K24" i="2"/>
  <c r="K25" i="2"/>
  <c r="L20" i="2"/>
  <c r="L21" i="2"/>
  <c r="L22" i="2"/>
  <c r="L23" i="2"/>
  <c r="L24" i="2"/>
  <c r="L25" i="2"/>
  <c r="D12" i="2"/>
  <c r="D13" i="2"/>
  <c r="D14" i="2"/>
  <c r="D15" i="2"/>
  <c r="D16" i="2"/>
  <c r="D17" i="2"/>
  <c r="D18" i="2"/>
  <c r="D19" i="2"/>
  <c r="E12" i="2"/>
  <c r="E13" i="2"/>
  <c r="E14" i="2"/>
  <c r="E15" i="2"/>
  <c r="E16" i="2"/>
  <c r="E17" i="2"/>
  <c r="E18" i="2"/>
  <c r="E19" i="2"/>
  <c r="F12" i="2"/>
  <c r="F13" i="2"/>
  <c r="F14" i="2"/>
  <c r="F15" i="2"/>
  <c r="F16" i="2"/>
  <c r="F17" i="2"/>
  <c r="F18" i="2"/>
  <c r="F19" i="2"/>
  <c r="G12" i="2"/>
  <c r="G13" i="2"/>
  <c r="G14" i="2"/>
  <c r="G15" i="2"/>
  <c r="G16" i="2"/>
  <c r="G17" i="2"/>
  <c r="G18" i="2"/>
  <c r="G19" i="2"/>
  <c r="H12" i="2"/>
  <c r="H13" i="2"/>
  <c r="H14" i="2"/>
  <c r="H15" i="2"/>
  <c r="H16" i="2"/>
  <c r="H17" i="2"/>
  <c r="H18" i="2"/>
  <c r="H19" i="2"/>
  <c r="I12" i="2"/>
  <c r="I13" i="2"/>
  <c r="I14" i="2"/>
  <c r="I15" i="2"/>
  <c r="I16" i="2"/>
  <c r="I17" i="2"/>
  <c r="I18" i="2"/>
  <c r="I19" i="2"/>
  <c r="J12" i="2"/>
  <c r="J13" i="2"/>
  <c r="J14" i="2"/>
  <c r="J15" i="2"/>
  <c r="J16" i="2"/>
  <c r="J17" i="2"/>
  <c r="J18" i="2"/>
  <c r="J19" i="2"/>
  <c r="K12" i="2"/>
  <c r="K13" i="2"/>
  <c r="K14" i="2"/>
  <c r="K15" i="2"/>
  <c r="K16" i="2"/>
  <c r="K17" i="2"/>
  <c r="K18" i="2"/>
  <c r="K19" i="2"/>
  <c r="L12" i="2"/>
  <c r="L13" i="2"/>
  <c r="L14" i="2"/>
  <c r="L15" i="2"/>
  <c r="L16" i="2"/>
  <c r="L17" i="2"/>
  <c r="L18" i="2"/>
  <c r="L19" i="2"/>
  <c r="D8" i="2"/>
  <c r="D9" i="2"/>
  <c r="D10" i="2"/>
  <c r="D11" i="2"/>
  <c r="E8" i="2"/>
  <c r="E9" i="2"/>
  <c r="E10" i="2"/>
  <c r="E11" i="2"/>
  <c r="F9" i="2"/>
  <c r="F10" i="2"/>
  <c r="F11" i="2"/>
  <c r="G8" i="2"/>
  <c r="G9" i="2"/>
  <c r="G10" i="2"/>
  <c r="G11" i="2"/>
  <c r="H8" i="2"/>
  <c r="H9" i="2"/>
  <c r="H10" i="2"/>
  <c r="H11" i="2"/>
  <c r="I8" i="2"/>
  <c r="I9" i="2"/>
  <c r="I10" i="2"/>
  <c r="I11" i="2"/>
  <c r="J8" i="2"/>
  <c r="J9" i="2"/>
  <c r="J10" i="2"/>
  <c r="J11" i="2"/>
  <c r="K8" i="2"/>
  <c r="K9" i="2"/>
  <c r="K10" i="2"/>
  <c r="K11" i="2"/>
  <c r="L8" i="2"/>
  <c r="L9" i="2"/>
  <c r="L10" i="2"/>
  <c r="L11" i="2"/>
  <c r="D6" i="2"/>
  <c r="D7" i="2"/>
  <c r="E6" i="2"/>
  <c r="E7" i="2"/>
  <c r="F6" i="2"/>
  <c r="F7" i="2"/>
  <c r="G6" i="2"/>
  <c r="G7" i="2"/>
  <c r="H6" i="2"/>
  <c r="H7" i="2"/>
  <c r="I6" i="2"/>
  <c r="I7" i="2"/>
  <c r="J6" i="2"/>
  <c r="J7" i="2"/>
  <c r="K6" i="2"/>
  <c r="K7" i="2"/>
  <c r="L6" i="2"/>
  <c r="L7" i="2"/>
  <c r="D4" i="2"/>
  <c r="D5" i="2"/>
  <c r="E4" i="2"/>
  <c r="E5" i="2"/>
  <c r="F4" i="2"/>
  <c r="F5" i="2"/>
  <c r="G4" i="2"/>
  <c r="G5" i="2"/>
  <c r="H4" i="2"/>
  <c r="H5" i="2"/>
  <c r="I4" i="2"/>
  <c r="I5" i="2"/>
  <c r="J4" i="2"/>
  <c r="J5" i="2"/>
  <c r="K4" i="2"/>
  <c r="K5" i="2"/>
  <c r="L4" i="2"/>
  <c r="L5" i="2"/>
  <c r="H3" i="2"/>
  <c r="D3" i="2"/>
  <c r="E3" i="2"/>
  <c r="M2" i="1"/>
  <c r="Q2" i="1" s="1"/>
  <c r="L2" i="2"/>
  <c r="L3" i="2"/>
  <c r="K2" i="2"/>
  <c r="K3" i="2"/>
  <c r="J2" i="2"/>
  <c r="J3" i="2"/>
  <c r="I2" i="2"/>
  <c r="I3" i="2"/>
  <c r="H2" i="2"/>
  <c r="G2" i="2"/>
  <c r="G3" i="2"/>
  <c r="F2" i="2"/>
  <c r="F3" i="2"/>
  <c r="E2" i="2"/>
  <c r="D2" i="2"/>
  <c r="C8" i="3"/>
  <c r="C12" i="3"/>
  <c r="C11" i="3"/>
  <c r="C10" i="3"/>
  <c r="C7" i="3"/>
  <c r="C4" i="3"/>
  <c r="C15" i="3"/>
  <c r="C6" i="3"/>
  <c r="C13" i="3"/>
  <c r="C9" i="3"/>
  <c r="C5" i="3"/>
  <c r="C14" i="3"/>
  <c r="P3" i="1" l="1"/>
  <c r="Q3" i="1"/>
  <c r="P4" i="1"/>
  <c r="Q4" i="1"/>
  <c r="P5" i="1"/>
  <c r="Q5" i="1"/>
  <c r="P6" i="1"/>
  <c r="Q6" i="1"/>
  <c r="P7" i="1"/>
  <c r="Q7" i="1"/>
  <c r="P8" i="1"/>
  <c r="Q8" i="1"/>
  <c r="P9" i="1"/>
  <c r="Q9" i="1"/>
  <c r="P10" i="1"/>
  <c r="Q10" i="1"/>
  <c r="P11" i="1"/>
  <c r="Q11" i="1"/>
  <c r="P12" i="1"/>
  <c r="Q12" i="1"/>
  <c r="P13" i="1"/>
  <c r="Q13" i="1"/>
  <c r="P14" i="1"/>
  <c r="Q14" i="1"/>
  <c r="P15" i="1"/>
  <c r="Q15" i="1"/>
  <c r="P16" i="1"/>
  <c r="Q16" i="1"/>
  <c r="P17" i="1"/>
  <c r="Q17" i="1"/>
  <c r="P18" i="1"/>
  <c r="Q18" i="1"/>
  <c r="P19" i="1"/>
  <c r="Q19" i="1"/>
  <c r="P20" i="1"/>
  <c r="Q20" i="1"/>
  <c r="P21" i="1"/>
  <c r="Q21" i="1"/>
  <c r="P22" i="1"/>
  <c r="Q22" i="1"/>
  <c r="P23" i="1"/>
  <c r="Q23" i="1"/>
  <c r="P24" i="1"/>
  <c r="Q24" i="1"/>
  <c r="P25" i="1"/>
  <c r="Q25" i="1"/>
  <c r="P26" i="1"/>
  <c r="Q26" i="1"/>
  <c r="P27" i="1"/>
  <c r="Q27" i="1"/>
  <c r="P28" i="1"/>
  <c r="Q28" i="1"/>
  <c r="P29" i="1"/>
  <c r="Q29" i="1"/>
  <c r="P30" i="1"/>
  <c r="Q30" i="1"/>
  <c r="P31" i="1"/>
  <c r="Q31" i="1"/>
  <c r="P32" i="1"/>
  <c r="Q32" i="1"/>
  <c r="P33" i="1"/>
  <c r="Q33" i="1"/>
  <c r="P34" i="1"/>
  <c r="Q34" i="1"/>
  <c r="P35" i="1"/>
  <c r="Q35" i="1"/>
  <c r="P36" i="1"/>
  <c r="Q36" i="1"/>
  <c r="P37" i="1"/>
  <c r="Q37" i="1"/>
  <c r="P38" i="1"/>
  <c r="Q38" i="1"/>
  <c r="P39" i="1"/>
  <c r="Q39" i="1"/>
  <c r="P40" i="1"/>
  <c r="Q40" i="1"/>
  <c r="P41" i="1"/>
  <c r="Q41" i="1"/>
  <c r="P42" i="1"/>
  <c r="Q42" i="1"/>
  <c r="P43" i="1"/>
  <c r="Q43" i="1"/>
  <c r="P44" i="1"/>
  <c r="Q44" i="1"/>
  <c r="P45" i="1"/>
  <c r="Q45" i="1"/>
  <c r="P46" i="1"/>
  <c r="Q46" i="1"/>
  <c r="P47" i="1"/>
  <c r="Q47" i="1"/>
  <c r="P48" i="1"/>
  <c r="Q48" i="1"/>
  <c r="P12" i="2" s="1"/>
  <c r="P49" i="1"/>
  <c r="Q49" i="1"/>
  <c r="P50" i="1"/>
  <c r="Q50" i="1"/>
  <c r="P51" i="1"/>
  <c r="Q51" i="1"/>
  <c r="P14" i="2" s="1"/>
  <c r="P52" i="1"/>
  <c r="Q52" i="1"/>
  <c r="P15" i="2" s="1"/>
  <c r="P53" i="1"/>
  <c r="Q53" i="1"/>
  <c r="P16" i="2" s="1"/>
  <c r="P54" i="1"/>
  <c r="Q54" i="1"/>
  <c r="P55" i="1"/>
  <c r="Q55" i="1"/>
  <c r="P56" i="1"/>
  <c r="Q56" i="1"/>
  <c r="P57" i="1"/>
  <c r="Q57" i="1"/>
  <c r="P58" i="1"/>
  <c r="Q58" i="1"/>
  <c r="P59" i="1"/>
  <c r="Q59" i="1"/>
  <c r="P60" i="1"/>
  <c r="Q60" i="1"/>
  <c r="P61" i="1"/>
  <c r="Q61" i="1"/>
  <c r="P18" i="2" s="1"/>
  <c r="P62" i="1"/>
  <c r="Q62" i="1"/>
  <c r="P63" i="1"/>
  <c r="Q63" i="1"/>
  <c r="P64" i="1"/>
  <c r="Q64" i="1"/>
  <c r="P65" i="1"/>
  <c r="Q65" i="1"/>
  <c r="P66" i="1"/>
  <c r="Q66" i="1"/>
  <c r="P67" i="1"/>
  <c r="Q67" i="1"/>
  <c r="P68" i="1"/>
  <c r="Q68" i="1"/>
  <c r="P69" i="1"/>
  <c r="Q69" i="1"/>
  <c r="P70" i="1"/>
  <c r="Q70" i="1"/>
  <c r="P71" i="1"/>
  <c r="Q71" i="1"/>
  <c r="P72" i="1"/>
  <c r="Q72" i="1"/>
  <c r="P73" i="1"/>
  <c r="Q73" i="1"/>
  <c r="P74" i="1"/>
  <c r="Q74" i="1"/>
  <c r="P75" i="1"/>
  <c r="Q75" i="1"/>
  <c r="P76" i="1"/>
  <c r="Q76" i="1"/>
  <c r="P77" i="1"/>
  <c r="Q77" i="1"/>
  <c r="P78" i="1"/>
  <c r="Q78" i="1"/>
  <c r="P79" i="1"/>
  <c r="Q79" i="1"/>
  <c r="P80" i="1"/>
  <c r="Q80" i="1"/>
  <c r="P81" i="1"/>
  <c r="Q81" i="1"/>
  <c r="P82" i="1"/>
  <c r="Q82" i="1"/>
  <c r="P83" i="1"/>
  <c r="Q83" i="1"/>
  <c r="P84" i="1"/>
  <c r="Q84" i="1"/>
  <c r="P85" i="1"/>
  <c r="Q85" i="1"/>
  <c r="P86" i="1"/>
  <c r="Q86" i="1"/>
  <c r="P87" i="1"/>
  <c r="Q87" i="1"/>
  <c r="P88" i="1"/>
  <c r="Q88" i="1"/>
  <c r="P89" i="1"/>
  <c r="Q89" i="1"/>
  <c r="P90" i="1"/>
  <c r="Q90" i="1"/>
  <c r="P91" i="1"/>
  <c r="Q91" i="1"/>
  <c r="P92" i="1"/>
  <c r="Q92" i="1"/>
  <c r="P93" i="1"/>
  <c r="Q93" i="1"/>
  <c r="P94" i="1"/>
  <c r="Q94" i="1"/>
  <c r="P95" i="1"/>
  <c r="Q95" i="1"/>
  <c r="P96" i="1"/>
  <c r="Q96" i="1"/>
  <c r="P97" i="1"/>
  <c r="Q97" i="1"/>
  <c r="P98" i="1"/>
  <c r="Q98" i="1"/>
  <c r="P99" i="1"/>
  <c r="Q99" i="1"/>
  <c r="P100" i="1"/>
  <c r="Q100" i="1"/>
  <c r="P101" i="1"/>
  <c r="Q101" i="1"/>
  <c r="P102" i="1"/>
  <c r="Q102" i="1"/>
  <c r="P103" i="1"/>
  <c r="Q103" i="1"/>
  <c r="P32" i="2" s="1"/>
  <c r="P104" i="1"/>
  <c r="Q104" i="1"/>
  <c r="P105" i="1"/>
  <c r="Q105" i="1"/>
  <c r="P106" i="1"/>
  <c r="Q106" i="1"/>
  <c r="P33" i="2" s="1"/>
  <c r="P107" i="1"/>
  <c r="Q107" i="1"/>
  <c r="P34" i="2" s="1"/>
  <c r="P108" i="1"/>
  <c r="Q108" i="1"/>
  <c r="P109" i="1"/>
  <c r="Q109" i="1"/>
  <c r="P110" i="1"/>
  <c r="Q110" i="1"/>
  <c r="P111" i="1"/>
  <c r="Q111" i="1"/>
  <c r="P112" i="1"/>
  <c r="Q112" i="1"/>
  <c r="P113" i="1"/>
  <c r="Q113" i="1"/>
  <c r="P114" i="1"/>
  <c r="Q114" i="1"/>
  <c r="P115" i="1"/>
  <c r="Q115" i="1"/>
  <c r="P116" i="1"/>
  <c r="Q116" i="1"/>
  <c r="P154" i="1"/>
  <c r="Q154" i="1"/>
  <c r="P155" i="1"/>
  <c r="Q155" i="1"/>
  <c r="P156" i="1"/>
  <c r="Q156" i="1"/>
  <c r="P157" i="1"/>
  <c r="Q157" i="1"/>
  <c r="P158" i="1"/>
  <c r="Q158" i="1"/>
  <c r="P159" i="1"/>
  <c r="Q159" i="1"/>
  <c r="P160" i="1"/>
  <c r="Q160" i="1"/>
  <c r="P161" i="1"/>
  <c r="Q161" i="1"/>
  <c r="P162" i="1"/>
  <c r="Q162" i="1"/>
  <c r="P163" i="1"/>
  <c r="Q163" i="1"/>
  <c r="P164" i="1"/>
  <c r="Q164" i="1"/>
  <c r="P165" i="1"/>
  <c r="Q165" i="1"/>
  <c r="O117" i="1"/>
  <c r="P117" i="1"/>
  <c r="O118" i="1"/>
  <c r="P118" i="1"/>
  <c r="O119" i="1"/>
  <c r="P119" i="1"/>
  <c r="O120" i="1"/>
  <c r="P120" i="1"/>
  <c r="O121" i="1"/>
  <c r="P121" i="1"/>
  <c r="O122" i="1"/>
  <c r="P122" i="1"/>
  <c r="O123" i="1"/>
  <c r="P123" i="1"/>
  <c r="O124" i="1"/>
  <c r="P124" i="1"/>
  <c r="O125" i="1"/>
  <c r="P125" i="1"/>
  <c r="O126" i="1"/>
  <c r="P126" i="1"/>
  <c r="O127" i="1"/>
  <c r="P127" i="1"/>
  <c r="O128" i="1"/>
  <c r="P128" i="1"/>
  <c r="O129" i="1"/>
  <c r="P129" i="1"/>
  <c r="O130" i="1"/>
  <c r="P130" i="1"/>
  <c r="O131" i="1"/>
  <c r="P131" i="1"/>
  <c r="O132" i="1"/>
  <c r="P132" i="1"/>
  <c r="O133" i="1"/>
  <c r="P133" i="1"/>
  <c r="O134" i="1"/>
  <c r="P134" i="1"/>
  <c r="O135" i="1"/>
  <c r="P135" i="1"/>
  <c r="O136" i="1"/>
  <c r="P136" i="1"/>
  <c r="O137" i="1"/>
  <c r="P137" i="1"/>
  <c r="O138" i="1"/>
  <c r="P138" i="1"/>
  <c r="O139" i="1"/>
  <c r="P139" i="1"/>
  <c r="O140" i="1"/>
  <c r="P140" i="1"/>
  <c r="O141" i="1"/>
  <c r="P141" i="1"/>
  <c r="O142" i="1"/>
  <c r="P142" i="1"/>
  <c r="O143" i="1"/>
  <c r="P143" i="1"/>
  <c r="O144" i="1"/>
  <c r="P144" i="1"/>
  <c r="O145" i="1"/>
  <c r="P145" i="1"/>
  <c r="O146" i="1"/>
  <c r="P146" i="1"/>
  <c r="O147" i="1"/>
  <c r="P147" i="1"/>
  <c r="O148" i="1"/>
  <c r="P148" i="1"/>
  <c r="O149" i="1"/>
  <c r="N48" i="2" s="1"/>
  <c r="P149" i="1"/>
  <c r="M48" i="2" s="1"/>
  <c r="O150" i="1"/>
  <c r="N49" i="2" s="1"/>
  <c r="P150" i="1"/>
  <c r="M49" i="2" s="1"/>
  <c r="O151" i="1"/>
  <c r="P151" i="1"/>
  <c r="O152" i="1"/>
  <c r="P152" i="1"/>
  <c r="O153" i="1"/>
  <c r="P153" i="1"/>
  <c r="N77" i="1"/>
  <c r="O77" i="1"/>
  <c r="N78" i="1"/>
  <c r="O78" i="1"/>
  <c r="N79" i="1"/>
  <c r="O79" i="1"/>
  <c r="N80" i="1"/>
  <c r="O80" i="1"/>
  <c r="N81" i="1"/>
  <c r="O81" i="1"/>
  <c r="N82" i="1"/>
  <c r="O82" i="1"/>
  <c r="N83" i="1"/>
  <c r="O83" i="1"/>
  <c r="N84" i="1"/>
  <c r="O84" i="1"/>
  <c r="N85" i="1"/>
  <c r="O85" i="1"/>
  <c r="N86" i="1"/>
  <c r="O86" i="1"/>
  <c r="N87" i="1"/>
  <c r="O87" i="1"/>
  <c r="N88" i="1"/>
  <c r="O88" i="1"/>
  <c r="N89" i="1"/>
  <c r="O89" i="1"/>
  <c r="N90" i="1"/>
  <c r="O90" i="1"/>
  <c r="N91" i="1"/>
  <c r="O91" i="1"/>
  <c r="N92" i="1"/>
  <c r="O92" i="1"/>
  <c r="N93" i="1"/>
  <c r="O93" i="1"/>
  <c r="N94" i="1"/>
  <c r="O94" i="1"/>
  <c r="N95" i="1"/>
  <c r="O95" i="1"/>
  <c r="N96" i="1"/>
  <c r="O96" i="1"/>
  <c r="N97" i="1"/>
  <c r="O97" i="1"/>
  <c r="N98" i="1"/>
  <c r="O98" i="1"/>
  <c r="N99" i="1"/>
  <c r="O99" i="1"/>
  <c r="N100" i="1"/>
  <c r="O100" i="1"/>
  <c r="N101" i="1"/>
  <c r="O101" i="1"/>
  <c r="N102" i="1"/>
  <c r="O102" i="1"/>
  <c r="N103" i="1"/>
  <c r="O103" i="1"/>
  <c r="N104" i="1"/>
  <c r="O104" i="1"/>
  <c r="N105" i="1"/>
  <c r="O105" i="1"/>
  <c r="N106" i="1"/>
  <c r="O106" i="1"/>
  <c r="N107" i="1"/>
  <c r="O34" i="2" s="1"/>
  <c r="O107" i="1"/>
  <c r="N108" i="1"/>
  <c r="O108" i="1"/>
  <c r="N109" i="1"/>
  <c r="O109" i="1"/>
  <c r="N110" i="1"/>
  <c r="O110" i="1"/>
  <c r="N116" i="1"/>
  <c r="O116" i="1"/>
  <c r="N154" i="1"/>
  <c r="O154" i="1"/>
  <c r="N155" i="1"/>
  <c r="O155" i="1"/>
  <c r="N156" i="1"/>
  <c r="O156" i="1"/>
  <c r="N157" i="1"/>
  <c r="O157" i="1"/>
  <c r="N3" i="1"/>
  <c r="O3" i="1"/>
  <c r="N4" i="1"/>
  <c r="O4" i="1"/>
  <c r="N5" i="1"/>
  <c r="O5" i="1"/>
  <c r="N6" i="1"/>
  <c r="O6" i="1"/>
  <c r="N7" i="1"/>
  <c r="O7" i="1"/>
  <c r="N8" i="1"/>
  <c r="O8" i="1"/>
  <c r="N9" i="1"/>
  <c r="O9" i="1"/>
  <c r="N10" i="1"/>
  <c r="O10" i="1"/>
  <c r="N11" i="1"/>
  <c r="O11" i="1"/>
  <c r="N12" i="1"/>
  <c r="O12" i="1"/>
  <c r="N13" i="1"/>
  <c r="O13" i="1"/>
  <c r="N14" i="1"/>
  <c r="O14" i="1"/>
  <c r="N15" i="1"/>
  <c r="O15" i="1"/>
  <c r="N16" i="1"/>
  <c r="O16" i="1"/>
  <c r="N17" i="1"/>
  <c r="O17" i="1"/>
  <c r="N18" i="1"/>
  <c r="O18" i="1"/>
  <c r="N19" i="1"/>
  <c r="O19" i="1"/>
  <c r="N20" i="1"/>
  <c r="O20" i="1"/>
  <c r="N21" i="1"/>
  <c r="O21" i="1"/>
  <c r="N22" i="1"/>
  <c r="O22" i="1"/>
  <c r="N23" i="1"/>
  <c r="O23" i="1"/>
  <c r="N24" i="1"/>
  <c r="O24" i="1"/>
  <c r="N25" i="1"/>
  <c r="O25" i="1"/>
  <c r="N26" i="1"/>
  <c r="O26" i="1"/>
  <c r="N27" i="1"/>
  <c r="O27" i="1"/>
  <c r="N28" i="1"/>
  <c r="O28" i="1"/>
  <c r="N29" i="1"/>
  <c r="O29" i="1"/>
  <c r="N30" i="1"/>
  <c r="O30" i="1"/>
  <c r="N31" i="1"/>
  <c r="O31" i="1"/>
  <c r="N32" i="1"/>
  <c r="O32" i="1"/>
  <c r="N33" i="1"/>
  <c r="O33" i="1"/>
  <c r="N34" i="1"/>
  <c r="O34" i="1"/>
  <c r="N35" i="1"/>
  <c r="O35" i="1"/>
  <c r="N36" i="1"/>
  <c r="O36" i="1"/>
  <c r="N37" i="1"/>
  <c r="O37" i="1"/>
  <c r="N38" i="1"/>
  <c r="O38" i="1"/>
  <c r="N39" i="1"/>
  <c r="O39" i="1"/>
  <c r="N40" i="1"/>
  <c r="O40" i="1"/>
  <c r="N41" i="1"/>
  <c r="O41" i="1"/>
  <c r="N42" i="1"/>
  <c r="O42" i="1"/>
  <c r="N43" i="1"/>
  <c r="O43" i="1"/>
  <c r="N44" i="1"/>
  <c r="O44" i="1"/>
  <c r="N45" i="1"/>
  <c r="O45" i="1"/>
  <c r="N46" i="1"/>
  <c r="O46" i="1"/>
  <c r="N47" i="1"/>
  <c r="O47" i="1"/>
  <c r="N48" i="1"/>
  <c r="O48" i="1"/>
  <c r="N49" i="1"/>
  <c r="O49" i="1"/>
  <c r="N50" i="1"/>
  <c r="O50" i="1"/>
  <c r="N51" i="1"/>
  <c r="O51" i="1"/>
  <c r="N52" i="1"/>
  <c r="O52" i="1"/>
  <c r="N53" i="1"/>
  <c r="O53" i="1"/>
  <c r="N54" i="1"/>
  <c r="O54" i="1"/>
  <c r="N55" i="1"/>
  <c r="O55" i="1"/>
  <c r="N56" i="1"/>
  <c r="O56" i="1"/>
  <c r="N57" i="1"/>
  <c r="O57" i="1"/>
  <c r="N58" i="1"/>
  <c r="O58" i="1"/>
  <c r="N59" i="1"/>
  <c r="O59" i="1"/>
  <c r="N60" i="1"/>
  <c r="O60" i="1"/>
  <c r="N61" i="1"/>
  <c r="O61" i="1"/>
  <c r="N62" i="1"/>
  <c r="O62" i="1"/>
  <c r="N63" i="1"/>
  <c r="O63" i="1"/>
  <c r="N64" i="1"/>
  <c r="O64" i="1"/>
  <c r="N65" i="1"/>
  <c r="O65" i="1"/>
  <c r="N66" i="1"/>
  <c r="O66" i="1"/>
  <c r="N67" i="1"/>
  <c r="O67" i="1"/>
  <c r="N68" i="1"/>
  <c r="O68" i="1"/>
  <c r="N69" i="1"/>
  <c r="O69" i="1"/>
  <c r="N70" i="1"/>
  <c r="O70" i="1"/>
  <c r="N71" i="1"/>
  <c r="O71" i="1"/>
  <c r="N72" i="1"/>
  <c r="O72" i="1"/>
  <c r="N73" i="1"/>
  <c r="O73" i="1"/>
  <c r="N74" i="1"/>
  <c r="O74" i="1"/>
  <c r="N75" i="1"/>
  <c r="O75" i="1"/>
  <c r="N76" i="1"/>
  <c r="O76" i="1"/>
  <c r="N111" i="1"/>
  <c r="O111" i="1"/>
  <c r="N112" i="1"/>
  <c r="O112" i="1"/>
  <c r="N113" i="1"/>
  <c r="O113" i="1"/>
  <c r="N114" i="1"/>
  <c r="O114" i="1"/>
  <c r="N115" i="1"/>
  <c r="O115" i="1"/>
  <c r="N158" i="1"/>
  <c r="O158" i="1"/>
  <c r="N159" i="1"/>
  <c r="O159" i="1"/>
  <c r="N160" i="1"/>
  <c r="O160" i="1"/>
  <c r="N161" i="1"/>
  <c r="O161" i="1"/>
  <c r="N162" i="1"/>
  <c r="O162" i="1"/>
  <c r="N163" i="1"/>
  <c r="O163" i="1"/>
  <c r="N164" i="1"/>
  <c r="O164" i="1"/>
  <c r="N165" i="1"/>
  <c r="O165" i="1"/>
  <c r="N117" i="1"/>
  <c r="N118" i="1"/>
  <c r="N119" i="1"/>
  <c r="N120" i="1"/>
  <c r="N121" i="1"/>
  <c r="N122" i="1"/>
  <c r="N123" i="1"/>
  <c r="N124" i="1"/>
  <c r="N125" i="1"/>
  <c r="N126" i="1"/>
  <c r="N127" i="1"/>
  <c r="N128" i="1"/>
  <c r="N129" i="1"/>
  <c r="N130" i="1"/>
  <c r="N131" i="1"/>
  <c r="O41" i="2" s="1"/>
  <c r="N132" i="1"/>
  <c r="N133" i="1"/>
  <c r="N134" i="1"/>
  <c r="N135" i="1"/>
  <c r="N136" i="1"/>
  <c r="N137" i="1"/>
  <c r="N138" i="1"/>
  <c r="N139" i="1"/>
  <c r="N140" i="1"/>
  <c r="N141" i="1"/>
  <c r="N142" i="1"/>
  <c r="N143" i="1"/>
  <c r="N144" i="1"/>
  <c r="N145" i="1"/>
  <c r="N146" i="1"/>
  <c r="N147" i="1"/>
  <c r="N148" i="1"/>
  <c r="N149" i="1"/>
  <c r="N150" i="1"/>
  <c r="N151" i="1"/>
  <c r="N152" i="1"/>
  <c r="N153" i="1"/>
  <c r="O48" i="2"/>
  <c r="O49" i="2"/>
  <c r="P39" i="2"/>
  <c r="P48" i="2"/>
  <c r="P49" i="2"/>
  <c r="W9" i="6"/>
  <c r="X9" i="6"/>
  <c r="Y9" i="6"/>
  <c r="Z9" i="6"/>
  <c r="B122" i="3"/>
  <c r="B120" i="3"/>
  <c r="B118" i="3"/>
  <c r="B123" i="3"/>
  <c r="B119" i="3"/>
  <c r="B121" i="3"/>
  <c r="N23" i="2"/>
  <c r="M23" i="2"/>
  <c r="O2" i="1"/>
  <c r="P2" i="1"/>
  <c r="O23" i="2"/>
  <c r="N2" i="1"/>
  <c r="AD58" i="6"/>
  <c r="D8" i="6"/>
  <c r="X61" i="6"/>
  <c r="Q13" i="6"/>
  <c r="S9" i="6"/>
  <c r="Z62" i="6"/>
  <c r="N13" i="6"/>
  <c r="E17" i="6"/>
  <c r="AZ98" i="6"/>
  <c r="AD53" i="6"/>
  <c r="AG60" i="6"/>
  <c r="Z63" i="6"/>
  <c r="X53" i="6"/>
  <c r="AW89" i="6"/>
  <c r="D28" i="6"/>
  <c r="AL102" i="6"/>
  <c r="AX96" i="6"/>
  <c r="P8" i="6"/>
  <c r="AP94" i="6"/>
  <c r="N9" i="6"/>
  <c r="F24" i="6"/>
  <c r="F34" i="6" s="1"/>
  <c r="AG54" i="6"/>
  <c r="F11" i="6"/>
  <c r="G31" i="6"/>
  <c r="Z65" i="6"/>
  <c r="AF51" i="6"/>
  <c r="U53" i="6"/>
  <c r="X51" i="6"/>
  <c r="M14" i="6"/>
  <c r="AJ48" i="6"/>
  <c r="I11" i="6"/>
  <c r="AD57" i="6"/>
  <c r="D9" i="6"/>
  <c r="AP86" i="6"/>
  <c r="Z53" i="6"/>
  <c r="AV85" i="6"/>
  <c r="W55" i="6"/>
  <c r="AL89" i="6"/>
  <c r="W46" i="6"/>
  <c r="AP83" i="6"/>
  <c r="AP101" i="6"/>
  <c r="AP100" i="6"/>
  <c r="E28" i="6"/>
  <c r="AM100" i="6"/>
  <c r="P6" i="6"/>
  <c r="P24" i="6" s="1"/>
  <c r="AE59" i="6"/>
  <c r="AD48" i="6"/>
  <c r="AM86" i="6"/>
  <c r="AL104" i="6"/>
  <c r="W67" i="6"/>
  <c r="AV93" i="6"/>
  <c r="I24" i="6"/>
  <c r="I34" i="6" s="1"/>
  <c r="AU92" i="6"/>
  <c r="G15" i="6"/>
  <c r="I31" i="6"/>
  <c r="W47" i="6"/>
  <c r="AJ60" i="6"/>
  <c r="AM94" i="6"/>
  <c r="O20" i="6"/>
  <c r="P17" i="6"/>
  <c r="AJ58" i="6"/>
  <c r="Q20" i="6"/>
  <c r="AE62" i="6"/>
  <c r="I10" i="6"/>
  <c r="AL100" i="6"/>
  <c r="N11" i="6"/>
  <c r="AX94" i="6"/>
  <c r="G29" i="6"/>
  <c r="AL84" i="6"/>
  <c r="D7" i="6"/>
  <c r="AX91" i="6"/>
  <c r="AK106" i="6"/>
  <c r="D13" i="6"/>
  <c r="N12" i="6"/>
  <c r="W48" i="6"/>
  <c r="G7" i="6"/>
  <c r="X46" i="6"/>
  <c r="AD47" i="6"/>
  <c r="W65" i="6"/>
  <c r="W63" i="6"/>
  <c r="AF53" i="6"/>
  <c r="E12" i="6"/>
  <c r="AM104" i="6"/>
  <c r="P12" i="6"/>
  <c r="M19" i="6"/>
  <c r="AK100" i="6"/>
  <c r="AX83" i="6"/>
  <c r="AN104" i="6"/>
  <c r="C34" i="3"/>
  <c r="W64" i="6"/>
  <c r="AT97" i="6"/>
  <c r="AZ91" i="6"/>
  <c r="O14" i="6"/>
  <c r="AM93" i="6"/>
  <c r="AL87" i="6"/>
  <c r="AK107" i="6"/>
  <c r="AT84" i="6"/>
  <c r="AX90" i="6"/>
  <c r="AK90" i="6"/>
  <c r="AE54" i="6"/>
  <c r="W53" i="6"/>
  <c r="V67" i="6"/>
  <c r="AV83" i="6"/>
  <c r="AV91" i="6"/>
  <c r="W68" i="6"/>
  <c r="W49" i="6"/>
  <c r="AN91" i="6"/>
  <c r="AE61" i="6"/>
  <c r="X66" i="6"/>
  <c r="AN87" i="6"/>
  <c r="AD62" i="6"/>
  <c r="N21" i="6"/>
  <c r="AN93" i="6"/>
  <c r="C42" i="3"/>
  <c r="W44" i="6"/>
  <c r="I14" i="6"/>
  <c r="I6" i="6"/>
  <c r="I19" i="6" s="1"/>
  <c r="AN105" i="6"/>
  <c r="AP93" i="6"/>
  <c r="S20" i="6"/>
  <c r="V61" i="6"/>
  <c r="U49" i="6"/>
  <c r="AP104" i="6"/>
  <c r="F31" i="6"/>
  <c r="U64" i="6"/>
  <c r="AF49" i="6"/>
  <c r="D6" i="6"/>
  <c r="D19" i="6" s="1"/>
  <c r="AL108" i="6"/>
  <c r="Z46" i="6"/>
  <c r="S21" i="6"/>
  <c r="S7" i="6"/>
  <c r="M17" i="6"/>
  <c r="G28" i="6"/>
  <c r="AX95" i="6"/>
  <c r="F8" i="6"/>
  <c r="AU84" i="6"/>
  <c r="AG59" i="6"/>
  <c r="U44" i="6"/>
  <c r="S16" i="6"/>
  <c r="AF58" i="6"/>
  <c r="AN108" i="6"/>
  <c r="G24" i="6"/>
  <c r="G34" i="6" s="1"/>
  <c r="AJ61" i="6"/>
  <c r="O10" i="6"/>
  <c r="W69" i="6"/>
  <c r="Z50" i="6"/>
  <c r="X62" i="6"/>
  <c r="D10" i="6"/>
  <c r="AN85" i="6"/>
  <c r="AV89" i="6"/>
  <c r="AD49" i="6"/>
  <c r="AT91" i="6"/>
  <c r="AK101" i="6"/>
  <c r="G26" i="6"/>
  <c r="M21" i="6"/>
  <c r="AM83" i="6"/>
  <c r="AP88" i="6"/>
  <c r="AP89" i="6"/>
  <c r="O17" i="6"/>
  <c r="Z66" i="6"/>
  <c r="D29" i="6"/>
  <c r="V49" i="6"/>
  <c r="W50" i="6"/>
  <c r="AV87" i="6"/>
  <c r="Z52" i="6"/>
  <c r="AD51" i="6"/>
  <c r="S12" i="6"/>
  <c r="AZ88" i="6"/>
  <c r="D11" i="6"/>
  <c r="AN94" i="6"/>
  <c r="AL107" i="6"/>
  <c r="F17" i="6"/>
  <c r="N17" i="6"/>
  <c r="E15" i="6"/>
  <c r="G12" i="6"/>
  <c r="F6" i="6"/>
  <c r="F19" i="6" s="1"/>
  <c r="AK84" i="6"/>
  <c r="G6" i="6"/>
  <c r="G19" i="6" s="1"/>
  <c r="I12" i="6"/>
  <c r="N6" i="6"/>
  <c r="N24" i="6" s="1"/>
  <c r="AX97" i="6"/>
  <c r="D25" i="6"/>
  <c r="AD54" i="6"/>
  <c r="G9" i="6"/>
  <c r="AG62" i="6"/>
  <c r="M16" i="6"/>
  <c r="Q9" i="6"/>
  <c r="AZ93" i="6"/>
  <c r="M20" i="6"/>
  <c r="C39" i="3"/>
  <c r="Z51" i="6"/>
  <c r="U45" i="6"/>
  <c r="O21" i="6"/>
  <c r="AZ94" i="6"/>
  <c r="C38" i="3"/>
  <c r="M18" i="6"/>
  <c r="D12" i="6"/>
  <c r="AM106" i="6"/>
  <c r="F14" i="6"/>
  <c r="E9" i="6"/>
  <c r="E10" i="6"/>
  <c r="AD56" i="6"/>
  <c r="V50" i="6"/>
  <c r="N18" i="6"/>
  <c r="AD50" i="6"/>
  <c r="AT93" i="6"/>
  <c r="AN89" i="6"/>
  <c r="AF48" i="6"/>
  <c r="AU83" i="6"/>
  <c r="AP87" i="6"/>
  <c r="AW86" i="6"/>
  <c r="AZ95" i="6"/>
  <c r="AF56" i="6"/>
  <c r="S10" i="6"/>
  <c r="E24" i="6"/>
  <c r="E34" i="6" s="1"/>
  <c r="O16" i="6"/>
  <c r="S18" i="6"/>
  <c r="O6" i="6"/>
  <c r="O24" i="6" s="1"/>
  <c r="AZ89" i="6"/>
  <c r="AT96" i="6"/>
  <c r="W66" i="6"/>
  <c r="E11" i="6"/>
  <c r="E29" i="6"/>
  <c r="P13" i="6"/>
  <c r="Z49" i="6"/>
  <c r="AM107" i="6"/>
  <c r="AF60" i="6"/>
  <c r="AN107" i="6"/>
  <c r="AD60" i="6"/>
  <c r="Z47" i="6"/>
  <c r="F15" i="6"/>
  <c r="AK108" i="6"/>
  <c r="X44" i="6"/>
  <c r="D15" i="6"/>
  <c r="AP108" i="6"/>
  <c r="X63" i="6"/>
  <c r="AD61" i="6"/>
  <c r="I26" i="6"/>
  <c r="P19" i="6"/>
  <c r="S17" i="6"/>
  <c r="E13" i="6"/>
  <c r="P16" i="6"/>
  <c r="AE56" i="6"/>
  <c r="Q14" i="6"/>
  <c r="M15" i="6"/>
  <c r="AZ85" i="6"/>
  <c r="W61" i="6"/>
  <c r="D32" i="6"/>
  <c r="N16" i="6"/>
  <c r="U50" i="6"/>
  <c r="N10" i="6"/>
  <c r="AM85" i="6"/>
  <c r="AF50" i="6"/>
  <c r="AZ84" i="6"/>
  <c r="M7" i="6"/>
  <c r="Q12" i="6"/>
  <c r="AK86" i="6"/>
  <c r="I28" i="6"/>
  <c r="E31" i="6"/>
  <c r="AT95" i="6"/>
  <c r="I30" i="6"/>
  <c r="P7" i="6"/>
  <c r="AD59" i="6"/>
  <c r="U62" i="6"/>
  <c r="AV94" i="6"/>
  <c r="Z68" i="6"/>
  <c r="M11" i="6"/>
  <c r="O11" i="6"/>
  <c r="AJ62" i="6"/>
  <c r="AW92" i="6"/>
  <c r="AU98" i="6"/>
  <c r="AX86" i="6"/>
  <c r="AU96" i="6"/>
  <c r="AH60" i="6"/>
  <c r="X67" i="6"/>
  <c r="F12" i="6"/>
  <c r="Z45" i="6"/>
  <c r="F32" i="6"/>
  <c r="AE47" i="6"/>
  <c r="C36" i="3"/>
  <c r="W54" i="6"/>
  <c r="AN83" i="6"/>
  <c r="C37" i="3"/>
  <c r="AD52" i="6"/>
  <c r="V63" i="6"/>
  <c r="AG50" i="6"/>
  <c r="AU91" i="6"/>
  <c r="AE49" i="6"/>
  <c r="Q19" i="6"/>
  <c r="AT89" i="6"/>
  <c r="Q16" i="6"/>
  <c r="AG53" i="6"/>
  <c r="AK93" i="6"/>
  <c r="AZ86" i="6"/>
  <c r="AN90" i="6"/>
  <c r="AK92" i="6"/>
  <c r="I9" i="6"/>
  <c r="AF57" i="6"/>
  <c r="X48" i="6"/>
  <c r="E30" i="6"/>
  <c r="X68" i="6"/>
  <c r="G11" i="6"/>
  <c r="AL106" i="6"/>
  <c r="P20" i="6"/>
  <c r="AG49" i="6"/>
  <c r="D17" i="6"/>
  <c r="M10" i="6"/>
  <c r="AL103" i="6"/>
  <c r="AM87" i="6"/>
  <c r="AZ90" i="6"/>
  <c r="AE53" i="6"/>
  <c r="AK94" i="6"/>
  <c r="Z48" i="6"/>
  <c r="E14" i="6"/>
  <c r="O8" i="6"/>
  <c r="AK87" i="6"/>
  <c r="D27" i="6"/>
  <c r="G8" i="6"/>
  <c r="AT94" i="6"/>
  <c r="G30" i="6"/>
  <c r="AM92" i="6"/>
  <c r="G10" i="6"/>
  <c r="AN106" i="6"/>
  <c r="AK89" i="6"/>
  <c r="I16" i="6"/>
  <c r="N8" i="6"/>
  <c r="AH49" i="6"/>
  <c r="AL83" i="6"/>
  <c r="Q21" i="6"/>
  <c r="AM90" i="6"/>
  <c r="AT86" i="6"/>
  <c r="C101" i="3"/>
  <c r="AL90" i="6"/>
  <c r="X69" i="6"/>
  <c r="AW90" i="6"/>
  <c r="F25" i="6"/>
  <c r="AV88" i="6"/>
  <c r="AN101" i="6"/>
  <c r="AK103" i="6"/>
  <c r="AL86" i="6"/>
  <c r="P11" i="6"/>
  <c r="F7" i="6"/>
  <c r="E6" i="6"/>
  <c r="E19" i="6" s="1"/>
  <c r="AP91" i="6"/>
  <c r="AH52" i="6"/>
  <c r="X54" i="6"/>
  <c r="V52" i="6"/>
  <c r="P9" i="6"/>
  <c r="Z54" i="6"/>
  <c r="V62" i="6"/>
  <c r="U63" i="6"/>
  <c r="AU93" i="6"/>
  <c r="AZ96" i="6"/>
  <c r="Q18" i="6"/>
  <c r="AP102" i="6"/>
  <c r="Q17" i="6"/>
  <c r="AE51" i="6"/>
  <c r="V64" i="6"/>
  <c r="AE60" i="6"/>
  <c r="AP106" i="6"/>
  <c r="AJ51" i="6"/>
  <c r="AU95" i="6"/>
  <c r="AH48" i="6"/>
  <c r="AU97" i="6"/>
  <c r="AN88" i="6"/>
  <c r="P14" i="6"/>
  <c r="AK102" i="6"/>
  <c r="AL91" i="6"/>
  <c r="U67" i="6"/>
  <c r="I8" i="6"/>
  <c r="W51" i="6"/>
  <c r="I27" i="6"/>
  <c r="D14" i="6"/>
  <c r="B106" i="3"/>
  <c r="Q7" i="6"/>
  <c r="U54" i="6"/>
  <c r="S6" i="6"/>
  <c r="S24" i="6" s="1"/>
  <c r="AW93" i="6"/>
  <c r="AT92" i="6"/>
  <c r="AV90" i="6"/>
  <c r="C40" i="3"/>
  <c r="Z64" i="6"/>
  <c r="AW85" i="6"/>
  <c r="S15" i="6"/>
  <c r="AL105" i="6"/>
  <c r="AW96" i="6"/>
  <c r="AZ92" i="6"/>
  <c r="AM91" i="6"/>
  <c r="I17" i="6"/>
  <c r="AG51" i="6"/>
  <c r="AN92" i="6"/>
  <c r="AK83" i="6"/>
  <c r="N19" i="6"/>
  <c r="AV97" i="6"/>
  <c r="U51" i="6"/>
  <c r="AG52" i="6"/>
  <c r="O13" i="6"/>
  <c r="W45" i="6"/>
  <c r="AJ52" i="6"/>
  <c r="U69" i="6"/>
  <c r="E26" i="6"/>
  <c r="G14" i="6"/>
  <c r="AH61" i="6"/>
  <c r="AK85" i="6"/>
  <c r="AH57" i="6"/>
  <c r="C104" i="3"/>
  <c r="F9" i="6"/>
  <c r="F27" i="6"/>
  <c r="I25" i="6"/>
  <c r="X64" i="6"/>
  <c r="V69" i="6"/>
  <c r="V48" i="6"/>
  <c r="I7" i="6"/>
  <c r="AX93" i="6"/>
  <c r="AM89" i="6"/>
  <c r="AM102" i="6"/>
  <c r="D31" i="6"/>
  <c r="C102" i="3"/>
  <c r="G27" i="6"/>
  <c r="E16" i="6"/>
  <c r="Q11" i="6"/>
  <c r="AW97" i="6"/>
  <c r="AV86" i="6"/>
  <c r="AX98" i="6"/>
  <c r="AL94" i="6"/>
  <c r="AP107" i="6"/>
  <c r="AN103" i="6"/>
  <c r="M9" i="6"/>
  <c r="G16" i="6"/>
  <c r="AE48" i="6"/>
  <c r="E25" i="6"/>
  <c r="P10" i="6"/>
  <c r="E27" i="6"/>
  <c r="AV95" i="6"/>
  <c r="G17" i="6"/>
  <c r="AK105" i="6"/>
  <c r="AM101" i="6"/>
  <c r="P18" i="6"/>
  <c r="AP90" i="6"/>
  <c r="AM84" i="6"/>
  <c r="AV98" i="6"/>
  <c r="AD55" i="6"/>
  <c r="AZ83" i="6"/>
  <c r="F26" i="6"/>
  <c r="X52" i="6"/>
  <c r="V53" i="6"/>
  <c r="AG61" i="6"/>
  <c r="V68" i="6"/>
  <c r="AM108" i="6"/>
  <c r="AH53" i="6"/>
  <c r="D24" i="6"/>
  <c r="D34" i="6" s="1"/>
  <c r="W62" i="6"/>
  <c r="U66" i="6"/>
  <c r="AX84" i="6"/>
  <c r="AW91" i="6"/>
  <c r="AE55" i="6"/>
  <c r="U61" i="6"/>
  <c r="AH58" i="6"/>
  <c r="AM88" i="6"/>
  <c r="Z69" i="6"/>
  <c r="AP92" i="6"/>
  <c r="AE50" i="6"/>
  <c r="AP85" i="6"/>
  <c r="AW83" i="6"/>
  <c r="G13" i="6"/>
  <c r="AJ55" i="6"/>
  <c r="U46" i="6"/>
  <c r="U47" i="6"/>
  <c r="AZ97" i="6"/>
  <c r="O7" i="6"/>
  <c r="W52" i="6"/>
  <c r="AF62" i="6"/>
  <c r="AX92" i="6"/>
  <c r="AW84" i="6"/>
  <c r="AH51" i="6"/>
  <c r="I32" i="6"/>
  <c r="AF61" i="6"/>
  <c r="AF54" i="6"/>
  <c r="Z67" i="6"/>
  <c r="V51" i="6"/>
  <c r="AV92" i="6"/>
  <c r="N7" i="6"/>
  <c r="AH54" i="6"/>
  <c r="X55" i="6"/>
  <c r="AP105" i="6"/>
  <c r="AK91" i="6"/>
  <c r="G25" i="6"/>
  <c r="AL88" i="6"/>
  <c r="AL93" i="6"/>
  <c r="AJ50" i="6"/>
  <c r="AG48" i="6"/>
  <c r="F29" i="6"/>
  <c r="AX89" i="6"/>
  <c r="X65" i="6"/>
  <c r="Q10" i="6"/>
  <c r="AN86" i="6"/>
  <c r="D30" i="6"/>
  <c r="V46" i="6"/>
  <c r="N15" i="6"/>
  <c r="AT85" i="6"/>
  <c r="O9" i="6"/>
  <c r="AG58" i="6"/>
  <c r="AM103" i="6"/>
  <c r="AP84" i="6"/>
  <c r="X50" i="6"/>
  <c r="Z44" i="6"/>
  <c r="AE52" i="6"/>
  <c r="Q8" i="6"/>
  <c r="F10" i="6"/>
  <c r="AJ56" i="6"/>
  <c r="AJ49" i="6"/>
  <c r="O19" i="6"/>
  <c r="C41" i="3"/>
  <c r="AU87" i="6"/>
  <c r="M13" i="6"/>
  <c r="S14" i="6"/>
  <c r="S19" i="6"/>
  <c r="AU89" i="6"/>
  <c r="F28" i="6"/>
  <c r="AW94" i="6"/>
  <c r="AU86" i="6"/>
  <c r="M12" i="6"/>
  <c r="E8" i="6"/>
  <c r="X49" i="6"/>
  <c r="AN102" i="6"/>
  <c r="Q15" i="6"/>
  <c r="AM105" i="6"/>
  <c r="Q6" i="6"/>
  <c r="Q24" i="6" s="1"/>
  <c r="AH55" i="6"/>
  <c r="AK88" i="6"/>
  <c r="AH59" i="6"/>
  <c r="AW88" i="6"/>
  <c r="D26" i="6"/>
  <c r="AJ54" i="6"/>
  <c r="AG56" i="6"/>
  <c r="AT87" i="6"/>
  <c r="AG55" i="6"/>
  <c r="E7" i="6"/>
  <c r="I15" i="6"/>
  <c r="AP103" i="6"/>
  <c r="F16" i="6"/>
  <c r="N20" i="6"/>
  <c r="V54" i="6"/>
  <c r="U55" i="6"/>
  <c r="AK104" i="6"/>
  <c r="V66" i="6"/>
  <c r="N14" i="6"/>
  <c r="AU90" i="6"/>
  <c r="O12" i="6"/>
  <c r="V55" i="6"/>
  <c r="AF55" i="6"/>
  <c r="V45" i="6"/>
  <c r="U48" i="6"/>
  <c r="AG57" i="6"/>
  <c r="I29" i="6"/>
  <c r="M8" i="6"/>
  <c r="D16" i="6"/>
  <c r="AN100" i="6"/>
  <c r="AW98" i="6"/>
  <c r="U52" i="6"/>
  <c r="O15" i="6"/>
  <c r="AJ59" i="6"/>
  <c r="AX88" i="6"/>
  <c r="AF47" i="6"/>
  <c r="AU85" i="6"/>
  <c r="Z55" i="6"/>
  <c r="AH62" i="6"/>
  <c r="C35" i="3"/>
  <c r="AU94" i="6"/>
  <c r="AT88" i="6"/>
  <c r="I13" i="6"/>
  <c r="AL92" i="6"/>
  <c r="P15" i="6"/>
  <c r="AX87" i="6"/>
  <c r="AH47" i="6"/>
  <c r="AW87" i="6"/>
  <c r="AH56" i="6"/>
  <c r="F30" i="6"/>
  <c r="AW95" i="6"/>
  <c r="E32" i="6"/>
  <c r="Z61" i="6"/>
  <c r="S13" i="6"/>
  <c r="AT83" i="6"/>
  <c r="C103" i="3"/>
  <c r="AF59" i="6"/>
  <c r="AH50" i="6"/>
  <c r="AU88" i="6"/>
  <c r="V47" i="6"/>
  <c r="AJ47" i="6"/>
  <c r="AF52" i="6"/>
  <c r="F13" i="6"/>
  <c r="P21" i="6"/>
  <c r="O18" i="6"/>
  <c r="AX85" i="6"/>
  <c r="AE57" i="6"/>
  <c r="V44" i="6"/>
  <c r="AJ57" i="6"/>
  <c r="AL101" i="6"/>
  <c r="AN84" i="6"/>
  <c r="M6" i="6"/>
  <c r="M24" i="6" s="1"/>
  <c r="AT90" i="6"/>
  <c r="AL85" i="6"/>
  <c r="AG47" i="6"/>
  <c r="U68" i="6"/>
  <c r="AZ87" i="6"/>
  <c r="AT98" i="6"/>
  <c r="V65" i="6"/>
  <c r="S11" i="6"/>
  <c r="AV96" i="6"/>
  <c r="G32" i="6"/>
  <c r="S8" i="6"/>
  <c r="AV84" i="6"/>
  <c r="AJ53" i="6"/>
  <c r="U65" i="6"/>
  <c r="X47" i="6"/>
  <c r="AE58" i="6"/>
  <c r="X45" i="6"/>
  <c r="C46" i="3" l="1"/>
  <c r="C45" i="3"/>
  <c r="C43" i="3"/>
  <c r="C44" i="3"/>
  <c r="P51" i="2"/>
  <c r="P50" i="2"/>
  <c r="M51" i="2"/>
  <c r="N51" i="2"/>
  <c r="O51" i="2"/>
  <c r="P27" i="2"/>
  <c r="O50" i="2"/>
  <c r="M50" i="2"/>
  <c r="N50" i="2"/>
  <c r="P17" i="2"/>
  <c r="P26" i="2"/>
  <c r="P10" i="2"/>
  <c r="P29" i="2"/>
  <c r="P22" i="2"/>
  <c r="P25" i="2"/>
  <c r="P42" i="2"/>
  <c r="P28" i="2"/>
  <c r="P21" i="2"/>
  <c r="P20" i="2"/>
  <c r="P45" i="2"/>
  <c r="P46" i="2"/>
  <c r="P30" i="2"/>
  <c r="P43" i="2"/>
  <c r="P31" i="2"/>
  <c r="P19" i="2"/>
  <c r="P7" i="2"/>
  <c r="O33" i="2"/>
  <c r="O12" i="2"/>
  <c r="O24" i="2"/>
  <c r="O9" i="2"/>
  <c r="P41" i="2"/>
  <c r="P44" i="2"/>
  <c r="P9" i="2"/>
  <c r="P11" i="2"/>
  <c r="P13" i="2"/>
  <c r="O18" i="2"/>
  <c r="N44" i="2"/>
  <c r="P4" i="2"/>
  <c r="P5" i="2"/>
  <c r="N39" i="2"/>
  <c r="O44" i="2"/>
  <c r="P6" i="2"/>
  <c r="M11" i="2"/>
  <c r="O16" i="2"/>
  <c r="N16" i="2"/>
  <c r="O32" i="2"/>
  <c r="N32" i="2"/>
  <c r="O39" i="2"/>
  <c r="N15" i="2"/>
  <c r="M41" i="2"/>
  <c r="O15" i="2"/>
  <c r="N14" i="2"/>
  <c r="N11" i="2"/>
  <c r="O14" i="2"/>
  <c r="M34" i="2"/>
  <c r="N41" i="2"/>
  <c r="M14" i="2"/>
  <c r="N34" i="2"/>
  <c r="M15" i="2"/>
  <c r="M33" i="2"/>
  <c r="M16" i="2"/>
  <c r="N18" i="2"/>
  <c r="M32" i="2"/>
  <c r="M12" i="2"/>
  <c r="M39" i="2"/>
  <c r="N12" i="2"/>
  <c r="P24" i="2"/>
  <c r="M9" i="2"/>
  <c r="M44" i="2"/>
  <c r="N9" i="2"/>
  <c r="M24" i="2"/>
  <c r="N33" i="2"/>
  <c r="P47" i="2"/>
  <c r="M47" i="2"/>
  <c r="N47" i="2"/>
  <c r="O47" i="2"/>
  <c r="M18" i="2"/>
  <c r="N24" i="2"/>
  <c r="P3" i="2"/>
  <c r="O11" i="2"/>
  <c r="P35" i="2"/>
  <c r="P40" i="2"/>
  <c r="P36" i="2"/>
  <c r="P37" i="2"/>
  <c r="P38" i="2"/>
  <c r="E40" i="6"/>
  <c r="D40" i="6"/>
  <c r="X70" i="6"/>
  <c r="AN95" i="6"/>
  <c r="AM95" i="6"/>
  <c r="U70" i="6"/>
  <c r="X56" i="6"/>
  <c r="W70" i="6"/>
  <c r="G40" i="6"/>
  <c r="AX99" i="6"/>
  <c r="AP95" i="6"/>
  <c r="AK95" i="6"/>
  <c r="W56" i="6"/>
  <c r="AL95" i="6"/>
  <c r="Z70" i="6"/>
  <c r="AV99" i="6"/>
  <c r="AH63" i="6"/>
  <c r="AZ99" i="6"/>
  <c r="AL109" i="6"/>
  <c r="AM109" i="6"/>
  <c r="AG63" i="6"/>
  <c r="AF63" i="6"/>
  <c r="AU99" i="6"/>
  <c r="AJ63" i="6"/>
  <c r="AN109" i="6"/>
  <c r="AT99" i="6"/>
  <c r="AK109" i="6"/>
  <c r="Z56" i="6"/>
  <c r="AE63" i="6"/>
  <c r="AP109" i="6"/>
  <c r="U56" i="6"/>
  <c r="V56" i="6"/>
  <c r="AW99" i="6"/>
  <c r="V70" i="6"/>
  <c r="I40" i="6"/>
  <c r="AD63" i="6"/>
  <c r="F40" i="6"/>
  <c r="P8" i="2"/>
  <c r="N8" i="2"/>
  <c r="M8" i="2"/>
  <c r="O8" i="2"/>
  <c r="N25" i="2"/>
  <c r="M25" i="2"/>
  <c r="O25" i="2"/>
  <c r="N46" i="2"/>
  <c r="M46" i="2"/>
  <c r="O46" i="2"/>
  <c r="N45" i="2"/>
  <c r="M45" i="2"/>
  <c r="O45" i="2"/>
  <c r="N43" i="2"/>
  <c r="M43" i="2"/>
  <c r="O43" i="2"/>
  <c r="N42" i="2"/>
  <c r="M42" i="2"/>
  <c r="O42" i="2"/>
  <c r="N40" i="2"/>
  <c r="M40" i="2"/>
  <c r="O40" i="2"/>
  <c r="N35" i="2"/>
  <c r="M35" i="2"/>
  <c r="N36" i="2"/>
  <c r="M36" i="2"/>
  <c r="N37" i="2"/>
  <c r="M37" i="2"/>
  <c r="N38" i="2"/>
  <c r="M38" i="2"/>
  <c r="O36" i="2"/>
  <c r="O37" i="2"/>
  <c r="O35" i="2"/>
  <c r="O38" i="2"/>
  <c r="N31" i="2"/>
  <c r="M31" i="2"/>
  <c r="O31" i="2"/>
  <c r="N29" i="2"/>
  <c r="M29" i="2"/>
  <c r="N30" i="2"/>
  <c r="M30" i="2"/>
  <c r="O29" i="2"/>
  <c r="O30" i="2"/>
  <c r="N28" i="2"/>
  <c r="M28" i="2"/>
  <c r="O28" i="2"/>
  <c r="N26" i="2"/>
  <c r="M26" i="2"/>
  <c r="N27" i="2"/>
  <c r="M27" i="2"/>
  <c r="O26" i="2"/>
  <c r="O27" i="2"/>
  <c r="N20" i="2"/>
  <c r="M20" i="2"/>
  <c r="N21" i="2"/>
  <c r="M21" i="2"/>
  <c r="N22" i="2"/>
  <c r="M22" i="2"/>
  <c r="O20" i="2"/>
  <c r="O21" i="2"/>
  <c r="O22" i="2"/>
  <c r="N13" i="2"/>
  <c r="M13" i="2"/>
  <c r="N17" i="2"/>
  <c r="M17" i="2"/>
  <c r="N19" i="2"/>
  <c r="M19" i="2"/>
  <c r="O17" i="2"/>
  <c r="O13" i="2"/>
  <c r="O19" i="2"/>
  <c r="N10" i="2"/>
  <c r="M10" i="2"/>
  <c r="O10" i="2"/>
  <c r="N6" i="2"/>
  <c r="M6" i="2"/>
  <c r="N7" i="2"/>
  <c r="M7" i="2"/>
  <c r="O6" i="2"/>
  <c r="O7" i="2"/>
  <c r="N4" i="2"/>
  <c r="M4" i="2"/>
  <c r="N5" i="2"/>
  <c r="M5" i="2"/>
  <c r="O4" i="2"/>
  <c r="O5" i="2"/>
  <c r="P2" i="2"/>
  <c r="O2" i="2"/>
  <c r="O3" i="2"/>
  <c r="N3" i="2"/>
  <c r="N2" i="2"/>
  <c r="M3" i="2"/>
  <c r="M2" i="2"/>
  <c r="A109" i="3"/>
  <c r="AK115" i="6" l="1"/>
  <c r="AP115" i="6"/>
  <c r="X76" i="6"/>
  <c r="Z76" i="6"/>
  <c r="W76" i="6"/>
  <c r="U76" i="6"/>
  <c r="V76" i="6"/>
  <c r="AL115" i="6"/>
  <c r="AM115" i="6"/>
  <c r="A110" i="3"/>
  <c r="AN115" i="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322280C-9E42-4954-A097-EA872886AB4D}" keepAlive="1" name="Consulta - pub?gid=546870917&amp;single=true&amp;output=csv" description="Conexión a la consulta 'pub?gid=546870917&amp;single=true&amp;output=csv' en el libro." type="5" refreshedVersion="8" background="1" saveData="1">
    <dbPr connection="Provider=Microsoft.Mashup.OleDb.1;Data Source=$Workbook$;Location=&quot;pub?gid=546870917&amp;single=true&amp;output=csv&quot;;Extended Properties=&quot;&quot;" command="SELECT * FROM [pub?gid=546870917&amp;single=true&amp;output=csv]"/>
  </connection>
  <connection id="2" xr16:uid="{5C772C3F-FE8A-4A49-A0CF-1AC9FD8E737E}" keepAlive="1" name="Consulta - pub?output=csv" description="Conexión a la consulta 'pub?output=csv' en el libro." type="5" refreshedVersion="8" background="1" refreshOnLoad="1" saveData="1">
    <dbPr connection="Provider=Microsoft.Mashup.OleDb.1;Data Source=$Workbook$;Location=&quot;pub?output=csv&quot;;Extended Properties=&quot;&quot;" command="SELECT * FROM [pub?output=csv]"/>
  </connection>
  <connection id="3" xr16:uid="{613A0394-C2EA-4595-822B-5D76C4347B91}" keepAlive="1" name="Consulta - pub?output=csv (2)" description="Conexión a la consulta 'pub?output=csv (2)' en el libro." type="5" refreshedVersion="8" background="1" refreshOnLoad="1" saveData="1">
    <dbPr connection="Provider=Microsoft.Mashup.OleDb.1;Data Source=$Workbook$;Location=&quot;pub?output=csv (2)&quot;;Extended Properties=&quot;&quot;" command="SELECT * FROM [pub?output=csv (2)]"/>
  </connection>
</connections>
</file>

<file path=xl/sharedStrings.xml><?xml version="1.0" encoding="utf-8"?>
<sst xmlns="http://schemas.openxmlformats.org/spreadsheetml/2006/main" count="7363" uniqueCount="1847">
  <si>
    <t xml:space="preserve"> Plan Auditoría</t>
  </si>
  <si>
    <t>Auditoría</t>
  </si>
  <si>
    <t>Titulo del Hallazgo</t>
  </si>
  <si>
    <t>Transcribir el del Hallazgo o Situación Evidenciada</t>
  </si>
  <si>
    <t>Nivel del Riesgo</t>
  </si>
  <si>
    <t xml:space="preserve">Plan de Acción </t>
  </si>
  <si>
    <t>Responsable</t>
  </si>
  <si>
    <t>Inicio
DD/MM/AA</t>
  </si>
  <si>
    <t>Cierre
DD/MM/AA</t>
  </si>
  <si>
    <t>Enlace para cargar evidencias</t>
  </si>
  <si>
    <t>Observación Auditoría</t>
  </si>
  <si>
    <t>Estado</t>
  </si>
  <si>
    <t>Días de vencimiento</t>
  </si>
  <si>
    <t>PLAN DE MEJORAMIENTO VIGENCIA 2023</t>
  </si>
  <si>
    <t>Proyecto ZPP (20240310026682)</t>
  </si>
  <si>
    <t>3.1 Se identificaron partidas conciliatorias que persisten mes a mes durante el año.</t>
  </si>
  <si>
    <t xml:space="preserve">Conciliaciones de partidas con corte a 31 de diciembre de 2023 y 31 de enero de 2024 </t>
  </si>
  <si>
    <t>SUB GERENCIA DE PLANEACIÓN Y PROYECTOS</t>
  </si>
  <si>
    <t>https://drive.google.com/drive/folders/15q2D3zfr85REpawMR1zHbWTpfiALSGJT</t>
  </si>
  <si>
    <t xml:space="preserve">Se realizan conciliaciones de partidas con corte a 31 de diciembre de 2023 y 31 de enero de 2024 </t>
  </si>
  <si>
    <t>Finalizada</t>
  </si>
  <si>
    <t>3.2 cuentas de caja denominadas “ZPP Caja efectivo” por valor de $61.835.491 y ”ZPP Caja electrónica” por valor de $9.914.000, que deberían cerrar en cero cada mes.</t>
  </si>
  <si>
    <t>Enviar a la Dirección Financiera reporte mensual de la depuración de cuentas.</t>
  </si>
  <si>
    <t>https://drive.google.com/drive/folders/1j3QIk587UocE3xYkhNc8raokdQfof0ME</t>
  </si>
  <si>
    <t>Se envía balance de las cuentas del Proyecto ZPP a la Dirección de Gestión Financiera</t>
  </si>
  <si>
    <t>3.3 El procedimiento de recaudo, conciliaciones y cierre se encuentran en elaboración.</t>
  </si>
  <si>
    <t>Elaboración e implementación del procedimiento de recaudo, conciliaciones y cierre.</t>
  </si>
  <si>
    <t>https://drive.google.com/drive/folders/15iQdy1LKvRipakDFPCHgprafF1-0IZF3</t>
  </si>
  <si>
    <t>Se establecen las acciones requeridas para garantizar el manejo adecuado del dinero desde su recaudo en efectivo o por medio electrónico, hasta su conciliación y cierre financiero, mediante el procedimiento CÓDIGO: ZPP-PR05 el cual se encuentra disponible en la intranet.</t>
  </si>
  <si>
    <t>3.4 El balance de prueba en la sub cuenta 991510020103 - ZPP caja bases DB al corte 31 de julio de 2023 cierra con un saldo de $22.800.000, saldo que no presenta movimiento en el año 2023  y corresponde a un saldo acumulado de cierre año 2022. (…)</t>
  </si>
  <si>
    <r>
      <t xml:space="preserve">Llevar a cabo una mesa de trabajo entre la Dirección de Gestión Humana, la Subgerencia Jurídica y Zona de Parqueo Pago, para analizar el estado de la devolución del dinero adeudado
</t>
    </r>
    <r>
      <rPr>
        <b/>
        <sz val="9"/>
        <color theme="1"/>
        <rFont val="Arial"/>
        <family val="2"/>
      </rPr>
      <t xml:space="preserve">Cambio Plan de acción radicado 20250040044083
</t>
    </r>
    <r>
      <rPr>
        <sz val="9"/>
        <color theme="1"/>
        <rFont val="Arial"/>
        <family val="2"/>
      </rPr>
      <t>1. Realizar un informe detallado de la situación del  hallazgo, las diferentes gestiones realizadas y el estado contable del mismo.</t>
    </r>
  </si>
  <si>
    <t>https://drive.google.com/drive/folders/1ipCvItirLu48TTpUK5NUPAbU6IrM5L80</t>
  </si>
  <si>
    <t>Se realizó reunión con el área el 29 de enero de 2025, y el compromiso fue solicitar plazo
Anterior fecha 30/06/2024</t>
  </si>
  <si>
    <t>Vencida</t>
  </si>
  <si>
    <t>2.Socialización del informe en el Comité  Financiero de la Terminal de Transporte S.A.</t>
  </si>
  <si>
    <t>Se realizó reunión con el área el 29 de enero de 2025, y el compromiso fue solicitar plazo</t>
  </si>
  <si>
    <t>3.5 Incumplimiento de la cláusula tercera del contrato de fiducia mercantil, cómo de la cláusula séptima del contrato interadministrativo 2021-2470, suscrito entre la Terminal de Transporte y la Secretaría de Movilidad.</t>
  </si>
  <si>
    <t>Revisión por parte del área jurídica de la minuta al otro si del contrato fiduciario. Una vez revisado se procede a realizar las siguientes actividades:
1. Envío de la minuta al otro si a la Fiduciario.
2. Revisión por parte de la fiducia y comentarios.</t>
  </si>
  <si>
    <t>https://drive.google.com/drive/folders/1_8RJEI0IbkQRlngmiIJGqPoZ3inhfEHc</t>
  </si>
  <si>
    <t>En relación con esta acción, se evidencia que ya se realizaron las modificaciones al contrato interadministrativo. Actualmente, se encuentra en trámite la gestión correspondiente para la modificación del contrato de fiducia, mediante las comunicaciones remitidas a la fiduciaria.</t>
  </si>
  <si>
    <t>3.6 El proyecto no suministró la certificación emitida a la fiduciaria que permitiera al equipo auditor validar el cumplimiento de la cláusula décima primera del contrato de fiducia.</t>
  </si>
  <si>
    <t>Entregar a la fiduciaria dentro de los cinco (5) primeros días hábiles de cada mes, una certificación debidamente suscrita por el revisor fiscal o contador, según corresponda y por el representante legal del fidecomitente.</t>
  </si>
  <si>
    <t>https://drive.google.com/drive/folders/16XJrnFNLC-ZeqL65iwBIDpI67sczRxjI</t>
  </si>
  <si>
    <t>Se remite a la fiduciaria dentro de los cinco (5) primeros días hábiles de cada mes, una certificación debidamente suscrita por el revisor fiscal o contador, según corresponda y por el representante legal del fidecomitente.</t>
  </si>
  <si>
    <t>3.6.1 El modelo financiero no se ajusta a la realidad operativa del proyecto dificultando el cumplimiento de las proyecciones, por lo que sería importante evaluar junto con la SDM si se debe ajustar a una nueva versión.</t>
  </si>
  <si>
    <t>Formalización de proyecciones financieras ante la Secretaría Distrital de Movilidad.</t>
  </si>
  <si>
    <t>Subir los oficios</t>
  </si>
  <si>
    <t>3.7 Los informes mensuales de abril, mayo, junio y siguientes del año 2023 solicitados no fueron cargados debido a que se encuentran en revisión por parte de la Secretaria Distrital de Movilidad.</t>
  </si>
  <si>
    <t>Remitir los informes en sus diferentes periodicidades a la SDM en cumplimiento a la cláusula 16 del contrato interadministrativo</t>
  </si>
  <si>
    <t>https://drive.google.com/drive/folders/1JuD0JvrfaKtJDL11rGsa80nfNRU0HUWn</t>
  </si>
  <si>
    <t>Se remiten los informes en sus diferentes periodicidades a la SDM en cumplimiento a la cláusula 16 del contrato interadministrativo</t>
  </si>
  <si>
    <t>3.8 Cuantías menores de sobrantes y faltantes continuos, que se han fortalecido con capacitaciones a facilitadores, supervisión constante y de acompañamiento por parte del equipo auditor</t>
  </si>
  <si>
    <t>1. Matriz de seguimiento de arqueos.
2. Convocatoria a la reinducción del Power BI.
3. Formatos de seguimientos, diario, semanal y mensual por área.
4. Piezas de comunicaciones difundidas.
5. Estrategia para pago electrónico del cepo.</t>
  </si>
  <si>
    <t>https://drive.google.com/drive/folders/1nLNxCP8QNKy71dnjn497NGiSK_IkhxJK</t>
  </si>
  <si>
    <t>Se han fortalecido con capacitaciones a facilitadores, supervisión constante y de acompañamiento por parte del equipo auditor.</t>
  </si>
  <si>
    <t>3.9 La integración de la información operativa (con efecto contable) procesada en la solución omnicanal con la aplicación ERP informa WEB de RSN Soltions, es manual y se soporta en una conciliación diaria.</t>
  </si>
  <si>
    <t>Seguimiento a la implementación de la interface automática implementada y probada entre la solución omnicanal y el ERP informa web de la Terminal de Transporte .
Articulación y verificación de información contable verídica.</t>
  </si>
  <si>
    <t>https://drive.google.com/drive/folders/1dJ40SSnqCMRgMSfK4Q4VcvosnmZi3_sy</t>
  </si>
  <si>
    <t>Se realiza la aprobación de la integración de ZPP y el sistema contable de la Terminal de Transporte RSN, mediante acta del 14 de junio de 2024 con la empresa ETB.</t>
  </si>
  <si>
    <t>3.10 Las actividades de gestión y control del acceso lógico de cuentas de usuario final no se encuentran documentadas</t>
  </si>
  <si>
    <t>Procedimiento de administración de usuario del back documentado</t>
  </si>
  <si>
    <t>https://drive.google.com/drive/folders/1M4tH0yvx5coOOWp-5qrxZiuHx3pLUzPc</t>
  </si>
  <si>
    <t>Se implementa el procedimiento "Admistración de usuarios ZPP" Código: GPE-PR01, el cual está públicado y disponible en el SIG.</t>
  </si>
  <si>
    <t>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t>
  </si>
  <si>
    <t>Incluir en la documentación del proceso de administración de usuario del back de ZPP la creación de un manual de sistema de gestión de seguridad de la información.</t>
  </si>
  <si>
    <t>https://drive.google.com/drive/folders/1N-f0a5ly6mrI-r6A2pffLw91zk68Gg5u</t>
  </si>
  <si>
    <t>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t>
  </si>
  <si>
    <t xml:space="preserve">Documentar los cambios al software omnicanal, indicando las actividades, controles y responsables. </t>
  </si>
  <si>
    <t>https://drive.google.com/drive/folders/1dtQIoZcTe2vjqrUesem5UjKucI5JjLAS</t>
  </si>
  <si>
    <t>Los cambios al Software se encuentran documentados, sien embargo el formato no se encuentra firmado</t>
  </si>
  <si>
    <t>3.13 Dentro del proceso verbal de contratación con los usuarios no se deja evidencia de la explicación de los términos y condiciones a este pues toda la transacción se realiza verbalmente.</t>
  </si>
  <si>
    <t>Estrategia de socialización permanente T&amp;C ZPP - Principio de publicidad tecnología, revisar el redireccionamiento al contrato usuario - operador (evidencia de la aceptación).</t>
  </si>
  <si>
    <t>https://drive.google.com/drive/folders/1Re1LFSCOQtSf6kLKJavWyzSz6OYGp48i</t>
  </si>
  <si>
    <t>Se cuenta con el redireccionamiento al contrato usuario - operador (evidencia de la aceptación), cuando el ususario entra a la aplicación.</t>
  </si>
  <si>
    <t>3.14 Para los usuarios del sistema IOS, los términos y condiciones del contrato - operador al ingresar a la opción términos y condiciones no están actualizados y no llegan por ningún medio posterior a registro en la App.</t>
  </si>
  <si>
    <t>Actualización en la aplicación de modo para la visualización del contrato usuario - operador al ingresar a la opción términos y condiciones, con copia a correo para tener soporte documental.</t>
  </si>
  <si>
    <t>https://drive.google.com/drive/folders/1oB1Rq67ze5R6yIrJcaejE4hbPJe6nJ4b</t>
  </si>
  <si>
    <t>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t>
  </si>
  <si>
    <t>Actualización de documento y fe de erratas frente a versión previa.</t>
  </si>
  <si>
    <t>https://drive.google.com/drive/folders/1DM90XW4Kcvly7YuuUvBdC2xGB2klr3bh</t>
  </si>
  <si>
    <t>Se actualiza el Instructivo GPE-IN01 Atención al Ciudadano y PQRSDF, el cual se encuentra disponible en el SIG</t>
  </si>
  <si>
    <t>3.16 En el seguimiento a las PQRSDF se determina que 895 registros exceden los tiempos limite previstos por la norma para la debida respuesta, sin embargo se muestra mejoría durante los años 2022 y 2023, de igual forma se debe continuar monitoreando los tiempos de respuesta</t>
  </si>
  <si>
    <t>Informe mensual del tablero de control de las PQRSDF relacionadas con ZPP.</t>
  </si>
  <si>
    <t>https://drive.google.com/drive/folders/1c0YE6TqgOp4008u04dAdH4qG1lAdkG-T</t>
  </si>
  <si>
    <t>Se remite a la secretaría de Movilidad, informe mensual del estado de las PQRSF.</t>
  </si>
  <si>
    <t>3.18  Los soporte del registro de medición de los indicadores, no soportan la totalidad de los indicadores, ni cumplen con los requisitos indicados.</t>
  </si>
  <si>
    <t>Elaborar una matriz de seguimiento para todos los ANS, cumpliendo con los elementos solicitados.</t>
  </si>
  <si>
    <t>https://drive.google.com/drive/folders/1rAEnwCXhhTUZ-bsiDsJjE6Xw-55jS3Zf</t>
  </si>
  <si>
    <t>3.19 La Secretaría de Movilidad no dispone del acceso en modo consulta para visualizar el grado de cumplimiento de los ANS.</t>
  </si>
  <si>
    <t>Crear un tablero de control con los ANS del Proyecto ZPP.</t>
  </si>
  <si>
    <t>https://drive.google.com/drive/folders/1wssdaaOSXud2wt0bfMzeATOo5yrGz9Qc</t>
  </si>
  <si>
    <r>
      <t xml:space="preserve">Se implementa el Tablero de control "Zona de Parqueo Pago", el cual se puede verificar mediante el siguiente enlace </t>
    </r>
    <r>
      <rPr>
        <b/>
        <sz val="9"/>
        <color rgb="FF002060"/>
        <rFont val="Arial"/>
        <family val="2"/>
      </rPr>
      <t>https://app.powerbi.com/view?r=eyJrIjoiYTI0OGFiNjItM2FkMy00NzM1LWE2ZjEtNDVmNzZmMmM2OTMxIiwidCI6ImY4OTU3YzQyLTc2ZTYtNGY4ZC1hNTgyLTMxMjkwZmY2NWU5NiJ9&amp;embedImagePlaceholder=true&amp;pageName=ReportSection</t>
    </r>
  </si>
  <si>
    <t>3.20 Se identificaron situaciones respecto a las señalizaciones en las áreas de implementación que pueden afectar el normal desarrollo del proyecto, debido a la dificultad de los usuarios para accederá las zonas de parqueo pago y la dificultad para acceder a la información.</t>
  </si>
  <si>
    <t>Oficios de reporte de mantenimiento de la señalización en las áreas de implementación (periodicidad mensual).</t>
  </si>
  <si>
    <t>https://drive.google.com/drive/folders/1NA8uXnGiIGC7qCLjOcZu_lBEuwwqdROJ</t>
  </si>
  <si>
    <t>Se remiten oficios a Movilidad solicitando señales horizontales y verticales</t>
  </si>
  <si>
    <t>3.21 A corte 30 de junio de 2023, no se identifican procedimiento o reconocimiento contable de las cuentas por cobrar por concepto de evasión ($357.320.650) definido en el modelo financiero.</t>
  </si>
  <si>
    <t>Crear e implementar procedimiento de cartera.</t>
  </si>
  <si>
    <t>https://drive.google.com/drive/folders/1CQHs4AxXOo7Y6T2FmJZ_uYDw0IzkhisU</t>
  </si>
  <si>
    <t>Meidante el Procedimiento Gestión y Recuperación de los Registros Susceptibles de Gestión de Zona de Parqueo Pago Código: GPE-PR02 Versión 1 se establecen  los lineamientos para la revisión y análisis de los registros de usos operativos susceptibles de
gestión de Zona de Parqueo Pago, definiendo el tratamiento que se deberá surtir para cada una de las clasificaciones que originaron los
respectivos registros.</t>
  </si>
  <si>
    <t>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t>
  </si>
  <si>
    <t>Establecer conciliaciones mensuales de la Terminal de Transporte y el Proyecto de ZPP.</t>
  </si>
  <si>
    <t>https://drive.google.com/drive/folders/1IV64XMHR_s4nfoilOI5YZ-MAJwghQkz7</t>
  </si>
  <si>
    <t>3.23 El reconocimiento discontinuo de los gastos del proyecto, pueden llevar a tomas de decisiones equivocas por no contar con la información completa de la operación dentro de la contabilidad del proyecto.</t>
  </si>
  <si>
    <t>Definir las causación de provisión del gasto de las comisión mensual dentro de las políticas contables.</t>
  </si>
  <si>
    <t>https://drive.google.com/drive/folders/1M2s9Cmb7an1-SM2wUHxLtgMPC524j7LN</t>
  </si>
  <si>
    <t>3.24 Se identificaron contratos que no cuentan con el debido cargue en el secop, de la totalidad de los informes de actividades que dan cuenta de la ejecución del contrato.</t>
  </si>
  <si>
    <t>1. Manual de supervisión actualizado.
2. Cronograma de capacitaciones suministrado por la Sub Gerencia Jurídica.
3. Revisiones trimestrales de los contratos a cargo del Proyect.</t>
  </si>
  <si>
    <t>https://drive.google.com/drive/folders/1C-zW_5vNOVEpR0ijOYfNXWWFsg0lE9NV</t>
  </si>
  <si>
    <t>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t>
  </si>
  <si>
    <t>1. Informe mensual de seguimiento a la vinculación del personal suministrado por la temporal, conforme a lo establecido en la normatividad vigente.
2. Establecer un cronograma de capacitaciones para reforzar temas, tales como, llamados de atención.</t>
  </si>
  <si>
    <t>PLAN DE MEJORAMIENTO VIGENCIA 2024</t>
  </si>
  <si>
    <t>Auditoría Requerimientos (20250110002803)</t>
  </si>
  <si>
    <t>Se identificó que el abogado contratista Omar Arturo Calderón Zaque, con número de contrato TT-171-2024, cuyo objeto es, “la prestación de servicios profesionales jurídicos a la Subgerencia Corporativa y sus direcciones”, participó en la etapa de construcción de las especificaciones técnicas del Proceso de Selección SPO-08-2024 (contrato TT-214-2024), las cuales fueron remitidas a la Subgerencia Jurídica según el informe de actividades No. 2 (radicado 20240310137952).  
Sin embargo, no participó en la revisión del estudio previo ni del pliego de condiciones del proceso SPO-08-2024; justificando que Juan Andrés Alviz, contratista con el número de contrato TT-37-2024 y quien presta sus servicios en la Subgerencia Jurídica, manifestó que se encargaría directamente del proceso por instrucciones de la Gerencia General.  
Respecto al objeto del contrato de TT-37-2024 es “Prestar los ervicios profesionales especializados de apoyo a la gestión, coordinación y asesoramiento de los procesos de contratación que adelante La Terminal de Transporte S.A.” 
Es relevante señalar que Omar Arturo Calderón Zaque, se apartó del proceso de selección TT-SPO-08-2024 sin previa confirmación de la decisión por parte del supervisor del contrato (Dirección de Gestión Humana).  (...)</t>
  </si>
  <si>
    <t>Se realizó el envío del documento LINEAMIENTO PARA EL REPORTE DE ANOMALIAS O DIFICULTADES EN EL DESARROLLO DE LAS ACTIVIDADES ASIGNADAS con radicado número 20250320005933.          
Con lo anterior se busca notificar normalmente que frente a cualquier circunstancia que se presente en el marco del contrato en su viabilización o ejecución se tenga claro que cualquier circunstancia que presente un giro extraordinario a lo establecido procedimentalmente debe ser notificado inmediatamente.</t>
  </si>
  <si>
    <t>DIRECCIÓN DE GESTIÓN HUMANA</t>
  </si>
  <si>
    <t>En el proceso de Selección Pública de Oferta TT-SPO-08-2024, cuyo objeto es la "Contratación de una empresa de servicios temporales que suministre trabajadores en misión para los distintos proyectos de la Terminal de Transporte S.A.", se identificó que en el pliego de condiciones, en el numeral 2 bajo el título "PUNTAJE EXPERIENCIA ADICIONAL DE LA MÍNIMA EXIGIDA COMO REQUISITO HABILITANTE - ANEXO 7A", se incorporó un nuevo criterio de experiencia adicional, por experiencia en "logística de grandes eventos y/o toma de información de campo y/o encuestas presenciales", el cual fue aprobado en el Comité de Contratación del 9 de oct de 2024.
Es importante destacar que en el Proceso de Selección Pública de Oferta anterior TT-SPO-10-2023, cuyo objeto era similar y mediante el cual se contrató a la empresa de servicios temporales OSYA, en el criterio de experiencia adicional, solo se evaluaba la "experiencia adicional distinta a la mínima habilitante requerida, en cuanto a la provisión de trabajadores temporales en temas relacionados con estacionamientos públicos y/o privados o peajes". (...)</t>
  </si>
  <si>
    <t>Se plasmarán en las actas del comité de contratación las razones y justificaciones cuando existan modificaciones o inclusiones de requisitos</t>
  </si>
  <si>
    <t>SUB GERENCIA JURÍDICA</t>
  </si>
  <si>
    <t>Inmediato</t>
  </si>
  <si>
    <t>https://drive.google.com/drive/u/0/folders/1k3lzPVlNQoIuKi8dhGPG7cHofDzpa2Ox</t>
  </si>
  <si>
    <t>Se adjunta el Acta No. 31 del Comité Extraordinario, en la cual se evidencia la aprobación de la evaluación solicitada. En el cuadro anexo se relaciona la observación realizada por el miembro del Comité que efectuó la solicitud.</t>
  </si>
  <si>
    <t>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"CONSORCIO SERVICIOS TEMPORALES" inicialmente se calificó
como "No hábil". (...)</t>
  </si>
  <si>
    <t>Se realizará modificación al manual de contratación en el sentido de incluir de manera general que las formulas para efectos de los requisitos financieros en los procesos de selección, serán las que se plasmen en el estudio del sector para cada unos de los procesos de selección</t>
  </si>
  <si>
    <t>https://drive.google.com/drive/u/0/folders/1qM1MgdWS3cM7dSOvy6vSLyky2Lw153GR</t>
  </si>
  <si>
    <t>Se realizó reunión con el área el 28 de enero de 2025, y el compromiso fue solicitar plazo</t>
  </si>
  <si>
    <t>Se identificó que la Póliza de Seguro de Responsabilidad Civil Extracontractual del contrato TT-215-2024, número 980-74-994000011463, tiene vigencia hasta el 05 de junio de 2025.
El contrato TT-215-2024, en su cláusula DÉCIMA SEGUNDA: GARANTÍA ÚNICA, establece que la vigencia de esta garantía se otorgará por todo el periodo de la ejecución del contrato, contados a
partir de la suscripción del mismo.
Sin embargo, el contrato cuenta con un acta de inicio que establece la
ejecución del contrato desde el 26 de diciembre de 2024 hasta el 25 de
junio de 2025.</t>
  </si>
  <si>
    <t>Corregir la Póliza de Seguro de Responsabilidad Civil
Extracontractual número 980-74-994000011463, de acuerdo a la vigencia de ejecución del contrato, contados apartir de la suscripción del mismo.</t>
  </si>
  <si>
    <t>DIRECCIÓN DE INFRAESTRUCTURA</t>
  </si>
  <si>
    <t>Verificar las pólizas</t>
  </si>
  <si>
    <t>En la verificación de los amparos de la Póliza de Cumplimiento número 980-47994000029031, que corresponde al Contrato TT-194-2024, cuyo objeto es "Realizar la construcción de protección lateral salas de espera sabaneros y la construcción de cubierta de conexión del sendero peatonal de ingreso al módulo sabaneros en la Terminal Satélite del Norte". Se identificó que el contrato establece en su cláusula DÉCIMA SEGUNDA: GARANTÍA ÚNICA, que el contratista debe constituir a su costo y a favor de la Terminal de Transporte S.A, una Póliza de Cumplimiento ante Entidades Públicas con Régimen Privado de Contratación, otorgada por una Compañía de Seguros. La póliza debe amparar los siguientes riesgos:</t>
  </si>
  <si>
    <t>1. Realizar la consulta al corredor de seguros de la entidad sobre la explicación del contratista de no expedición por parte de la aseguradora del amparo “Daño, pérdida o hurto de maquinaria”, de conformidad las especificaciones del contrato</t>
  </si>
  <si>
    <t>https://drive.google.com/drive/u/0/folders/1E1Z6IquWHr-XF76eeRPVOrzY5JOkp0-Q</t>
  </si>
  <si>
    <t>Se realizó reunión con el corredor de seguros, se adjunta acta, indicando las recomendaciones del corredor, y se definieron oportunidades de mejora para futuros procesos.
Como compromiso el corredor realizará una capacitación a la dirección de infraestructura sobre como leer una carátula de póliza, a mas tardar el 30 de enero de 2026</t>
  </si>
  <si>
    <t>2. Realizar el trámite para el respectivo otrosí al contrato eliminando el amparo en cuestión.</t>
  </si>
  <si>
    <t>https://drive.google.com/drive/u/0/folders/1BKMuSrv055apKonh_jwMxJgdgOOuB4cM</t>
  </si>
  <si>
    <t>Se identificó que la empresa Consorcio Servicios Temporales incumplió lo establecido en el contrato TT-214-2024, específicamente en el numeral 3 bajo el título "OBLIGACIONES ESPECÍFICAS Y/O PRODUCTOS ESPERADOS OBJETO DE DESCUENTOS POR (ANS)", al realizar el pago de la nómina
correspondiente a 536 trabajadores el día 31 de diciembre de 2024. Según el contrato, el pago debe realizarse de manera quincenal, específicamente los días 15 y 30 de cada mes, o en su defecto, el día hábil inmediatamente anterior. El pago efectuado en una fecha posterior a lo estipulado constituye un incumplimiento de esta obligación contractual.</t>
  </si>
  <si>
    <t>Aplicar los descuentos correspondientes en la facturación mensual por los retrasos en los pagos en el marco del contrato TT-214-2024.</t>
  </si>
  <si>
    <t>https://drive.google.com/drive/u/0/folders/1kXSJCWZ1ybkIxlC5BeUn8S_EcGZEkMO2</t>
  </si>
  <si>
    <t>Se evidencia el cumplimiento del plan de acción, mediante la carga de las facturas correspondientes al periodo del 1 al 31 de diciembre, acompañadas de los Acuerdos de Nivel de Servicio (ANS) relacionados y sus respectivos certificados de cumplimiento, lo cual da respuesta al compromiso establecido</t>
  </si>
  <si>
    <t>Con respecto al contrato TT-110-2024, cuyo objeto es “la ejecución de mantenimiento especializado para las zonas de los parqueaderos administrados por la Terminal”, se observó que los informes de
ejecución no se están cargando de manera oportuna en la plataforma SECOP II, lo cual es necesario para garantizar la transparencia en el proceso de ejecución del contrato.
Según la información disponible en el aplicativo RSN, se ha registrado un valor total ejecutado por $77.200.495, correspondiente a los pagos realizados durante los meses de agosto, septiembre, octubre, noviembre y diciembre de 2024. Sin embargo, los informes de ejecución correspondientes a este contrato no han sido cargados en la plataforma SECOP II. (...)</t>
  </si>
  <si>
    <t>Cargar los informes de ejecución correspondientes a los meses de ejecución del
contrato TT-110- 2024 en la plataforma SECOP II.</t>
  </si>
  <si>
    <t>Auditoría Gestión Financiera (20240110040203)</t>
  </si>
  <si>
    <t>Crear un Procedimieto e instructivo de todos los impuestos de la terminal de transporte para establecer las responsabilidades y actuaciones frente acada tipo de tributo .</t>
  </si>
  <si>
    <t>DIRECCIÓN DE GESTIÓN FINANCIERA</t>
  </si>
  <si>
    <t>https://drive.google.com/drive/u/0/folders/13kR72lHvA6jJHQ79-ILGiIwV0gdc7Iu3</t>
  </si>
  <si>
    <t xml:space="preserve">Verificar la fecha del plan de acción suscrito con la Contraloría </t>
  </si>
  <si>
    <t>El Impuesto Predial Unificado en Bogotá es regulado por el Acuerdo 469 de 2011 (art. 8 y art.9), por el Decreto Reglamentario 352 de 2002 (Capítulo I- art. 13 al art. 30), y la Base Gravable mínima se asigna a partir del avalúo catastral (Decreto 148 de 2020) que incluye tanto el valor como el uso del  inmueble, con base a las características físicas, jurídicas y económicas. 
Al respecto,  se observaron diferencias en el destino económico del predio con CHIP AAA0077FYUH, en razón a que la Unidad Administrativa Especial de Catastro Distrital UAECD le asignó la clasificación de “urbanizables no urbanizados” al cual se le aplica una tarifa del 33*1000 para efectos de la liquidación del impuesto predial. No obstante, el criterio definido por la Dirección de Gestión Financiera de destino económico del inmueble fue  “Dotacional Privado” y por lo tanto, sugiere aplicar una tarifa del 6,5*1000, como consta en el correo del 2 de febrero de 2018, dirigido a David Monsalve,endondeadjunta las imágenes con las inconsistencias que presenta la información en la plataforma de la Secretaría de Distrital de Hacienda sobre la propiedad del Bien para los años de 2014 y 2015, razón por la cual se declararon y pagaron fuera del plazo establecido por el Regulador.(...)</t>
  </si>
  <si>
    <t>DIRECCIÓN DE RECURSOS TECNOLÓGICOS</t>
  </si>
  <si>
    <t>https://drive.google.com/drive/u/0/folders/15sa79e55nguCM0fngr2sArko5M6AJ-AF</t>
  </si>
  <si>
    <t xml:space="preserve">Se evidencia el cumplimiento de la acción programada, en la medida en que el Director de Recursos Tecnológicos realizó la solicitud formal a los líderes responsables para la entrega del sobre sellado con los usuarios y contraseñas custodiados en la caja fuerte, con el fin de proceder al cambio de claves y su posterior resguardo conforme a la política de seguridad de la información (numeral 10.3.3). No obstante, se realizará seguimiento hasta verificar que la entrega, actualización y resello del sobre hayan sido formalmente ejecutados y registrados por el área de Tecnología. </t>
  </si>
  <si>
    <t>Capacitar a los Líderes,  sobre los roles y responsables de seguridad de la información en la  delegación de accesos a información sensible  de cara a ejercer control (…)</t>
  </si>
  <si>
    <t>https://drive.google.com/drive/u/0/folders/1jky72UrcEM-oBmwkmQynjVtS6Wn0IM6L</t>
  </si>
  <si>
    <t>Se evidencia el cargue de los formatos que demuestran la inducción realizada en Seguridad de la Información. Con ello, se verifica el cumplimiento de la actividad; no obstante, se continuará realizando seguimiento para asegurar que las capacitaciones se mantengan actualizadas y alineadas con las responsabilidades asignadas.</t>
  </si>
  <si>
    <t>Realizar mesas de trabajo con los proveedores para implementar el procedimiento  de control de cambios de la terminal esto con el fin de establecer, el alcance, los lineamiento de control para la aprobación  del cambio, evaluación de pruebas, gestión del conocimiento, pruebas de usuario final  y control de resultados para paso a producción.</t>
  </si>
  <si>
    <t>https://drive.google.com/drive/u/0/folders/1UMA9ae1bCQlXfPx-UvAxZuoltHoZa3zo</t>
  </si>
  <si>
    <t>No se evidencian soportes de las mesas de trabajo con los proveedores para implementar el procedimiento de control de cambios de la terminal; no se observa cumplimiento de la acción</t>
  </si>
  <si>
    <t>Auditoría Contratación (20250110007093)</t>
  </si>
  <si>
    <r>
      <rPr>
        <b/>
        <sz val="9"/>
        <color theme="1"/>
        <rFont val="Arial"/>
        <family val="2"/>
      </rPr>
      <t xml:space="preserve">Hallazgo 1: </t>
    </r>
    <r>
      <rPr>
        <sz val="9"/>
        <color theme="1"/>
        <rFont val="Arial"/>
        <family val="2"/>
      </rPr>
      <t xml:space="preserve">
En la ejecución del contrato TT-135-2023 se evidenciaron las siguientes inconsistencias: 
1.	No se ejecutó el total de la reinversión del 1% de que trata la cláusula Novena, numeral 69 del contrato.
2.	Dentro del mismo presupuesto de reinversión, en la ejecución del plan de Bienestar Social, no se encontró evidencia de entrega de los siguientes elementos:  
●	29 camisas tipo lino por $2.228.483 y 17 buzos tipo Hoodie por $1.598.170.  
●	70 bonos de Falabella “Gift Card” por $2.100.000.  
Total: 5.926.653</t>
    </r>
  </si>
  <si>
    <t xml:space="preserve">1. Realizar seguimiento mensual del recurso invertido con respecto al valor facturado; al igual que, del recurso presupuestado para las actividades de Bienestar con respecto al recurso efectivamente ejecutado; y en caso de rezago en  el % de ejecución (por menor valor de adquisición de bienes y/o servicios), incluir actividades adicionales. </t>
  </si>
  <si>
    <t>https://drive.google.com/drive/u/0/folders/1eqbxC87cQVF99Y3kGW176UOHUjwJxrPE</t>
  </si>
  <si>
    <t>Próximo a vencer
Anterior fecha 5/11/2025</t>
  </si>
  <si>
    <r>
      <rPr>
        <b/>
        <sz val="9"/>
        <color theme="1"/>
        <rFont val="Arial"/>
        <family val="2"/>
      </rPr>
      <t>Hallazgo 2:</t>
    </r>
    <r>
      <rPr>
        <sz val="9"/>
        <color theme="1"/>
        <rFont val="Arial"/>
        <family val="2"/>
      </rPr>
      <t xml:space="preserve"> 
El contrato TT-67-2022 a través del cual se contrató a la temporal de servicios S&amp;A Servicios y Asesorías S.A.S. con el objeto de “Contratar una empresa de servicios temporales para el suministro de trabajadores en misión (…), culminó su ejecución el 30-11-2023 y de acuerdo con la información reportada por el apoyo a la supervisión y la información que reposa en la plataforma SECOP II, el contrato a la fecha no se ha liquidado. 
De acuerdo con lo establecido en el contrato y en el manual de supervisión v3, se pactó un término de 6 meses para la presentación del acta de liquidación. (Clausula trigésima primera: liquidación del contrato).</t>
    </r>
  </si>
  <si>
    <t xml:space="preserve">Inclusión dentro de la matriz de seguimiento de contratos que lleva la Dirección de Gestión Humana, de la fecha máxima de liquidación de los respectivos contratos acorde a lo pactado contractualmente, con el fin de que la liquidación se realice dentro de los términos previstos por las partes. </t>
  </si>
  <si>
    <t>https://drive.google.com/drive/u/0/folders/1beOW09lpzEoXKeWIVQCcFCAkzmorqjLg</t>
  </si>
  <si>
    <t>Próximo a vencer
Anterior plazo</t>
  </si>
  <si>
    <t>Incumplimiento en la afiliación a ARL durante la ejecución contractual</t>
  </si>
  <si>
    <r>
      <rPr>
        <b/>
        <sz val="9"/>
        <color theme="1"/>
        <rFont val="Arial"/>
        <family val="2"/>
      </rPr>
      <t>Hallazgo 3</t>
    </r>
    <r>
      <rPr>
        <sz val="9"/>
        <color theme="1"/>
        <rFont val="Arial"/>
        <family val="2"/>
      </rPr>
      <t>:Se revisaron dos contratos de prestación de servicios en los que se evidenció un incumplimiento de afiliación a la Aseguradora de Riesgos Laborales durante su ejecución contractual:
Contrato TT-157-2024: Apoyo a la gestión jurídica de la subgerencia Jurídica.
Fecha de inicio: 2 de julio de 2024
Fecha de finalización: 31 de diciembre de 2024. El 5 de diciembre de 2024, se evidenció que el certificado del contratista de la ARL Positiva se encuentra como “Inactivo”. Contrato TT-161-2024: Abogado para la representación judicial y asesoría jurídica de la Terminal de Transporte S.A. Fecha de inicio:2 de julio del año 2024 Fecha de finalización: 31 de diciembre de 2024. Para este último contrato, el día 19 de diciembre del año 2024, se recibe por parte de la subgerencia la certificación activa de la ARL, la afiliación pertenece a Axa Colpatria, sin embargo, esta no cumple con lo establecido por el Decreto 0723 de 2013, puesto que no corresponde a las actividades desempeñadas como contratista en la Terminal de Transporte S.A.</t>
    </r>
  </si>
  <si>
    <t>Plan de acción sin definir</t>
  </si>
  <si>
    <t xml:space="preserve"> - </t>
  </si>
  <si>
    <t>https://drive.google.com/drive/u/0/folders/154ZfShuA12JO2v2qUkk7JY9Zh1OUBGAn</t>
  </si>
  <si>
    <t>Sin plan de acción</t>
  </si>
  <si>
    <r>
      <rPr>
        <b/>
        <sz val="9"/>
        <color theme="1"/>
        <rFont val="Arial"/>
        <family val="2"/>
      </rPr>
      <t>Hallazgo 4:</t>
    </r>
    <r>
      <rPr>
        <sz val="9"/>
        <color theme="1"/>
        <rFont val="Arial"/>
        <family val="2"/>
      </rPr>
      <t xml:space="preserve"> 
Al día 22 de diciembre del año 2024, se evidencia que no hay documentos en la plataforma SECOP II relacionados con la ejecución del contrato TT-166-2024. 
Por lo que se presenta incumplimiento al Manual de Contratación y de Supervisión que ha adoptado el artículo 2.2.1.1.1.7.1 del Decreto Sectorial 1082 de 2015, el cual establece que las Entidades y/o organismos de carácter estatal están obligadas a publicar en el SECOP, los documentos del proceso y los actos administrativos, atendiendo con las obligaciones constitucionales y legales, en especial en sujeción al cumplimiento del principio de la publicidad en el ejercicio de la actividad contractual.</t>
    </r>
  </si>
  <si>
    <t>1. Inspección y actualizacion de los documentos pendientes del contrato  TT-166-2024.  en Secop II</t>
  </si>
  <si>
    <t>https://drive.google.com/drive/u/0/folders/1RBbzUA_Kx85Y-3N7RSuArZKtpt561GH8</t>
  </si>
  <si>
    <t>Se realizó la inspección y actualización de los documentos pendientes del contrato TT-166-2024 en Secop II. Ya se encuentran cargadas las evidencias en la carpeta correspondiente</t>
  </si>
  <si>
    <t>2. Generar un comunicado interno que tendrá como objetivo asignar al técnico 3 de la Dirección de Recursos Tecnológicos la tarea de elaborar y cargar los informes correspondientes en el SECOP II.</t>
  </si>
  <si>
    <t>Se generó el comunicado interno asignando al técnico 3 de la Dirección de Recursos Tecnológicos la responsabilidad de elaborar y cargar los informes en el SECOP II.22, con evidencias ya cargadas en la carpeta correspondiente.</t>
  </si>
  <si>
    <t>Plan de acción realizado, se validarán los documentos actualizados en el SIG</t>
  </si>
  <si>
    <t>SUB GERENCIA CORPORATIVA</t>
  </si>
  <si>
    <t>PLAN DE MEJORAMIENTO VIGENCIA 2025</t>
  </si>
  <si>
    <t>Auditoría Servicios Conexos (20250110018563)</t>
  </si>
  <si>
    <t>Omisión de los servicios conexos como fuente de ingreso en los planes de acción del Plan Estratégico</t>
  </si>
  <si>
    <t>6. En caso de no aprobación, se continuará con el control de los ingresos de servicios conexos que se diligencian desde los indicadores financieros</t>
  </si>
  <si>
    <t>https://drive.google.com/drive/folders/1MwCByzWrA7Gwx57JLbAKL0QQ9SJPM_Qf</t>
  </si>
  <si>
    <t>Se realiza seguimiento mediante el control de los indicadores operacionales que realiza la Dirección de gestión Humana</t>
  </si>
  <si>
    <t>Debilidades en el control y seguimiento del recaudo de servicios conexos</t>
  </si>
  <si>
    <r>
      <rPr>
        <b/>
        <sz val="9"/>
        <color theme="1"/>
        <rFont val="Arial"/>
        <family val="2"/>
      </rPr>
      <t>Hallazgo 3:</t>
    </r>
    <r>
      <rPr>
        <sz val="9"/>
        <color theme="1"/>
        <rFont val="Arial"/>
        <family val="2"/>
      </rPr>
      <t xml:space="preserve"> En el análisis del recaudo del primer trimestre de 2025 se identificó:
1. En la Terminal del Norte se identificó un sobrante de $71.394.700 en el servicio de baños, equivalente al 29,3 % sobre un total recaudado de $243.789.050. Adicionalmente, no se realiza seguimiento a las posibles causas de inconsistencias, especialmente en los baños ubicados en la zona de taquillas y conductores de la Terminal del Norte, debido a la ausencia de torniquetes con medidores que respalden los registros y faciliten su control.
2. En servicios de excretas, ingreso de taxis y guarda equipaje, la información se remite a la Dirección de Gestión Financiera por medio de los formatos de cierre de caja, sin que exista un proceso formal de revisión que valide la información. (...)</t>
    </r>
  </si>
  <si>
    <t>Medio</t>
  </si>
  <si>
    <t>1. Diseñar un procedimiento de verificación operativa aleatoria del recaudo aplicable a baños y excretas.</t>
  </si>
  <si>
    <t>DIRECCIÓN DE RECURSOS FÍSICOS Y NEGOCIOS</t>
  </si>
  <si>
    <t>https://drive.google.com/drive/folders/1KSH1r2MJD4bmTXTG3PrI2aENYkM3uc-k</t>
  </si>
  <si>
    <t>Se implementa el Procedimiento Recaudo de servicios Complementarios, el cual se encuentra disponible en el SIG</t>
  </si>
  <si>
    <t>Incumplimiento del procedimiento de control de recaudo en el servicio de baños</t>
  </si>
  <si>
    <r>
      <rPr>
        <b/>
        <sz val="9"/>
        <color theme="1"/>
        <rFont val="Arial"/>
        <family val="2"/>
      </rPr>
      <t>Hallazgo 4:</t>
    </r>
    <r>
      <rPr>
        <sz val="9"/>
        <color theme="1"/>
        <rFont val="Arial"/>
        <family val="2"/>
      </rPr>
      <t xml:space="preserve"> Se evidenció que el Procedimiento Recaudo de Servicios Complementarios Código: GAD-PR05 Versión 1 de 2024, establece que el control del recaudo por uso de baños debe realizarse mediante cierres de turno programados a la 1:00 p.m., 9:00 p.m. y 5:00 a.m., en los cuales se verifica el número inicial y final de la registradora para determinar el total de entradas.
Sin embargo, en los baños ubicados en las áreas de sabaneros y conductores de la Terminal del Norte, se presentan las siguientes situaciones. (...)</t>
    </r>
  </si>
  <si>
    <t>Actualización del procedimiento GAD-PR05</t>
  </si>
  <si>
    <t>https://drive.google.com/drive/folders/1mToKPsUHUNgmzuhBkxLkR5E4PSe77LMC</t>
  </si>
  <si>
    <t>Se actualiza el procedimiento GAD-PR05, respecto al control del recaudo que se realiza cruzando las unidades de PH</t>
  </si>
  <si>
    <t>3. Incluir en el PAA 2026 un proyecto de modernización de los controles al recaudo aplicable a baños, excretas, taxis y guardaequipaje. (Acción de largo plazo)</t>
  </si>
  <si>
    <t>DIRECCIÓN DE RECURSOS FÍSICOS Y NEGOCIOS
DIRECCIÓN DE SERVICIO AL CIUDADANO</t>
  </si>
  <si>
    <t>https://drive.google.com/drive/folders/1A212ibOEMJw14M2QcPRNLu-WrNzcIsSQ</t>
  </si>
  <si>
    <t>Abierta</t>
  </si>
  <si>
    <t>2. Elaborar proyección del presupuesto para los años 2026 y 2027 de servicios conexos para adicionar a la meta del OE1 (teniendo en cuenta los lineamientos en la elaboración del presupuesto desde la Subgerencia Corporativa).</t>
  </si>
  <si>
    <t>DIRECCIÓN DE RECURSOS FÍSICOS Y NEGOCIOS
DIRECCIÓN DE SERVICIO AL CIUDADANO
SUB GERENCIA DE PLANEACIÓN Y PROYECTOS
DIRECCIÓN DE GESTIÓN FINANCIERA</t>
  </si>
  <si>
    <t>https://drive.google.com/drive/folders/1PeG9LlWjLWE3gNzXDxf1vm4FlZbn7Wia</t>
  </si>
  <si>
    <t>Se realiza proyección del presupuesto para los años 2024 y 2028 incluyendo en el objetivo estratégico 1 la meta que relaciona los servcios conexos</t>
  </si>
  <si>
    <t>Debilidades en la supervisión y control del contrato de mantenimiento de torniquetes y registradoras</t>
  </si>
  <si>
    <r>
      <rPr>
        <b/>
        <sz val="9"/>
        <color theme="1"/>
        <rFont val="Arial"/>
        <family val="2"/>
      </rPr>
      <t>Hallazgo 2:</t>
    </r>
    <r>
      <rPr>
        <sz val="9"/>
        <color theme="1"/>
        <rFont val="Arial"/>
        <family val="2"/>
      </rPr>
      <t xml:space="preserve"> Durante la revisión del contrato TT-85-2024, suscrito por un valor de
$51.127.750 y cuyo objeto es el mantenimiento preventivo y correctivo
de los torniquetes y registradoras ubicados en las Terminales Salitre,
del Norte y del Sur, con plazo desde el 25 de abril de 2024 hasta el 25
de abril de 2025, se identificaron debilidades en la supervisión del
contrato, en detalle: </t>
    </r>
    <r>
      <rPr>
        <b/>
        <sz val="9"/>
        <color theme="1"/>
        <rFont val="Arial"/>
        <family val="2"/>
      </rPr>
      <t>Ver informe</t>
    </r>
  </si>
  <si>
    <t>https://drive.google.com/drive/folders/1ms8IJ3vOjgODCx2w_oPi7vuohLhy95Y-</t>
  </si>
  <si>
    <t>2. Diseñar un procedimiento de verificación operativa aleatoria del recaudo aplicable taxis y guardaequipaje.</t>
  </si>
  <si>
    <t>DIRECCIÓN DE SERVICIO AL CIUDADANO</t>
  </si>
  <si>
    <t>Debilidades en la gestión y control de equipajes olvidados en guarda equipaje</t>
  </si>
  <si>
    <r>
      <rPr>
        <b/>
        <sz val="9"/>
        <color theme="1"/>
        <rFont val="Arial"/>
        <family val="2"/>
      </rPr>
      <t xml:space="preserve">Hallazgo 5: </t>
    </r>
    <r>
      <rPr>
        <sz val="9"/>
        <color theme="1"/>
        <rFont val="Arial"/>
        <family val="2"/>
      </rPr>
      <t>Durante la inspección física realizada el 25 de abril de 2025 en laTerminal del Sur, se verificó el procedimiento operativo del Serviciode Guarda Equipaje, desde la solicitud del servicio hasta la devolución de los elementos custodiados. En la revisión física del área y del inventario más reciente (realizadoen febrero de 2025), se identificaron 28 elementos clasificados comoequipajes olvidados, los cuales superan los 90 días de permanencia.
Adicionalmente, se evidenció que no se cuenta con información decontacto de los usuarios (como número telefónico, dirección física ocorreo electrónico) que permita gestionar el retiro de dichos bienes. (...)</t>
    </r>
  </si>
  <si>
    <t>Realizar una solictiud a la Direccion de Recursos Tecnologicos, con el fin de revisar el aplicativo y analizar la inclusion de los datos en la base de datos de guardaequipaje como (numero de telefono, dirección física y correo electronico)</t>
  </si>
  <si>
    <t>https://drive.google.com/drive/folders/1dy0oQE5XsYoA0ETzuiCYxHpwP0Ui6knO</t>
  </si>
  <si>
    <t>Se evidencia gestión con la Dirección de Recursos Tecnológicos mediante la presentación formal de las necesidades funcionales del Servicio de Guarda Equipaje, en la cual se incluye la incorporación de datos de contacto y descripción del equipaje en el tiquete (Anexo de Seguridad) y en la base de datos del aplicativo. Adicionalmente, como medida de control temporal, se implementó un repositorio en Drive para registrar la información del usuario y de los elementos en custodia, lo que mitiga el riesgo identificado</t>
  </si>
  <si>
    <t>Debilidades en los mecanismos de seguridad y control del servicio de guarda equipaje</t>
  </si>
  <si>
    <r>
      <rPr>
        <b/>
        <sz val="9"/>
        <color theme="1"/>
        <rFont val="Arial"/>
        <family val="2"/>
      </rPr>
      <t>Hallazgo 6:</t>
    </r>
    <r>
      <rPr>
        <sz val="9"/>
        <color theme="1"/>
        <rFont val="Arial"/>
        <family val="2"/>
      </rPr>
      <t xml:space="preserve"> El Procedimiento Código: SAC-PR07 – Servicio de Guarda Equipaje establece los lineamientos para la custodia de los elementos entregados por los usuarios. No obstante, se identificó la ausencia de mecanismos complementarios de seguridad física (como cámaras devideovigilancia) que refuercen la trazabilidad, supervisión y control del servicio. (...)</t>
    </r>
  </si>
  <si>
    <t>Realizar solicitud a la Dirección de Seguridad con el fin de evaluar la instalacion de una camara de seguridad fuera y dentro del guardaequipaje</t>
  </si>
  <si>
    <t>https://drive.google.com/drive/folders/1VybHjunUUBWAaMv1PPQnzdPVPAXhpDHj</t>
  </si>
  <si>
    <t>Se solicita la instalación de cámaras de seguridad a la Dirección de Seguridad mediante el oficio radicado 20250520002323, el cual se adjunta como soporte.</t>
  </si>
  <si>
    <t>Incumplimiento en la gestión de autorización para el tratamiento de datos personales en guarda equipaje</t>
  </si>
  <si>
    <r>
      <rPr>
        <b/>
        <sz val="9"/>
        <color theme="1"/>
        <rFont val="Arial"/>
        <family val="2"/>
      </rPr>
      <t>Hallazgo 7:</t>
    </r>
    <r>
      <rPr>
        <sz val="9"/>
        <color theme="1"/>
        <rFont val="Arial"/>
        <family val="2"/>
      </rPr>
      <t xml:space="preserve"> Durante la inspección física al punto de Guarda Equipaje ubicado en la Terminal del Sur, se evidenció que el trabajador solicita a los usuarios datos personales como nombre completo y número de cédula para registrarlos en el sistema y generar un recibo. No obstante, se constató que no existe un aviso físico visible en el punto de atención que informe sobre la autorización del tratamiento de datos personales, ni tampoco se incluye dicha información en el recibo entregado al usuario. (...)</t>
    </r>
  </si>
  <si>
    <t>Solicitar a la Oficina de Comunicaciones un aviso en las medidas necesarias con el fin de informar a los usuarios sobre el tratamiento de datos personales</t>
  </si>
  <si>
    <t>https://drive.google.com/drive/folders/1v1SJX52Y9C9H4uoOjOmx1hbWI9_AAwsP</t>
  </si>
  <si>
    <t>Se verifica que ya fue enviada la solicitud a la Oficina de Comunicaciones para la elaboración del aviso, en las medidas requeridas, con el fin de informar a los usuarios sobre el tratamiento de datos personales. Con dicha gestión, el plan de acción se da por cumplido.
Sin embargo, se realizará seguimiento para asegurar la publicación e implementación formal del aviso por parte de la dependencia correspondiente.</t>
  </si>
  <si>
    <t>Inconsistencias entre el inventario físico y el registro en el sistema de guarda equipaje</t>
  </si>
  <si>
    <r>
      <rPr>
        <b/>
        <sz val="9"/>
        <color theme="1"/>
        <rFont val="Arial"/>
        <family val="2"/>
      </rPr>
      <t>Hallazgo 8:</t>
    </r>
    <r>
      <rPr>
        <sz val="9"/>
        <color theme="1"/>
        <rFont val="Arial"/>
        <family val="2"/>
      </rPr>
      <t xml:space="preserve"> Durante la revisión del inventario descargado desde el módulo del sistema de Guarda Equipaje, se identificaron 315 elementos pendientes por facturar. Sin embargo, al cruzar esta información con el inventario físico levantado en la última verificación realizada en febrero de 2025 por el contratista William Ricardo Cristiano se encontró que únicamente hay 30 elementos en custodia dentro del área de Guarda Equipaje, esto representa una diferencia de 285 elementos que están registrados en el sistema, pero no se encuentran físicamente en el área de custodia. (...)</t>
    </r>
  </si>
  <si>
    <t xml:space="preserve">Crear un formato de inventario, que permita verificar el ingreso y la salida de los equipajes, con el fin de tener un control en cada entraga de turno y adicionalmente, quedaran en el formato que fueron dados de baja. </t>
  </si>
  <si>
    <t>https://drive.google.com/drive/folders/1QUXExF1vGK4OenO0tA1mLz305iYFtrjx</t>
  </si>
  <si>
    <t>Se evidencia la creación de un repositorio en Drive en el cual se registra la información del usuario y de los elementos en custodia desde su ingreso hasta su salida, permitiendo el control por turno y la trazabilidad del inventario. Esta medida atiende la necesidad del control requerido por el hallazgo</t>
  </si>
  <si>
    <t>Alto número de quejas por deficiencias en el servicio de taxis</t>
  </si>
  <si>
    <r>
      <rPr>
        <b/>
        <sz val="9"/>
        <color theme="1"/>
        <rFont val="Arial"/>
        <family val="2"/>
      </rPr>
      <t xml:space="preserve">Hallazgo 9: </t>
    </r>
    <r>
      <rPr>
        <sz val="9"/>
        <color theme="1"/>
        <rFont val="Arial"/>
        <family val="2"/>
      </rPr>
      <t>La Terminal de Transporte cuenta con una zona exclusiva para el servicio de taxis, cuyo acceso está sujeto a una tarifa de recargo fija de $500. Aunque la Terminal no opera directamente el servicio de taxis, sí administra el ingreso de los vehículos a esta zona y gestiona el espacio desde el cual los usuarios acceden al servicio. Por lo tanto, los usuarios asocian su experiencia general con la Terminal, ya que es desde allí donde toman el taxi.
En el primer trimestre de 2025 se registraron 191 quejas de usuarios, relacionadas con el servicio de taxis. Si bien esto representa una disminución del 19% frente al mismo periodo de 2024 (236 quejas), la alta proporción de inconformidades evidencia debilidades en la calidad del servicio ofrecido por los taxistas. (...)</t>
    </r>
  </si>
  <si>
    <r>
      <t xml:space="preserve">Implementar un control de trazabilidad de conductores reincidentes, indicando quién será el responsable de su ejecución y seguimiento.
Diseñar e implementar un plan anual de formación para taxistas
</t>
    </r>
    <r>
      <rPr>
        <b/>
        <sz val="9"/>
        <color rgb="FFFF0000"/>
        <rFont val="Arial"/>
        <family val="2"/>
      </rPr>
      <t>Cambio plan de acción</t>
    </r>
    <r>
      <rPr>
        <sz val="9"/>
        <color theme="1"/>
        <rFont val="Arial"/>
        <family val="2"/>
      </rPr>
      <t xml:space="preserve">
</t>
    </r>
    <r>
      <rPr>
        <b/>
        <sz val="9"/>
        <color theme="1"/>
        <rFont val="Arial"/>
        <family val="2"/>
      </rPr>
      <t>1.</t>
    </r>
    <r>
      <rPr>
        <sz val="9"/>
        <color theme="1"/>
        <rFont val="Arial"/>
        <family val="2"/>
      </rPr>
      <t xml:space="preserve">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r>
  </si>
  <si>
    <t>https://drive.google.com/drive/folders/1iy6UDLj3EChlzMQt-ee2DE_DAuMpwyZK</t>
  </si>
  <si>
    <t>Próximo a vencer
Anterior fecha 29/08/2025</t>
  </si>
  <si>
    <t>2. Sensibilización: Realizar socialización a los conductores con respecto al cumplimiento y buen uso del manual de convivencia.</t>
  </si>
  <si>
    <t>Próximo a vencer
Anterior fecha 29/08/2025</t>
  </si>
  <si>
    <t>3. Consolidar el presupuesto y presentar al Comité Directivo para aprobación.</t>
  </si>
  <si>
    <t>SUB GERENCIA CORPORATIVA
SUB GERENCIA DE PLANEACIÓN Y PROYECTOS</t>
  </si>
  <si>
    <t>https://drive.google.com/drive/folders/1y9K1jBpJBGxp3s23KAbJbo14snN5g_4K</t>
  </si>
  <si>
    <t>Se adjunta la certificación que evidencia la aprobación del presupuesto, incluyendo los servicios conexos</t>
  </si>
  <si>
    <r>
      <rPr>
        <b/>
        <sz val="9"/>
        <color theme="1"/>
        <rFont val="Arial"/>
        <family val="2"/>
      </rPr>
      <t>Hallazgo 1:</t>
    </r>
    <r>
      <rPr>
        <sz val="9"/>
        <color theme="1"/>
        <rFont val="Arial"/>
        <family val="2"/>
      </rPr>
      <t xml:space="preserve"> El Plan Estratégico 2024–2028 de la Terminal de Transporte S.A. establece en su Objetivo Estratégico N.º 1 la meta de generar ingresos por $241.006 millones a través de sus líneas de negocio, con metas anuales definidas para cada una. Este objetivo cuenta con
planes de acción que incluyen las fuentes de ingresos principales identificadas por la empresa.
Sin embargo, se evidenció que, aunque los Servicios Conexos (Baños, Excretas, ingreso de Taxis y Guarda equipaje) generaron ingresos por $749,516,533 en el primer trimestre de 2025, no están contemplados como plan de acción asociado a los Objetivos Estratégicos. (...)</t>
    </r>
  </si>
  <si>
    <t xml:space="preserve">1. Realizar reunión con las áreas (DRFN, DSC, DGF, SPP) para validar la posiblidad de incluir los ingresos de servicios conexos en la meta del objetivo 1 del plan estratégico. </t>
  </si>
  <si>
    <t>https://drive.google.com/drive/folders/1t416_BuyywLEoVdvLUOxZIXE0opJfmm3</t>
  </si>
  <si>
    <t>Se carga la evidencia de la reunión realizada para validar la posibilidad de incluir los ingresos de servicios conexos en la meta del Objetivo 1 del Plan Estratégico.</t>
  </si>
  <si>
    <t>4.  De acuerdo a aprobación del Comité Directivo, incluir en la meta del OE1 del plan estratégico</t>
  </si>
  <si>
    <t>https://drive.google.com/drive/folders/1L_0R1gXS89_2Dr39fPwSkfTQdyBC-Ezf</t>
  </si>
  <si>
    <t>No fue necesario aprobarlo en Junta dado que, ya está aprobado en el Pla Estratégico 2026; Revisar el Plan Estratégico 2026 para cerrar el Plan de acción.</t>
  </si>
  <si>
    <t>5. Someter a aprobación de Junta Directiva.</t>
  </si>
  <si>
    <t>https://drive.google.com/drive/folders/1agZKepmZWdJXEvoi2eORxfBzSTFIwd8v</t>
  </si>
  <si>
    <t>Auditoría al Programa de Seguridad Vial (20250110031663)</t>
  </si>
  <si>
    <t>Pago de pruebas de alcoholimetría sin evidencia de ejecución</t>
  </si>
  <si>
    <r>
      <rPr>
        <b/>
        <sz val="9"/>
        <color theme="1"/>
        <rFont val="Arial"/>
        <family val="2"/>
      </rPr>
      <t>Hallazgo 1</t>
    </r>
    <r>
      <rPr>
        <sz val="9"/>
        <color theme="1"/>
        <rFont val="Arial"/>
        <family val="2"/>
      </rPr>
      <t>: Se pagaron 34 pruebas de alcoholimetría por $70.108 en la factura 334 sin soportes que acrediten la realización; no hubo evidencia documental ni seguimiento en las actas delComité. (…)</t>
    </r>
  </si>
  <si>
    <t>Alto</t>
  </si>
  <si>
    <r>
      <rPr>
        <b/>
        <sz val="9"/>
        <color theme="1"/>
        <rFont val="Arial"/>
        <family val="2"/>
      </rPr>
      <t>1.</t>
    </r>
    <r>
      <rPr>
        <sz val="9"/>
        <color theme="1"/>
        <rFont val="Arial"/>
        <family val="2"/>
      </rPr>
      <t xml:space="preserve"> Incluir en la agenda mensual del comité de seguimiento del contrato TT-87-2022, la presentación, revisión y control de las pruebas de alcoholimetria efectivamente ejecutadas</t>
    </r>
  </si>
  <si>
    <t>DIRECCIÓN DE SERVICIO AL TRANSPORTADOR</t>
  </si>
  <si>
    <t>https://drive.google.com/drive/u/0/folders/19_z_nLXkrrTQ8kSAtwg01Zg7seLB11iK</t>
  </si>
  <si>
    <t>Se revisa el Acta No. 32 del 22 de septiembre de 2025 y se evidencia la presentación y revisión de la información relacionada con las pruebas de alcoholimetría, en cumplimiento de lo establecido en el plan de acción. En consecuencia, el compromiso se da por cumplido con la evidencia aportad</t>
  </si>
  <si>
    <r>
      <rPr>
        <b/>
        <sz val="9"/>
        <color theme="1"/>
        <rFont val="Arial"/>
        <family val="2"/>
      </rPr>
      <t>2.</t>
    </r>
    <r>
      <rPr>
        <sz val="9"/>
        <color theme="1"/>
        <rFont val="Arial"/>
        <family val="2"/>
      </rPr>
      <t xml:space="preserve"> Presentar las conciliaciones de las cantidades de pruebas ejecutadas y pagadas con el fin de realizar ajustes necesarios.</t>
    </r>
  </si>
  <si>
    <t>Se verifican las conciliaciones realizadas sobre las cantidades de pruebas ejecutadas y pagadas, donde se identificó un mayor valor cancelado por los periodos de julio y agosto de 2025. Como resultado de dicho análisis, el proveedor emitió la Nota Crédito C-002-71 por $1.453.220, ajustando el valor pagado en exceso.
Con la evidencia aportada, se da por cumplido el plan de acción.</t>
  </si>
  <si>
    <t>Debilidades en cobertura de pruebas de alcoholimetría</t>
  </si>
  <si>
    <r>
      <rPr>
        <b/>
        <sz val="9"/>
        <color theme="1"/>
        <rFont val="Arial"/>
        <family val="2"/>
      </rPr>
      <t>Hallazgo 2:</t>
    </r>
    <r>
      <rPr>
        <sz val="9"/>
        <color theme="1"/>
        <rFont val="Arial"/>
        <family val="2"/>
      </rPr>
      <t xml:space="preserve"> Cobertura de pruebas de alcoholimetría para conductores de rutas sabaneras, por debajo del 33%. (…)</t>
    </r>
  </si>
  <si>
    <t>En el software Gopett, parametrizar por empresa transportadora la cobertura del 33% de las pruebas de alcoholimetría a los despachos que generen en las rutas de influencia</t>
  </si>
  <si>
    <t>https://drive.google.com/drive/u/0/folders/1NOtwUMCTsbNz2JGzC24k4evbbAHDTiI0</t>
  </si>
  <si>
    <r>
      <t xml:space="preserve">El sistema se parametrizó para que todas las las rutas de influencia realicen la prueba de alcoholimetría, por lo tanto se eliminó la secuencia de 2 de cada 3 conductores. </t>
    </r>
    <r>
      <rPr>
        <b/>
        <sz val="9"/>
        <color rgb="FFFF0000"/>
        <rFont val="Arial"/>
        <family val="2"/>
      </rPr>
      <t>Verificar evidencia</t>
    </r>
    <r>
      <rPr>
        <sz val="9"/>
        <color theme="1"/>
        <rFont val="Arial"/>
        <family val="2"/>
      </rPr>
      <t xml:space="preserve">
Anterior fecha  31/10/2025</t>
    </r>
  </si>
  <si>
    <t>Debilidades en el seguimiento a la cobertura médica</t>
  </si>
  <si>
    <r>
      <rPr>
        <b/>
        <sz val="9"/>
        <color theme="1"/>
        <rFont val="Arial"/>
        <family val="2"/>
      </rPr>
      <t>Hallazgo 3:</t>
    </r>
    <r>
      <rPr>
        <sz val="9"/>
        <color theme="1"/>
        <rFont val="Arial"/>
        <family val="2"/>
      </rPr>
      <t xml:space="preserve"> Debilidades en el control y seguimiento periódico frente al cumplimiento de las obligaciones de cobertura médica. (…)</t>
    </r>
  </si>
  <si>
    <t xml:space="preserve">1. Remitir comunicaciones de acuerdo al seguimiento realizado en el comité del contrato TT-87-2022, promoviendo en las empresas transportadoras el cumplimiento de la realización de los EMGAF en los periodos determinados </t>
  </si>
  <si>
    <t>SUB GERENCIA DE SERVICIOS OPERACIONALES E INFRAESTRUCTURA</t>
  </si>
  <si>
    <t>https://drive.google.com/drive/u/0/folders/1MfBCYKgwGJRqnIGDsGwhfqsHff8zR5Na</t>
  </si>
  <si>
    <t>Se evidencian comunicados remitidos a las empresas transportadoras, mediante los cuales se les invita a garantizar que los conductores realicen los exámenes EMGAF en los periodos establecidos, en cumplimiento de la norma.</t>
  </si>
  <si>
    <t>Limitaciones del sistema web para la descarga histórica de pruebas y exámenes</t>
  </si>
  <si>
    <r>
      <rPr>
        <b/>
        <sz val="9"/>
        <color theme="1"/>
        <rFont val="Arial"/>
        <family val="2"/>
      </rPr>
      <t>Hallazgo 4</t>
    </r>
    <r>
      <rPr>
        <sz val="9"/>
        <color theme="1"/>
        <rFont val="Arial"/>
        <family val="2"/>
      </rPr>
      <t>: Sistema Web (ADDIT ASOTRANS) limita descargas históricas de las pruebas de alcoholimetría y exámenes EMGAF. (…)</t>
    </r>
  </si>
  <si>
    <t>Generar una actualización en el sistema web (ADITT ASOTRANS) que permita consultas y descargas historicas de los componentes del Programa de Seguridad Vial</t>
  </si>
  <si>
    <t>SUB GERENCIA DE SERVICIOS OPERACIONALES E INFRAESTRUCTURA
DIRECCIÓN DE RECURSOS TECNOLÓGICOS</t>
  </si>
  <si>
    <t>https://drive.google.com/drive/u/0/folders/1M8MB2SqmhGYkp8L4y62qfwA15eFSaK_h</t>
  </si>
  <si>
    <t>Se evidencia correo mediante el cual se remite propuesta para el desarrollo de tableros de consulta relacionados con el Programa de Seguridad Vial; no obstante, no se observa soporte que acredite la implementación efectiva de la actualización en el sistema web ADITT ASOTRANS que permita consultas y descargas históricas de los componentes del programa.</t>
  </si>
  <si>
    <t>Desalineación normativa</t>
  </si>
  <si>
    <r>
      <rPr>
        <b/>
        <sz val="9"/>
        <color theme="1"/>
        <rFont val="Arial"/>
        <family val="2"/>
      </rPr>
      <t>Hallazgo 5:</t>
    </r>
    <r>
      <rPr>
        <sz val="9"/>
        <color theme="1"/>
        <rFont val="Arial"/>
        <family val="2"/>
      </rPr>
      <t xml:space="preserve"> Desalineación normativa (Dec. 1079 de 2025 / Res 21 de 2023). (…)</t>
    </r>
  </si>
  <si>
    <t>Bajo</t>
  </si>
  <si>
    <t>Solicitar la modificación de la resolución No. 21 de 2023 ajustando la terminología del marco normativo del programa de seguridad vial respecto de la destinación de los recursos</t>
  </si>
  <si>
    <t>https://drive.google.com/drive/u/0/folders/10Z2WVtyeWwMYZFvYMN6Wnuvm4rOyn-Zx</t>
  </si>
  <si>
    <t>Se actualiza la resolución 32 de 2025 donde se establece la frecuencia de las reuniones</t>
  </si>
  <si>
    <t>Debilidades en el funcionamiento del comité del PSV</t>
  </si>
  <si>
    <r>
      <rPr>
        <b/>
        <sz val="9"/>
        <color theme="1"/>
        <rFont val="Arial"/>
        <family val="2"/>
      </rPr>
      <t>Hallazgo 6:</t>
    </r>
    <r>
      <rPr>
        <sz val="9"/>
        <color theme="1"/>
        <rFont val="Arial"/>
        <family val="2"/>
      </rPr>
      <t xml:space="preserve"> Comité para el manejo de los recursos del PSV sin reuniones completas ni informes. (…)</t>
    </r>
  </si>
  <si>
    <r>
      <rPr>
        <b/>
        <sz val="9"/>
        <color theme="1"/>
        <rFont val="Arial"/>
        <family val="2"/>
      </rPr>
      <t>1.</t>
    </r>
    <r>
      <rPr>
        <sz val="9"/>
        <color theme="1"/>
        <rFont val="Arial"/>
        <family val="2"/>
      </rPr>
      <t xml:space="preserve"> Realizar las citaciones al comité de seguimiento dispuestas de conformidad con la periodicidad establecida en la resolución No. 21 de 2023 o aquella que la modifique o sustituya.
Incorporar en la citación la agenda incluyendo el punto a tratar sobre el informe trimestral</t>
    </r>
  </si>
  <si>
    <t>https://drive.google.com/drive/u/0/folders/1V-1CBJLrGBf9z0ePhvAoQ7N5yOIdVgkT</t>
  </si>
  <si>
    <t>Se verificó la actualización de la Resolución que regula el Comité de Seguimiento del Programa de Seguridad Vial, en la cual se establecen responsables y periodicidad, evidenciándose que las citaciones se realizan conforme a lo allí dispuesto, dando cumplimiento al plan de acción.</t>
  </si>
  <si>
    <r>
      <rPr>
        <b/>
        <sz val="9"/>
        <color theme="1"/>
        <rFont val="Arial"/>
        <family val="2"/>
      </rPr>
      <t>2.</t>
    </r>
    <r>
      <rPr>
        <sz val="9"/>
        <color theme="1"/>
        <rFont val="Arial"/>
        <family val="2"/>
      </rPr>
      <t xml:space="preserve"> Presentar y aprobar en la última sesión del año del comité de seguimiento a los recursos del programa, el cronograma de sesiones del año siguiente</t>
    </r>
  </si>
  <si>
    <r>
      <rPr>
        <b/>
        <sz val="9"/>
        <color theme="1"/>
        <rFont val="Arial"/>
        <family val="2"/>
      </rPr>
      <t>Hallazgo 7:</t>
    </r>
    <r>
      <rPr>
        <sz val="9"/>
        <color theme="1"/>
        <rFont val="Arial"/>
        <family val="2"/>
      </rPr>
      <t xml:space="preserve"> Falta cargue de otrosí 3 e informes de supervision en SECOP II. (…)</t>
    </r>
  </si>
  <si>
    <t>Cargar los documentos del seguimiento a la ejecución del contrato TT-87-2022, en la plataforma SECOP II</t>
  </si>
  <si>
    <t>https://drive.google.com/drive/u/0/folders/1m6YEBioUcoJd4GuQOHb47DBxmiOFDaIL</t>
  </si>
  <si>
    <t>Verificar en el secopll el cargue de los inofrmes de supervisión ya que no se evidencian, solamente esta el cargue del otro sí 3</t>
  </si>
  <si>
    <t>Saltos en consecutivos de registros de alcoholimetría que afectan la trazabilidad</t>
  </si>
  <si>
    <r>
      <rPr>
        <b/>
        <sz val="9"/>
        <color theme="1"/>
        <rFont val="Arial"/>
        <family val="2"/>
      </rPr>
      <t>Hallazgo 8 - Oportunidad de Mejora:</t>
    </r>
    <r>
      <rPr>
        <sz val="9"/>
        <color theme="1"/>
        <rFont val="Arial"/>
        <family val="2"/>
      </rPr>
      <t xml:space="preserve"> Saltos en consecutivos de registros de alcoholimetría (Sistema ADITT ASOTRANS), afectando la trazabilidad y confiabilidad de la información. (…)</t>
    </r>
  </si>
  <si>
    <t>Implementar una funcionalidad en el sistema de alcoholimetria con el objetivo que la Terminal de Bogotá (Salitre - Norte - Sur) tenga su propio consecutivo</t>
  </si>
  <si>
    <t>https://drive.google.com/drive/u/0/folders/1baBItG-6DuNNR0JX2edWnga8WckQEKcB</t>
  </si>
  <si>
    <t>Se da por cerrada la actividad tras verificar la implementación técnica de consecutivos independientes en el sistema de alcoholimetría. La evidencia fotográfica confirma la segregación de series para las sedes de la Terminal de Bogotá (Salitre y Norte)</t>
  </si>
  <si>
    <t>Desactualización de la base de datos de conductores en GOPETT</t>
  </si>
  <si>
    <r>
      <rPr>
        <b/>
        <sz val="9"/>
        <color theme="1"/>
        <rFont val="Arial"/>
        <family val="2"/>
      </rPr>
      <t>Hallazgo 9 - Oportunidad de Mejora:</t>
    </r>
    <r>
      <rPr>
        <sz val="9"/>
        <color theme="1"/>
        <rFont val="Arial"/>
        <family val="2"/>
      </rPr>
      <t xml:space="preserve"> Desactualización de la base de datos de conductores registrada en el sistema GOPETT por falta de reporte oportuno de novedades por parte de las empresas transportadoras. (…)</t>
    </r>
  </si>
  <si>
    <r>
      <rPr>
        <b/>
        <sz val="9"/>
        <color theme="1"/>
        <rFont val="Arial"/>
        <family val="2"/>
      </rPr>
      <t>1.</t>
    </r>
    <r>
      <rPr>
        <sz val="9"/>
        <color theme="1"/>
        <rFont val="Arial"/>
        <family val="2"/>
      </rPr>
      <t xml:space="preserve"> Reporte anual a la Dirección de Servicio al Transportador y al Consorcio ADITT ASOTRANS de conductores sin despachos activos durante el periodo señalado </t>
    </r>
  </si>
  <si>
    <t>https://drive.google.com/drive/u/0/folders/1NmQo8mPaw0u-IfKydjubnlyNLSJpJaDA</t>
  </si>
  <si>
    <t>Se da cumplimiento a la actividad de reporte anual mediante la integración de la evidencia documental adjunta. El Listado de Conductores Activos (Corte Feb-2026), envío del Correo, la Solicitud de Actualización de Plataforma</t>
  </si>
  <si>
    <r>
      <rPr>
        <b/>
        <sz val="9"/>
        <color theme="1"/>
        <rFont val="Arial"/>
        <family val="2"/>
      </rPr>
      <t>2.</t>
    </r>
    <r>
      <rPr>
        <sz val="9"/>
        <color theme="1"/>
        <rFont val="Arial"/>
        <family val="2"/>
      </rPr>
      <t xml:space="preserve"> Realizar comunicaciones a cada empresa transportadora solicitando la actualización de los conductores activos y retirados de conformidad con el procedimiento de vinculación o desvinculación por la plataforma de rodamiento</t>
    </r>
  </si>
  <si>
    <t>Se da por cumplida la actividad mediante la emisión y radicación de la comunicación oficial No. 20260530028171 con fecha del 17 de marzo de 2026. A través de este documento, La Terminal de Transporte S.A. formalizó el requerimiento de actualización de bases de datos y parque automotor a todas las empresas de transporte terrestre de pasajeros.</t>
  </si>
  <si>
    <t>Auditoría – Índice de Transparencia y Acceso a la Información –ITA (20250110033183)</t>
  </si>
  <si>
    <t>Publicación de información sensible del Manual de Identidad Corporativa en el sitio web institucional</t>
  </si>
  <si>
    <r>
      <rPr>
        <b/>
        <sz val="9"/>
        <color theme="1"/>
        <rFont val="Arial"/>
        <family val="2"/>
      </rPr>
      <t>1. Oportunidad de mejora:</t>
    </r>
    <r>
      <rPr>
        <sz val="9"/>
        <color theme="1"/>
        <rFont val="Arial"/>
        <family val="2"/>
      </rPr>
      <t xml:space="preserve"> Durante la revisión de la información publicada en el sitio web institucional, se evidenció que el “Manual de Identidad Corporativa” se encuentra disponible al público. https://www.terminaldetransporte.gov.co/laentidad/transparencia-y-acceso-a-la-informacionpublica/esquema-de-publicacion-de-la-informacion/ Si bien esta publicación cumple con los principios de la Ley 1712 de 2014 en cuanto a la divulgación de información pública, el contenido del manual contiene elementos sensibles como tipografías, logos, paletas de colores, usos permitidos y restringidos de la marca institucional, que podrían facilitar la suplantación o uso indebido de la imagen corporativa por parte de terceros</t>
    </r>
  </si>
  <si>
    <t>El Manual de Imagen Corporativa será desmontado de la página web de acceso público.
​A partir de la fecha, el manual se alojará en un espacio de almacenamiento privado (Google Drive) al que solo podrán acceder las personas previamente autorizadas tras realizar la solicitud correspondiente.
Proceso de Solicitud y Autorización
​Si requieren acceder o utilizar nuestro Manual de Imagen, deben solicitarlo directamente a la Oficina Asesora de Comunicaciones a través del siguiente correo electrónico (...)</t>
  </si>
  <si>
    <t>OFICINA DE COMUNICACIONES</t>
  </si>
  <si>
    <t>https://drive.google.com/drive/u/0/folders/1rOnjh_WXTcIdwgEy2ESzycDqhCN9ERVS</t>
  </si>
  <si>
    <t>El Manual de Imagen Corporativa será desmontado de la página web de acceso público.
​A partir de la fecha, el manual se alojará en un espacio de almacenamiento privado (Google Drive) al que solo podrán acceder las personas previamente autorizadas tras realizar la solicitud correspondiente.
Proceso de Solicitud y Autorización
​Si requieren acceder o utilizar nuestro Manual de Imagen, deben solicitarlo directamente a la Oficina Asesora de Comunicaciones a través del siguiente correo electrónico</t>
  </si>
  <si>
    <t>Incumplimiento de criterios de accesibilidad en documentos publicados en canales digitales</t>
  </si>
  <si>
    <r>
      <rPr>
        <b/>
        <sz val="9"/>
        <color theme="1"/>
        <rFont val="Arial"/>
        <family val="2"/>
      </rPr>
      <t>2. Oportunidad de mejora:</t>
    </r>
    <r>
      <rPr>
        <sz val="9"/>
        <color theme="1"/>
        <rFont val="Arial"/>
        <family val="2"/>
      </rPr>
      <t xml:space="preserve"> Durante la verificación de los documentos publicados en los canales digitales oficiales, se identificó que algunos documentos aún no han sido actualizados conforme a los criterios de accesibilidad definidos en el Anexo 1 de la Resolución 1519 de 2020. En particular, se evidencian formatos no accesibles para personas con discapacidad, como archivos sin lenguaje de señas, ausencia de texto alternativo en imágenes, etc.</t>
    </r>
  </si>
  <si>
    <r>
      <rPr>
        <b/>
        <sz val="9"/>
        <color theme="1"/>
        <rFont val="Arial"/>
        <family val="2"/>
      </rPr>
      <t>Respuesta comunicaciones:</t>
    </r>
    <r>
      <rPr>
        <sz val="9"/>
        <color theme="1"/>
        <rFont val="Arial"/>
        <family val="2"/>
      </rPr>
      <t xml:space="preserve">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t>
    </r>
  </si>
  <si>
    <t>https://drive.google.com/drive/u/0/folders/1gaKNfmRjHWtMa_srRXD9i5k6JEL2yLvH</t>
  </si>
  <si>
    <t>Ajustar Plan de Acción</t>
  </si>
  <si>
    <t>Información incompleta y errores de acceso en el organigrama institucional publicado</t>
  </si>
  <si>
    <r>
      <rPr>
        <b/>
        <sz val="9"/>
        <color theme="1"/>
        <rFont val="Arial"/>
        <family val="2"/>
      </rPr>
      <t>3. Oportunidad de mejora</t>
    </r>
    <r>
      <rPr>
        <sz val="9"/>
        <color theme="1"/>
        <rFont val="Arial"/>
        <family val="2"/>
      </rPr>
      <t>: A continuación, se detalla la información incompleta y desactualizada que se evidenció en la Auditoría:
1. (1.2) Estructura orgánica – organigrama: Se presenta
error en el acceso:
Revisar informe</t>
    </r>
  </si>
  <si>
    <t xml:space="preserve">1. Revisar con cada uno de los encargados de actualizar la página web en cada una de las áreas para que carguen la información solicitada, con el fin de tener la última publicada la última versión de cada documento.  </t>
  </si>
  <si>
    <t>https://drive.google.com/drive/u/0/folders/1XBpx28e8cg7NT_55LohMR7y5A1kxbhR-</t>
  </si>
  <si>
    <t>Se actualiza la pagina WEB</t>
  </si>
  <si>
    <t>2. Se programará en el 2026 una Reinducción de página web y de Intranet.</t>
  </si>
  <si>
    <t>3. Solicitar una mesa técnica al Departamento Administrativo de la Función Pública - DAFP, para validar si es posible inscribir nuevos Trámites en el SUIT.
 2. De acuerdo a resultado de la mesa técnica con el DAFP, se procederá a:
 a) Generar el(los) debido(s) registros de inscripción; o,
 b) Justificar la no inscripción ante el SUIT.</t>
  </si>
  <si>
    <t>4. Solicitar la guía de evaluación al ente rector (Secretaría de Movilidad) y públicarla.</t>
  </si>
  <si>
    <t>Se actualiza el enlace "Menú participa"</t>
  </si>
  <si>
    <t>Operativos de Control Externo (20250110018323)</t>
  </si>
  <si>
    <t>Ausencia de rotación del personal en áreas sensibles</t>
  </si>
  <si>
    <r>
      <rPr>
        <b/>
        <sz val="9"/>
        <color theme="1"/>
        <rFont val="Arial"/>
        <family val="2"/>
      </rPr>
      <t>Hallazgo No. 1</t>
    </r>
    <r>
      <rPr>
        <sz val="9"/>
        <color theme="1"/>
        <rFont val="Arial"/>
        <family val="2"/>
      </rPr>
      <t>: Ausencia de rotación del personal operativo en áreas sensibles:Durante la revisión de antecedentes laborales y la distribucióndel personal asignado al proceso de control externo, se identificó que un Técnico 1 del Grupo de Control Externo ha permanecido en el mismo cargo y funciones durante más de once (11) años continuos, sin evidencia de rotación o reasignación. (...)</t>
    </r>
  </si>
  <si>
    <t xml:space="preserve">Rotar al personal que actualmente se encuentra asignado para el desarrollo de los operativos de control externo, y realizar una mesa de trabajo con Gestión Humana para definir riesgos y la posibilidad de incorparar personal en misión con servicio de transporte.  </t>
  </si>
  <si>
    <t>https://drive.google.com/drive/folders/19msNqPPz2rpBtyapAWaYMZVQ65PhVy2J</t>
  </si>
  <si>
    <t>Debilidades en la aplicación de medidas frente a evasiones de la tasa de uso</t>
  </si>
  <si>
    <r>
      <rPr>
        <b/>
        <sz val="9"/>
        <color theme="1"/>
        <rFont val="Arial"/>
        <family val="2"/>
      </rPr>
      <t xml:space="preserve">Hallazgo No.2: </t>
    </r>
    <r>
      <rPr>
        <sz val="9"/>
        <color theme="1"/>
        <rFont val="Arial"/>
        <family val="2"/>
      </rPr>
      <t>Debilidades en la formalización de consecuencias frente a evasiones y elusiones de tasa de uso: En la verificación documental y entrevistas con el personalresponsable de los operativos de control externo, se identificó que, aunque se registraron casos de evasión y elusión de la tasa de uso en los operativos, no se encontró evidencia de seguimiento ni de la aplicación de medidas posteriores frente a estos hechos. Asimismo, se observó que, durante la vigencia auditada, no se evidenció la implementación de las consecuencias previstas en el instructivo “Manejo de novedades – Operativo Control Externo SOF-IN16” para los casos reportados, lo que impidió verificar el uso de las herramientas establecidas para la atención de estas situaciones.</t>
    </r>
  </si>
  <si>
    <r>
      <rPr>
        <b/>
        <sz val="9"/>
        <color theme="1"/>
        <rFont val="Arial"/>
        <family val="2"/>
      </rPr>
      <t>1.</t>
    </r>
    <r>
      <rPr>
        <sz val="9"/>
        <color theme="1"/>
        <rFont val="Arial"/>
        <family val="2"/>
      </rPr>
      <t xml:space="preserve">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t>
    </r>
  </si>
  <si>
    <t>https://drive.google.com/drive/folders/1IkjXdFn3TgwBjCLFrjCiMZ8Se_4yxnun</t>
  </si>
  <si>
    <t>Se adjunta lista de asistencia, respecto a la socialización del procedimiento y formatos para la gestión de operativos de control externo con los responsables de hacerlos.</t>
  </si>
  <si>
    <r>
      <rPr>
        <b/>
        <sz val="9"/>
        <color theme="1"/>
        <rFont val="Arial"/>
        <family val="2"/>
      </rPr>
      <t xml:space="preserve">2. </t>
    </r>
    <r>
      <rPr>
        <sz val="9"/>
        <color theme="1"/>
        <rFont val="Arial"/>
        <family val="2"/>
      </rPr>
      <t>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t>
    </r>
  </si>
  <si>
    <t>Se crea un procedimiento para formalizar las actividades de control externo.</t>
  </si>
  <si>
    <t>Debilidades en la identificación y seguimiento de peligros en SST</t>
  </si>
  <si>
    <r>
      <rPr>
        <b/>
        <sz val="9"/>
        <color theme="1"/>
        <rFont val="Arial"/>
        <family val="2"/>
      </rPr>
      <t>Halazgo No. 3:</t>
    </r>
    <r>
      <rPr>
        <sz val="9"/>
        <color theme="1"/>
        <rFont val="Arial"/>
        <family val="2"/>
      </rPr>
      <t xml:space="preserve"> Debilidades en la identificación y seguimiento de Peligros – Seguridad y Salud en el Trabajo: Se evidenció en la matriz de peligros de SST que el Técnico 1 no está relacionado con el Control de Tránsito de Vehículos, lo que genera una evaluación inadecuada en el cubrimiento de la Seguridad y Salud en el trabajo. De otra parte, la Dirección de Gestión Humana no tiene conocimiento formal de traslados de funciones de la Dirección de Seguridad Operacional hacia la Dirección de Transporte Intermunicipal, lo que dificulta el seguimiento a los riesgos definidos al personal operativo.</t>
    </r>
  </si>
  <si>
    <t xml:space="preserve">Solicitar a la profesional de Seguridad y Salud en el Trabajo adelantar la aplicación de las encuestas en el marco del procedimiento GTS-PR07 “Identificación de Peligros, Valoración de Riesgos y Determinación de Controles”, con el fin de estructurar adecuadamente la matriz de peligros y riesgos de la terminal en el formato GTS-FT39, dejando definido los riesgos a todo el personal operativo y en misión y facilite su seguimiento. </t>
  </si>
  <si>
    <t>https://drive.google.com/drive/folders/1MKfS8dfrpzjNkWjdWIEev8dBHpmCeAys</t>
  </si>
  <si>
    <t xml:space="preserve">Se evidenció la actualización de la matriz de peligros </t>
  </si>
  <si>
    <t>Procedimiento de Operativos de Control Externo desactualizado</t>
  </si>
  <si>
    <r>
      <rPr>
        <b/>
        <sz val="9"/>
        <color theme="1"/>
        <rFont val="Arial"/>
        <family val="2"/>
      </rPr>
      <t>Hallazgo No. 4:</t>
    </r>
    <r>
      <rPr>
        <sz val="9"/>
        <color theme="1"/>
        <rFont val="Arial"/>
        <family val="2"/>
      </rPr>
      <t>El Procedimiento SOF-PR01 (abril 2023) “Operativos de Control
Externo” se encuentra desactualizado. (...)</t>
    </r>
  </si>
  <si>
    <t>Actualizar el procedimiento  SOF-PR01 en el marco de nueva estrategia para el desarrollo de operativos de control externo desde la Dirección responsable de gestionar esta actividad.</t>
  </si>
  <si>
    <t>https://drive.google.com/drive/folders/11UH5cvdpuCe7Fuvl575d4-DyTBAiWLdj</t>
  </si>
  <si>
    <t>Ausencia de documentos asociados en el SIG</t>
  </si>
  <si>
    <r>
      <rPr>
        <b/>
        <sz val="9"/>
        <color theme="1"/>
        <rFont val="Arial"/>
        <family val="2"/>
      </rPr>
      <t>Hallazgo No. 5:</t>
    </r>
    <r>
      <rPr>
        <sz val="9"/>
        <color theme="1"/>
        <rFont val="Arial"/>
        <family val="2"/>
      </rPr>
      <t xml:space="preserve"> Documentos asociados no publicados en el SIG: En el marco de la revisión documental realizada durante la auditoría,se evidenció que varios documentos referenciados en el proceso decontrol externo no se encuentran publicados en el Sistema Integrado de Gestión (SIG). Puntualmente, se identificó la ausencia de:
• Instructivo SAT-IN03, que describe el procedimiento detallado para la ejecución de los operativos.
• Formato SAT-FT13, utilizado para el registro de hallazgos y actuaciones en campo.
• Reglamento GTS-RG01, que contiene la normatividad interna aplicable al proceso.</t>
    </r>
  </si>
  <si>
    <t>Realizar la revisión integral de los documentos que soportan la estrategia para el desarrollo de los operativos de control externo, con el fin de validar su vigencia, aprobación y adecuada publicación en el Sistema Integrado de Gestión.</t>
  </si>
  <si>
    <t>https://drive.google.com/drive/folders/1zuIA1H_3mZsUJF2EMjih3D-HOIAx8WZo</t>
  </si>
  <si>
    <t>Se actualizan documentos</t>
  </si>
  <si>
    <t>Uso de formato no documentado en el SIG ni en el procedimiento</t>
  </si>
  <si>
    <t xml:space="preserve">Incorporar al procedimiento que se defina para la implementación de la nueva estrategia para el desarrollo de los operativos de control externo, los documentos relacionados con las actividades para los controles que se desarrollen en el perímetro urbano de la ciudad. </t>
  </si>
  <si>
    <t>https://drive.google.com/drive/folders/1GpaBFKsVzrCvygBAZ8dAsu6iYyANz_q9</t>
  </si>
  <si>
    <t>Uso ineficiente del vehículo institucional frente a su capacidad operativa</t>
  </si>
  <si>
    <r>
      <rPr>
        <b/>
        <sz val="9"/>
        <color theme="1"/>
        <rFont val="Arial"/>
        <family val="2"/>
      </rPr>
      <t>Hallazgo No. 7:</t>
    </r>
    <r>
      <rPr>
        <sz val="9"/>
        <color theme="1"/>
        <rFont val="Arial"/>
        <family val="2"/>
      </rPr>
      <t xml:space="preserve">  Revisión del uso efectivo del vehículo institucional: Se evidenció que la camioneta tipo Pick-Up (placas HSP-702), se utiliza exclusivamente para el transporte de personal operativo en el marco de las actividades de control externo. Sin embargo, dicho vehículo no se emplea para actividades de carga o transporte de equipos que justifiquen su tipo, configuración o especificaciones técnicas. Adicionalmente, se identificaron costos anuales asociados a este vehículo por un valor de $28.311.249, discriminados en consumo de combustible y mantenimiento</t>
    </r>
  </si>
  <si>
    <t xml:space="preserve">Devolver el vehículo a la Dirección de Recursos Físicos, dependencia responsable de la administración y custodia de los bienes de la empresa </t>
  </si>
  <si>
    <t>https://drive.google.com/drive/folders/1ISJ99Ma_npLMCUzIIctwAAs1PY8LGVBi</t>
  </si>
  <si>
    <t>Servicio al Ciudadano (20250110042183)</t>
  </si>
  <si>
    <t>Eliminación de registros en el SDQS sin trazabilidad ni validación</t>
  </si>
  <si>
    <t>Revisión que se realizará en una fecha posterior  al descargue de la información mensual (dia 10 de cada mes). La cual se evidenciará a traves de un correo electronico enviado por la persona designada para dicha tarea, que para el caso es la asistente de la Dirección de Servicio al Ciudadano.</t>
  </si>
  <si>
    <t>https://drive.google.com/drive/folders/1N0GmZbH5wBIffdE6-X9p9NLtGnhzOE-k</t>
  </si>
  <si>
    <t>Se evidenció la revisión posterior al descargue mensual de la base PQRS, así como la validación y ajuste de inconsistencias, mediante soporte por correo electrónico remitido por la persona designada para dicha tarea, dando cumplimiento a lo establecido en el plan de acción</t>
  </si>
  <si>
    <t>Disminución en la calidad de las respuestas a peticiones ciudadanas</t>
  </si>
  <si>
    <t>1. Solicitar a la Dirección de Recursos Tecnológicos la mejora en el sistema con respecto a la identificación del peticionario. (campo de documento de identificación no obligatorio).</t>
  </si>
  <si>
    <t>https://drive.google.com/drive/folders/1bGmDnZMyaeWb7y-OzxCClAvJjMxGnuzL</t>
  </si>
  <si>
    <t>Se verificó la solicitud formal elevada a la Dirección de Recursos Tecnológicos para la mejora del sistema en relación con el campo de identificación del peticionario (no obligatorio en SDQS), cumpliendo con la acción definida en el plan. La implementación técnica corresponde a la Dirección de Recursos Tecnológicos.
Anterior fecha 30/11/2025</t>
  </si>
  <si>
    <t>Falta de plan de acción y seguimiento a resultados de encuesta de satisfacción</t>
  </si>
  <si>
    <t>1. Definir y documentar la periodicidad de los seguimientos a los planes de acción.</t>
  </si>
  <si>
    <t>DIRECCIÓN DE SERVICIO AL CIUDADANO
SUB GERENCIA DE PLANEACIÓN Y PROYECTOS</t>
  </si>
  <si>
    <t>https://drive.google.com/drive/folders/1AaO5moNRfI5SUEm9dckFhktes7ONYou3</t>
  </si>
  <si>
    <t>2. Realizar seguimiento a los planes de acción derivados de las encuestas, en conjunto con la Subgerencia de Planeación y Proyectos.</t>
  </si>
  <si>
    <t>Se evidencian comunicaciones mediante las cuales se socializan los resultados de las encuestas y se solicitan acciones de mejora a las empresas transportadoras; no obstante, no se observa soporte que acredite el seguimiento a los planes de acción en conjunto con la Subgerencia de Planeación y Proyectos, conforme a lo establecido en el plan formulado</t>
  </si>
  <si>
    <t xml:space="preserve">3. Remitir un oficio con los resultados de las encuestas a las empresas transportadoras recordando tomar acciones frente al servicio que prestan los taquilleros y operarios </t>
  </si>
  <si>
    <t>Se evidenció la remisión de oficio a las empresas transportadoras, mediante el cual se socializaron los resultados de las encuestas de satisfacción y se recordó la necesidad de implementar acciones de mejora frente al servicio prestado por taquilleros y operarios, dando cumplimiento al plan de acción establecido</t>
  </si>
  <si>
    <t>Falta de análisis cualitativo en el seguimiento de peticiones</t>
  </si>
  <si>
    <t>1. Realizar mesas de trabajo con el personal encargado del seguimiento y control de los derechos de petición de cada área.</t>
  </si>
  <si>
    <t>https://drive.google.com/drive/folders/1723UBFHGFJe5BwIwMXhZqU6J0LeAM4hu</t>
  </si>
  <si>
    <t>A la fecha, no se ha adjuntado ninguna evidencia que permita verificar la implementación del plan de acción.</t>
  </si>
  <si>
    <t>Operarios sin certificación como Primer Respondiente</t>
  </si>
  <si>
    <t xml:space="preserve">Modificación, y/o eliminación del instructivo SAC-IN05 toda vez que la información contenida en dicho instructivo no corresponde a los procedimientos actualmente desarrollados. </t>
  </si>
  <si>
    <t>https://drive.google.com/drive/folders/179a2kaq3t58xHR2_V4U418QGNC2FtL7i</t>
  </si>
  <si>
    <t>La DRSC se encuentra realizando los ajustes con la DRGH, dado que, en el Procedimiento hay actividaes de SST</t>
  </si>
  <si>
    <t>Deficiencias en botiquines y falta de continuidad del servicio</t>
  </si>
  <si>
    <t>Garantizar la continuidad del contrato de elementos de emergencia, a traves de los procedimientos establecidos.</t>
  </si>
  <si>
    <t>https://drive.google.com/drive/folders/1nkH1t4cAtJjR0D6Y4MYtTuC3vArX0K25</t>
  </si>
  <si>
    <t xml:space="preserve">se adjunta contrato TT-164-2025 cuyo objeto es "Suministrar y realizar el mantenimiento de los elementos requeridos para la atención de las emergencias médicas en las sedes de la Terminal de Transporte y los establecimientos administrados por esta y dotación de bienes requeridos en los puntos de primeros auxilios de las sedes de la empresa", junto con el acta de inicio desde el 18 de diciembre de 2025 hasta el 17 de diciembre de 2026 </t>
  </si>
  <si>
    <t>Falta de publicación de informes de supervisión en SECOP II</t>
  </si>
  <si>
    <t xml:space="preserve">Realizar el cargue de la información faltante </t>
  </si>
  <si>
    <t>https://drive.google.com/drive/folders/1MdnCwTVhUHCav-skj6pOo_OSMyrwgpNt</t>
  </si>
  <si>
    <t>Se cargaron los informes de supervisión del contrato, en el secop.</t>
  </si>
  <si>
    <t>Debilidades en la trazabilidad de controles y formalización de custodia en la Política GMC-PO01</t>
  </si>
  <si>
    <t>Garantizar una capacitación semestral en la cual se socializarán varios temas resorte de la Dirección de Servicio al Ciudadano, Actualización en matriz de riesgos.</t>
  </si>
  <si>
    <t>https://drive.google.com/drive/folders/1azc2NFwUCOpLVnrhNWx_s-kLRmpPLDQ7</t>
  </si>
  <si>
    <t>Se evidencian listados de asistencia correspondientes a jornadas de capacitación realizadas en el mes de noviembre, en cumplimiento de la actividad orientada a garantizar la socialización semestral de temas relacionados con la gestión del riesgo por parte de la Dirección de Servicio al Ciudadano. No obstante, en los soportes aportados no se identifica el contenido temático desarrollado</t>
  </si>
  <si>
    <t>Diseño ineficaz de controles de capacitación (R34 y R36) y permanencia de Riesgo Residual Alto</t>
  </si>
  <si>
    <t>https://drive.google.com/drive/folders/101N3cndLGNSLHhr1MuLS9_KVxWGM_IMD</t>
  </si>
  <si>
    <t>Auditoría al Cierre del Almacén (20250110045533)</t>
  </si>
  <si>
    <t>Ingreso a almacén sin aval técnico</t>
  </si>
  <si>
    <t>Modificar el procedimiento GAD-PR02 Entradas de Almacén en lo referente al traslado de bienes por reintegro al almacén, para dar claridad en el estado en el que se reciben los bienes y el motivo por el cual se devuelven al almacén</t>
  </si>
  <si>
    <t>https://drive.google.com/drive/u/0/folders/1xGZAWGLCxuk_KX3Z911GiScAe4_hqTRy</t>
  </si>
  <si>
    <t>Compras por caja menor no ingresadas al almacén</t>
  </si>
  <si>
    <t>1. Registrar la entrada al almacén de los toldos plegables</t>
  </si>
  <si>
    <t>https://drive.google.com/drive/u/0/folders/1NCoq6j59tDmQD0dvnAmNtia7Df4ZOGKA</t>
  </si>
  <si>
    <t xml:space="preserve">2. Generar campañas a través de los medios de comunicación internos y una capacitación en la cual se recuerde y refuercen las responsabilidades que deben tener los supervisores de los contratos y todos los trabajadores al momento de gestionar la adquisición de bienes  </t>
  </si>
  <si>
    <t>https://drive.google.com/drive/u/0/folders/104iUEjosT4F55Fv9qeOZBtjwKOBH0Aci</t>
  </si>
  <si>
    <t>Ajustar la fecha de implementación</t>
  </si>
  <si>
    <t>Entrega de bienes fuera de contrato</t>
  </si>
  <si>
    <t>1. Modificar el procedimiento GAD-PR03 Salidas de Almacén en lo referente a la salida de bienes para contratistas que identifique con claridad la pertinencia y validación de asignación y las responsabilidades.</t>
  </si>
  <si>
    <t>Equipos institucionales sin acta de devolución</t>
  </si>
  <si>
    <t xml:space="preserve">1.	Generar una mesa de trabajo con la subgerencia jurídica y la dirección de Gestión Humana que permitan establecer parámetros sobre la asignación de inventarios a contratistas y trabajadores temporales </t>
  </si>
  <si>
    <t>SUB GERENCIA JURÍDICA
SUB GERENCIA CORPORATIVA
SUB GERENCIA DE SERVICIOS OPERACIONALES E INFRAESTRUCTURA</t>
  </si>
  <si>
    <t>https://drive.google.com/drive/u/0/folders/1pak-yGsM7YD3nj2_5tOqdbWyAWLOsdgd</t>
  </si>
  <si>
    <t>2.	Modificar el procedimiento GAD-PR03 Salidas de Almacén en lo referente a la salida de bienes, su control y devolución a la terminación del contrato.</t>
  </si>
  <si>
    <t>Falta de lineamientos para inventario de consumo controlado</t>
  </si>
  <si>
    <t>Modificar el procedimiento GAD-PR06 Toma física de inventarios en lo referente a la inclusión de los bienes de consumo controlado para su verificación y responsabilidad de la tenencia de los bienes.</t>
  </si>
  <si>
    <t>https://drive.google.com/drive/u/0/folders/1ycH8l-Qu3iRFCl4G6XlQIlH8MybQpZeQ</t>
  </si>
  <si>
    <t>Auditoría Gobierno Corporativo, Transparencia y Conflicto de Intereses (20250110041653)</t>
  </si>
  <si>
    <t xml:space="preserve">Bajo nivel de cumplimiento del PTEP 2025 </t>
  </si>
  <si>
    <r>
      <rPr>
        <b/>
        <sz val="9"/>
        <color theme="1"/>
        <rFont val="Arial"/>
        <family val="2"/>
      </rPr>
      <t>Hallazgo 1:</t>
    </r>
    <r>
      <rPr>
        <sz val="9"/>
        <color theme="1"/>
        <rFont val="Arial"/>
        <family val="2"/>
      </rPr>
      <t xml:space="preserve"> Se revisó el cumplimiento del Programa de Transparencia y Ética Pública (PTEP 2025) conforme a lo establecido en el Decreto 1122 de 2024 y el Anexo Técnico v1 (30.08.2024) de la Secretaría de Transparencia, verificando la ejecución de los componentes transversal y programático. (...)</t>
    </r>
  </si>
  <si>
    <t>1. Identificar en el anexo técnico los requerimientos a cumplir frente al documento del PTEP con el fin de cerrar las brechas y elaborar plan de mejoras a realizar en el documento.</t>
  </si>
  <si>
    <t>https://drive.google.com/drive/u/0/folders/1_Y1Qq-J7-1PD82SzBiM-CtLDhfBaFiWz</t>
  </si>
  <si>
    <t>2. Realizar las mesas de trabajo con las áreas involucradas por cada componente.</t>
  </si>
  <si>
    <t>3. Definir indicadores y la instancia a la cual se le presenta el reporte.</t>
  </si>
  <si>
    <t>4. Actualizar el PTEP de acuerdo al resultado obtenido de las mesas.</t>
  </si>
  <si>
    <t>5. Socializar y operativizar el PTEP.</t>
  </si>
  <si>
    <t>6. Programar (como segunda línea de defensa) el monitoreo y verificación que los responsables de cada componente, esté cumpliendo con la ejecución de las acciones planteadas en el PTEP.</t>
  </si>
  <si>
    <t>Declaraciones de conflicto incompletas</t>
  </si>
  <si>
    <r>
      <rPr>
        <b/>
        <sz val="9"/>
        <color theme="1"/>
        <rFont val="Arial"/>
        <family val="2"/>
      </rPr>
      <t xml:space="preserve">Hallazgo 2: </t>
    </r>
    <r>
      <rPr>
        <sz val="9"/>
        <color theme="1"/>
        <rFont val="Arial"/>
        <family val="2"/>
      </rPr>
      <t xml:space="preserve">
Se revisó el cumplimiento del procedimiento DES-PR03 "Declaración de Conflicto de Intereses",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t>
    </r>
  </si>
  <si>
    <t>1. Actualizar el Procedimiento de Conflicto de intereses en: Definir roles y responsabilidaes en la recepción, almacenamiento, centralización y traslado de la declaración al Oficila de Cumplimiento y afinamiento de las responsabilidades del OC en seguimiento. Definir la periodicidad de seguimiento a las declaraciones por parte del personal responsable. Vuncular los lineamientos aplñicables del Decreto 46 de 2024 relacionado con el conflicto de intereses y la competencia de los administradores, y la aplicación del principio de deferencia al criterio empresarial.</t>
  </si>
  <si>
    <t>https://drive.google.com/drive/u/0/folders/1VhF8wPMaHy6ROGzSXGlcMyxb2BD0ki_t</t>
  </si>
  <si>
    <t>2. Realizar una campaña de comunicaciones en Conflicto de Intereses</t>
  </si>
  <si>
    <t>3. Capacitación en lineamientos en Conflicto de Intereses según responsabilidades del procedimiento.</t>
  </si>
  <si>
    <t>4. Definir el mecansmo y formalizar junto con la Dirección de Gestión Humana las funciones, rol y responsabilidades del Oficial de Cumplimient</t>
  </si>
  <si>
    <t>Incumplimiento en la gestión de las responsabilidades de los gestores de integridad</t>
  </si>
  <si>
    <t>1. Requerir al Líder de Gestores de Integridad y las evidencias de ejecución del Plan de Trabajo 2025.</t>
  </si>
  <si>
    <t>https://drive.google.com/drive/u/0/folders/1-wTHBAqsEvDtGobro6-Hp7NzPYFVnZTJ</t>
  </si>
  <si>
    <t xml:space="preserve">2. Socializar con los líderes el plan de trabajo de 2026 de las actividades en las cuales van a participar los Gestores de Integridad. </t>
  </si>
  <si>
    <t xml:space="preserve">3. Convocar a la Dirección de Gestión Humana para definir el cronograma de trabajo de la próxima vigencia, asegurando la alineación de objetivos. </t>
  </si>
  <si>
    <t xml:space="preserve">4. Realizar seguimiento al cumplimiento del plan de trabajo de gestores a cargo de Gestión Humana de manera Trimestral. </t>
  </si>
  <si>
    <t>5. Notificar a los jefes inmediatos sobre el nivel de cumplimiento y participación de sus colaboradores en las actividades del programa de Gestores de manera Trimestral.</t>
  </si>
  <si>
    <t>Código de Gobierno y Política de Integridad desactualizados</t>
  </si>
  <si>
    <t>1. Revisar y actualizar el Código de Gobierno Corporativo</t>
  </si>
  <si>
    <t>SUB GERENCIA JURÍDICA
SUB GERENCIA DE PLANEACIÓN Y PROYECTOS</t>
  </si>
  <si>
    <t>https://drive.google.com/drive/u/0/folders/1U9cTDhrtKysQ5qa8J1fASSnvtIJNxoAN</t>
  </si>
  <si>
    <t>2. Revisar y actualizar la Política de Integridad</t>
  </si>
  <si>
    <t>3. Socializar los documentos actualizados</t>
  </si>
  <si>
    <t>Auditoría AIU - Temporales (20250110024753)</t>
  </si>
  <si>
    <t>Debilidades en la estructuración del estudio de mercado</t>
  </si>
  <si>
    <t>Elaborar y formalizar un manual de gestión del mercado donde se definan los lineamientos técnicos para las invitaciones a cotizar y se establezcan todos los criterios y condiciones especiales que afecten la estructura de costos de las cotizaciones. Además, donde se establezcan mecanismos para consulta de bases de datos especializadas y datos históricos y adicionalmente, para garantizar la objetividad de la selección de la media estadística en casos donde la dispersión de datos sea aceptable, se establecerá un criterio de inspección aleatoria basado en la TRM (Tasa Representativa del Mercado).</t>
  </si>
  <si>
    <t>https://drive.google.com/drive/u/0/folders/1inuk8tfs9D8lcsOsSQKSJ3KvvdGewvdC</t>
  </si>
  <si>
    <t>Falta de pluralidad de oferentes</t>
  </si>
  <si>
    <t>1. Se establecen cartas de compromiso para vincular al equipo in-house según las necesidades de la Terminal. No se definirán perfiles específicos para garantizar la fluidez de los procesos técnicos</t>
  </si>
  <si>
    <t>https://drive.google.com/drive/u/0/folders/1SZOz7_bQnJfHSZOMUQ77rJ0rQ3vYcH3M</t>
  </si>
  <si>
    <t>Falta de justificación en variación del AIU</t>
  </si>
  <si>
    <t>1. Se excluyeron los factores de ponderación para evitar un impacto desproporcionado en los costos del AIU.
2. Se remite el registro histórico junto con el soporte técnico y los estudios de mercado, incluyendo la evaluación de los respectivos factores de ponderación.</t>
  </si>
  <si>
    <t>https://drive.google.com/drive/u/0/folders/16pTt49d0wXAja-8yOHagdYlsSNB9zBf1</t>
  </si>
  <si>
    <t>Estudios previos no publicados en SECOP II</t>
  </si>
  <si>
    <t>https://drive.google.com/drive/u/0/folders/1PM6mLhlu2J8WvSE4TXf9rD7Sdzamj72v</t>
  </si>
  <si>
    <t>Auditoría Evaluación al Ambiente de TI (20250110045483)</t>
  </si>
  <si>
    <t>Vulnerabilidad en gestión de credenciales (buzón compartido)</t>
  </si>
  <si>
    <t>Analizar la implementación de un Gestor de Identidad.</t>
  </si>
  <si>
    <t>https://drive.google.com/drive/folders/1Aalc93qFTu8ou5rg2A4V5o9Br1Bbctk8</t>
  </si>
  <si>
    <t>Obsolescencia de sistemas y brechas en el control de acceso</t>
  </si>
  <si>
    <t>1. Realizar un diagnóstico de la obsolescencia tecnológica de la empresa.</t>
  </si>
  <si>
    <t>https://drive.google.com/drive/folders/1rCSxB6vTAnnveo-Vo3MfMLSxbBj-y6hb</t>
  </si>
  <si>
    <t>2. Revisión de los usuarios con múltiples privilegios</t>
  </si>
  <si>
    <t>3. Realizar capacitación y concientización en riesgos de Ciberseguridad.</t>
  </si>
  <si>
    <t>4. Evaluar el alcance y cubrimiento de las Pólizas de Seguro para ataques cibernéticos.</t>
  </si>
  <si>
    <t>Auditoría – Investigación Interna – Queja recibida de la Oficina de Control Interno de la Secretaría Distrital de Movilidad (20250110037763)</t>
  </si>
  <si>
    <t>1. Elaborar un procedimiento donde se definan los criterios metodológicos estadísticos para el cálculo del presupuesto estimado en el estudio de mercado, fundamentada en la dispersión de los datos.</t>
  </si>
  <si>
    <t>https://drive.google.com/drive/u/0/folders/1NwxAaYlMjnpU9jD-vgxTURXIcxk5KBKD</t>
  </si>
  <si>
    <t>2. Modificar y actualizar el Formato GJC-FT09 Estudio de precios de mercado donde se incluirá una columna con el porcentaje de variación con respeto a la desviación estándar y una sección de sustento metodológico para el cálculo de precios, el método de dispersión y la herramienta estadística usada.</t>
  </si>
  <si>
    <t>https://drive.google.com/drive/u/0/folders/1QAWC1xBK1MWu3buPGEfeN0Hadjl9cS0v</t>
  </si>
  <si>
    <t>Vacío procedimental en metodología para ofertas bajas</t>
  </si>
  <si>
    <t>Seguimiento al Derecho de Petición
radicado 20250310114332</t>
  </si>
  <si>
    <t>Ausencia de claridad y fondo en respuesta a petición</t>
  </si>
  <si>
    <r>
      <rPr>
        <b/>
        <sz val="9"/>
        <color theme="1"/>
        <rFont val="Arial"/>
        <family val="2"/>
      </rPr>
      <t>Hallazgo 1:</t>
    </r>
    <r>
      <rPr>
        <sz val="9"/>
        <color theme="1"/>
        <rFont val="Arial"/>
        <family val="2"/>
      </rPr>
      <t xml:space="preserve"> la Terminal desconoció lo dispuesto por la Ley 1755 de 2015, artículo 13, la cual establece que las respuestas a los derechos de petición deben ser claras, precisas, congruentes y de fondo respecto de lo solicitado, pues La Terminal era competente para dar respuesta a la petición bajo estas condiciones. (...)</t>
    </r>
  </si>
  <si>
    <t xml:space="preserve">Crear una carpeta en la que se adjunta el correo enviado, con el compromiso de responder de forma clara, precisa, congruente y de fondo respecto de lo solicitado a los derechos de petición </t>
  </si>
  <si>
    <t>https://drive.google.com/drive/u/0/folders/1Eb62iNMgDQ2KP1hyEc0MISvM2yX6YT7x</t>
  </si>
  <si>
    <t>Incumplimiento de tiempos en traslado de PQRS</t>
  </si>
  <si>
    <r>
      <rPr>
        <b/>
        <sz val="9"/>
        <color theme="1"/>
        <rFont val="Arial"/>
        <family val="2"/>
      </rPr>
      <t>Hallazgo 2</t>
    </r>
    <r>
      <rPr>
        <sz val="9"/>
        <color theme="1"/>
        <rFont val="Arial"/>
        <family val="2"/>
      </rPr>
      <t>: De acuerdo con el Procedimiento “Servicio Atención a Usuarios: Quejas, Reclamos, Sugerencias, Felicitaciones y Solicitud de Información” – Código SAC-PR04, cuando se requiera generar un traslado con otra dependencia, entidad o empresa transportadora, este
debe realizarse dentro de un término máximo de cinco (5) días hábiles.
Sin embargo, se constató que el traslado efectuado por la Terminal se realizó en un lapso de doce (12) días hábiles, superando el plazo establecido.(...)</t>
    </r>
  </si>
  <si>
    <t>Crear una carpeta en la que se relacionarán los traslados por competencia, con el compromiso de tramitarlos dentro de un término máximo de cinco (5) días hábiles.</t>
  </si>
  <si>
    <t>https://drive.google.com/drive/u/0/folders/1tcvOo9S99q8p5l9ucOivESVwyDJEz92b</t>
  </si>
  <si>
    <t>Informe de Auditoría al Proceso Gestión de Parqueaderos en Vía (ZPP) 20260110007943</t>
  </si>
  <si>
    <t>Debilidades en el control de transporte y custodia de valores</t>
  </si>
  <si>
    <t xml:space="preserve">1. Ajustar el procedimiento para que definan un mismo monto máximo de custodia. </t>
  </si>
  <si>
    <t>https://drive.google.com/drive/u/0/folders/1YmSRhVyp56zmP55tOajgB5DZnGHgQvIL</t>
  </si>
  <si>
    <t xml:space="preserve">2. Realizar seguimiento con el supervisor del contrato de la empresa Temporal, sobre el cumplimiento del Procedimiento que debe tener en cuenta el personal responsable del recaudo de las Zonas de Parqueo Pago. </t>
  </si>
  <si>
    <t>Debilidades en las Especificacioens técnicas que limitan la verificación del contrato</t>
  </si>
  <si>
    <t>Fortalecer la revisión técnica en la etapa precontractual mediante la implementación de un diagnóstico que sirva como insumo para la elaboración de las especificaciones técnicas de modo que contengan criterios claros, medibles y verificables (ej. capacidad de carga, autonomía y condiciones de medición), previo a la aprobación de los procesos contractuales. Así mismo, socializar estos lineamientos con las áreas involucradas y dejar evidencia de su revisión.</t>
  </si>
  <si>
    <t>https://drive.google.com/drive/u/0/folders/1IJU0YkqOggF1VAdcLlnBLnsK0D0UuQeb</t>
  </si>
  <si>
    <t>Gastos no operativos y formatos no oficiales en caja menor</t>
  </si>
  <si>
    <t>1. Revisar y actualizar los lineamientos para el uso adecuado de la caja menor y la destinación de los rubros presupuestales.</t>
  </si>
  <si>
    <t>https://drive.google.com/drive/u/0/folders/16qvkhydmiQkZAHbIfaOnAEAokJbfYTBo</t>
  </si>
  <si>
    <t>2. Definir, unificar y formalizar los formatos de solicitud y legalización de recursos en el Sistema Integrado de Gestión (SIG).</t>
  </si>
  <si>
    <t>Inconsistencia entre procedimientos y operación actual</t>
  </si>
  <si>
    <r>
      <rPr>
        <b/>
        <sz val="9"/>
        <color theme="1"/>
        <rFont val="Arial"/>
        <family val="2"/>
      </rPr>
      <t>No Conformidad 4:</t>
    </r>
    <r>
      <rPr>
        <sz val="9"/>
        <color theme="1"/>
        <rFont val="Arial"/>
        <family val="2"/>
      </rPr>
      <t xml:space="preserve"> Se evidenció que los procedimientos ZPP-PR06 y ZPP- PR05 no reflejan la operación actual, manteniendo ubicaciones, de cajas fuertes y roles operativos que ya fueron modificados</t>
    </r>
  </si>
  <si>
    <t>Actualizar los procedimientos ZPP-PR05 y ZPP-PR06 conforme a la operación vigente, definiendo claramente los puntos autorizados de custodia del recaudo y socializando los cambios al personal operativo para asegurar su correcta aplicación.</t>
  </si>
  <si>
    <t>https://drive.google.com/drive/u/0/folders/1jkppab-HKEWxhEH7khu-BbiMW3UulEz_</t>
  </si>
  <si>
    <t>SUB GERENCIA DE SERVICIOS OPERACIONALES E INFRAESTRUCTURA
DIRECCIÓN DE SERVICIO AL TRANSPORTADOR</t>
  </si>
  <si>
    <t>La Dirección Financiera tiene definido el siguiente Control en la Matriz de Riesgo de la Empresa:  
 "Realizar mensualmente seguimiento al archivo en PDF -Planificación de Fechas Importantes Dirección Financiera- con las diferentes entidades externas y de control, con el fin de ser presentados oportunamente, teniendo en cuenta la revisión del planeador, las alertas emitidas por las diferentes entidades con sus vencimientos y los reportes de la informacion presentada." 
 Al revisar la efectividad del Control, se identificaron las siguientes deficiencias: 
1. Las actividades detalladas en la Planificación, no define claramente al responsable de la elaboracion, revisión y reporte, para cada una, especialemente las relacionadas con las obligaciones con entes de control.  
2. El personal de apoyo de las áreas operativas que gestionan información financiera, tales como: reconocimiento de ingresos, gastos o costos, no indica su responsabilidad respecto a los procesos  financieros. 
3. No hay evidencia del seguimiento a la Planificación Financiera, ni existen reportes a la subgerencia Corporativa informando situaciones que haya impactado su ejecución. 
4. No se relaciona los Comités a los cuales la Dirección Financiera participa y/o realiza rendición de cuentas. 
5. El seguimiento de las partidas Conciliatorias que surgen de los procesos operativos y/o de negocio no está centralizado en órgano de control para una gestión oportuna.</t>
  </si>
  <si>
    <t>Las Funciones del Profesional 4 de la Dirección Financiera, a cargo del proceso de Tesorería, fueron validadas a través del Manual de Funciones vigente GTSMN01 Versión 05 de 2023, observando que no ha presentado cambios  desde el año  2015 (Resolución 043 de 2015) al 30 de noviembre de 2024. 
Adicionalmente, se verificó en el Manual de Tesorería GAF - MN04 las Responsabilidades en el control y pago de las 
obligaciones financieras, definidas en el numeral 5.1 Bancos Cuentas, en el cual establece que debe "Verificar diariamente los movimientos y saldos de las cuentas bancarias".  
Al respecto, se evidenció que el control está definido en la matriz de riesgos, como se describe a continuación:  
"Revisar el estado diario de Tesorería en las plataformas de las entidades financieras y el reporte de cuentas por pagar en el sistema RSN con el fin de verificacion del disponible para efectuar el pago oportuno de las obligaciones de la entidad registrados en un comprobante de egreso y así evitar sanciones por su incumplimiento. " 
Se evidenció inefectividad del Control en el pago al no incluir la validación en las plataformas de los impuestos nacionales y distritales. Riesgo que se materializó en el año 2023 al pagar $4,597,000 por concepto de intereses a la DIAN por impuestos de Retención en la Fuente e IVA, evidenciando que se presentaron el 13 de marzo de 2023 pero el pago fue efectivo hasta el 21 de marzo del mismo año.</t>
  </si>
  <si>
    <t>Debilidades en la Integración de los aplicativos operativos con el aplicativo financiero RSN. 
Al respecto, se evidenciaron pruebas de seguridad relacionadas con: 
1) Integración con GOPETT 
2) Conexión para el aplicativo de ZPP por cambio de proveedor  
3) Integración parqueaderos Security Access 
Se ejecutaron en ambientes de pruebas asociadas a desarrollo seguro, sin embargo, no se evidenciaron las conclusiones ni las observaciones sobre dichas pruebas. 
En cuanto al correo reportado en el Registro de Información Tributaria (RIT) para los impuestos distritales que se declaran a la Secretaría Distrital de Hacienda, conforme a la información suministrada por la Dirección de Recursos Tecnológicos de L  Terminal, fue asignado a Ruth Fabiola González  quien se desempeñó como Jefe de la Oficina de Auditoría Interna entre los año 2014-2022, y debió ser asignado a la Dirección de Gestión Financiera. 
Si bien,  la Política de Seguridad de la Información no establece una responsabilidad en las plataformas externas, como son: la Dirección de Impuestos y Aduanas  Nacionales DIAN y la Secretaría de Hacienda del Distrito SHD, se debe definir el alcance y la documentación sobre la delegación de responsabilidades sobre este tipo de plataformas.</t>
  </si>
  <si>
    <r>
      <rPr>
        <b/>
        <sz val="9"/>
        <color theme="1"/>
        <rFont val="Arial"/>
        <family val="2"/>
      </rPr>
      <t>Hallazgo No. 6:</t>
    </r>
    <r>
      <rPr>
        <sz val="9"/>
        <color theme="1"/>
        <rFont val="Arial"/>
        <family val="2"/>
      </rPr>
      <t xml:space="preserve"> Uso de formato operativo no incluido en el procedimiento Situación encontrada: Durante la prueba de recorrido realizada el 16 de abril de 2025, en el marco de un operativo de control externo, se evidenció que el equipo operativo utiliza de manera habitual el formato SAT-FT07 para registrar las infracciones de los buses detenidos. Sin embargo, al realizar la revisión documental, se identificó que: • El formato SAT-FT07 no está publicado en el Sistema Integrado de Gestión (SIG). Y tampoco se encuentra enunciado en el procedimiento SOF-PR01 (versión de abril de 2023) “Operativos de Control Externo” no incluye ninguna referencia a este formato como parte de los documentos aplicables al proceso</t>
    </r>
  </si>
  <si>
    <r>
      <rPr>
        <b/>
        <sz val="9"/>
        <color theme="1"/>
        <rFont val="Arial"/>
        <family val="2"/>
      </rPr>
      <t xml:space="preserve">Hallazgo 1. </t>
    </r>
    <r>
      <rPr>
        <sz val="9"/>
        <color theme="1"/>
        <rFont val="Arial"/>
        <family val="2"/>
      </rPr>
      <t>Se identificó eliminación de 26 registros válidos en la depuración manual de la base del SDQS, sin trazabilidad ni validación, lo que pone en riesgo la integridad de la información y puede generar reportes inexactos a la Contraloría de Bogotá</t>
    </r>
  </si>
  <si>
    <r>
      <rPr>
        <b/>
        <sz val="9"/>
        <color theme="1"/>
        <rFont val="Arial"/>
        <family val="2"/>
      </rPr>
      <t>Hallazgo 2:</t>
    </r>
    <r>
      <rPr>
        <sz val="9"/>
        <color theme="1"/>
        <rFont val="Arial"/>
        <family val="2"/>
      </rPr>
      <t xml:space="preserve"> Disminución en la calidad de las respuestas a las peticiones ciudadanas (67% en el primer semestre de 2025 frente a 77% en 2024), pese a la implementación de acciones de mejora</t>
    </r>
  </si>
  <si>
    <r>
      <rPr>
        <b/>
        <sz val="9"/>
        <color theme="1"/>
        <rFont val="Arial"/>
        <family val="2"/>
      </rPr>
      <t>Hallazgo 3:</t>
    </r>
    <r>
      <rPr>
        <sz val="9"/>
        <color theme="1"/>
        <rFont val="Arial"/>
        <family val="2"/>
      </rPr>
      <t xml:space="preserve"> No se formuló plan de acción para atender el resultado de la encuesta de satisfacciónrelacionado con la atención de los taquilleros y conductores, ni se evidenció seguimiento por parte de la Dirección de Servicio al Ciudadano y la Subgerencia de Planeación y Proyectos</t>
    </r>
  </si>
  <si>
    <r>
      <rPr>
        <b/>
        <sz val="9"/>
        <color theme="1"/>
        <rFont val="Arial"/>
        <family val="2"/>
      </rPr>
      <t>Hallazgo 4:</t>
    </r>
    <r>
      <rPr>
        <sz val="9"/>
        <color theme="1"/>
        <rFont val="Arial"/>
        <family val="2"/>
      </rPr>
      <t xml:space="preserve"> Seguimiento de peticiones centrado en tiempos de respuesta, sin incluir el análisis cualitativo de la información (causas de las peticiones) ni la articulación con las áreas responsables</t>
    </r>
  </si>
  <si>
    <r>
      <rPr>
        <b/>
        <sz val="9"/>
        <color theme="1"/>
        <rFont val="Arial"/>
        <family val="2"/>
      </rPr>
      <t xml:space="preserve">Hallazgo 5: </t>
    </r>
    <r>
      <rPr>
        <sz val="9"/>
        <color theme="1"/>
        <rFont val="Arial"/>
        <family val="2"/>
      </rPr>
      <t>Se evidenció que los operarios de los Parqueaderos Fuera de Vía, vinculados mediante el contrato TT-214-2024, no cuentan con certificación como Primer Respondiente por la Secretaría Distrital de Salud, conforme al instructivo SAC- IN05</t>
    </r>
  </si>
  <si>
    <r>
      <rPr>
        <b/>
        <sz val="9"/>
        <color theme="1"/>
        <rFont val="Arial"/>
        <family val="2"/>
      </rPr>
      <t>Hallazgo 6:</t>
    </r>
    <r>
      <rPr>
        <sz val="9"/>
        <color theme="1"/>
        <rFont val="Arial"/>
        <family val="2"/>
      </rPr>
      <t xml:space="preserve"> Durante las visitas de inspección realizadas en octubre de 2025, se identificaron elementos vencidos y ausencia de solución salina en algunos botiquines; además, el contrato TT-177-2024 finalizó sin continuidad del servicio</t>
    </r>
  </si>
  <si>
    <r>
      <rPr>
        <b/>
        <sz val="9"/>
        <color theme="1"/>
        <rFont val="Arial"/>
        <family val="2"/>
      </rPr>
      <t xml:space="preserve">Hallazgo 7: </t>
    </r>
    <r>
      <rPr>
        <sz val="9"/>
        <color theme="1"/>
        <rFont val="Arial"/>
        <family val="2"/>
      </rPr>
      <t>En la plataforma SECOP II no se encontraron cargados los informes de supervisión del Contrato TT-177-2024, pese a que se realizaron ocho pagos</t>
    </r>
  </si>
  <si>
    <r>
      <rPr>
        <b/>
        <sz val="9"/>
        <color theme="1"/>
        <rFont val="Arial"/>
        <family val="2"/>
      </rPr>
      <t>Hallazgo 8:</t>
    </r>
    <r>
      <rPr>
        <sz val="9"/>
        <color theme="1"/>
        <rFont val="Arial"/>
        <family val="2"/>
      </rPr>
      <t xml:space="preserve"> Falta de trazabilidad de las evidencias de los controles(R35, R36 y R37), y debilidades en la formalización de las instrucciones de custodia en la Política de Gestión del Riesgo (GMC-PO01) por parte de la Subgerencia de Planeación y Proyectos</t>
    </r>
  </si>
  <si>
    <r>
      <rPr>
        <b/>
        <sz val="9"/>
        <color theme="1"/>
        <rFont val="Arial"/>
        <family val="2"/>
      </rPr>
      <t>Hallazgo 9:</t>
    </r>
    <r>
      <rPr>
        <sz val="9"/>
        <color theme="1"/>
        <rFont val="Arial"/>
        <family val="2"/>
      </rPr>
      <t xml:space="preserve"> Diseño débil de controles de capacitación (R34 y R36). Son ineficaces por falta de contenido específico y/o desconexión con causas operativas, manteniendo el Riesgo Residual Alto</t>
    </r>
  </si>
  <si>
    <r>
      <rPr>
        <b/>
        <sz val="9"/>
        <color theme="1"/>
        <rFont val="Arial"/>
        <family val="2"/>
      </rPr>
      <t>No Conformidad 1:</t>
    </r>
    <r>
      <rPr>
        <sz val="9"/>
        <color theme="1"/>
        <rFont val="Arial"/>
        <family val="2"/>
      </rPr>
      <t xml:space="preserve"> Bienes reintegrados del contrato TT-99-2019 ingresaron al almacén sin soporte técnico del supervisor y sin lineamientos en el procedimiento de entrada al almacén</t>
    </r>
  </si>
  <si>
    <r>
      <rPr>
        <b/>
        <sz val="9"/>
        <color theme="1"/>
        <rFont val="Arial"/>
        <family val="2"/>
      </rPr>
      <t>No Conformidad 2:</t>
    </r>
    <r>
      <rPr>
        <sz val="9"/>
        <color theme="1"/>
        <rFont val="Arial"/>
        <family val="2"/>
      </rPr>
      <t xml:space="preserve"> Compra de 4 toldos plegables por caja menor no fue reportada ni registrada en el almacén, evidenciándose un bien sin placa ni control</t>
    </r>
  </si>
  <si>
    <r>
      <rPr>
        <b/>
        <sz val="9"/>
        <color theme="1"/>
        <rFont val="Arial"/>
        <family val="2"/>
      </rPr>
      <t>No Conformidad 3:</t>
    </r>
    <r>
      <rPr>
        <sz val="9"/>
        <color theme="1"/>
        <rFont val="Arial"/>
        <family val="2"/>
      </rPr>
      <t xml:space="preserve"> Bienes entregados al contratista TT-26-2025 sin estar previstos en el contrato ni contar con solicitud formal por parte del supervisor</t>
    </r>
  </si>
  <si>
    <r>
      <rPr>
        <b/>
        <sz val="9"/>
        <color theme="1"/>
        <rFont val="Arial"/>
        <family val="2"/>
      </rPr>
      <t xml:space="preserve">No Conformidad 4: </t>
    </r>
    <r>
      <rPr>
        <sz val="9"/>
        <color theme="1"/>
        <rFont val="Arial"/>
        <family val="2"/>
      </rPr>
      <t>Celulares institucionales continúan asignados a personas que ya no tienen vínculo laboral, y no se observó el acta de devolución</t>
    </r>
  </si>
  <si>
    <r>
      <rPr>
        <b/>
        <sz val="9"/>
        <color theme="1"/>
        <rFont val="Arial"/>
        <family val="2"/>
      </rPr>
      <t>Observación 5:</t>
    </r>
    <r>
      <rPr>
        <sz val="9"/>
        <color theme="1"/>
        <rFont val="Arial"/>
        <family val="2"/>
      </rPr>
      <t xml:space="preserve"> Bienes de consumo controlado no están incluidos en el alcance del procedimiento de toma física de inventarios</t>
    </r>
  </si>
  <si>
    <r>
      <rPr>
        <b/>
        <sz val="9"/>
        <color theme="1"/>
        <rFont val="Arial"/>
        <family val="2"/>
      </rPr>
      <t>Hallazgo 3:</t>
    </r>
    <r>
      <rPr>
        <sz val="9"/>
        <color theme="1"/>
        <rFont val="Arial"/>
        <family val="2"/>
      </rPr>
      <t xml:space="preserve">  Incumplimiento en la gestión de las responsabilidades de los gestores de integridad
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t>
    </r>
  </si>
  <si>
    <r>
      <rPr>
        <b/>
        <sz val="9"/>
        <color theme="1"/>
        <rFont val="Arial"/>
        <family val="2"/>
      </rPr>
      <t>Hallazgo 4:</t>
    </r>
    <r>
      <rPr>
        <sz val="9"/>
        <color theme="1"/>
        <rFont val="Arial"/>
        <family val="2"/>
      </rPr>
      <t xml:space="preserve">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t>
    </r>
  </si>
  <si>
    <r>
      <rPr>
        <b/>
        <sz val="9"/>
        <color theme="1"/>
        <rFont val="Arial"/>
        <family val="2"/>
      </rPr>
      <t>Hallazgo No. 1</t>
    </r>
    <r>
      <rPr>
        <sz val="9"/>
        <color theme="1"/>
        <rFont val="Arial"/>
        <family val="2"/>
      </rPr>
      <t>: Debilidades en la estructuración del estudio de mercado. Si bien, los estudios de mercado consideraron entre 5 a 9 cotizaciones por vigencia, se observó:
1. Debilidades en la remisión de las “invitaciones a cotizar” al no incluir algunos criterios específicos tales como: tipo de perfiles requeridos, tiempo y lugar para el desarrollo de las actividades, que podrían impactar en el valor de los servicios a cotizar.
2. En las conclusiones del estudio de mercado, el AIU de referencia se calculó con media aritmética y otros con media geométrica, sin registro de la justificación técnica para alternar entre estas metodologías</t>
    </r>
  </si>
  <si>
    <r>
      <rPr>
        <b/>
        <sz val="9"/>
        <color theme="1"/>
        <rFont val="Arial"/>
        <family val="2"/>
      </rPr>
      <t>Hallazgo No.2:</t>
    </r>
    <r>
      <rPr>
        <sz val="9"/>
        <color theme="1"/>
        <rFont val="Arial"/>
        <family val="2"/>
      </rPr>
      <t xml:space="preserve"> Falta de pluralidad de oferentes habilitados
En las vigencias 2020, 2021, 2022 y 2024, solo un oferente resultó
habilitado para la adjudicación contractual, luego de la evaluación en
modalidad -cumple/no cumple- para los requisitos habilitantes,
combinada con un plazo de subsanación de tres (3) días hábiles, lo
cual limitó significativamente la participación efectiva de otros
proponentes</t>
    </r>
  </si>
  <si>
    <r>
      <rPr>
        <b/>
        <sz val="9"/>
        <color theme="1"/>
        <rFont val="Arial"/>
        <family val="2"/>
      </rPr>
      <t>Hallazgo No. 3:</t>
    </r>
    <r>
      <rPr>
        <sz val="9"/>
        <color theme="1"/>
        <rFont val="Arial"/>
        <family val="2"/>
      </rPr>
      <t xml:space="preserve"> Aumento significativo del AIU contratado entre las vigencias 2021 y
2022 sin análisis técnico que lo justifique:
Se evidenció un incremento del AIU contratado del 6,00 % en 2021
al 12,70 % en 2022, lo que representa un aumento del 111,67 %
entre vigencias consecutivas. Este incremento no está sustentado
en un análisis técnico de costo-beneficio ni en una justificación
asociada a los factores económicos, operativos o contractuales que
expliquen tal variación</t>
    </r>
  </si>
  <si>
    <r>
      <rPr>
        <b/>
        <sz val="9"/>
        <color theme="1"/>
        <rFont val="Arial"/>
        <family val="2"/>
      </rPr>
      <t>Hallazgo No. 4:</t>
    </r>
    <r>
      <rPr>
        <sz val="9"/>
        <color theme="1"/>
        <rFont val="Arial"/>
        <family val="2"/>
      </rPr>
      <t xml:space="preserve"> Falta de publicación del documento de estudios previos del proceso contractual de la vigencia 2021 en la plataforma
SECOP II: No se encontró cargado en la plataforma SECOP II el documento de estudios previos correspondiente al proceso de contratación adelantado en la vigencia 2021 para la selección de la empresa de servicios temporales</t>
    </r>
  </si>
  <si>
    <r>
      <rPr>
        <b/>
        <sz val="9"/>
        <color theme="1"/>
        <rFont val="Arial"/>
        <family val="2"/>
      </rPr>
      <t>Hallazgo 1:</t>
    </r>
    <r>
      <rPr>
        <sz val="9"/>
        <color theme="1"/>
        <rFont val="Arial"/>
        <family val="2"/>
      </rPr>
      <t xml:space="preserve">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t>
    </r>
  </si>
  <si>
    <r>
      <rPr>
        <b/>
        <sz val="9"/>
        <color theme="1"/>
        <rFont val="Arial"/>
        <family val="2"/>
      </rPr>
      <t>Hallazgo 2:</t>
    </r>
    <r>
      <rPr>
        <sz val="9"/>
        <color theme="1"/>
        <rFont val="Arial"/>
        <family val="2"/>
      </rPr>
      <t xml:space="preserve">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"Toma de Backup" (FTI-MN05) incluye procedimientos y capturas de pantalla que hacen referencia explícita a Windows 2000, un sistema operativo con más de dos décadas de antigüedad y cuyo soporte finalizó en 2010.
Adicionalmente, se identificó ausencia de un modelo de control de acceso basado en roles (RBAC), la asignación masiva e indiscriminada de privilegios excesivos a un gran número de usuarios y una documentada falta de supervisión y revisión periódica de dichos accesos.
Los controles definidos en los procedimientos  presentan diferencias respecto a los documentados en las configuraciones y en la práctica operativa</t>
    </r>
  </si>
  <si>
    <r>
      <rPr>
        <b/>
        <sz val="9"/>
        <color theme="1"/>
        <rFont val="Arial"/>
        <family val="2"/>
      </rPr>
      <t>Hallazgo 1:</t>
    </r>
    <r>
      <rPr>
        <sz val="9"/>
        <color theme="1"/>
        <rFont val="Arial"/>
        <family val="2"/>
      </rPr>
      <t xml:space="preserve">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t>
    </r>
  </si>
  <si>
    <r>
      <rPr>
        <b/>
        <sz val="9"/>
        <color theme="1"/>
        <rFont val="Arial"/>
        <family val="2"/>
      </rPr>
      <t>Hallazgo 2:</t>
    </r>
    <r>
      <rPr>
        <sz val="9"/>
        <color theme="1"/>
        <rFont val="Arial"/>
        <family val="2"/>
      </rPr>
      <t xml:space="preserve">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t>
    </r>
  </si>
  <si>
    <r>
      <rPr>
        <b/>
        <sz val="9"/>
        <color theme="1"/>
        <rFont val="Arial"/>
        <family val="2"/>
      </rPr>
      <t>No Conformidad 1:</t>
    </r>
    <r>
      <rPr>
        <sz val="9"/>
        <color theme="1"/>
        <rFont val="Arial"/>
        <family val="2"/>
      </rPr>
      <t xml:space="preserve"> Se evidenció que un trabajador transportó y custodió recaudos por fuera de los puntos, tiempos y montos autorizados (hasta $2.000.000), incumpliendo el Procedimiento ZPP-PR05. Asimismo, el procedimiento y la matriz de riesgos definen montos máximos de custodia diferentes, generando debilidades en la aplicación del control del recaudo</t>
    </r>
  </si>
  <si>
    <r>
      <rPr>
        <b/>
        <sz val="9"/>
        <color theme="1"/>
        <rFont val="Arial"/>
        <family val="2"/>
      </rPr>
      <t>No Conformidad 2:</t>
    </r>
    <r>
      <rPr>
        <sz val="9"/>
        <color theme="1"/>
        <rFont val="Arial"/>
        <family val="2"/>
      </rPr>
      <t xml:space="preserve"> Se evidenció falta de precisión y definición expresa en las especificaciones técnicas del Contrato TT-164-2022 frente a la capacidad de carga y autonomía de los vehículos, dejando abierta su interpretación y limitando la verificación objetiva del cumplimiento</t>
    </r>
  </si>
  <si>
    <r>
      <rPr>
        <b/>
        <sz val="9"/>
        <color theme="1"/>
        <rFont val="Arial"/>
        <family val="2"/>
      </rPr>
      <t>No Conformidad 3:</t>
    </r>
    <r>
      <rPr>
        <sz val="9"/>
        <color theme="1"/>
        <rFont val="Arial"/>
        <family val="2"/>
      </rPr>
      <t xml:space="preserve"> Se evidenció el uso de recursos de caja menor para un gasto no operativo (celebración), contrario a la destinación establecida en la Resolución 12 de 2025, así como inconsistencias y uso de formatos no formalizados en la solicitud y legalización de recursos, generando debilidades en la estandarización y control documental del proceso</t>
    </r>
  </si>
  <si>
    <t>OFICIAL DE CUMPLIMIENTO
DIRECCIÓN DE GESTIÓN HUMANA</t>
  </si>
  <si>
    <t>Plan Auditoría</t>
  </si>
  <si>
    <t>No. Hallazgos</t>
  </si>
  <si>
    <t>No. Planes de Acción</t>
  </si>
  <si>
    <t>Abiertos</t>
  </si>
  <si>
    <t>Finalizados</t>
  </si>
  <si>
    <t>Vencidos</t>
  </si>
  <si>
    <t xml:space="preserve">Alto </t>
  </si>
  <si>
    <t>Solicitar a  los Líderes de cada área responsable de plataformas externas la entrega en sobre sellado del usuario y contraseña de acceso a cada plataforma al área de tecnología y esta a su vez hará la oficialización a través del protocolo de resguardo en caja fuerte de esta información  como lo indica la política de seguridad de la información numeral 10.3.3</t>
  </si>
  <si>
    <t>Alerta 10 días</t>
  </si>
  <si>
    <t>Alerta 20 días</t>
  </si>
  <si>
    <t>Alerta 30 días</t>
  </si>
  <si>
    <t>Suma de No. Planes de Acción</t>
  </si>
  <si>
    <t>Suma de No. Hallazgos</t>
  </si>
  <si>
    <t>Suma de Abiertos</t>
  </si>
  <si>
    <t>Suma de Finalizados</t>
  </si>
  <si>
    <t>Suma de Vencidos</t>
  </si>
  <si>
    <t>Suma de Sin plan de acción</t>
  </si>
  <si>
    <t xml:space="preserve">Suma de Alto </t>
  </si>
  <si>
    <t>Suma de Medio</t>
  </si>
  <si>
    <t>Suma de Bajo</t>
  </si>
  <si>
    <t>Valores</t>
  </si>
  <si>
    <t>Suma de Alerta 10 días</t>
  </si>
  <si>
    <t>Suma de Alerta 20 días</t>
  </si>
  <si>
    <t>Suma de Alerta 30 días</t>
  </si>
  <si>
    <t>Se identificó que el abogado contratista Omar Arturo Calderón Zaque, con número de contrato TT-171-2024 se apartó del proceso de selección TT-SPO-08-2024 sin previa confirmación de la decisión por parte del supervisor del contrato (Dirección de Gestión Humana).  (...)</t>
  </si>
  <si>
    <t>Inconsistencia en los criterios de ponderación de experiencia adicional respecto a procesos de objeto similar.</t>
  </si>
  <si>
    <t>Desalineación en la vigencia de la garantía de Responsabilidad Civil Extracontractual frente al plazo de ejecución contractual.</t>
  </si>
  <si>
    <t>Insuficiencia en el amparo de riesgos de la Garantía Única del Contrato TT-194-2024.</t>
  </si>
  <si>
    <t>Incumplimiento de los Acuerdos de Niveles de Servicio (ANS) en el pago de nómina del contrato TT-214-2024.</t>
  </si>
  <si>
    <t>Incumplimiento del principio de publicidad y transparencia por falta de cargue de informes de ejecución en SECOP II.</t>
  </si>
  <si>
    <t>Deficiencias en el diseño y ejecución del control de seguimiento a la Planificación Financiera y Entes de Control.</t>
  </si>
  <si>
    <t>Inconsistencia en la determinación del destino económico y aplicación de tarifa impositiva del predio CHIP AAA0077FYUH.</t>
  </si>
  <si>
    <t>Inefectividad del control de tesorería y materialización de riesgos por pago extemporáneo de obligaciones tributarias.</t>
  </si>
  <si>
    <t>Debilidades en el control de integraciones operativas y falta de formalidad en la gestión de accesos a plataformas tributarias.</t>
  </si>
  <si>
    <t>Incumplimiento en la ejecución de la reinversión del 1% y falta de evidencia en la entrega de bienes del Plan de Bienestar del Contrato TT-135-2023.</t>
  </si>
  <si>
    <t>Incumplimiento de los términos legales y contractuales para la liquidación del Contrato TT-67-2022.</t>
  </si>
  <si>
    <t>Total general</t>
  </si>
  <si>
    <t>Área Responsable</t>
  </si>
  <si>
    <t>Total Planes de Acción</t>
  </si>
  <si>
    <t>Abierto en término</t>
  </si>
  <si>
    <t>Vencido</t>
  </si>
  <si>
    <t>Finalizado</t>
  </si>
  <si>
    <t>Dirección de Gestión Financiera</t>
  </si>
  <si>
    <t>Dirección de Gestión Humana</t>
  </si>
  <si>
    <t>Dirección de Infraestructura</t>
  </si>
  <si>
    <t>Dirección de Recursos Físicos y Negocios</t>
  </si>
  <si>
    <t>Dirección de Recursos Tecnológicos</t>
  </si>
  <si>
    <t>Dirección de Servicio al Ciudadano</t>
  </si>
  <si>
    <t>Oficina de Comunicaciones</t>
  </si>
  <si>
    <t>Sub Gerencia de Planeación y Proyectos</t>
  </si>
  <si>
    <t>Total General</t>
  </si>
  <si>
    <t>Etiquetas de fila</t>
  </si>
  <si>
    <t>Sin Definir</t>
  </si>
  <si>
    <t>Dirección de Servicio al Transportador</t>
  </si>
  <si>
    <t>Sub Gerencia Corporativa</t>
  </si>
  <si>
    <t>Sub Gerencia de Servicios Operacionales e Infraestructura</t>
  </si>
  <si>
    <t>Sub Gerencia Jurídica</t>
  </si>
  <si>
    <t>Tabla 1: Planes de Acción por Responsable</t>
  </si>
  <si>
    <t>Dirección de Recursos Físicos y Negocios
Dirección de Servicio al Ciudadano</t>
  </si>
  <si>
    <t>Dirección de Recursos Físicos y Negocios
Dirección de Servicio al Ciudadano
Sub Gerencia de Planeación y Proyectos
Dirección de Gestión Financiera</t>
  </si>
  <si>
    <t>Dirección de Servicio al Ciudadano
Sub Gerencia de Planeación y Proyectos</t>
  </si>
  <si>
    <t>Oficial de Cumplimiento
Dirección de Gestión Humana</t>
  </si>
  <si>
    <t>Sub Gerencia Corporativa
Sub Gerencia de Planeación y Proyectos</t>
  </si>
  <si>
    <t>Sub Gerencia de Servicios Operacionales e Infraestructura
Dirección de Recursos Tecnológicos</t>
  </si>
  <si>
    <t>Sub Gerencia de Servicios Operacionales e Infraestructura
Dirección de Servicio al Transportador</t>
  </si>
  <si>
    <t>Sub Gerencia de Planeación y Proyectos
Sub Gerencia Jurídica</t>
  </si>
  <si>
    <t>Sub Gerencia Jurídica
Sub Gerencia Corporativa
Sub Gerencia de Servicios Operacionales e Infraestructura</t>
  </si>
  <si>
    <t>El total de Planes de Acción es la suma de laTabla 1: Planes de Acción por Responsable y la Tabla 2: Planes de Acción por Responsable compartido</t>
  </si>
  <si>
    <t>Tabla 2: Planes de Acción por Responsable compartido</t>
  </si>
  <si>
    <t>Programa de Auditoría</t>
  </si>
  <si>
    <t xml:space="preserve">Nombre de la Auditoría </t>
  </si>
  <si>
    <t>Total Hallazgos</t>
  </si>
  <si>
    <t>Seguimiento al Derecho de Petición 20250310114332</t>
  </si>
  <si>
    <t>Tabla 3: Planes de Acción por Auditoría</t>
  </si>
  <si>
    <t>Alerta 5 días</t>
  </si>
  <si>
    <t>Suma de Alerta 5 días</t>
  </si>
  <si>
    <t>Cierre
DD/MM/AA2</t>
  </si>
  <si>
    <t>fecha</t>
  </si>
  <si>
    <t>Hora</t>
  </si>
  <si>
    <t>Hoja</t>
  </si>
  <si>
    <t>Celda</t>
  </si>
  <si>
    <t>Antes</t>
  </si>
  <si>
    <t>Después</t>
  </si>
  <si>
    <t>Gráficas</t>
  </si>
  <si>
    <t>Tablas informes</t>
  </si>
  <si>
    <t xml:space="preserve">Correo Responsable </t>
  </si>
  <si>
    <t>miguel.salina@terminaldetransporte.gov.co</t>
  </si>
  <si>
    <t>linda.florez@terminaldetransporte.gov.co</t>
  </si>
  <si>
    <t>carolina.bueno@terminaldetransporte.gov.co,paola.copete@terminaldetransporte.gov.co</t>
  </si>
  <si>
    <t>julio.mosquera@terminaldetransporte.gov.co,javier.veloza@terminaldetransporte.gov.co</t>
  </si>
  <si>
    <t>sandra.lesmes@terminaldetransporte.gov.co</t>
  </si>
  <si>
    <t>julio.mosquera@terminaldetransporte.gov.co</t>
  </si>
  <si>
    <t>SUB GERENCIA DE SERVICIOS OPERACIONALES E INFRAESTRUCTURADIRECCIÓN DE RECURSOS TECNOLÓGICOS</t>
  </si>
  <si>
    <t>Se envía docuemntos a Maryuri para su aprobación</t>
  </si>
  <si>
    <t>carolina.bueno@terminaldetransporte.gov.co,paola.copete@terminaldetransporte.gov.co,jenny.gomez@terminaldetransporte.gov.co</t>
  </si>
  <si>
    <t>carolina.bueno@terminaldetransporte.gov.co,paola.copete@terminaldetransporte.gov.co,paola.copete@terminaldetransporte.gov.co,jenny.gomez@terminaldetransporte.gov.co</t>
  </si>
  <si>
    <t>Incluir Plan de acción que ya se envío pedir a felipe, de acuerdo al reporte se cierra</t>
  </si>
  <si>
    <t>linda.florez@terminaldetransporte.gov.co,jeimmy.torres@terminaldetransporte.gov.co</t>
  </si>
  <si>
    <t>linda.florez@terminaldetransporte.gov.co,maryuri.zabala@terminaldetransporte.gov.co,jeimmy.torres@terminaldetransporte.gov.co</t>
  </si>
  <si>
    <t>Falta de publicación de otrosí 3 e informes de supervisión en SECOP Il</t>
  </si>
  <si>
    <t>leonardo.vasquez@terminaldetransporte.gov.co,javier.veloza@terminaldetransporte.gov.co,andrea.lievano@terminaldetransporte.gov.co,gerson.lugo@terminaldetransporte.gov.co</t>
  </si>
  <si>
    <t>leonardo.vasquez@terminaldetransporte.gov.co,javier.veloza@terminaldetransporte.gov.co,andrea.lievano@terminaldetransporte.gov.cogerson.lugo@terminaldetransporte.gov.co</t>
  </si>
  <si>
    <t>manuel.cifuentes@terminaldetransporte.gov.co,edgar.ortiz@terminaldetransporte.gov.co</t>
  </si>
  <si>
    <t>manuel.cifuentes@terminaldetransporte.gov.co,edgar.ortiz@terminaldetransporte.gov.co,paola.copete@terminaldetransporte.gov.co,jenny.gomez@terminaldetransporte.gov.co,carolina.bueno@terminaldetransporte.gov.co</t>
  </si>
  <si>
    <t>Se justifica la no inscripción ante el SUIT mediante Respuesta del Departamento Administrativo de la Función Pública - DAFP</t>
  </si>
  <si>
    <t>carolina.bueno@terminaldetransporte.gov.co,paola.copete@terminaldetransporte.gov.co,paola.copete@terminaldetransporte.gov.co,maryuri.zabala@terminaldetransporte.gov.co,jenny.gomez@terminaldetransporte.gov.co,estefania.guzman@terminaldetransporte.gov.co</t>
  </si>
  <si>
    <t>sandra.lesmes@terminaldetransporte.gov.co,estefania.guzman@terminaldetransporte.gov.co,maryuri.zabala@terminaldetransporte.gov.co</t>
  </si>
  <si>
    <t>juan.alviz@terminaldetransporte.gov.co,sandra.lesmes@terminaldetransporte.gov.co,maryuri.zabala@terminaldetransporte.gov.coestefania.guzman@terminaldetransporte.gov.co</t>
  </si>
  <si>
    <t>juan.alviz@terminaldetransporte.gov.co,sandra.lesmes@terminaldetransporte.gov.co,estefania.guzman@terminaldetransporte.gov.co</t>
  </si>
  <si>
    <t>oscar.garzon@terminaldetransporte.gov.co,eduardo.gonzalez@terminaldetransporte.gov.co,manuel.santamaria@terminaldetransporte.gov.co</t>
  </si>
  <si>
    <t xml:space="preserve">Establecer en los pliegos de condiciones y/o invitaciones a ofertar la utilización de una formula única para identificar ofertas con presuntos precios artificialmente bajos </t>
  </si>
  <si>
    <t>Establecer flujos de aprobación en la plataforma SECOP II con el fin de garantizar el cargue correcto de la documentación necesaria para adelantar los procesos de selección de la empresa</t>
  </si>
  <si>
    <t>juan.alviz@terminaldetransporte.gov.co,carlos.salcedo@terminaldetransporte.gov.co,omar.gamboa@terminaldetransporte.gov.co</t>
  </si>
  <si>
    <t>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t>
  </si>
  <si>
    <t>finalizada</t>
  </si>
  <si>
    <t>Se envían los documentos  el correo</t>
  </si>
  <si>
    <t>Cargar los informes del contratista y el diagnostico inicial</t>
  </si>
  <si>
    <t>julio.mosquera@terminaldetransporte.gov.co,Jesus.duarte@terminaldetransporte.gov.co,marcela.angarita@terminaldetransporte.gov.co</t>
  </si>
  <si>
    <t>andres.panqueva@terminaldetransporte.gov.co,christian.pardo@terminaldetransporte.gov.co</t>
  </si>
  <si>
    <t>Fecha de cierre Auditoría</t>
  </si>
  <si>
    <t>Mes</t>
  </si>
  <si>
    <t>Número</t>
  </si>
  <si>
    <t>Enero</t>
  </si>
  <si>
    <t>Febrero</t>
  </si>
  <si>
    <t>Marzo</t>
  </si>
  <si>
    <t>Abril</t>
  </si>
  <si>
    <t>Mayo</t>
  </si>
  <si>
    <t>Junio</t>
  </si>
  <si>
    <t>Meses (Fecha de cierre Auditoría)</t>
  </si>
  <si>
    <t>Días (Fecha de cierre Auditoría)</t>
  </si>
  <si>
    <t>&lt;1/01/2026</t>
  </si>
  <si>
    <t>Auditor Responsable</t>
  </si>
  <si>
    <t>Felipe</t>
  </si>
  <si>
    <r>
      <rPr>
        <b/>
        <sz val="9"/>
        <color theme="1"/>
        <rFont val="Arial"/>
        <family val="2"/>
      </rPr>
      <t>Hallazgo 5:</t>
    </r>
    <r>
      <rPr>
        <sz val="9"/>
        <color theme="1"/>
        <rFont val="Arial"/>
        <family val="2"/>
      </rPr>
      <t xml:space="preserve"> Dentro del ejercicio de prórroga de los contratos adelantados por La Terminal de Transporte a 31 de diciembre de 2024, se evidenció que el formato GAF-FT36 “Solicitud y autorización de CDP” Versión No. 7, no incluye el código del rubro presupuestal, ni el código del Centro de Costos, lo cual es un requisito para la aprobación por parte de la Subgerencia Corporativa.</t>
    </r>
  </si>
  <si>
    <t>Eduardo</t>
  </si>
  <si>
    <t>ID</t>
  </si>
  <si>
    <t/>
  </si>
  <si>
    <t>Hallazgo 1: Se revisó el cumplimiento del Programa de Transparencia y Ética Pública (PTEP 2025) conforme a lo establecido en el Decreto 1122 de 2024 y el Anexo Técnico v1 (30.08.2024) de la Secretaría de Transparencia, verificando la ejecución de los componentes transversal y programático. (...)</t>
  </si>
  <si>
    <t>Hallazgo 2: 
Se revisó el cumplimiento del procedimiento DES-PR03 "Declaración de Conflicto de Intereses",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t>
  </si>
  <si>
    <t>Hallazgo 3:  Incumplimiento en la gestión de las responsabilidades de los gestores de integridad
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t>
  </si>
  <si>
    <t>Hallazgo 4: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t>
  </si>
  <si>
    <t>Hallazgo No. 1: Debilidades en la estructuración del estudio de mercado. Si bien, los estudios de mercado consideraron entre 5 a 9 cotizaciones por vigencia, se observó:
1. Debilidades en la remisión de las “invitaciones a cotizar” al no incluir algunos criterios específicos tales como: tipo de perfiles requeridos, tiempo y lugar para el desarrollo de las actividades, que podrían impactar en el valor de los servicios a cotizar.
2. En las conclusiones del estudio de mercado, el AIU de referencia se calculó con media aritmética y otros con media geométrica, sin registro de la justificación técnica para alternar entre estas metodologías</t>
  </si>
  <si>
    <t>Hallazgo 1: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t>
  </si>
  <si>
    <t>Hallazgo 2: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t>
  </si>
  <si>
    <t>DatosExternos_1: Importando datos...</t>
  </si>
  <si>
    <t>pub_output=csv (2)</t>
  </si>
  <si>
    <t>$A$1</t>
  </si>
  <si>
    <t>Hallazgo 1: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t>
  </si>
  <si>
    <t>Hallazgo 2: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"Toma de Backup" (FTI-MN05) incluye procedimientos y capturas de pantalla que hacen referencia explícita a Windows 2000, un sistema operativo con más de dos décadas de antigüedad y cuyo soporte finalizó en 2010.
Adicionalmente, se identificó ausencia de un modelo de control de acceso basado en roles (RBAC), la asignación masiva e indiscriminada de privilegios excesivos a un gran número de usuarios y una documentada falta de supervisión y revisión periódica de dichos accesos.
Los controles definidos en los procedimientos  presentan diferencias respecto a los documentados en las configuraciones y en la práctica operativa</t>
  </si>
  <si>
    <t>Base de datos</t>
  </si>
  <si>
    <t>$F$30</t>
  </si>
  <si>
    <t>$I$30</t>
  </si>
  <si>
    <t>$L$30</t>
  </si>
  <si>
    <t>ssssss</t>
  </si>
  <si>
    <t>Hoja1</t>
  </si>
  <si>
    <t>sssssss</t>
  </si>
  <si>
    <t>ffffffffffffffffffffffffffffffffffffffffffffffffffffffffffffffffffddsddsaddsds</t>
  </si>
  <si>
    <t>asdasdasdasdasdasdasdasdasdasdsadsa</t>
  </si>
  <si>
    <t xml:space="preserve">
</t>
  </si>
  <si>
    <t>Compromiso</t>
  </si>
  <si>
    <t>Hoja2</t>
  </si>
  <si>
    <t>$I$5</t>
  </si>
  <si>
    <t>$C$3</t>
  </si>
  <si>
    <t xml:space="preserve">Se establecieron compromisos en la reunión virtual del día </t>
  </si>
  <si>
    <t>$C$4</t>
  </si>
  <si>
    <t xml:space="preserve"> de abril de 2026</t>
  </si>
  <si>
    <t>$C$5</t>
  </si>
  <si>
    <t>Se establecieron compromisos en la reunión virtual del día  de abril de 2026</t>
  </si>
  <si>
    <t>PLANES DE ACCIÓN VENCIDOS (Dirección de Servicio al Ciudadano)</t>
  </si>
  <si>
    <t>Planes de Acción vencidos (Dirección de Servicio al Ciudadano)</t>
  </si>
  <si>
    <t xml:space="preserve">Participantes en la reunión:
Jenny Estupiñan
Carolina Bueno
Luis German Vizcaino
Diego Vásquez
</t>
  </si>
  <si>
    <t>$C$6</t>
  </si>
  <si>
    <t xml:space="preserve">Participantes en la reunión:
Jenny Estupiñan
Carolina Bueno
Luis German Vizcaino
Diego Vásquez
</t>
  </si>
  <si>
    <t>Se establecieron compromisos en la reunión virtual del día   de abril de 2026</t>
  </si>
  <si>
    <t>Se establecieron compromisos en la reunión virtual del día 20  de abril de 2026</t>
  </si>
  <si>
    <t>Se establecieron compromisos en la reunión virtual del día 20 de abril de 2026</t>
  </si>
  <si>
    <r>
      <rPr>
        <b/>
        <sz val="10"/>
        <color theme="1"/>
        <rFont val="Arial"/>
        <family val="2"/>
      </rPr>
      <t>Participantes en la reunión:</t>
    </r>
    <r>
      <rPr>
        <sz val="10"/>
        <color theme="1"/>
        <rFont val="Arial"/>
        <family val="2"/>
      </rPr>
      <t xml:space="preserve">
Jenny Estupiñan
Carolina Bueno
Luis German Vizcaino
Diego Vásquez
</t>
    </r>
  </si>
  <si>
    <t>Id</t>
  </si>
  <si>
    <t>Compromisos</t>
  </si>
  <si>
    <t>$C$7</t>
  </si>
  <si>
    <t>Compromisos establecidos en la reunión virtual del día 20 de abril de 2026</t>
  </si>
  <si>
    <r>
      <rPr>
        <b/>
        <sz val="10"/>
        <color theme="1"/>
        <rFont val="Arial"/>
        <family val="2"/>
      </rPr>
      <t>Participantes en la reunión:</t>
    </r>
    <r>
      <rPr>
        <sz val="10"/>
        <color theme="1"/>
        <rFont val="Arial"/>
        <family val="2"/>
      </rPr>
      <t xml:space="preserve">
Roberto Bermúdez
Miguel Salina
Luis German Vizcaino
Diego Vásquez
</t>
    </r>
  </si>
  <si>
    <t>$C$18</t>
  </si>
  <si>
    <t xml:space="preserve">Participantes en la reunión:
Roberto Bermúdez
Miguel Salina
Luis German Vizcaino
Diego Vásquez
</t>
  </si>
  <si>
    <t>Compromisos establecidos en la reunión virtual del día xx de abril de 2026</t>
  </si>
  <si>
    <t>$C$16</t>
  </si>
  <si>
    <t>Compromisos 1 trimestre</t>
  </si>
  <si>
    <t>Planes de Acción vencidos (Dirección de Gestión Financiera)</t>
  </si>
  <si>
    <t>$C$15</t>
  </si>
  <si>
    <t>Planes de Acción vencidos (Sub Gerencia de Servicios Operacionales e Infraestructura)</t>
  </si>
  <si>
    <t>$C$26</t>
  </si>
  <si>
    <t>$C$29</t>
  </si>
  <si>
    <t xml:space="preserve">Participantes en la reunión:
Leonardo Vásquez
Gerson Lugo
Andrea Lievano
Luis German Vizcaino
Diego Vásquez
</t>
  </si>
  <si>
    <r>
      <rPr>
        <b/>
        <sz val="10"/>
        <color theme="1"/>
        <rFont val="Arial"/>
        <family val="2"/>
      </rPr>
      <t>Participantes en la reunión:</t>
    </r>
    <r>
      <rPr>
        <sz val="10"/>
        <color theme="1"/>
        <rFont val="Arial"/>
        <family val="2"/>
      </rPr>
      <t xml:space="preserve">
Leonardo Vásquez
Gerson Lugo
Javier Veloza
Andrea Lievano
Luis German Vizcaino
Diego Vásquez
</t>
    </r>
  </si>
  <si>
    <t xml:space="preserve">Participantes en la reunión:
Leonardo Vásquez
Gerson Lugo
Javier Veloza
Andrea Lievano
Luis German Vizcaino
Diego Vásquez
</t>
  </si>
  <si>
    <t>Compromisos establecidos en la reunión virtual del día 20 de abril de 2026 (2015 a 3:15) Virtual</t>
  </si>
  <si>
    <t>Compromisos establecidos en la reunión virtual del día 20 de abril de 2026 (02:15 a 03:15) Virtual</t>
  </si>
  <si>
    <t>Compromisos establecidos en la reunión virtual del día 20 de abril de 2026 (08:30 a 09:30) Virtual</t>
  </si>
  <si>
    <t>Alerta 5 días2</t>
  </si>
  <si>
    <t>Resumen</t>
  </si>
  <si>
    <t>$Q$1</t>
  </si>
  <si>
    <t>$T$5</t>
  </si>
  <si>
    <t>Ene</t>
  </si>
  <si>
    <t>Feb</t>
  </si>
  <si>
    <t>$R$1</t>
  </si>
  <si>
    <t>Mar</t>
  </si>
  <si>
    <t>$S$1</t>
  </si>
  <si>
    <t>Abr</t>
  </si>
  <si>
    <t>$T$1</t>
  </si>
  <si>
    <t>May</t>
  </si>
  <si>
    <t>$U$1</t>
  </si>
  <si>
    <t>$S$104</t>
  </si>
  <si>
    <t>$V$1</t>
  </si>
  <si>
    <t>Jun</t>
  </si>
  <si>
    <t>Columna1</t>
  </si>
  <si>
    <t>$W$30</t>
  </si>
  <si>
    <t>Ampliación 30 de junio de 2026 oficio 20260520006153</t>
  </si>
  <si>
    <t>$H$8</t>
  </si>
  <si>
    <t>$H$9</t>
  </si>
  <si>
    <t>$H$10</t>
  </si>
  <si>
    <t>Instructivo actualizado, pendiente Planeación cargar documento  24/04/2026</t>
  </si>
  <si>
    <t xml:space="preserve">24/04/2026 Capacitación programada </t>
  </si>
  <si>
    <t>$H$11</t>
  </si>
  <si>
    <t>$H$12</t>
  </si>
  <si>
    <t xml:space="preserve">Participantes en la reunión:
Julio Mosquera
Marcela Angarita
Eduardo González Mora
Luis German Vizcaino
Diego Vásquez
</t>
  </si>
  <si>
    <t>$L$78</t>
  </si>
  <si>
    <t>$L$80</t>
  </si>
  <si>
    <t>⚠️ INMINENTE (5d)</t>
  </si>
  <si>
    <t xml:space="preserve">Revisar Orfeo </t>
  </si>
  <si>
    <t>$I$31</t>
  </si>
  <si>
    <t>Nuieva fecha 30 de junio</t>
  </si>
  <si>
    <t>$I$32</t>
  </si>
  <si>
    <t>Nueva fecha 30 de junio</t>
  </si>
  <si>
    <t>Otro Sí ya se encuentra cargado, pendiente fecha Roberto</t>
  </si>
  <si>
    <t>$I$33</t>
  </si>
  <si>
    <t xml:space="preserve">Otro Sí ya se encuentra cargado, Fecha inofrmes 4 mayo </t>
  </si>
  <si>
    <t>8 de mayo revisión con oscar y revisar la posibilidad de solicitra la eliminación del plan</t>
  </si>
  <si>
    <t>$I$34</t>
  </si>
  <si>
    <t xml:space="preserve">Otro Sí ya se encuentra cargado, Fecha informes 4 mayo </t>
  </si>
  <si>
    <t>(en blanco)</t>
  </si>
  <si>
    <t>Grupo1</t>
  </si>
  <si>
    <t>$M$8</t>
  </si>
  <si>
    <t>$M$9</t>
  </si>
  <si>
    <t>$M$10</t>
  </si>
  <si>
    <t>$M$11</t>
  </si>
  <si>
    <t>$M$12</t>
  </si>
  <si>
    <t>F</t>
  </si>
  <si>
    <t>$M$31</t>
  </si>
  <si>
    <t>Revisar</t>
  </si>
  <si>
    <t>$N$31</t>
  </si>
  <si>
    <t>$N$32</t>
  </si>
  <si>
    <t>$M$32</t>
  </si>
  <si>
    <t>$M$33</t>
  </si>
  <si>
    <t>Compromisos establecidos en la reunión virtual del día 27 de abril de 2026</t>
  </si>
  <si>
    <t>$C$27</t>
  </si>
  <si>
    <t>Instructivo actualizado</t>
  </si>
  <si>
    <t>$I$10</t>
  </si>
  <si>
    <r>
      <rPr>
        <b/>
        <sz val="9"/>
        <color theme="1"/>
        <rFont val="Arial"/>
        <family val="2"/>
      </rPr>
      <t>24/04/2026</t>
    </r>
    <r>
      <rPr>
        <sz val="9"/>
        <color theme="1"/>
        <rFont val="Arial"/>
        <family val="2"/>
      </rPr>
      <t xml:space="preserve"> Capacitación realizada</t>
    </r>
  </si>
  <si>
    <t>$I$11</t>
  </si>
  <si>
    <t>24/04/2026 Capacitación realizada</t>
  </si>
  <si>
    <t>$I$12</t>
  </si>
  <si>
    <t>Revisión 15 de mayo</t>
  </si>
  <si>
    <t>$I$21</t>
  </si>
  <si>
    <t>Nuevo plazo de acuerdo al seguimiento:
30/</t>
  </si>
  <si>
    <t>$K$5</t>
  </si>
  <si>
    <t>Nuevo plazo de acuerdo al seguimiento:
30/06/2026</t>
  </si>
  <si>
    <t>$K$6</t>
  </si>
  <si>
    <t>$L$5</t>
  </si>
  <si>
    <t>$L$6</t>
  </si>
  <si>
    <t>Nuevo plazo de acuerdo al seguimiento:
30/06/2026
Fecha anterior:
17/12/2025</t>
  </si>
  <si>
    <t>$I$6</t>
  </si>
  <si>
    <t>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t>
  </si>
  <si>
    <t>$K$36</t>
  </si>
  <si>
    <t>$L$36</t>
  </si>
  <si>
    <t>$K$37</t>
  </si>
  <si>
    <t>$L$37</t>
  </si>
  <si>
    <t>$K$38</t>
  </si>
  <si>
    <t>$L$38</t>
  </si>
  <si>
    <t>Próximo a vencer
Anteriores fechas:
29/08/2025
26/02/2026</t>
  </si>
  <si>
    <t>$K$59</t>
  </si>
  <si>
    <t>$I$8</t>
  </si>
  <si>
    <t>Ampliación 30 de junio de 2026 oficio 20260520006153
Anteriores fechas:
29/08/2025
26/02/2026</t>
  </si>
  <si>
    <t>$I$59</t>
  </si>
  <si>
    <t>$L$59</t>
  </si>
  <si>
    <t>$I$60</t>
  </si>
  <si>
    <t>$K$60</t>
  </si>
  <si>
    <t>$L$60</t>
  </si>
  <si>
    <t>Se cargaron los documentos correspondientes al contrato TT-87-2022, en el secopll.</t>
  </si>
  <si>
    <t>$K$73</t>
  </si>
  <si>
    <t>$L$73</t>
  </si>
  <si>
    <t>Se actualiza el instructivo Acceso a Estaciones de Emergencia, Atención y Reporte de Emergencias Médicas</t>
  </si>
  <si>
    <t>$K$97</t>
  </si>
  <si>
    <t>$L$97</t>
  </si>
  <si>
    <t xml:space="preserve">Se realiza capacitación el </t>
  </si>
  <si>
    <t>$K$100</t>
  </si>
  <si>
    <t>Se realiza capacitación en temas de riesgos el 24 de abril de 2026</t>
  </si>
  <si>
    <t>$L$100</t>
  </si>
  <si>
    <t>$K$101</t>
  </si>
  <si>
    <t>$L$101</t>
  </si>
  <si>
    <t>$S$36</t>
  </si>
  <si>
    <t>$S$37</t>
  </si>
  <si>
    <t>$S$38</t>
  </si>
  <si>
    <t>$S$97</t>
  </si>
  <si>
    <t>$S$100</t>
  </si>
  <si>
    <t>$S$101</t>
  </si>
  <si>
    <t>Tras el análisis de viabilidad financiera y las restricciones
presupuestales identificadas para la vigencia fiscal 2026, no fue posible
asegurar la asignación de recursos necesaria para la ejecución de
proyectos de inversión destinados a la modernización de controles en los
servicios mencionados. Por lo tanto se elimina el Plan de acción mediante la solicitud con numero de radicado 20265300015163</t>
  </si>
  <si>
    <t>$K$51</t>
  </si>
  <si>
    <t>$L$51</t>
  </si>
  <si>
    <t>$S$51</t>
  </si>
  <si>
    <t>Se adjunta matriz para el control de los planes de mejora correspondientes al segundo semestre de 2025</t>
  </si>
  <si>
    <t>$K$94</t>
  </si>
  <si>
    <t>Se adjunta matriz para el control de los planes de mejora correspondientes al segundo semestre de 2025.</t>
  </si>
  <si>
    <t>$L$94</t>
  </si>
  <si>
    <t>$L$93</t>
  </si>
  <si>
    <t>$S$94</t>
  </si>
  <si>
    <t xml:space="preserve">Se adjunta evidencia de reuniones con los encargados de las áreas del seguimiento de PQRS </t>
  </si>
  <si>
    <t>$K$96</t>
  </si>
  <si>
    <t>Se adjunta evidencia de reuniones con los encargados de las áreas del seguimiento de PQRS, para verificar el estado de las PQRS.</t>
  </si>
  <si>
    <t>$L$96</t>
  </si>
  <si>
    <t>$S$96</t>
  </si>
  <si>
    <t>Se adjunta correo en el cual se envía a la Sub Gerencia de Planeación y Proyectos el Procedimiento GAD-PR02 Entradas de Almacén, para su aprobación y cargue en el SIG.</t>
  </si>
  <si>
    <t>$K$102</t>
  </si>
  <si>
    <t>$L$102</t>
  </si>
  <si>
    <t>$S$102</t>
  </si>
  <si>
    <t>Se solicita ampliación de plazo para el 31 de julio de 2026, mdiante oficio radicado numero 20265000017763</t>
  </si>
  <si>
    <t>$K$107</t>
  </si>
  <si>
    <t>Se solicita ampliación de plazo para el 31 de julio de 2026, mdiante oficio radicado numero 20265000017763.
Fecha anterior:
31/05/2026</t>
  </si>
  <si>
    <t>$I$107</t>
  </si>
  <si>
    <t>$I$105</t>
  </si>
  <si>
    <t>$K$105</t>
  </si>
  <si>
    <t>$I$108</t>
  </si>
  <si>
    <t>$K$108</t>
  </si>
  <si>
    <t>Se adjunta correo del 27 de mayo en el cual se envía a la Sub Gerencia de Planeación y Proyectos el Procedimiento GAD-PR02 Entradas de Almacén, para su aprobación y cargue en el SIG.</t>
  </si>
  <si>
    <t>$K$109</t>
  </si>
  <si>
    <t>Se adjunta correo del 27 de mayo en el cual se envía a la Sub Gerencia de Planeación y Proyectos el Procedimiento Toma Física de Inventarios GAD-PR06, para su aprobación y cargue en el SIG.</t>
  </si>
  <si>
    <t>$L$109</t>
  </si>
  <si>
    <t>$S$109</t>
  </si>
  <si>
    <t>Respuesta comunicaciones: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t>
  </si>
  <si>
    <t>E adjunta correo enviado por el área de ZPP, donde se describe la trazabilidad de las carpas y el estado en que se encuentran , el área de Almacén no registrará las carpas ya que no están completas, sin embargo se darán de baja en el segundo semestre de 2026.</t>
  </si>
  <si>
    <t>$K$103</t>
  </si>
  <si>
    <t>$L$103</t>
  </si>
  <si>
    <t>$S$103</t>
  </si>
  <si>
    <t>$R$2</t>
  </si>
  <si>
    <t>Reunión julio Marcela, Christian andres,</t>
  </si>
  <si>
    <t>$J$150</t>
  </si>
  <si>
    <t>Asunto: Validación implementación servidor web</t>
  </si>
  <si>
    <t>$J$152</t>
  </si>
  <si>
    <t>Reunión julio Marcela, Christian andres, Eduardo de la Torre</t>
  </si>
  <si>
    <t>Implementar un control de trazabilidad de conductores reincidentes, indicando quién será el responsable de su ejecución y seguimiento.
Diseñar e implementar un plan anual de formación para taxistas
Cambio plan de acción
1.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</si>
  <si>
    <t>Tras la Auditoría del año 2025 y por solicitud expresa de la Supervisión del Contrato TT-118-2025, se requirió al Gerente del Contrato para incluir las fotografías de soporte biométrico como anexo en el informe mensual. Estas imágenes permiten asociar cada marcación a un evento verificable en el sistema. En cumplimiento de la Cláusula Novena, el Contratista ha cargado esta evidencia en todos los meses facturados. Adicionalmente y el proveedor TRBONET realizó capacitación en el manejo del biométrico.</t>
  </si>
  <si>
    <t>Hallazgo 3: 
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</si>
  <si>
    <t>$L$116</t>
  </si>
  <si>
    <t>$L$117</t>
  </si>
  <si>
    <t>$L$118</t>
  </si>
  <si>
    <t>$L$119</t>
  </si>
  <si>
    <t>Informe_Planes_de_Acción</t>
  </si>
  <si>
    <t>$U$5</t>
  </si>
  <si>
    <t>$U$6</t>
  </si>
  <si>
    <t>$U$7</t>
  </si>
  <si>
    <t>$U$8</t>
  </si>
  <si>
    <t>$Z$9</t>
  </si>
  <si>
    <t>$Y$9</t>
  </si>
  <si>
    <t>$W$9</t>
  </si>
  <si>
    <t>$U$9</t>
  </si>
  <si>
    <t>$D$6</t>
  </si>
  <si>
    <t xml:space="preserve">
1.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</si>
  <si>
    <t>$L$125</t>
  </si>
  <si>
    <t>$L$126</t>
  </si>
  <si>
    <t>$L$127</t>
  </si>
  <si>
    <t>$L$128</t>
  </si>
  <si>
    <t>$L$137</t>
  </si>
  <si>
    <t>$L$138</t>
  </si>
  <si>
    <t>$B$29</t>
  </si>
  <si>
    <t>$B$6</t>
  </si>
  <si>
    <t>$B$28</t>
  </si>
  <si>
    <t>$B$5</t>
  </si>
  <si>
    <t>Servicio al Ciudadano (20250110Servicio al Ciudadano (20250110042183)042183)</t>
  </si>
  <si>
    <t>Servicio al Ciudadano (20Servicio al Ciudadano (20250110042183)250110Servicio al Ciudadano (20250110042183)042183)</t>
  </si>
  <si>
    <t>Servicio al Ciudadano (20Servicio al Ciudadano (20250110042183)</t>
  </si>
  <si>
    <t>$U$10</t>
  </si>
  <si>
    <t>$Z$11</t>
  </si>
  <si>
    <t>$Y$11</t>
  </si>
  <si>
    <t>$X$11</t>
  </si>
  <si>
    <t>$W$11</t>
  </si>
  <si>
    <t>$U$11</t>
  </si>
  <si>
    <t>$F$5</t>
  </si>
  <si>
    <t>Eliminada</t>
  </si>
  <si>
    <t>$V$51</t>
  </si>
  <si>
    <t>Auditoría – Proceso de Contratación, Supervisión e
interventoría.</t>
  </si>
  <si>
    <t>$B$148</t>
  </si>
  <si>
    <t>Auditoría – Proceso de Contratación, Supervisión e Interventoría 20261200015083</t>
  </si>
  <si>
    <t>Incumplimiento de las Disposiciones del Pliego de Condiciones en la Solicitud Pública No. TT-SPO-10-2025</t>
  </si>
  <si>
    <t>$C$148</t>
  </si>
  <si>
    <t>Hallazgo 1: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</si>
  <si>
    <t>$D$148</t>
  </si>
  <si>
    <t>Hallazgo 1: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</si>
  <si>
    <t>$E$148</t>
  </si>
  <si>
    <t>1. Se ajustó el formato de la propuesta económica con el fin de simplificar su contenido y brindar mayor claridad a los proponentes durante su diligenciamiento. Como medida para prevenir inconsistencias y errores en la presentación de las ofertas, se dispuso que el valor ofertado se indique exclusivamente en porcentaje, suprimiendo su presentación en letras.</t>
  </si>
  <si>
    <t>$F$148</t>
  </si>
  <si>
    <t>$G$148</t>
  </si>
  <si>
    <t>$H$148</t>
  </si>
  <si>
    <t>$I$148</t>
  </si>
  <si>
    <t>https://drive.google.com/drive/folders/1qYEk3nOQIqtejK_gSoeioebvhdNLAYqs</t>
  </si>
  <si>
    <t>$J$148</t>
  </si>
  <si>
    <t>$L$148</t>
  </si>
  <si>
    <t>Hallazgo 2: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</si>
  <si>
    <t>$D$149</t>
  </si>
  <si>
    <r>
      <rPr>
        <b/>
        <sz val="9"/>
        <color theme="1"/>
        <rFont val="Arial"/>
        <family val="2"/>
      </rPr>
      <t xml:space="preserve">Hallazgo 1: </t>
    </r>
    <r>
      <rPr>
        <sz val="9"/>
        <color theme="1"/>
        <rFont val="Arial"/>
        <family val="2"/>
      </rPr>
      <t xml:space="preserve">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r>
  </si>
  <si>
    <r>
      <rPr>
        <b/>
        <sz val="9"/>
        <color theme="1"/>
        <rFont val="Arial"/>
        <family val="2"/>
      </rPr>
      <t>Hallazgo 2:</t>
    </r>
    <r>
      <rPr>
        <sz val="9"/>
        <color theme="1"/>
        <rFont val="Arial"/>
        <family val="2"/>
      </rPr>
      <t xml:space="preserve">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r>
  </si>
  <si>
    <t>Hallazgo 2: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</si>
  <si>
    <t>Incumplimiento en la Entrega del Registro Biométrico Obligatorio - Contrato TT-118-2025</t>
  </si>
  <si>
    <t>$C$149</t>
  </si>
  <si>
    <t>$C$150</t>
  </si>
  <si>
    <t>$E$149</t>
  </si>
  <si>
    <t>$F$149</t>
  </si>
  <si>
    <t>DIRECCIÓN DE SEGURIDAD OPERACIONAL</t>
  </si>
  <si>
    <t>$G$149</t>
  </si>
  <si>
    <t>0202/2026</t>
  </si>
  <si>
    <t>$H$149</t>
  </si>
  <si>
    <t>$I$149</t>
  </si>
  <si>
    <t>https://drive.google.com/drive/folders/1dWLmaJiW1lUowpenlRdNJdsKe00E43Uf</t>
  </si>
  <si>
    <t>$J$149</t>
  </si>
  <si>
    <t>$L$149</t>
  </si>
  <si>
    <t>$D$150</t>
  </si>
  <si>
    <r>
      <rPr>
        <b/>
        <sz val="9"/>
        <color theme="1"/>
        <rFont val="Arial"/>
        <family val="2"/>
      </rPr>
      <t xml:space="preserve">Hallazgo 3:  </t>
    </r>
    <r>
      <rPr>
        <sz val="9"/>
        <color theme="1"/>
        <rFont val="Arial"/>
        <family val="2"/>
      </rPr>
      <t>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r>
  </si>
  <si>
    <t>Hallazgo 3:  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</si>
  <si>
    <t>Incumplimiento de Obligaciones Contractuales en la Ejecución de los Servicios de Aseo y Cafetería (Contratos No. TT-163-2025 y TT-190-2024)</t>
  </si>
  <si>
    <t>$E$150</t>
  </si>
  <si>
    <t>informar de manera clara y directa a la Subgerencia Jurídica que es requisito ineludibe que los procesos de selección del contratista de aseo, cafetería y demás servicios se encuentren adjudicados con, por lo menos, un mes de anticipación a la fecha de inicio de ejecución. Esto se realizará oficiando por escrito a la Subgerencia Jurídica e incluyendo en el Estudio Previo la obsercación clara de este requerimiento.
Si bien el contrato faculta a la supervisión para verificar el pago de salarios —lo cual se realiza por medio del informe mensual de gestión en el que se remiten los desprendibles de pago—, se realizarán ajustes en los tiempos de emisión de dichos desprendibles. Lo anterior, con el fin de cumplir con la obligación señalada en función del cumplimiento legal y sin generar subordinación, ya que el desarrollo del servicio se hace bajo la modalidad de contrato de prestación de servicios.</t>
  </si>
  <si>
    <t>$F$150</t>
  </si>
  <si>
    <t>Informar de manera clara y directa a la Subgerencia Jurídica que es requisito ineludibe que los procesos de selección del contratista de aseo, cafetería y demás servicios se encuentren adjudicados con, por lo menos, un mes de anticipación a la fecha de inicio de ejecución. Esto se realizará oficiando por escrito a la Subgerencia Jurídica e incluyendo en el Estudio Previo la obsercación clara de este requerimiento.
Si bien el contrato faculta a la supervisión para verificar el pago de salarios —lo cual se realiza por medio del informe mensual de gestión en el que se remiten los desprendibles de pago—, se realizarán ajustes en los tiempos de emisión de dichos desprendibles. Lo anterior, con el fin de cumplir con la obligación señalada en función del cumplimiento legal y sin generar subordinación, ya que el desarrollo del servicio se hace bajo la modalidad de contrato de prestación de servicios.</t>
  </si>
  <si>
    <t>$G$150</t>
  </si>
  <si>
    <t>$H$150</t>
  </si>
  <si>
    <t>$I$150</t>
  </si>
  <si>
    <t>https://drive.google.com/drive/folders/1v76scTlS775LLYsDsLVdmI-MkSbg4k6Y</t>
  </si>
  <si>
    <t>Hallazgo 4: 
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</si>
  <si>
    <t>$C$151</t>
  </si>
  <si>
    <t>$D$151</t>
  </si>
  <si>
    <r>
      <rPr>
        <b/>
        <sz val="9"/>
        <color theme="1"/>
        <rFont val="Arial"/>
        <family val="2"/>
      </rPr>
      <t xml:space="preserve">Hallazgo 4:  </t>
    </r>
    <r>
      <rPr>
        <sz val="9"/>
        <color theme="1"/>
        <rFont val="Arial"/>
        <family val="2"/>
      </rPr>
      <t>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r>
  </si>
  <si>
    <t>Hallazgo 4:  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</si>
  <si>
    <t>Extemporaneidad en la Entrega de la Dotación Legal y Convencional - Contrato TT-129-2025</t>
  </si>
  <si>
    <t>$E$151</t>
  </si>
  <si>
    <t>1. Se establece que la planificación de los procesos de contratación deberá contemplar un período adicional al requerido para cada modalidad de contratación, con el fin de contar con un margen de tiempo suficiente en caso de que el proceso sea declarado desierto. Esto permitirá adelantar oportunamente un nuevo proceso bajo una modalidad diferente, garantizando que no se afecte el inicio ni la ejecución del proyecto.</t>
  </si>
  <si>
    <t>$F$151</t>
  </si>
  <si>
    <t>$G$151</t>
  </si>
  <si>
    <t>$H$151</t>
  </si>
  <si>
    <t>$I$151</t>
  </si>
  <si>
    <t>https://drive.google.com/drive/folders/1dVIXNf5G28_lZXG6_1OvkD5LdRMhZfFh</t>
  </si>
  <si>
    <t>$J$151</t>
  </si>
  <si>
    <t>$L$150</t>
  </si>
  <si>
    <t>$L$151</t>
  </si>
  <si>
    <t>$M$151</t>
  </si>
  <si>
    <t>$K$22</t>
  </si>
  <si>
    <t>$M$22</t>
  </si>
  <si>
    <t>$N$22</t>
  </si>
  <si>
    <t>$O$22</t>
  </si>
  <si>
    <t>$P$22</t>
  </si>
  <si>
    <t>$N$23</t>
  </si>
  <si>
    <t>$O$23</t>
  </si>
  <si>
    <t>$P$23</t>
  </si>
  <si>
    <t>$Q$23</t>
  </si>
  <si>
    <t>$S$23</t>
  </si>
  <si>
    <t>$M$23</t>
  </si>
  <si>
    <t>Dirección de Seguridad Operacional</t>
  </si>
  <si>
    <t>$D$18</t>
  </si>
  <si>
    <t>$F$18</t>
  </si>
  <si>
    <t>$D$19</t>
  </si>
  <si>
    <t>$E$19</t>
  </si>
  <si>
    <t>$F$19</t>
  </si>
  <si>
    <t>$G$19</t>
  </si>
  <si>
    <t>$I$19</t>
  </si>
  <si>
    <t>Llevar a cabo una mesa de trabajo entre la Dirección de Gestión Humana, la Subgerencia Jurídica y Zona de Parqueo Pago, para analizar el estado de la devolución del dinero adeudado
Cambio Plan de acción radicado 20250040044083
1. Realizar un informe detallado de la situación del  hallazgo, las diferentes gestiones realizadas y el estado contable del mismo.</t>
  </si>
  <si>
    <t>1. Realizar las citaciones al comité de seguimiento dispuestas de conformidad con la periodicidad establecida en la resolución No. 21 de 2023 o aquella que la modifique o sustituya.
Incorporar en la citación la agenda incluyendo el punto a tratar sobre el informe trimestral</t>
  </si>
  <si>
    <t>2. Presentar y aprobar en la última sesión del año del comité de seguimiento a los recursos del programa, el cronograma de sesiones del año siguiente</t>
  </si>
  <si>
    <t xml:space="preserve">1. Reporte anual a la Dirección de Servicio al Transportador y al Consorcio ADITT ASOTRANS de conductores sin despachos activos durante el periodo señalado </t>
  </si>
  <si>
    <t>2. Realizar comunicaciones a cada empresa transportadora solicitando la actualización de los conductores activos y retirados de conformidad con el procedimiento de vinculación o desvinculación por la plataforma de rodamiento</t>
  </si>
  <si>
    <t>1. Incluir en la agenda mensual del comité de seguimiento del contrato TT-87-2022, la presentación, revisión y control de las pruebas de alcoholimetria efectivamente ejecutadas</t>
  </si>
  <si>
    <t>2. Presentar las conciliaciones de las cantidades de pruebas ejecutadas y pagadas con el fin de realizar ajustes necesarios.</t>
  </si>
  <si>
    <t xml:space="preserve">1.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t>
  </si>
  <si>
    <t>2. 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t>
  </si>
  <si>
    <t>$T$148</t>
  </si>
  <si>
    <t>$T$149</t>
  </si>
  <si>
    <t>$T$150</t>
  </si>
  <si>
    <t>$T$151</t>
  </si>
  <si>
    <t>diana.ortiz@terminaldetransporte.gov.co,linda.florez@terminaldetransporte.gov.co</t>
  </si>
  <si>
    <t>$R$148</t>
  </si>
  <si>
    <t>$R$151</t>
  </si>
  <si>
    <t>manuel.cifuentes@terminaldetransporte.gov.co,edgar.ortiz@terminaldetransporte.gov.co&gt;</t>
  </si>
  <si>
    <t>$R$150</t>
  </si>
  <si>
    <t>hugo.montoya@terminaldetransporte.gov.co,mayra.campos@terminaldetransporte.gov.co</t>
  </si>
  <si>
    <t>$R$149</t>
  </si>
  <si>
    <r>
      <t xml:space="preserve">En el siguiente enlace se encuentran las evidencias: </t>
    </r>
    <r>
      <rPr>
        <b/>
        <sz val="11"/>
        <color theme="1"/>
        <rFont val="Aptos Narrow"/>
        <family val="2"/>
        <scheme val="minor"/>
      </rPr>
      <t>https://drive.google.com/drive/folders/17qYq1hdDdkAQdazsmUo9_vaZ-os748ri</t>
    </r>
  </si>
  <si>
    <t>$K$149</t>
  </si>
  <si>
    <t>En el siguiente enlace se encuentran las evidencias: https://drive.google.com/drive/folders/17qYq1hdDdkAQdazsmUo9_vaZ-os748ri</t>
  </si>
  <si>
    <t>$A$152</t>
  </si>
  <si>
    <t>PLAN DE MEJORAMIENTO VIGENCIA 2026</t>
  </si>
  <si>
    <t>Migración de datos a la nube</t>
  </si>
  <si>
    <t>$B$152</t>
  </si>
  <si>
    <t>Deficiencias en la planeación de la migración de datos</t>
  </si>
  <si>
    <t>$C$152</t>
  </si>
  <si>
    <t>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</si>
  <si>
    <t>$D$152</t>
  </si>
  <si>
    <t>1. 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</si>
  <si>
    <r>
      <rPr>
        <b/>
        <sz val="9"/>
        <color theme="1"/>
        <rFont val="Arial"/>
        <family val="2"/>
      </rPr>
      <t xml:space="preserve">1. </t>
    </r>
    <r>
      <rPr>
        <sz val="9"/>
        <color theme="1"/>
        <rFont val="Arial"/>
        <family val="2"/>
      </rPr>
      <t>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r>
  </si>
  <si>
    <t xml:space="preserve">Migración de datos a la nube 20261200022073 </t>
  </si>
  <si>
    <t>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t>
  </si>
  <si>
    <t>$F$152</t>
  </si>
  <si>
    <r>
      <t xml:space="preserve">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
</t>
    </r>
    <r>
      <rPr>
        <sz val="9"/>
        <color rgb="FFFF0000"/>
        <rFont val="Arial"/>
        <family val="2"/>
      </rPr>
      <t>incluir en la matriz transversal para ajustar los servicios de nube</t>
    </r>
  </si>
  <si>
    <t>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
incluir en la matriz transversal para ajustar los servicios de nube</t>
  </si>
  <si>
    <t>$G$152</t>
  </si>
  <si>
    <t>$H$152</t>
  </si>
  <si>
    <t>$I$152</t>
  </si>
  <si>
    <t>$L$152</t>
  </si>
  <si>
    <t xml:space="preserve">Incompletitud del Inventario de activos de información </t>
  </si>
  <si>
    <t>$C$153</t>
  </si>
  <si>
    <t>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</si>
  <si>
    <t>$D$153</t>
  </si>
  <si>
    <t>Actualizar del Inventario de activos de información, que incluya todos los activos OCI  (Oracle Cloud Infrastructure), red, alta disponibilidad, contingencia y los relacionados al Plan de Continuidad del Negocio.</t>
  </si>
  <si>
    <t>$F$153</t>
  </si>
  <si>
    <t>$G$153</t>
  </si>
  <si>
    <t>$H$153</t>
  </si>
  <si>
    <t>$I$153</t>
  </si>
  <si>
    <t>$L$153</t>
  </si>
  <si>
    <t xml:space="preserve">Deficiencias en la clasificación de los datos (pública, confidencial, reservada, entre otros) </t>
  </si>
  <si>
    <t>$C$154</t>
  </si>
  <si>
    <t>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</si>
  <si>
    <t>$D$154</t>
  </si>
  <si>
    <t>Elaborar la matriz de clasificación de la información para todos los activos críticos, con los respectivos controles de asignación, monitoreo y gestión de accesos.</t>
  </si>
  <si>
    <t>$F$154</t>
  </si>
  <si>
    <t>$G$154</t>
  </si>
  <si>
    <t xml:space="preserve">4. Ambigüedad o dilución de responsabilidades en los controles de seguridad, monitoreo, backups, hardening y respuesta a incidentes. </t>
  </si>
  <si>
    <t>5. Dependencia tecnológica</t>
  </si>
  <si>
    <t>6. Debilidades en el análisis del impacto técnico, operativo, de disponibilidad.</t>
  </si>
  <si>
    <t>7. Ausencia de un Plan Estructurado de Pruebas (funcionales, de rendimiento, de compatibilidad o de integridad, entre otros)</t>
  </si>
  <si>
    <t>8.  Insuficiencia en la planificación de contingencias</t>
  </si>
  <si>
    <t>9. Ausencia de una Estrategia de Cutover (Cutover Strategy), Plan de Comunicación y Gestión de Usuarios durante la ventana de corte.</t>
  </si>
  <si>
    <t xml:space="preserve">10. Debilidades en los criterios de aceptación técnicos por cada una de las fases (Assessment → Landing Zone → Migrate → Verify). </t>
  </si>
  <si>
    <t>11. Ausencia de una justificación técnica para el cambio de versión del motor de base de datos Oracle de 11g a a 19c en los sistemas misionales GOPETT y RSN</t>
  </si>
  <si>
    <t>12. Deficiencias en la medición de los indicadores de desempeño</t>
  </si>
  <si>
    <t>13. Ausencia de mecanismos de almacenamiento, custodia y trazabilidad del desempeño en la Migración de datos</t>
  </si>
  <si>
    <t>14. ausencia de un Plan de Actualización y Parcheo (Patching Plan) formal para Oracle Database 19c</t>
  </si>
  <si>
    <t xml:space="preserve">Ambigüedad o dilución de responsabilidades en los controles de seguridad, monitoreo, backups, hardening y respuesta a incidentes. </t>
  </si>
  <si>
    <t>$C$155</t>
  </si>
  <si>
    <t>Dependencia tecnológica</t>
  </si>
  <si>
    <t>$C$156</t>
  </si>
  <si>
    <t>Debilidades en el análisis del impacto técnico, operativo, de disponibilidad.</t>
  </si>
  <si>
    <t>$C$157</t>
  </si>
  <si>
    <t>Ausencia de un Plan Estructurado de Pruebas (funcionales, de rendimiento, de compatibilidad o de integridad, entre otros)</t>
  </si>
  <si>
    <t>$C$158</t>
  </si>
  <si>
    <t>Insuficiencia en la planificación de contingencias</t>
  </si>
  <si>
    <t>$C$159</t>
  </si>
  <si>
    <t>Ausencia de una Estrategia de Cutover (Cutover Strategy), Plan de Comunicación y Gestión de Usuarios durante la ventana de corte.</t>
  </si>
  <si>
    <t>$C$160</t>
  </si>
  <si>
    <t xml:space="preserve">Debilidades en los criterios de aceptación técnicos por cada una de las fases (Assessment → Landing Zone → Migrate → Verify). </t>
  </si>
  <si>
    <t>$C$161</t>
  </si>
  <si>
    <t>Ausencia de una justificación técnica para el cambio de versión del motor de base de datos Oracle de 11g a a 19c en los sistemas misionales GOPETT y RSN</t>
  </si>
  <si>
    <t>$C$162</t>
  </si>
  <si>
    <t>Deficiencias en la medición de los indicadores de desempeño</t>
  </si>
  <si>
    <t>$C$163</t>
  </si>
  <si>
    <t>Ausencia de mecanismos de almacenamiento, custodia y trazabilidad del desempeño en la Migración de datos</t>
  </si>
  <si>
    <t>$C$164</t>
  </si>
  <si>
    <t>ausencia de un Plan de Actualización y Parcheo (Patching Plan) formal para Oracle Database 19c</t>
  </si>
  <si>
    <t>$C$165</t>
  </si>
  <si>
    <t>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</si>
  <si>
    <t>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</si>
  <si>
    <t>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</si>
  <si>
    <t>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</si>
  <si>
    <t>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</si>
  <si>
    <t>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</si>
  <si>
    <t>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</si>
  <si>
    <t>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</si>
  <si>
    <t>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</si>
  <si>
    <t>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</si>
  <si>
    <t>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</si>
  <si>
    <t>5. Elaborar una Estrategia de Salida (Exit Strategy) para mitigar la dependencia tecnológica (Vendor Lock-in) en el proyecto de migración a la nube de Oracle (OCI)</t>
  </si>
  <si>
    <t>6. Incluir en el formato de Gestión del Cambio, el impacto del cambio (técnico, operativo y de disponibilidad), y su efecto en otras áreas o dependencias, así como el plan de mitigación ante la posible materialización de un riesgo crítico.</t>
  </si>
  <si>
    <t>7. Formalizar el Plan Estrucuturado de Pruebas sobre la Gestión del Cambio (Funcionales, de rendimiento, de compatibilidad, integridad, entre otros), incluyendo la descripción de los métodos de ejecución, herramientas de medición, los parámetros técnicos de cumplimiento necesarios para validar cada fase, resultados y niveles de aprobación.</t>
  </si>
  <si>
    <t>9.Incluir en el Formato de Gestión del Cambio: la Estrategia de Cutover completa que incluya secuencia técnica, Plan de Comunicación y procedimiento de Gestión de Usuarios</t>
  </si>
  <si>
    <t>10. Formalizar el Plan de Migración integral que siga el workflow de  Oracle Cloud, con definición clara de fases, criterios de salida y entregables.</t>
  </si>
  <si>
    <t>11. Formalizar el análisis técnico de cambio de versión del motor de base de datos Oracle que incluya compatibilidad, comparación de alternativas y justificación.</t>
  </si>
  <si>
    <t>12. Establecer los indicadores de desempreño (KPIs/KRIs) que describa la fórmula, fuente de dato, responsable, frecuencia, umbrales de aceptación y niveles de reporte.</t>
  </si>
  <si>
    <t>13. Definir un repositorio centralizado y controlado (SharePoint, herramienta de BI o equivalente) con control de versiones, control de acceso y copias de respaldo del Proceso de Migración.</t>
  </si>
  <si>
    <t>14. Documentar el Plan de Actualización y Parching (Patching Plan) para todas las bases de datos Oracle 19c, incluyendo el registro de su viabilidad técnica y operativa; y asociarla según su impacto al Proceso de Gestión del Cambio.</t>
  </si>
  <si>
    <t>$F$155</t>
  </si>
  <si>
    <t xml:space="preserve">4. Incluir en el formato de Gestión del Cambio, la matriz de Responsabilidades Técnicas y/o operativas, relacionando tanto al personal interno como externo (proveedores). Unificar con el formato de gestión de cambio de TI </t>
  </si>
  <si>
    <t xml:space="preserve">Incluir en el formato de Gestión del Cambio, la matriz de Responsabilidades Técnicas y/o operativas, relacionando tanto al personal interno como externo (proveedores). Unificar con el formato de gestión de cambio de TI </t>
  </si>
  <si>
    <t>Elaborar una Estrategia de Salida (Exit Strategy) para mitigar la dependencia tecnológica (Vendor Lock-in) en el proyecto de migración a la nube de Oracle (OCI)</t>
  </si>
  <si>
    <t>$F$156</t>
  </si>
  <si>
    <t>Incluir en el formato de Gestión del Cambio, el impacto del cambio (técnico, operativo y de disponibilidad), y su efecto en otras áreas o dependencias, así como el plan de mitigación ante la posible materialización de un riesgo crítico.</t>
  </si>
  <si>
    <t>$F$157</t>
  </si>
  <si>
    <t>Formalizar el Plan Estrucuturado de Pruebas sobre la Gestión del Cambio (Funcionales, de rendimiento, de compatibilidad, integridad, entre otros), incluyendo la descripción de los métodos de ejecución, herramientas de medición, los parámetros técnicos de cumplimiento necesarios para validar cada fase, resultados y niveles de aprobación.</t>
  </si>
  <si>
    <t>$F$158</t>
  </si>
  <si>
    <t>$F$159</t>
  </si>
  <si>
    <t xml:space="preserve">8. Incluir en el Formato de Gestión del Cambio: el Plan de Rollback, incluyendo previamente las puebas de restauración, el procedimiento detallado de reversión, puntos de decisión, tiempos máximos y niveles de aprobación. Ajustar procedimiento de cambios y definir los roles </t>
  </si>
  <si>
    <t xml:space="preserve">Incluir en el Formato de Gestión del Cambio: el Plan de Rollback, incluyendo previamente las puebas de restauración, el procedimiento detallado de reversión, puntos de decisión, tiempos máximos y niveles de aprobación. Ajustar procedimiento de cambios y definir los roles </t>
  </si>
  <si>
    <t>Incluir en el Formato de Gestión del Cambio: la Estrategia de Cutover completa que incluya secuencia técnica, Plan de Comunicación y procedimiento de Gestión de Usuarios</t>
  </si>
  <si>
    <t>$F$160</t>
  </si>
  <si>
    <t>Formalizar el Plan de Migración integral que siga el workflow de  Oracle Cloud, con definición clara de fases, criterios de salida y entregables.</t>
  </si>
  <si>
    <t>$F$161</t>
  </si>
  <si>
    <t>Formalizar el análisis técnico de cambio de versión del motor de base de datos Oracle que incluya compatibilidad, comparación de alternativas y justificación.</t>
  </si>
  <si>
    <t>$F$162</t>
  </si>
  <si>
    <t>Establecer los indicadores de desempreño (KPIs/KRIs) que describa la fórmula, fuente de dato, responsable, frecuencia, umbrales de aceptación y niveles de reporte.</t>
  </si>
  <si>
    <t>$F$163</t>
  </si>
  <si>
    <t>Definir un repositorio centralizado y controlado (SharePoint, herramienta de BI o equivalente) con control de versiones, control de acceso y copias de respaldo del Proceso de Migración.</t>
  </si>
  <si>
    <t>$F$164</t>
  </si>
  <si>
    <t>Documentar el Plan de Actualización y Parching (Patching Plan) para todas las bases de datos Oracle 19c, incluyendo el registro de su viabilidad técnica y operativa; y asociarla según su impacto al Proceso de Gestión del Cambio.</t>
  </si>
  <si>
    <t>$F$165</t>
  </si>
  <si>
    <r>
      <rPr>
        <b/>
        <sz val="9"/>
        <color theme="1"/>
        <rFont val="Arial"/>
        <family val="2"/>
      </rPr>
      <t>2.</t>
    </r>
    <r>
      <rPr>
        <sz val="9"/>
        <color theme="1"/>
        <rFont val="Arial"/>
        <family val="2"/>
      </rPr>
      <t xml:space="preserve"> 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r>
  </si>
  <si>
    <t>2. 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</si>
  <si>
    <r>
      <rPr>
        <b/>
        <sz val="9"/>
        <color theme="1"/>
        <rFont val="Arial"/>
        <family val="2"/>
      </rPr>
      <t>3.</t>
    </r>
    <r>
      <rPr>
        <sz val="9"/>
        <color theme="1"/>
        <rFont val="Arial"/>
        <family val="2"/>
      </rPr>
      <t xml:space="preserve"> 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r>
  </si>
  <si>
    <t>3. 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</si>
  <si>
    <r>
      <rPr>
        <b/>
        <sz val="9"/>
        <color theme="1"/>
        <rFont val="Arial"/>
        <family val="2"/>
      </rPr>
      <t>4.</t>
    </r>
    <r>
      <rPr>
        <sz val="9"/>
        <color theme="1"/>
        <rFont val="Arial"/>
        <family val="2"/>
      </rPr>
      <t xml:space="preserve"> 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r>
  </si>
  <si>
    <t>$D$155</t>
  </si>
  <si>
    <t>4. 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</si>
  <si>
    <r>
      <rPr>
        <b/>
        <sz val="9"/>
        <color theme="1"/>
        <rFont val="Arial"/>
        <family val="2"/>
      </rPr>
      <t>5.</t>
    </r>
    <r>
      <rPr>
        <sz val="9"/>
        <color theme="1"/>
        <rFont val="Arial"/>
        <family val="2"/>
      </rPr>
      <t xml:space="preserve"> 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r>
  </si>
  <si>
    <t>$D$156</t>
  </si>
  <si>
    <t>5. 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</si>
  <si>
    <r>
      <rPr>
        <b/>
        <sz val="9"/>
        <color theme="1"/>
        <rFont val="Arial"/>
        <family val="2"/>
      </rPr>
      <t>6.</t>
    </r>
    <r>
      <rPr>
        <sz val="9"/>
        <color theme="1"/>
        <rFont val="Arial"/>
        <family val="2"/>
      </rPr>
      <t xml:space="preserve"> 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r>
  </si>
  <si>
    <t>$D$157</t>
  </si>
  <si>
    <t>6. 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</si>
  <si>
    <r>
      <rPr>
        <b/>
        <sz val="9"/>
        <color theme="1"/>
        <rFont val="Arial"/>
        <family val="2"/>
      </rPr>
      <t xml:space="preserve">7. </t>
    </r>
    <r>
      <rPr>
        <sz val="9"/>
        <color theme="1"/>
        <rFont val="Arial"/>
        <family val="2"/>
      </rPr>
      <t>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r>
  </si>
  <si>
    <t>$D$158</t>
  </si>
  <si>
    <t>7. 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</si>
  <si>
    <r>
      <rPr>
        <b/>
        <sz val="9"/>
        <color theme="1"/>
        <rFont val="Arial"/>
        <family val="2"/>
      </rPr>
      <t>8.</t>
    </r>
    <r>
      <rPr>
        <sz val="9"/>
        <color theme="1"/>
        <rFont val="Arial"/>
        <family val="2"/>
      </rPr>
      <t xml:space="preserve"> 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r>
  </si>
  <si>
    <t>$D$159</t>
  </si>
  <si>
    <t>8. 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</si>
  <si>
    <r>
      <rPr>
        <b/>
        <sz val="9"/>
        <color theme="1"/>
        <rFont val="Arial"/>
        <family val="2"/>
      </rPr>
      <t xml:space="preserve">9. </t>
    </r>
    <r>
      <rPr>
        <sz val="9"/>
        <color theme="1"/>
        <rFont val="Arial"/>
        <family val="2"/>
      </rPr>
      <t>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r>
  </si>
  <si>
    <t>$D$160</t>
  </si>
  <si>
    <t>9. 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</si>
  <si>
    <r>
      <rPr>
        <b/>
        <sz val="9"/>
        <color theme="1"/>
        <rFont val="Arial"/>
        <family val="2"/>
      </rPr>
      <t xml:space="preserve">10. </t>
    </r>
    <r>
      <rPr>
        <sz val="9"/>
        <color theme="1"/>
        <rFont val="Arial"/>
        <family val="2"/>
      </rPr>
      <t>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r>
  </si>
  <si>
    <t>$D$161</t>
  </si>
  <si>
    <t>10. 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</si>
  <si>
    <r>
      <rPr>
        <b/>
        <sz val="9"/>
        <color theme="1"/>
        <rFont val="Arial"/>
        <family val="2"/>
      </rPr>
      <t xml:space="preserve">11. </t>
    </r>
    <r>
      <rPr>
        <sz val="9"/>
        <color theme="1"/>
        <rFont val="Arial"/>
        <family val="2"/>
      </rPr>
      <t>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r>
  </si>
  <si>
    <t>$D$162</t>
  </si>
  <si>
    <t>11. 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</si>
  <si>
    <r>
      <rPr>
        <b/>
        <sz val="9"/>
        <color theme="1"/>
        <rFont val="Arial"/>
        <family val="2"/>
      </rPr>
      <t>12.</t>
    </r>
    <r>
      <rPr>
        <sz val="9"/>
        <color theme="1"/>
        <rFont val="Arial"/>
        <family val="2"/>
      </rPr>
      <t xml:space="preserve"> 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r>
  </si>
  <si>
    <t>$D$163</t>
  </si>
  <si>
    <t>12. 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</si>
  <si>
    <r>
      <rPr>
        <b/>
        <sz val="9"/>
        <color theme="1"/>
        <rFont val="Arial"/>
        <family val="2"/>
      </rPr>
      <t xml:space="preserve">13. </t>
    </r>
    <r>
      <rPr>
        <sz val="9"/>
        <color theme="1"/>
        <rFont val="Arial"/>
        <family val="2"/>
      </rPr>
      <t>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r>
  </si>
  <si>
    <t>$D$164</t>
  </si>
  <si>
    <t>13. 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</si>
  <si>
    <r>
      <rPr>
        <b/>
        <sz val="9"/>
        <color theme="1"/>
        <rFont val="Arial"/>
        <family val="2"/>
      </rPr>
      <t xml:space="preserve">14. </t>
    </r>
    <r>
      <rPr>
        <sz val="9"/>
        <color theme="1"/>
        <rFont val="Arial"/>
        <family val="2"/>
      </rPr>
      <t>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r>
  </si>
  <si>
    <t>$D$165</t>
  </si>
  <si>
    <t>14. 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</si>
  <si>
    <t>$G$155</t>
  </si>
  <si>
    <t>DIRECCIÓN DE RECURSOS TECNOLÓGICOS
SUB GERENCIA DE PLANEACIÓN Y PROYECTOS</t>
  </si>
  <si>
    <t>DIRECCIÓN DE RECURSOS TECNOLÓGICOS
SUB GERENCIA DE PLANEACIÓN Y PROYECTOS</t>
  </si>
  <si>
    <t>$G$156</t>
  </si>
  <si>
    <t>$G$157</t>
  </si>
  <si>
    <t>$E$152</t>
  </si>
  <si>
    <t>$E$153</t>
  </si>
  <si>
    <t>$E$154</t>
  </si>
  <si>
    <t>$E$155</t>
  </si>
  <si>
    <t>$E$156</t>
  </si>
  <si>
    <t>$E$157</t>
  </si>
  <si>
    <t>$E$158</t>
  </si>
  <si>
    <t>$E$159</t>
  </si>
  <si>
    <t>$E$160</t>
  </si>
  <si>
    <t>$E$161</t>
  </si>
  <si>
    <t>$E$162</t>
  </si>
  <si>
    <t>$E$163</t>
  </si>
  <si>
    <t>$E$164</t>
  </si>
  <si>
    <t>$E$165</t>
  </si>
  <si>
    <t>Relacionar enlaces para planes de acción de Auditoría migración</t>
  </si>
  <si>
    <t>Tablero</t>
  </si>
  <si>
    <t>$F$33</t>
  </si>
  <si>
    <t>https://drive.google.com/drive/folders/15_f8jUDEKSGhyXKFA2tXXLbOiiXKF7nw</t>
  </si>
  <si>
    <t>https://drive.google.com/drive/folders/1Zl8CJUJgYqjEXjfUSNQfm8RqqNpXsFUZ</t>
  </si>
  <si>
    <t>$J$153</t>
  </si>
  <si>
    <t>https://drive.google.com/drive/folders/1hb06-xInz5nLZXATmJkvWPwGElfvO8au</t>
  </si>
  <si>
    <t>$J$154</t>
  </si>
  <si>
    <t>https://drive.google.com/drive/folders/1qePrHWs77iHwAjP5zrL9FoyN4qgnNdBb</t>
  </si>
  <si>
    <t>$J$155</t>
  </si>
  <si>
    <t>https://drive.google.com/drive/folders/1dxKY4UYDj09ZL3r7pqf6YpVGgTcONTDJ</t>
  </si>
  <si>
    <t>$J$156</t>
  </si>
  <si>
    <t>https://drive.google.com/drive/folders/1EnVvzP5ieQVfcimxfTO3wyUIxZM16lnh</t>
  </si>
  <si>
    <t>$J$157</t>
  </si>
  <si>
    <t>https://drive.google.com/drive/folders/1Afq4hRmfYWdzMWWbhGS7CZeE-ezwSB48</t>
  </si>
  <si>
    <t>$J$158</t>
  </si>
  <si>
    <t>https://drive.google.com/drive/folders/1wSL4XlIHGv8uOTq5sSTsedm1RT80KwKu</t>
  </si>
  <si>
    <t>$J$159</t>
  </si>
  <si>
    <t>https://drive.google.com/drive/folders/1-1qKlfDKfPx0EL0tO7iWTGkhlkzegsXB</t>
  </si>
  <si>
    <t>$J$160</t>
  </si>
  <si>
    <t>https://drive.google.com/drive/folders/1ZWbq3uG1opX9fL8cbZ31MXSci3H_Dogy</t>
  </si>
  <si>
    <t>$J$161</t>
  </si>
  <si>
    <t>https://drive.google.com/drive/folders/1vIk2UN6PaE_DiitG95qiaWJxaRf4FPz_</t>
  </si>
  <si>
    <t>$J$162</t>
  </si>
  <si>
    <t>https://drive.google.com/drive/folders/1BZpcgJdfZBeEOY6MWbh0X5EIxpN6BzOZ</t>
  </si>
  <si>
    <t>$J$163</t>
  </si>
  <si>
    <t>https://drive.google.com/drive/folders/1tr05-MF2T1086Oxcty4D0p4l2YMPGimk</t>
  </si>
  <si>
    <t>$J$164</t>
  </si>
  <si>
    <t>https://drive.google.com/drive/folders/1wvvq3CAawtirEuTDBOHmAGoe0EJwF3Tp</t>
  </si>
  <si>
    <t>$J$165</t>
  </si>
  <si>
    <t>$T$152</t>
  </si>
  <si>
    <t>$T$153</t>
  </si>
  <si>
    <t>$T$154</t>
  </si>
  <si>
    <t>$T$155</t>
  </si>
  <si>
    <t>$T$156</t>
  </si>
  <si>
    <t>$T$157</t>
  </si>
  <si>
    <t>$T$158</t>
  </si>
  <si>
    <t>$T$159</t>
  </si>
  <si>
    <t>$T$160</t>
  </si>
  <si>
    <t>$T$161</t>
  </si>
  <si>
    <t>$T$162</t>
  </si>
  <si>
    <t>$T$163</t>
  </si>
  <si>
    <t>$T$164</t>
  </si>
  <si>
    <t>$T$165</t>
  </si>
  <si>
    <t>Relacionar correos de responsables para planes de acción de Auditoría migración</t>
  </si>
  <si>
    <t>$C$19</t>
  </si>
  <si>
    <t>$D$39</t>
  </si>
  <si>
    <t>$E$39</t>
  </si>
  <si>
    <t>$F$39</t>
  </si>
  <si>
    <t>$G$39</t>
  </si>
  <si>
    <t>$I$39</t>
  </si>
  <si>
    <t xml:space="preserve">Dirección de Recursos Tecnológicos
</t>
  </si>
  <si>
    <t>$C$33</t>
  </si>
  <si>
    <t>Dirección de Recursos Tecnológicos
Sub Gerencia de Planeación y Proyectos</t>
  </si>
  <si>
    <t>$D$33</t>
  </si>
  <si>
    <t>$E$33</t>
  </si>
  <si>
    <t>$D$34</t>
  </si>
  <si>
    <t>$E$34</t>
  </si>
  <si>
    <t>$F$34</t>
  </si>
  <si>
    <t>$G$34</t>
  </si>
  <si>
    <t>$K$23</t>
  </si>
  <si>
    <t>$M$24</t>
  </si>
  <si>
    <t>$N$24</t>
  </si>
  <si>
    <t>$O$24</t>
  </si>
  <si>
    <t>$P$24</t>
  </si>
  <si>
    <t>$Q$24</t>
  </si>
  <si>
    <t>$S$24</t>
  </si>
  <si>
    <t>julio.mosquera@terminaldetransporte.gov.co,marcela.angarita@terminaldetransporte.gov.co</t>
  </si>
  <si>
    <t>$R$152</t>
  </si>
  <si>
    <t>julio.mosquera@terminaldetransporte.gov.co,marcela.angarita@terminaldetransporte.gov.co,estefania.guzman@terminaldetransporte.gov.co,maryuri.zabala@terminaldetransporte.gov.co</t>
  </si>
  <si>
    <t>$R$155</t>
  </si>
  <si>
    <t>$R$157</t>
  </si>
  <si>
    <t>$R$156</t>
  </si>
  <si>
    <r>
      <t xml:space="preserve">Incluir en el formato de Gestión del Cambio, la matriz de Responsabilidades Técnicas y/o operativas, relacionando tanto al personal interno como externo (proveedores). </t>
    </r>
    <r>
      <rPr>
        <sz val="12"/>
        <color theme="3"/>
        <rFont val="Aptos Narrow"/>
        <family val="2"/>
        <scheme val="minor"/>
      </rPr>
      <t xml:space="preserve">Unificar con el formato de gestión de cambio de TI </t>
    </r>
  </si>
  <si>
    <r>
      <t xml:space="preserve">Incluir en el Formato de Gestión del Cambio: el Plan de Rollback, incluyendo previamente las puebas de restauración, el procedimiento detallado de reversión, puntos de decisión, tiempos máximos y niveles de aprobación. </t>
    </r>
    <r>
      <rPr>
        <sz val="12"/>
        <color theme="3"/>
        <rFont val="Aptos Narrow"/>
        <family val="2"/>
        <scheme val="minor"/>
      </rPr>
      <t xml:space="preserve">Ajustar procedimiento de cambios y definir los roles </t>
    </r>
  </si>
  <si>
    <t>$L$165</t>
  </si>
  <si>
    <t>30/04/2026</t>
  </si>
  <si>
    <t>$I$125</t>
  </si>
  <si>
    <t>$G$125</t>
  </si>
  <si>
    <t>$F$125</t>
  </si>
  <si>
    <t>--- Modificación el 26/07/2026 19:14 ---
• Nota: Prueba</t>
  </si>
  <si>
    <t>$K$125</t>
  </si>
  <si>
    <t>$I$93</t>
  </si>
  <si>
    <t>$G$93</t>
  </si>
  <si>
    <t>$F$93</t>
  </si>
  <si>
    <t>--- Modificación el 26/07/2026 19:19 ---
• Nota: Prueba
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t>
  </si>
  <si>
    <t>$K$93</t>
  </si>
  <si>
    <t>$S$165</t>
  </si>
  <si>
    <t>Jul</t>
  </si>
  <si>
    <t>Ago</t>
  </si>
  <si>
    <t>Sep</t>
  </si>
  <si>
    <t>Oct</t>
  </si>
  <si>
    <t>Nov</t>
  </si>
  <si>
    <t>Dic</t>
  </si>
  <si>
    <t>$AB$1</t>
  </si>
  <si>
    <t>Julio</t>
  </si>
  <si>
    <t>Calculos</t>
  </si>
  <si>
    <t>$A$124</t>
  </si>
  <si>
    <t>Agosto</t>
  </si>
  <si>
    <t>$A$125</t>
  </si>
  <si>
    <t>Septiembre</t>
  </si>
  <si>
    <t>$A$126</t>
  </si>
  <si>
    <t>Octubre</t>
  </si>
  <si>
    <t>$A$127</t>
  </si>
  <si>
    <t>Noviembre</t>
  </si>
  <si>
    <t>$A$128</t>
  </si>
  <si>
    <t>Diciembre</t>
  </si>
  <si>
    <t>$A$129</t>
  </si>
  <si>
    <t>$B$124</t>
  </si>
  <si>
    <r>
      <rPr>
        <b/>
        <sz val="9"/>
        <color rgb="FFFF0000"/>
        <rFont val="Arial"/>
        <family val="2"/>
      </rPr>
      <t>Ampliación 30 de junio de 2026 oficio 20260520006153</t>
    </r>
    <r>
      <rPr>
        <sz val="9"/>
        <color theme="1"/>
        <rFont val="Arial"/>
        <family val="2"/>
      </rPr>
      <t xml:space="preserve">
Anteriores fechas:
29/08/2025
26/02/2026
está en proceso de revisón por la abogada del Área. </t>
    </r>
  </si>
  <si>
    <t xml:space="preserve">Ampliación 30 de junio de 2026 oficio 20260520006153
Anteriores fechas:
29/08/2025
26/02/2026
está en proceso de revisón por la abogada del Área. </t>
  </si>
  <si>
    <t xml:space="preserve">
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t>
  </si>
  <si>
    <t>$K$104</t>
  </si>
  <si>
    <t>$L$142</t>
  </si>
  <si>
    <t>$L$143</t>
  </si>
  <si>
    <t>$L$145</t>
  </si>
  <si>
    <t>$L$146</t>
  </si>
  <si>
    <t>$L$147</t>
  </si>
  <si>
    <t>$L$110</t>
  </si>
  <si>
    <t>$L$111</t>
  </si>
  <si>
    <t>$L$112</t>
  </si>
  <si>
    <t>$L$113</t>
  </si>
  <si>
    <t>$L$114</t>
  </si>
  <si>
    <t>$L$115</t>
  </si>
  <si>
    <t>Se adjunta la Resolución 07 de 2026 mediante la cual se establecen los linemaientos para el uso adecuado de la Caja Menor</t>
  </si>
  <si>
    <t>$K$145</t>
  </si>
  <si>
    <t>Se unifican los formartos para el manejo de la Caja menor, por lo tanto, se utilizan los formatos de la Dirección de Gestión Financiera</t>
  </si>
  <si>
    <t>$K$146</t>
  </si>
  <si>
    <t>Se actualiza el Procedimiento RECAUDO DE DINERO, CONCILIACIÓN Y CIERRE Código: GPE-PR03</t>
  </si>
  <si>
    <t>$K$142</t>
  </si>
  <si>
    <t xml:space="preserve">Se actualiza el Procedimiento </t>
  </si>
  <si>
    <t>$K$143</t>
  </si>
  <si>
    <t xml:space="preserve">Se actualiza el Procedimiento RECAUDO DE DINERO, CONCILIACIÓN Y CIERRE Código: GPE-PR03, el cúal fue socializado con la supervisora del contrato y los líderes de recaudo </t>
  </si>
  <si>
    <t>$L$105</t>
  </si>
  <si>
    <t>$L$107</t>
  </si>
  <si>
    <t>$L$108</t>
  </si>
  <si>
    <t>Se solicita ampliación de plazo para el 31 de julio de 2026, mdiante oficio radicado numero 20265000017763.
Fecha anterior:
31/05/2026
31/07/2026</t>
  </si>
  <si>
    <t>$C$44</t>
  </si>
  <si>
    <t>Radicado</t>
  </si>
  <si>
    <t>$W$1</t>
  </si>
  <si>
    <t>Área Remitente</t>
  </si>
  <si>
    <t>$X$1</t>
  </si>
  <si>
    <t>Asunto</t>
  </si>
  <si>
    <t>$Y$1</t>
  </si>
  <si>
    <t>$Z$1</t>
  </si>
  <si>
    <t>Enlace PDF</t>
  </si>
  <si>
    <t>$AA$1</t>
  </si>
  <si>
    <t>Fecha</t>
  </si>
  <si>
    <t>$V$105</t>
  </si>
  <si>
    <t>$W$105</t>
  </si>
  <si>
    <t>$X$105</t>
  </si>
  <si>
    <t>Solicitud de ampliación de plazo y modificación del plan de acción de la
Auditoría – al cierre del Almacén</t>
  </si>
  <si>
    <t>$Y$105</t>
  </si>
  <si>
    <t>Solicitud de ampliación de plazo y modificación del plan de acción de la
Auditoría – al cierre del Almacén</t>
  </si>
  <si>
    <t>Estado de la Solicitud</t>
  </si>
  <si>
    <t>Aprobado</t>
  </si>
  <si>
    <t>$Z$105</t>
  </si>
  <si>
    <t>https://drive.google.com/drive/u/0/folders/1sluceK7OqFoZef6b0A7Nnl-GuSRkwByD</t>
  </si>
  <si>
    <t>$AA$105</t>
  </si>
  <si>
    <t>Vigencia Auditoría</t>
  </si>
  <si>
    <t>Nombre del Informe</t>
  </si>
  <si>
    <t>Informes PDF</t>
  </si>
  <si>
    <t>$A$2</t>
  </si>
  <si>
    <t>Auditoría de contratación,
supervisión e interventoría.</t>
  </si>
  <si>
    <t>$B$2</t>
  </si>
  <si>
    <t>Auditoría de contratación, supervisión e interventoría.</t>
  </si>
  <si>
    <t>https://drive.google.com/drive/u/0/folders/1uUaZyXtyntS1ZR4XtKniTF8hi3ocRKO3</t>
  </si>
  <si>
    <t>$C$2</t>
  </si>
  <si>
    <t>Auditoría al Proceso
Gestión de
Parqueaderos en Vía</t>
  </si>
  <si>
    <t>$B$3</t>
  </si>
  <si>
    <t>Auditoría al Proceso Gestión de Parqueaderos en Vía</t>
  </si>
  <si>
    <t>$A$3</t>
  </si>
  <si>
    <t>https://drive.google.com/drive/u/0/folders/1ZuQ9_C8JMrbUBsLnOOmS2erg4fMauuwH</t>
  </si>
  <si>
    <t>https://drive.google.com/drive/u/0/folders/1jRj8EFrZYKR9wEJbX-stB3AAQsrLPoC6</t>
  </si>
  <si>
    <t>Seguimiento
Cierre de almacén</t>
  </si>
  <si>
    <t>$B$4</t>
  </si>
  <si>
    <t>$A$4</t>
  </si>
  <si>
    <t>Seguimiento Cierre de almacén</t>
  </si>
  <si>
    <t>https://drive.google.com/drive/u/0/folders/1jzqat7q2A6XOX5aqj-i_cdbRaBNbiY_0</t>
  </si>
  <si>
    <t>Auditoría – Servicio
al Ciudadano</t>
  </si>
  <si>
    <t>Auditoría – Servicio al Ciudadano</t>
  </si>
  <si>
    <t>$A$5</t>
  </si>
  <si>
    <t>$A$6</t>
  </si>
  <si>
    <t>https://drive.google.com/drive/u/0/folders/1VGx_CXqteGaJj6lxq6NX1D0MBGrGCIEC</t>
  </si>
  <si>
    <t>Cumplimiento a la Ley 1712
de 2014
Acceso a la información
Pública</t>
  </si>
  <si>
    <t>$B$7</t>
  </si>
  <si>
    <t>Cumplimiento a la Ley 1712 de 2014 Acceso a la información Pública</t>
  </si>
  <si>
    <t>$A$7</t>
  </si>
  <si>
    <t>https://drive.google.com/drive/u/0/folders/1WavYaYY1cqn4Fy-CG4k23XGc-_JzE_ef</t>
  </si>
  <si>
    <t>$A$8</t>
  </si>
  <si>
    <t>Revisión de proceso precontractual
TT-SPO-02-2025.</t>
  </si>
  <si>
    <t>$B$8</t>
  </si>
  <si>
    <t>https://drive.google.com/drive/u/0/folders/1nHtaf2Yx0hsIcwJfNzCQqRu5NFPcRLa_</t>
  </si>
  <si>
    <t>$C$8</t>
  </si>
  <si>
    <t>https://drive.google.com/drive/u/0/folders/1Io-mpD0Ren7SSsBcX5vo3uE97BDOVJbl</t>
  </si>
  <si>
    <t>Auditoría
Gobierno
Corporativo,
transparencia
y conflicto de
intereses.</t>
  </si>
  <si>
    <t>$B$9</t>
  </si>
  <si>
    <t>AuditoríaGobiernoCorporativo,transparenciay conflicto de intereses.</t>
  </si>
  <si>
    <t>$A$9</t>
  </si>
  <si>
    <t>https://drive.google.com/drive/u/0/folders/1ucwpor3S-25aEio3SElJgNVcIRIfx_5W</t>
  </si>
  <si>
    <t>$C$9</t>
  </si>
  <si>
    <t>Auditoría al Programa de Seguridad Vial</t>
  </si>
  <si>
    <t>$B$10</t>
  </si>
  <si>
    <t>$A$10</t>
  </si>
  <si>
    <t>https://drive.google.com/drive/u/0/folders/12p07BvpGXoYDerlUIVGj1xBe2lYlT33n</t>
  </si>
  <si>
    <t>$C$10</t>
  </si>
  <si>
    <t>https://drive.google.com/drive/u/0/folders/1UYuP1J8A863hFYq4HbrQYhaReRus6bka</t>
  </si>
  <si>
    <t>$C$11</t>
  </si>
  <si>
    <t>$A$11</t>
  </si>
  <si>
    <t>Contrato Empresa Temporales_Req Gerencia G</t>
  </si>
  <si>
    <t>$B$11</t>
  </si>
  <si>
    <t>Alcance al Informe de Auditoría Interna Lote 31</t>
  </si>
  <si>
    <t>$B$12</t>
  </si>
  <si>
    <t>$A$12</t>
  </si>
  <si>
    <t>https://drive.google.com/drive/u/0/folders/1w_DqJ00GVJB6-nzVYyR1LHivRnbTEP3y</t>
  </si>
  <si>
    <t>$C$12</t>
  </si>
  <si>
    <t>https://drive.google.com/drive/u/0/folders/1UNP-hmpviN1fzkxIr4qyl40FscjB5p_0</t>
  </si>
  <si>
    <t>$C$13</t>
  </si>
  <si>
    <t>Auditoría TI</t>
  </si>
  <si>
    <t>$B$13</t>
  </si>
  <si>
    <t>$A$13</t>
  </si>
  <si>
    <t>Control Externo.</t>
  </si>
  <si>
    <t>$B$14</t>
  </si>
  <si>
    <t>$A$14</t>
  </si>
  <si>
    <t>https://drive.google.com/drive/u/0/folders/1SrnDqx1EYjwKyHx_JPYU4cVoWtNKTfpE</t>
  </si>
  <si>
    <t>$C$14</t>
  </si>
  <si>
    <t>Auditoría
Servicios
Conexos</t>
  </si>
  <si>
    <t>$B$15</t>
  </si>
  <si>
    <t>$A$15</t>
  </si>
  <si>
    <t>Auditoría Servicios Conexos</t>
  </si>
  <si>
    <t>https://drive.google.com/drive/u/0/folders/1aP6hkTuBP2EZpYgqGnMjRNyvyleVSzrU</t>
  </si>
  <si>
    <t>+</t>
  </si>
  <si>
    <t>Evaluación de Control Interno Contable</t>
  </si>
  <si>
    <t>https://drive.google.com/drive/u/0/folders/1CF3ERwdFSyIocY0dC69Rvp6n_APi57uv</t>
  </si>
  <si>
    <t>Auditoría – Contrato</t>
  </si>
  <si>
    <t>https://drive.google.com/drive/u/0/folders/1hSjSJhBE_qf-Ria7BVm4brpS2pjf7CTh</t>
  </si>
  <si>
    <t>Auditoría de Plan Estratégico
de Seguridad Vial</t>
  </si>
  <si>
    <t>Auditoría de Plan Estratégico de Seguridad Vial</t>
  </si>
  <si>
    <t>https://drive.google.com/drive/u/0/folders/1EO-gzxzGL7GkT8xFrDqs0huRS5mEDvYh</t>
  </si>
  <si>
    <t>Auditoría de Nómina</t>
  </si>
  <si>
    <t>https://drive.google.com/drive/u/0/folders/1pW62h0-RBoT92fZl4gJDARgAPn33GJyI</t>
  </si>
  <si>
    <t>Cierre de almacén</t>
  </si>
  <si>
    <t>https://drive.google.com/drive/u/0/folders/1110AzD8AxuMiQZ_s2B_iIFinnBkx3eIq</t>
  </si>
  <si>
    <t>https://drive.google.com/drive/u/0/folders/1FOGhWGRE0oYsFILc18nNDZ_0AGgiJyU4</t>
  </si>
  <si>
    <t>Parqueaderos
Fuera de Vía</t>
  </si>
  <si>
    <t>Parqueaderos Fuera de Vía</t>
  </si>
  <si>
    <t>https://drive.google.com/drive/u/0/folders/1AMXlCHP3-blXnuaFADftQV-7zXZTQhOr</t>
  </si>
  <si>
    <t>Auditoría a la Tasa
de Uso</t>
  </si>
  <si>
    <t>Auditoría a la Tasa de Uso</t>
  </si>
  <si>
    <t>https://drive.google.com/drive/u/0/folders/1GNwpEI0-e4hpd6zG-OQnHucYB6hNrS7a</t>
  </si>
  <si>
    <t>https://drive.google.com/drive/u/0/folders/1GQASjqFKHsmuASi0ijMQdBAEBZD4H8R1</t>
  </si>
  <si>
    <t>Tipología</t>
  </si>
  <si>
    <t>Nombre</t>
  </si>
  <si>
    <t>1.1 Servicios al Transportador</t>
  </si>
  <si>
    <t>1.2. Auditoría Gestión Inmobiliaria</t>
  </si>
  <si>
    <t>1.3. Auditoría Programa de Ética Pública Empresarial PEP</t>
  </si>
  <si>
    <t xml:space="preserve">1.4. Auditoria Conciliaciones Financiera - Operativas </t>
  </si>
  <si>
    <t>1.5.Auditoria Proceso de Contratación y Supervisión</t>
  </si>
  <si>
    <t>1.6. Servicio al Ciudadano</t>
  </si>
  <si>
    <t>1.7. Auditoría parqueaderos en Vía (ZPP)</t>
  </si>
  <si>
    <t>1.8. Sistema de Gestión de Lavado de Dinero SARLAFT</t>
  </si>
  <si>
    <t>1.9. Auditorias de Seguridad Vial</t>
  </si>
  <si>
    <t>1.10 Auditoría Parqueaderos Fuera de Vía</t>
  </si>
  <si>
    <t>1.10. Migración de Datos a Nube</t>
  </si>
  <si>
    <t>1.11 Infraestructura de TI</t>
  </si>
  <si>
    <t>Programa Anual de Auditoría</t>
  </si>
  <si>
    <t>$C$1</t>
  </si>
  <si>
    <t xml:space="preserve">Vigencia </t>
  </si>
  <si>
    <t>Asignada</t>
  </si>
  <si>
    <t>$D$4</t>
  </si>
  <si>
    <t>1.1 Servicios Conexos</t>
  </si>
  <si>
    <t xml:space="preserve">1.2. Auditoria a la operación de control externo </t>
  </si>
  <si>
    <t>1.3. Auditoría Gobierno Corporativo - Transparencia y Conflicto de Intereses</t>
  </si>
  <si>
    <t>1.4. Auditorias de Seguridad Vial</t>
  </si>
  <si>
    <t>1.7. Seguimiento al cierre de almacen</t>
  </si>
  <si>
    <t>1.9. Auditoria Conciliaciones Financiera - Operativas</t>
  </si>
  <si>
    <t>1.10. Auditoría a Zona de Parqueo Pago</t>
  </si>
  <si>
    <t>1.11. Auditoria a la Coopropiedad</t>
  </si>
  <si>
    <t>1.12. Auditoría del Ambiente de TI</t>
  </si>
  <si>
    <t>Servicios al Transportador</t>
  </si>
  <si>
    <t>Auditoría Gestión Inmobiliaria</t>
  </si>
  <si>
    <t>Auditoría Programa de Ética Pública Empresarial PEP</t>
  </si>
  <si>
    <t xml:space="preserve">Auditoria Conciliaciones Financiera - Operativas </t>
  </si>
  <si>
    <t>Auditoria Proceso de Contratación y Supervisión</t>
  </si>
  <si>
    <t>Auditoría parqueaderos en Vía (ZPP)</t>
  </si>
  <si>
    <t>Servicio al Ciudadano</t>
  </si>
  <si>
    <t>Sistema de Gestión de Lavado de Dinero SARLAFT</t>
  </si>
  <si>
    <t>Auditorias de Seguridad Vial</t>
  </si>
  <si>
    <t>Auditoría Parqueaderos Fuera de Vía</t>
  </si>
  <si>
    <t>Migración de Datos a Nube</t>
  </si>
  <si>
    <t>Infraestructura de TI</t>
  </si>
  <si>
    <t>Servicios Conexos</t>
  </si>
  <si>
    <t xml:space="preserve">Auditoria a la operación de control externo </t>
  </si>
  <si>
    <t>Auditoría Gobierno Corporativo - Transparencia y Conflicto de Intereses</t>
  </si>
  <si>
    <t>$B$16</t>
  </si>
  <si>
    <t>$B$17</t>
  </si>
  <si>
    <t>$B$18</t>
  </si>
  <si>
    <t>$B$19</t>
  </si>
  <si>
    <t>Seguimiento al cierre de almacen</t>
  </si>
  <si>
    <t>$B$20</t>
  </si>
  <si>
    <t>$B$21</t>
  </si>
  <si>
    <t>Auditoria Conciliaciones Financiera - Operativas</t>
  </si>
  <si>
    <t>$B$22</t>
  </si>
  <si>
    <t>Auditoría a Zona de Parqueo Pago</t>
  </si>
  <si>
    <t>$B$23</t>
  </si>
  <si>
    <t>Auditoria a la Coopropiedad</t>
  </si>
  <si>
    <t>$B$24</t>
  </si>
  <si>
    <t>Auditoría del Ambiente de TI</t>
  </si>
  <si>
    <t>$B$25</t>
  </si>
  <si>
    <t>$C$25</t>
  </si>
  <si>
    <t>$C$23</t>
  </si>
  <si>
    <t>Reprogramada</t>
  </si>
  <si>
    <t>$C$21</t>
  </si>
  <si>
    <t>$C$22</t>
  </si>
  <si>
    <t>$C$24</t>
  </si>
  <si>
    <t>$L$154</t>
  </si>
  <si>
    <t>$L$155</t>
  </si>
  <si>
    <t>$L$157</t>
  </si>
  <si>
    <t>$L$158</t>
  </si>
  <si>
    <t>$L$159</t>
  </si>
  <si>
    <t>$L$160</t>
  </si>
  <si>
    <t>$L$162</t>
  </si>
  <si>
    <t>Ana</t>
  </si>
  <si>
    <t>$T$78</t>
  </si>
  <si>
    <t>$T$80</t>
  </si>
  <si>
    <t>Diego Vásquez</t>
  </si>
  <si>
    <t>$T$6</t>
  </si>
  <si>
    <t>$T$30</t>
  </si>
  <si>
    <t>$T$59</t>
  </si>
  <si>
    <t>$T$60</t>
  </si>
  <si>
    <t>$T$93</t>
  </si>
  <si>
    <t>$T$104</t>
  </si>
  <si>
    <t>$T$105</t>
  </si>
  <si>
    <t>$T$106</t>
  </si>
  <si>
    <t>$T$107</t>
  </si>
  <si>
    <t>$T$108</t>
  </si>
  <si>
    <t>$T$144</t>
  </si>
  <si>
    <t>$T$147</t>
  </si>
  <si>
    <t>Ana Nieto</t>
  </si>
  <si>
    <t>Felipe Gutierrez</t>
  </si>
  <si>
    <t>$T$110</t>
  </si>
  <si>
    <t>$T$111</t>
  </si>
  <si>
    <t>$T$112</t>
  </si>
  <si>
    <t>$T$113</t>
  </si>
  <si>
    <t>$T$114</t>
  </si>
  <si>
    <t>$T$115</t>
  </si>
  <si>
    <t>$T$116</t>
  </si>
  <si>
    <t>$T$117</t>
  </si>
  <si>
    <t>$T$118</t>
  </si>
  <si>
    <t>$T$119</t>
  </si>
  <si>
    <t>$T$120</t>
  </si>
  <si>
    <t>$T$121</t>
  </si>
  <si>
    <t>$T$122</t>
  </si>
  <si>
    <t>$T$123</t>
  </si>
  <si>
    <t>$T$124</t>
  </si>
  <si>
    <t>$T$125</t>
  </si>
  <si>
    <t>$T$126</t>
  </si>
  <si>
    <t>$T$127</t>
  </si>
  <si>
    <t>$T$128</t>
  </si>
  <si>
    <t>$T$137</t>
  </si>
  <si>
    <t>$T$138</t>
  </si>
  <si>
    <t>$T$139</t>
  </si>
  <si>
    <t>Eduardo de la Torre</t>
  </si>
  <si>
    <t>$T$132</t>
  </si>
  <si>
    <t>$T$133</t>
  </si>
  <si>
    <t>$T$134</t>
  </si>
  <si>
    <t>$T$135</t>
  </si>
  <si>
    <t>$T$136</t>
  </si>
  <si>
    <t>$T$42</t>
  </si>
  <si>
    <t>$T$43</t>
  </si>
  <si>
    <t>$T$44</t>
  </si>
  <si>
    <t>$T$45</t>
  </si>
  <si>
    <t>$T$46</t>
  </si>
  <si>
    <t>$T$47</t>
  </si>
  <si>
    <t>$T$129</t>
  </si>
  <si>
    <t>$T$130</t>
  </si>
  <si>
    <t>$T$131</t>
  </si>
  <si>
    <t>Hallazgo 5: Dentro del ejercicio de prórroga de los contratos adelantados por La Terminal de Transporte a 31 de diciembre de 2024, se evidenció que el formato GAF-FT36 “Solicitud y autorización de CDP” Versión No. 7, no incluye el código del rubro presupuestal, ni el código del Centro de Costos, lo cual es un requisito para la aprobación por parte de la Subgerencia Corporativa.</t>
  </si>
  <si>
    <t>$C$47</t>
  </si>
  <si>
    <t>$C$40</t>
  </si>
  <si>
    <t>$C$41</t>
  </si>
  <si>
    <t xml:space="preserve">Hallazgo 4: 
Al día 22 de diciembre del año 2024, se evidencia que no hay documentos en la plataforma SECOP II relacionados con la ejecución del contrato TT-166-2024. </t>
  </si>
  <si>
    <t>$C$45</t>
  </si>
  <si>
    <t>$C$46</t>
  </si>
  <si>
    <t>Cierre DD/MM/AA</t>
  </si>
  <si>
    <t>$I$1</t>
  </si>
  <si>
    <t>$I$3</t>
  </si>
  <si>
    <t>% Hallazgo</t>
  </si>
  <si>
    <t>$AB$4</t>
  </si>
  <si>
    <t>$AB$5</t>
  </si>
  <si>
    <t>$AB$6</t>
  </si>
  <si>
    <t>$AB$7</t>
  </si>
  <si>
    <t>$AB$8</t>
  </si>
  <si>
    <t>$AB$9</t>
  </si>
  <si>
    <t>$AB$10</t>
  </si>
  <si>
    <t>$AB$11</t>
  </si>
  <si>
    <t>$AB$12</t>
  </si>
  <si>
    <t>$AB$13</t>
  </si>
  <si>
    <t>$AB$14</t>
  </si>
  <si>
    <t>$AB$15</t>
  </si>
  <si>
    <t>$AB$16</t>
  </si>
  <si>
    <t>$AB$17</t>
  </si>
  <si>
    <t>$AB$18</t>
  </si>
  <si>
    <t>$AB$19</t>
  </si>
  <si>
    <t>$AB$20</t>
  </si>
  <si>
    <t>$AB$21</t>
  </si>
  <si>
    <t>$AB$22</t>
  </si>
  <si>
    <t>$AB$23</t>
  </si>
  <si>
    <t>$AB$24</t>
  </si>
  <si>
    <t>$AB$25</t>
  </si>
  <si>
    <t>$AB$26</t>
  </si>
  <si>
    <t>$AB$27</t>
  </si>
  <si>
    <t>$AB$28</t>
  </si>
  <si>
    <t>$AB$29</t>
  </si>
  <si>
    <t>$AB$30</t>
  </si>
  <si>
    <t>$AB$31</t>
  </si>
  <si>
    <t>$AB$32</t>
  </si>
  <si>
    <t>$AB$33</t>
  </si>
  <si>
    <t>$AB$34</t>
  </si>
  <si>
    <t>$AB$35</t>
  </si>
  <si>
    <t>$AB$36</t>
  </si>
  <si>
    <t>$AB$37</t>
  </si>
  <si>
    <t>$AB$38</t>
  </si>
  <si>
    <t>$AB$39</t>
  </si>
  <si>
    <t>$AB$40</t>
  </si>
  <si>
    <t>$AB$41</t>
  </si>
  <si>
    <t>$AB$42</t>
  </si>
  <si>
    <t>$AB$43</t>
  </si>
  <si>
    <t>$AB$44</t>
  </si>
  <si>
    <t>$AB$45</t>
  </si>
  <si>
    <t>$AB$46</t>
  </si>
  <si>
    <t>$AB$47</t>
  </si>
  <si>
    <t>$AB$48</t>
  </si>
  <si>
    <t>$AB$49</t>
  </si>
  <si>
    <t>$AB$50</t>
  </si>
  <si>
    <t>$AB$51</t>
  </si>
  <si>
    <t>$AB$52</t>
  </si>
  <si>
    <t>$AB$53</t>
  </si>
  <si>
    <t>$AB$54</t>
  </si>
  <si>
    <t>$AB$55</t>
  </si>
  <si>
    <t>$AB$56</t>
  </si>
  <si>
    <t>$AB$57</t>
  </si>
  <si>
    <t>$AB$58</t>
  </si>
  <si>
    <t>$AB$59</t>
  </si>
  <si>
    <t>$AB$60</t>
  </si>
  <si>
    <t>$AB$61</t>
  </si>
  <si>
    <t>$AB$62</t>
  </si>
  <si>
    <t>$AB$63</t>
  </si>
  <si>
    <t>$AB$64</t>
  </si>
  <si>
    <t>$AB$65</t>
  </si>
  <si>
    <t>$AB$66</t>
  </si>
  <si>
    <t>$AB$67</t>
  </si>
  <si>
    <t>$AB$68</t>
  </si>
  <si>
    <t>$AB$69</t>
  </si>
  <si>
    <t>$AB$70</t>
  </si>
  <si>
    <t>$AB$71</t>
  </si>
  <si>
    <t>$AB$72</t>
  </si>
  <si>
    <t>$AB$73</t>
  </si>
  <si>
    <t>$AB$74</t>
  </si>
  <si>
    <t>$AB$75</t>
  </si>
  <si>
    <t>$AB$76</t>
  </si>
  <si>
    <t>$AB$77</t>
  </si>
  <si>
    <t>$AB$78</t>
  </si>
  <si>
    <t>$AB$79</t>
  </si>
  <si>
    <t>$AB$80</t>
  </si>
  <si>
    <t>$AB$81</t>
  </si>
  <si>
    <t>$AB$82</t>
  </si>
  <si>
    <t>$AB$83</t>
  </si>
  <si>
    <t>$AB$84</t>
  </si>
  <si>
    <t>$AB$85</t>
  </si>
  <si>
    <t>$AB$86</t>
  </si>
  <si>
    <t>$AB$87</t>
  </si>
  <si>
    <t>$AB$88</t>
  </si>
  <si>
    <t>$AB$89</t>
  </si>
  <si>
    <t>$AB$90</t>
  </si>
  <si>
    <t>$AB$91</t>
  </si>
  <si>
    <t>$AB$92</t>
  </si>
  <si>
    <t>$AB$93</t>
  </si>
  <si>
    <t>$AB$94</t>
  </si>
  <si>
    <t>$AB$95</t>
  </si>
  <si>
    <t>$AB$96</t>
  </si>
  <si>
    <t>$AB$97</t>
  </si>
  <si>
    <t>$AB$98</t>
  </si>
  <si>
    <t>$AB$99</t>
  </si>
  <si>
    <t>$AB$100</t>
  </si>
  <si>
    <t>$AB$101</t>
  </si>
  <si>
    <t>$AB$102</t>
  </si>
  <si>
    <t>$AB$103</t>
  </si>
  <si>
    <t>$AB$104</t>
  </si>
  <si>
    <t>$AB$105</t>
  </si>
  <si>
    <t>$AB$106</t>
  </si>
  <si>
    <t>$AB$107</t>
  </si>
  <si>
    <t>$AB$108</t>
  </si>
  <si>
    <t>$AB$109</t>
  </si>
  <si>
    <t>$AB$110</t>
  </si>
  <si>
    <t>$AB$111</t>
  </si>
  <si>
    <t>$AB$112</t>
  </si>
  <si>
    <t>$AB$113</t>
  </si>
  <si>
    <t>$AB$114</t>
  </si>
  <si>
    <t>$AB$115</t>
  </si>
  <si>
    <t>$AB$116</t>
  </si>
  <si>
    <t>$AB$117</t>
  </si>
  <si>
    <t>$AB$118</t>
  </si>
  <si>
    <t>$AB$119</t>
  </si>
  <si>
    <t>$AB$120</t>
  </si>
  <si>
    <t>$AB$121</t>
  </si>
  <si>
    <t>$AB$122</t>
  </si>
  <si>
    <t>$AB$123</t>
  </si>
  <si>
    <t>$AB$124</t>
  </si>
  <si>
    <t>$AB$125</t>
  </si>
  <si>
    <t>$AB$126</t>
  </si>
  <si>
    <t>$AB$127</t>
  </si>
  <si>
    <t>$AB$128</t>
  </si>
  <si>
    <t>$AB$129</t>
  </si>
  <si>
    <t>$AB$130</t>
  </si>
  <si>
    <t>$AB$131</t>
  </si>
  <si>
    <t>$AB$132</t>
  </si>
  <si>
    <t>$AB$133</t>
  </si>
  <si>
    <t>$AB$134</t>
  </si>
  <si>
    <t>$AB$135</t>
  </si>
  <si>
    <t>$AB$136</t>
  </si>
  <si>
    <t>$AB$137</t>
  </si>
  <si>
    <t>$AB$138</t>
  </si>
  <si>
    <t>$AB$139</t>
  </si>
  <si>
    <t>$AB$140</t>
  </si>
  <si>
    <t>$AB$141</t>
  </si>
  <si>
    <t>$AB$142</t>
  </si>
  <si>
    <t>$AB$143</t>
  </si>
  <si>
    <t>$AB$144</t>
  </si>
  <si>
    <t>$AB$145</t>
  </si>
  <si>
    <t>$AB$146</t>
  </si>
  <si>
    <t>$AB$147</t>
  </si>
  <si>
    <t>$AB$148</t>
  </si>
  <si>
    <t>$AB$149</t>
  </si>
  <si>
    <t>$AB$150</t>
  </si>
  <si>
    <t>$AB$151</t>
  </si>
  <si>
    <t>$AB$152</t>
  </si>
  <si>
    <t>$AB$153</t>
  </si>
  <si>
    <t>$AB$154</t>
  </si>
  <si>
    <t>$AB$155</t>
  </si>
  <si>
    <t>$AB$156</t>
  </si>
  <si>
    <t>$AB$157</t>
  </si>
  <si>
    <t>$AB$158</t>
  </si>
  <si>
    <t>$AB$159</t>
  </si>
  <si>
    <t>$AB$160</t>
  </si>
  <si>
    <t>$AB$161</t>
  </si>
  <si>
    <t>$AB$162</t>
  </si>
  <si>
    <t>$AB$163</t>
  </si>
  <si>
    <t>$AB$164</t>
  </si>
  <si>
    <t>$AB$165</t>
  </si>
  <si>
    <t>$AB$2</t>
  </si>
  <si>
    <t>$AB$3</t>
  </si>
  <si>
    <t>Mes Programado</t>
  </si>
  <si>
    <t>$D$1</t>
  </si>
  <si>
    <t>Mes finalizada</t>
  </si>
  <si>
    <t>$E$1</t>
  </si>
  <si>
    <t>Mes Programada</t>
  </si>
  <si>
    <t>$D$2</t>
  </si>
  <si>
    <t>$D$3</t>
  </si>
  <si>
    <t>$E$2</t>
  </si>
  <si>
    <t>$E$3</t>
  </si>
  <si>
    <t>$D$5</t>
  </si>
  <si>
    <t>$D$7</t>
  </si>
  <si>
    <t>$D$8</t>
  </si>
  <si>
    <t>$D$9</t>
  </si>
  <si>
    <t>$D$10</t>
  </si>
  <si>
    <t>$D$11</t>
  </si>
  <si>
    <t>$D$12</t>
  </si>
  <si>
    <t>$E$12</t>
  </si>
  <si>
    <t>$D$13</t>
  </si>
  <si>
    <t>$E$13</t>
  </si>
  <si>
    <t>$E$4</t>
  </si>
  <si>
    <t>$E$5</t>
  </si>
  <si>
    <t>Apoyo Responsable</t>
  </si>
  <si>
    <t>$AC$1</t>
  </si>
  <si>
    <t>Andrea Lievano</t>
  </si>
  <si>
    <t>$AC$6</t>
  </si>
  <si>
    <t>Juan Alviz</t>
  </si>
  <si>
    <t>$AC$30</t>
  </si>
  <si>
    <t>Carloina Bueno</t>
  </si>
  <si>
    <t>$AC$59</t>
  </si>
  <si>
    <t>$AC$60</t>
  </si>
  <si>
    <t>Andres Panqueva</t>
  </si>
  <si>
    <t>$AC$78</t>
  </si>
  <si>
    <t>$AC$80</t>
  </si>
  <si>
    <t>Maryuri Zábala</t>
  </si>
  <si>
    <t>$AC$93</t>
  </si>
  <si>
    <t>Oscar Garzón</t>
  </si>
  <si>
    <t>$AC$104</t>
  </si>
  <si>
    <t>$AC$105</t>
  </si>
  <si>
    <t>$AC$106</t>
  </si>
  <si>
    <t>$AC$107</t>
  </si>
  <si>
    <t>$AC$108</t>
  </si>
  <si>
    <t>$AC$110</t>
  </si>
  <si>
    <t>$AC$111</t>
  </si>
  <si>
    <t>$AC$112</t>
  </si>
  <si>
    <t>$AC$113</t>
  </si>
  <si>
    <t>$AC$114</t>
  </si>
  <si>
    <t>$AC$115</t>
  </si>
  <si>
    <t>$AC$116</t>
  </si>
  <si>
    <t>Maryuri Zábala
Karyna Tietje</t>
  </si>
  <si>
    <t>$AC$117</t>
  </si>
  <si>
    <t>$AC$119</t>
  </si>
  <si>
    <t>Karyna Tietje</t>
  </si>
  <si>
    <t>$AC$120</t>
  </si>
  <si>
    <t>$AC$121</t>
  </si>
  <si>
    <t>$AC$122</t>
  </si>
  <si>
    <t>$AC$123</t>
  </si>
  <si>
    <t>$AC$124</t>
  </si>
  <si>
    <t>Maryury Zábala
Juan Alviz</t>
  </si>
  <si>
    <t>$AC$125</t>
  </si>
  <si>
    <t>$AC$126</t>
  </si>
  <si>
    <t>$AC$127</t>
  </si>
  <si>
    <t>Manuel Santamaría</t>
  </si>
  <si>
    <t>$AC$128</t>
  </si>
  <si>
    <t>Marcela Angarita</t>
  </si>
  <si>
    <t>$AC$132</t>
  </si>
  <si>
    <t>$AC$133</t>
  </si>
  <si>
    <t>$AC$134</t>
  </si>
  <si>
    <t>$AC$135</t>
  </si>
  <si>
    <t>$AC$136</t>
  </si>
  <si>
    <t>$AC$137</t>
  </si>
  <si>
    <t>$AC$138</t>
  </si>
  <si>
    <t>$AC$139</t>
  </si>
  <si>
    <t>$AC$144</t>
  </si>
  <si>
    <t>$AC$147</t>
  </si>
  <si>
    <t>$AC$148</t>
  </si>
  <si>
    <t>Edgar Ortiz</t>
  </si>
  <si>
    <t>$AC$150</t>
  </si>
  <si>
    <t>$AC$151</t>
  </si>
  <si>
    <t>$AC$152</t>
  </si>
  <si>
    <t>$AC$153</t>
  </si>
  <si>
    <t>$AC$154</t>
  </si>
  <si>
    <t>$AC$155</t>
  </si>
  <si>
    <t>Marcela Angarita
Maryury Zábala</t>
  </si>
  <si>
    <t>$AC$156</t>
  </si>
  <si>
    <t>$AC$157</t>
  </si>
  <si>
    <t>$AC$158</t>
  </si>
  <si>
    <t>$AC$159</t>
  </si>
  <si>
    <t>$AC$160</t>
  </si>
  <si>
    <t>$AC$161</t>
  </si>
  <si>
    <t>$AC$162</t>
  </si>
  <si>
    <t>$AC$163</t>
  </si>
  <si>
    <t>$AC$164</t>
  </si>
  <si>
    <t>$AC$165</t>
  </si>
  <si>
    <t>Maryuri Zábala
Juan Alviz</t>
  </si>
  <si>
    <t>Marcela Angarita
Maryuri Zábala</t>
  </si>
  <si>
    <t>Última fecha de Actualización: 17/09/2026 11:19</t>
  </si>
  <si>
    <t>Maryuri Zábala
Carloina Bueno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</si>
</sst>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0">
    <font>
      <sz val="11"/>
      <color theme="1"/>
      <name val="Aptos Narrow"/>
      <family val="2"/>
      <scheme val="minor"/>
    </font>
    <font>
      <u/>
      <sz val="11"/>
      <color theme="10"/>
      <name val="Aptos Narrow"/>
      <family val="2"/>
      <scheme val="minor"/>
    </font>
    <font>
      <sz val="10"/>
      <color rgb="FF000000"/>
      <name val="Aptos Narrow"/>
      <family val="2"/>
      <scheme val="minor"/>
    </font>
    <font>
      <b/>
      <sz val="9"/>
      <color theme="1"/>
      <name val="Arial"/>
      <family val="2"/>
    </font>
    <font>
      <b/>
      <sz val="9"/>
      <color theme="0"/>
      <name val="Arial"/>
      <family val="2"/>
    </font>
    <font>
      <sz val="9"/>
      <color theme="1"/>
      <name val="Arial"/>
      <family val="2"/>
    </font>
    <font>
      <u/>
      <sz val="10"/>
      <color theme="10"/>
      <name val="Aptos Narrow"/>
      <family val="2"/>
      <scheme val="minor"/>
    </font>
    <font>
      <u/>
      <sz val="9"/>
      <color theme="10"/>
      <name val="Arial"/>
      <family val="2"/>
    </font>
    <font>
      <b/>
      <sz val="9"/>
      <color rgb="FF002060"/>
      <name val="Arial"/>
      <family val="2"/>
    </font>
    <font>
      <b/>
      <sz val="9"/>
      <color rgb="FFFF0000"/>
      <name val="Arial"/>
      <family val="2"/>
    </font>
    <font>
      <sz val="11"/>
      <color theme="1"/>
      <name val="Aptos Narrow"/>
      <family val="2"/>
      <scheme val="minor"/>
    </font>
    <font>
      <b/>
      <i/>
      <sz val="12"/>
      <color theme="0"/>
      <name val="Arial"/>
      <family val="2"/>
    </font>
    <font>
      <b/>
      <i/>
      <sz val="11"/>
      <name val="Arial"/>
      <family val="2"/>
    </font>
    <font>
      <b/>
      <i/>
      <sz val="9"/>
      <color rgb="FF002060"/>
      <name val="Arial"/>
      <family val="2"/>
    </font>
    <font>
      <sz val="10"/>
      <color theme="1"/>
      <name val="Arial"/>
      <family val="2"/>
    </font>
    <font>
      <b/>
      <sz val="11"/>
      <color theme="1"/>
      <name val="Aptos Narrow"/>
      <family val="2"/>
      <scheme val="minor"/>
    </font>
    <font>
      <b/>
      <sz val="10"/>
      <color theme="0"/>
      <name val="Arial"/>
      <family val="2"/>
    </font>
    <font>
      <b/>
      <sz val="10"/>
      <color theme="1"/>
      <name val="Arial"/>
      <family val="2"/>
    </font>
    <font>
      <b/>
      <sz val="11"/>
      <color theme="0"/>
      <name val="Aptos Narrow"/>
      <family val="2"/>
      <scheme val="minor"/>
    </font>
    <font>
      <u/>
      <sz val="9"/>
      <color theme="1"/>
      <name val="Arial"/>
      <family val="2"/>
    </font>
    <font>
      <u/>
      <sz val="11"/>
      <color theme="1"/>
      <name val="Aptos Narrow"/>
      <family val="2"/>
      <scheme val="minor"/>
    </font>
    <font>
      <sz val="9"/>
      <name val="Arial"/>
      <family val="2"/>
    </font>
    <font>
      <sz val="9"/>
      <color rgb="FFFF0000"/>
      <name val="Arial"/>
      <family val="2"/>
    </font>
    <font>
      <b/>
      <sz val="11"/>
      <color rgb="FFFF0000"/>
      <name val="Aptos Narrow"/>
      <family val="2"/>
      <scheme val="minor"/>
    </font>
    <font>
      <sz val="9"/>
      <color theme="3"/>
      <name val="Arial"/>
      <family val="2"/>
    </font>
    <font>
      <sz val="12"/>
      <color theme="3"/>
      <name val="Aptos Narrow"/>
      <family val="2"/>
      <scheme val="minor"/>
    </font>
    <font>
      <sz val="9"/>
      <color theme="1"/>
      <name val="Arial"/>
      <family val="2"/>
    </font>
    <font>
      <sz val="8"/>
      <name val="Aptos Narrow"/>
      <family val="2"/>
      <scheme val="minor"/>
    </font>
    <font>
      <b/>
      <sz val="9"/>
      <color rgb="FFFFFFFF"/>
      <name val="Avenir"/>
    </font>
    <font>
      <sz val="9"/>
      <color rgb="FF000000"/>
      <name val="Avenir"/>
    </font>
  </fonts>
  <fills count="28">
    <fill>
      <patternFill patternType="none"/>
    </fill>
    <fill>
      <patternFill patternType="gray125"/>
    </fill>
    <fill>
      <patternFill patternType="solid">
        <fgColor rgb="FFFFFF00"/>
        <bgColor indexed="64"/>
      </patternFill>
    </fill>
    <fill>
      <patternFill patternType="solid">
        <fgColor rgb="FF002060"/>
        <bgColor indexed="64"/>
      </patternFill>
    </fill>
    <fill>
      <patternFill patternType="solid">
        <fgColor theme="4" tint="0.39997558519241921"/>
        <bgColor rgb="FF003366"/>
      </patternFill>
    </fill>
    <fill>
      <patternFill patternType="solid">
        <fgColor theme="4" tint="0.79998168889431442"/>
        <bgColor indexed="64"/>
      </patternFill>
    </fill>
    <fill>
      <patternFill patternType="solid">
        <fgColor theme="9" tint="0.79998168889431442"/>
        <bgColor indexed="64"/>
      </patternFill>
    </fill>
    <fill>
      <patternFill patternType="solid">
        <fgColor rgb="FF00B050"/>
        <bgColor indexed="64"/>
      </patternFill>
    </fill>
    <fill>
      <patternFill patternType="solid">
        <fgColor theme="0"/>
        <bgColor theme="0"/>
      </patternFill>
    </fill>
    <fill>
      <patternFill patternType="solid">
        <fgColor rgb="FFFFFF00"/>
        <bgColor theme="0"/>
      </patternFill>
    </fill>
    <fill>
      <patternFill patternType="solid">
        <fgColor rgb="FF00B050"/>
        <bgColor theme="0"/>
      </patternFill>
    </fill>
    <fill>
      <patternFill patternType="solid">
        <fgColor theme="7" tint="-0.499984740745262"/>
        <bgColor indexed="64"/>
      </patternFill>
    </fill>
    <fill>
      <patternFill patternType="solid">
        <fgColor theme="3" tint="0.499984740745262"/>
        <bgColor indexed="64"/>
      </patternFill>
    </fill>
    <fill>
      <patternFill patternType="solid">
        <fgColor theme="5" tint="0.59999389629810485"/>
        <bgColor indexed="64"/>
      </patternFill>
    </fill>
    <fill>
      <patternFill patternType="solid">
        <fgColor theme="4" tint="0.39997558519241921"/>
        <bgColor indexed="64"/>
      </patternFill>
    </fill>
    <fill>
      <patternFill patternType="solid">
        <fgColor rgb="FF002060"/>
        <bgColor rgb="FF003366"/>
      </patternFill>
    </fill>
    <fill>
      <patternFill patternType="solid">
        <fgColor rgb="FF00B0F0"/>
        <bgColor indexed="64"/>
      </patternFill>
    </fill>
    <fill>
      <patternFill patternType="solid">
        <fgColor theme="4" tint="0.59999389629810485"/>
        <bgColor indexed="64"/>
      </patternFill>
    </fill>
    <fill>
      <patternFill patternType="solid">
        <fgColor theme="3" tint="0.89999084444715716"/>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theme="5" tint="0.59999389629810485"/>
        <bgColor rgb="FF003366"/>
      </patternFill>
    </fill>
    <fill>
      <patternFill patternType="solid">
        <fgColor rgb="FF7F7F7F"/>
        <bgColor rgb="FF7F7F7F"/>
      </patternFill>
    </fill>
    <fill>
      <patternFill patternType="solid">
        <fgColor theme="0" tint="-0.14999847407452621"/>
        <bgColor rgb="FF00FF00"/>
      </patternFill>
    </fill>
    <fill>
      <patternFill patternType="solid">
        <fgColor theme="0" tint="-0.14999847407452621"/>
        <bgColor indexed="64"/>
      </patternFill>
    </fill>
    <fill>
      <patternFill patternType="solid">
        <fgColor rgb="FFFFFF00"/>
        <bgColor rgb="FF003366"/>
      </patternFill>
    </fill>
    <fill>
      <patternFill patternType="solid">
        <fgColor rgb="FF92D050"/>
        <bgColor indexed="64"/>
      </patternFill>
    </fill>
    <fill>
      <patternFill patternType="solid">
        <fgColor rgb="FF92D050"/>
        <bgColor rgb="FF003366"/>
      </patternFill>
    </fill>
  </fills>
  <borders count="21">
    <border>
      <left/>
      <right/>
      <top/>
      <bottom/>
      <diagonal/>
    </border>
    <border>
      <left style="hair">
        <color rgb="FF000000"/>
      </left>
      <right style="hair">
        <color rgb="FF000000"/>
      </right>
      <top style="hair">
        <color rgb="FF000000"/>
      </top>
      <bottom style="hair">
        <color rgb="FF000000"/>
      </bottom>
      <diagonal/>
    </border>
    <border>
      <left style="hair">
        <color auto="1"/>
      </left>
      <right style="hair">
        <color auto="1"/>
      </right>
      <top style="hair">
        <color auto="1"/>
      </top>
      <bottom/>
      <diagonal/>
    </border>
    <border>
      <left style="hair">
        <color rgb="FF000000"/>
      </left>
      <right/>
      <top style="hair">
        <color rgb="FF000000"/>
      </top>
      <bottom style="hair">
        <color rgb="FF000000"/>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style="hair">
        <color auto="1"/>
      </left>
      <right style="hair">
        <color auto="1"/>
      </right>
      <top/>
      <bottom style="hair">
        <color auto="1"/>
      </bottom>
      <diagonal/>
    </border>
    <border>
      <left style="hair">
        <color rgb="FF000000"/>
      </left>
      <right style="hair">
        <color rgb="FF000000"/>
      </right>
      <top/>
      <bottom/>
      <diagonal/>
    </border>
    <border>
      <left style="hair">
        <color rgb="FF000000"/>
      </left>
      <right style="hair">
        <color rgb="FF000000"/>
      </right>
      <top/>
      <bottom style="hair">
        <color rgb="FF000000"/>
      </bottom>
      <diagonal/>
    </border>
    <border>
      <left style="hair">
        <color rgb="FF000000"/>
      </left>
      <right style="hair">
        <color rgb="FF000000"/>
      </right>
      <top style="hair">
        <color rgb="FF000000"/>
      </top>
      <bottom/>
      <diagonal/>
    </border>
    <border>
      <left style="hair">
        <color auto="1"/>
      </left>
      <right/>
      <top style="hair">
        <color auto="1"/>
      </top>
      <bottom/>
      <diagonal/>
    </border>
    <border>
      <left/>
      <right style="hair">
        <color rgb="FF000000"/>
      </right>
      <top/>
      <bottom/>
      <diagonal/>
    </border>
    <border>
      <left style="hair">
        <color rgb="FF000000"/>
      </left>
      <right/>
      <top/>
      <bottom/>
      <diagonal/>
    </border>
    <border>
      <left style="thin">
        <color rgb="FFBFBFBF"/>
      </left>
      <right style="thin">
        <color rgb="FFF2F2F2"/>
      </right>
      <top style="thin">
        <color rgb="FFF2F2F2"/>
      </top>
      <bottom/>
      <diagonal/>
    </border>
    <border>
      <left style="thin">
        <color rgb="FFF2F2F2"/>
      </left>
      <right style="thin">
        <color rgb="FFF2F2F2"/>
      </right>
      <top style="thin">
        <color rgb="FFF2F2F2"/>
      </top>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style="thin">
        <color rgb="FFBFBFBF"/>
      </top>
      <bottom/>
      <diagonal/>
    </border>
    <border>
      <left/>
      <right style="thin">
        <color rgb="FFBFBFBF"/>
      </right>
      <top/>
      <bottom/>
      <diagonal/>
    </border>
    <border>
      <left style="thin">
        <color rgb="FFBFBFBF"/>
      </left>
      <right style="thin">
        <color rgb="FFBFBFBF"/>
      </right>
      <top/>
      <bottom/>
      <diagonal/>
    </border>
    <border>
      <left style="hair">
        <color auto="1"/>
      </left>
      <right style="hair">
        <color auto="1"/>
      </right>
      <top/>
      <bottom/>
      <diagonal/>
    </border>
    <border>
      <left/>
      <right style="thin">
        <color rgb="FFF2F2F2"/>
      </right>
      <top/>
      <bottom/>
      <diagonal/>
    </border>
  </borders>
  <cellStyleXfs count="5">
    <xf numFmtId="0" fontId="0" fillId="0" borderId="0"/>
    <xf numFmtId="0" fontId="1" fillId="0" borderId="0" applyNumberFormat="0" applyFill="0" applyBorder="0" applyAlignment="0" applyProtection="0"/>
    <xf numFmtId="0" fontId="2" fillId="0" borderId="0"/>
    <xf numFmtId="0" fontId="6" fillId="0" borderId="0" applyNumberFormat="0" applyFill="0" applyBorder="0" applyAlignment="0" applyProtection="0"/>
    <xf numFmtId="9" fontId="10" fillId="0" borderId="0" applyFont="0" applyFill="0" applyBorder="0" applyAlignment="0" applyProtection="0"/>
  </cellStyleXfs>
  <cellXfs count="232">
    <xf numFmtId="0" fontId="0" fillId="0" borderId="0" xfId="0"/>
    <xf numFmtId="0" fontId="3" fillId="2" borderId="1" xfId="2" applyFont="1" applyFill="1" applyBorder="1" applyAlignment="1">
      <alignment horizontal="center" vertical="center" wrapText="1"/>
    </xf>
    <xf numFmtId="0" fontId="4" fillId="4" borderId="1" xfId="2" applyFont="1" applyFill="1" applyBorder="1" applyAlignment="1">
      <alignment horizontal="center" vertical="center" wrapText="1"/>
    </xf>
    <xf numFmtId="0" fontId="5" fillId="0" borderId="1" xfId="2" applyFont="1" applyBorder="1" applyAlignment="1">
      <alignment horizontal="left" vertical="center" wrapText="1"/>
    </xf>
    <xf numFmtId="0" fontId="3" fillId="0" borderId="1" xfId="2" applyFont="1" applyBorder="1" applyAlignment="1">
      <alignment horizontal="left" vertical="center" wrapText="1"/>
    </xf>
    <xf numFmtId="0" fontId="3" fillId="0" borderId="1" xfId="0" applyFont="1" applyBorder="1" applyAlignment="1">
      <alignment vertical="center" wrapText="1"/>
    </xf>
    <xf numFmtId="0" fontId="5" fillId="0" borderId="1" xfId="0" applyFont="1" applyBorder="1" applyAlignment="1">
      <alignment horizontal="left" vertical="center" wrapText="1"/>
    </xf>
    <xf numFmtId="0" fontId="5" fillId="0" borderId="0" xfId="0" applyFont="1" applyAlignment="1">
      <alignment horizontal="left" vertical="center" wrapText="1"/>
    </xf>
    <xf numFmtId="0" fontId="0" fillId="0" borderId="0" xfId="0" applyAlignment="1">
      <alignment horizontal="center" vertical="center"/>
    </xf>
    <xf numFmtId="0" fontId="4" fillId="3" borderId="2" xfId="0" applyFont="1" applyFill="1" applyBorder="1" applyAlignment="1">
      <alignment horizontal="center" vertical="center"/>
    </xf>
    <xf numFmtId="0" fontId="0" fillId="0" borderId="1" xfId="0" applyBorder="1" applyAlignment="1">
      <alignment horizontal="center" vertical="center"/>
    </xf>
    <xf numFmtId="0" fontId="0" fillId="0" borderId="0" xfId="0" pivotButton="1"/>
    <xf numFmtId="0" fontId="0" fillId="0" borderId="0" xfId="0" applyAlignment="1">
      <alignment horizontal="left"/>
    </xf>
    <xf numFmtId="0" fontId="0" fillId="0" borderId="0" xfId="0" applyAlignment="1">
      <alignment horizontal="center"/>
    </xf>
    <xf numFmtId="0" fontId="0" fillId="11" borderId="0" xfId="0" applyFill="1"/>
    <xf numFmtId="9" fontId="0" fillId="0" borderId="0" xfId="4" applyFont="1" applyAlignment="1">
      <alignment horizontal="left"/>
    </xf>
    <xf numFmtId="9" fontId="0" fillId="0" borderId="0" xfId="0" applyNumberFormat="1" applyAlignment="1">
      <alignment horizontal="left"/>
    </xf>
    <xf numFmtId="0" fontId="11" fillId="11" borderId="0" xfId="0" applyFont="1" applyFill="1"/>
    <xf numFmtId="0" fontId="0" fillId="0" borderId="0" xfId="0" applyAlignment="1">
      <alignment wrapText="1"/>
    </xf>
    <xf numFmtId="0" fontId="0" fillId="0" borderId="0" xfId="0" applyAlignment="1">
      <alignment horizont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vertical="center" wrapText="1"/>
    </xf>
    <xf numFmtId="0" fontId="0" fillId="11" borderId="0" xfId="0" applyFill="1" applyAlignment="1">
      <alignment vertical="center" wrapText="1"/>
    </xf>
    <xf numFmtId="0" fontId="0" fillId="11" borderId="0" xfId="0" applyFill="1" applyAlignment="1">
      <alignment horizontal="center" wrapText="1"/>
    </xf>
    <xf numFmtId="0" fontId="0" fillId="11" borderId="0" xfId="0" applyFill="1" applyAlignment="1">
      <alignment wrapText="1"/>
    </xf>
    <xf numFmtId="0" fontId="0" fillId="11" borderId="0" xfId="0" applyFill="1" applyAlignment="1">
      <alignment horizontal="center" vertical="center" wrapText="1"/>
    </xf>
    <xf numFmtId="0" fontId="0" fillId="11" borderId="0" xfId="0" applyFill="1" applyAlignment="1">
      <alignment horizontal="left" vertical="center" wrapText="1"/>
    </xf>
    <xf numFmtId="0" fontId="4" fillId="4" borderId="3" xfId="2" applyFont="1" applyFill="1" applyBorder="1" applyAlignment="1">
      <alignment horizontal="center" vertical="center" wrapText="1"/>
    </xf>
    <xf numFmtId="0" fontId="0" fillId="0" borderId="3" xfId="0" applyBorder="1" applyAlignment="1">
      <alignment horizontal="center" vertical="center"/>
    </xf>
    <xf numFmtId="0" fontId="0" fillId="11" borderId="0" xfId="0" applyFill="1" applyAlignment="1">
      <alignment horizontal="left"/>
    </xf>
    <xf numFmtId="0" fontId="5" fillId="0" borderId="0" xfId="0" applyFont="1"/>
    <xf numFmtId="0" fontId="4" fillId="3" borderId="4" xfId="0" applyFont="1" applyFill="1" applyBorder="1" applyAlignment="1">
      <alignment horizontal="center" vertical="center" wrapText="1"/>
    </xf>
    <xf numFmtId="0" fontId="5" fillId="3" borderId="0" xfId="0" applyFont="1" applyFill="1"/>
    <xf numFmtId="0" fontId="4" fillId="3" borderId="4" xfId="0" applyFont="1" applyFill="1" applyBorder="1" applyAlignment="1">
      <alignment horizontal="center" vertical="center"/>
    </xf>
    <xf numFmtId="0" fontId="4" fillId="0" borderId="0" xfId="0" applyFont="1" applyAlignment="1">
      <alignment horizontal="center" vertical="center"/>
    </xf>
    <xf numFmtId="0" fontId="5" fillId="0" borderId="4" xfId="0" applyFont="1" applyBorder="1" applyAlignment="1">
      <alignment horizontal="left" vertical="center"/>
    </xf>
    <xf numFmtId="0" fontId="5" fillId="0" borderId="4" xfId="0" applyFont="1" applyBorder="1" applyAlignment="1">
      <alignment horizontal="center" vertical="center" wrapText="1"/>
    </xf>
    <xf numFmtId="0" fontId="5" fillId="0" borderId="5" xfId="0" applyFont="1" applyBorder="1" applyAlignment="1">
      <alignment horizontal="center" vertical="center"/>
    </xf>
    <xf numFmtId="0" fontId="5" fillId="0" borderId="4" xfId="0" applyFont="1" applyBorder="1" applyAlignment="1">
      <alignment horizontal="center" vertical="center"/>
    </xf>
    <xf numFmtId="0" fontId="5" fillId="0" borderId="0" xfId="0" applyFont="1" applyAlignment="1">
      <alignment horizontal="center" vertical="center"/>
    </xf>
    <xf numFmtId="0" fontId="4" fillId="3" borderId="0" xfId="0" applyFont="1" applyFill="1" applyAlignment="1">
      <alignment horizontal="center" vertical="center"/>
    </xf>
    <xf numFmtId="0" fontId="5" fillId="3" borderId="0" xfId="0" applyFont="1" applyFill="1" applyAlignment="1">
      <alignment vertical="center"/>
    </xf>
    <xf numFmtId="0" fontId="5" fillId="0" borderId="0" xfId="0" applyFont="1" applyAlignment="1">
      <alignment vertical="center"/>
    </xf>
    <xf numFmtId="0" fontId="5" fillId="0" borderId="4" xfId="0" applyFont="1" applyBorder="1" applyAlignment="1">
      <alignment vertical="center"/>
    </xf>
    <xf numFmtId="0" fontId="5" fillId="0" borderId="4" xfId="0" applyFont="1" applyBorder="1" applyAlignment="1">
      <alignment vertical="center" wrapText="1"/>
    </xf>
    <xf numFmtId="0" fontId="5" fillId="3" borderId="0" xfId="0" applyFont="1" applyFill="1" applyAlignment="1">
      <alignment horizontal="left" vertical="center" wrapText="1"/>
    </xf>
    <xf numFmtId="0" fontId="5" fillId="0" borderId="4" xfId="0" applyFont="1" applyBorder="1" applyAlignment="1">
      <alignment horizontal="left" vertical="center" wrapText="1"/>
    </xf>
    <xf numFmtId="0" fontId="3" fillId="0" borderId="0" xfId="0" applyFont="1" applyAlignment="1">
      <alignment horizontal="center" vertical="center"/>
    </xf>
    <xf numFmtId="0" fontId="3" fillId="0" borderId="4" xfId="0" applyFont="1" applyBorder="1" applyAlignment="1">
      <alignment horizontal="center" vertical="center"/>
    </xf>
    <xf numFmtId="0" fontId="3" fillId="0" borderId="0" xfId="0" applyFont="1" applyAlignment="1">
      <alignment horizontal="center"/>
    </xf>
    <xf numFmtId="0" fontId="4" fillId="4" borderId="7" xfId="2" applyFont="1" applyFill="1" applyBorder="1" applyAlignment="1">
      <alignment horizontal="center" vertical="center" wrapText="1"/>
    </xf>
    <xf numFmtId="0" fontId="0" fillId="0" borderId="8" xfId="0" applyBorder="1" applyAlignment="1">
      <alignment horizontal="center" vertical="center"/>
    </xf>
    <xf numFmtId="0" fontId="15" fillId="11" borderId="0" xfId="0" applyFont="1" applyFill="1" applyAlignment="1">
      <alignment vertical="center"/>
    </xf>
    <xf numFmtId="0" fontId="15" fillId="0" borderId="0" xfId="0" applyFont="1" applyAlignment="1">
      <alignment vertical="center"/>
    </xf>
    <xf numFmtId="0" fontId="14" fillId="0" borderId="0" xfId="0" applyFont="1"/>
    <xf numFmtId="14" fontId="14" fillId="0" borderId="0" xfId="0" applyNumberFormat="1" applyFont="1"/>
    <xf numFmtId="0" fontId="16" fillId="3" borderId="0" xfId="0" applyFont="1" applyFill="1" applyAlignment="1">
      <alignment horizontal="center"/>
    </xf>
    <xf numFmtId="0" fontId="12" fillId="0" borderId="0" xfId="0" applyFont="1"/>
    <xf numFmtId="0" fontId="3" fillId="0" borderId="0" xfId="0" applyFont="1" applyAlignment="1">
      <alignment horizontal="left"/>
    </xf>
    <xf numFmtId="22" fontId="13" fillId="0" borderId="0" xfId="0" applyNumberFormat="1" applyFont="1" applyAlignment="1">
      <alignment horizontal="right"/>
    </xf>
    <xf numFmtId="0" fontId="4" fillId="12" borderId="4" xfId="0" applyFont="1" applyFill="1" applyBorder="1" applyAlignment="1">
      <alignment horizontal="center" vertical="center" wrapText="1"/>
    </xf>
    <xf numFmtId="0" fontId="4" fillId="12" borderId="5" xfId="0" applyFont="1" applyFill="1" applyBorder="1" applyAlignment="1">
      <alignment horizontal="center" vertical="center"/>
    </xf>
    <xf numFmtId="0" fontId="4" fillId="12" borderId="4" xfId="0" applyFont="1" applyFill="1" applyBorder="1" applyAlignment="1">
      <alignment horizontal="center" vertical="center"/>
    </xf>
    <xf numFmtId="0" fontId="0" fillId="13" borderId="0" xfId="0" applyFill="1" applyAlignment="1">
      <alignment horizontal="left"/>
    </xf>
    <xf numFmtId="9" fontId="0" fillId="0" borderId="0" xfId="4" applyFont="1"/>
    <xf numFmtId="9" fontId="0" fillId="0" borderId="0" xfId="0" applyNumberFormat="1"/>
    <xf numFmtId="0" fontId="17" fillId="0" borderId="0" xfId="0" applyFont="1" applyAlignment="1">
      <alignment vertical="center"/>
    </xf>
    <xf numFmtId="0" fontId="0" fillId="2" borderId="0" xfId="0" applyFill="1"/>
    <xf numFmtId="22" fontId="14" fillId="0" borderId="0" xfId="0" applyNumberFormat="1" applyFont="1"/>
    <xf numFmtId="0" fontId="3" fillId="0" borderId="1" xfId="2" applyFont="1" applyBorder="1" applyAlignment="1">
      <alignment vertical="center" wrapText="1"/>
    </xf>
    <xf numFmtId="0" fontId="3" fillId="2" borderId="4" xfId="2" applyFont="1" applyFill="1" applyBorder="1" applyAlignment="1">
      <alignment horizontal="center" vertical="center" wrapText="1"/>
    </xf>
    <xf numFmtId="0" fontId="4" fillId="3" borderId="4" xfId="2" applyFont="1" applyFill="1" applyBorder="1" applyAlignment="1">
      <alignment horizontal="center" vertical="center" wrapText="1"/>
    </xf>
    <xf numFmtId="0" fontId="4" fillId="4" borderId="4" xfId="2" applyFont="1" applyFill="1" applyBorder="1" applyAlignment="1">
      <alignment horizontal="center" vertical="center" wrapText="1"/>
    </xf>
    <xf numFmtId="0" fontId="5" fillId="0" borderId="4" xfId="2" applyFont="1" applyBorder="1" applyAlignment="1">
      <alignment horizontal="left" vertical="center" wrapText="1"/>
    </xf>
    <xf numFmtId="0" fontId="3" fillId="0" borderId="4" xfId="2" applyFont="1" applyBorder="1" applyAlignment="1">
      <alignment horizontal="left" vertical="center" wrapText="1"/>
    </xf>
    <xf numFmtId="0" fontId="3" fillId="0" borderId="4" xfId="2" applyFont="1" applyBorder="1" applyAlignment="1">
      <alignment horizontal="center" vertical="center" wrapText="1"/>
    </xf>
    <xf numFmtId="14" fontId="5" fillId="0" borderId="4" xfId="2" applyNumberFormat="1" applyFont="1" applyBorder="1" applyAlignment="1">
      <alignment horizontal="center" vertical="center" wrapText="1"/>
    </xf>
    <xf numFmtId="0" fontId="7" fillId="0" borderId="4" xfId="3" applyFont="1" applyFill="1" applyBorder="1" applyAlignment="1">
      <alignment horizontal="center" vertical="center" wrapText="1"/>
    </xf>
    <xf numFmtId="0" fontId="5" fillId="0" borderId="4" xfId="2" applyFont="1" applyBorder="1" applyAlignment="1">
      <alignment horizontal="center" vertical="center" wrapText="1"/>
    </xf>
    <xf numFmtId="1" fontId="5" fillId="0" borderId="4" xfId="0" applyNumberFormat="1" applyFont="1" applyBorder="1" applyAlignment="1">
      <alignment horizontal="center" vertical="center" wrapText="1"/>
    </xf>
    <xf numFmtId="0" fontId="0" fillId="0" borderId="4" xfId="0" applyBorder="1"/>
    <xf numFmtId="0" fontId="1" fillId="0" borderId="4" xfId="1" applyFill="1" applyBorder="1" applyAlignment="1">
      <alignment horizontal="center" vertical="center" wrapText="1"/>
    </xf>
    <xf numFmtId="0" fontId="0" fillId="0" borderId="4" xfId="0" applyBorder="1" applyAlignment="1">
      <alignment vertical="center" wrapText="1"/>
    </xf>
    <xf numFmtId="0" fontId="1" fillId="0" borderId="4" xfId="1" applyBorder="1" applyAlignment="1">
      <alignment vertical="center" wrapText="1"/>
    </xf>
    <xf numFmtId="0" fontId="7" fillId="0" borderId="4" xfId="1" applyFont="1" applyFill="1" applyBorder="1" applyAlignment="1">
      <alignment horizontal="center" vertical="center" wrapText="1"/>
    </xf>
    <xf numFmtId="0" fontId="5" fillId="5" borderId="4" xfId="2" applyFont="1" applyFill="1" applyBorder="1" applyAlignment="1">
      <alignment horizontal="left" vertical="center" wrapText="1"/>
    </xf>
    <xf numFmtId="14" fontId="5" fillId="0" borderId="4" xfId="0" applyNumberFormat="1" applyFont="1" applyBorder="1" applyAlignment="1">
      <alignment horizontal="center" vertical="center" wrapText="1"/>
    </xf>
    <xf numFmtId="14" fontId="0" fillId="0" borderId="4" xfId="0" applyNumberFormat="1" applyBorder="1" applyAlignment="1">
      <alignment horizontal="center" vertical="center"/>
    </xf>
    <xf numFmtId="0" fontId="1" fillId="0" borderId="4" xfId="1" applyBorder="1" applyAlignment="1">
      <alignment wrapText="1"/>
    </xf>
    <xf numFmtId="0" fontId="5" fillId="6" borderId="4" xfId="2" applyFont="1" applyFill="1" applyBorder="1" applyAlignment="1">
      <alignment horizontal="left" vertical="center" wrapText="1"/>
    </xf>
    <xf numFmtId="0" fontId="7" fillId="6" borderId="4" xfId="1" applyFont="1" applyFill="1" applyBorder="1" applyAlignment="1">
      <alignment horizontal="center" vertical="center" wrapText="1"/>
    </xf>
    <xf numFmtId="0" fontId="3" fillId="0" borderId="4" xfId="0" applyFont="1" applyBorder="1" applyAlignment="1">
      <alignment vertical="center" wrapText="1"/>
    </xf>
    <xf numFmtId="0" fontId="7" fillId="0" borderId="4" xfId="1" applyFont="1" applyFill="1" applyBorder="1" applyAlignment="1">
      <alignment vertical="center" wrapText="1"/>
    </xf>
    <xf numFmtId="0" fontId="5" fillId="2" borderId="4" xfId="0" applyFont="1" applyFill="1" applyBorder="1" applyAlignment="1">
      <alignment vertical="center" wrapText="1"/>
    </xf>
    <xf numFmtId="0" fontId="1" fillId="0" borderId="4" xfId="1" applyFill="1" applyBorder="1" applyAlignment="1">
      <alignment vertical="center" wrapText="1"/>
    </xf>
    <xf numFmtId="0" fontId="3" fillId="7" borderId="4" xfId="0" applyFont="1" applyFill="1" applyBorder="1" applyAlignment="1">
      <alignment horizontal="center" vertical="center" wrapText="1"/>
    </xf>
    <xf numFmtId="0" fontId="7" fillId="0" borderId="4" xfId="1" applyFont="1" applyBorder="1" applyAlignment="1">
      <alignment vertical="center" wrapText="1"/>
    </xf>
    <xf numFmtId="0" fontId="5" fillId="6" borderId="4" xfId="0" applyFont="1" applyFill="1" applyBorder="1" applyAlignment="1">
      <alignment vertical="center" wrapText="1"/>
    </xf>
    <xf numFmtId="0" fontId="7" fillId="6" borderId="4" xfId="1" applyFont="1" applyFill="1" applyBorder="1" applyAlignment="1">
      <alignment vertical="center" wrapText="1"/>
    </xf>
    <xf numFmtId="0" fontId="5" fillId="6" borderId="4" xfId="0" applyFont="1" applyFill="1" applyBorder="1" applyAlignment="1">
      <alignment horizontal="center" vertical="center" wrapText="1"/>
    </xf>
    <xf numFmtId="0" fontId="3" fillId="0" borderId="4" xfId="0" applyFont="1" applyBorder="1" applyAlignment="1">
      <alignment horizontal="left" vertical="center" wrapText="1"/>
    </xf>
    <xf numFmtId="0" fontId="5" fillId="8" borderId="4" xfId="0" applyFont="1" applyFill="1" applyBorder="1" applyAlignment="1">
      <alignment vertical="center" wrapText="1"/>
    </xf>
    <xf numFmtId="0" fontId="3" fillId="9" borderId="4" xfId="0" applyFont="1" applyFill="1" applyBorder="1" applyAlignment="1">
      <alignment horizontal="center" vertical="center" wrapText="1"/>
    </xf>
    <xf numFmtId="0" fontId="3" fillId="10" borderId="4" xfId="0" applyFont="1" applyFill="1" applyBorder="1" applyAlignment="1">
      <alignment horizontal="center" vertical="center" wrapText="1"/>
    </xf>
    <xf numFmtId="0" fontId="3" fillId="2" borderId="4" xfId="0" applyFont="1" applyFill="1" applyBorder="1" applyAlignment="1">
      <alignment horizontal="center" vertical="center" wrapText="1"/>
    </xf>
    <xf numFmtId="0" fontId="9" fillId="0" borderId="4" xfId="0" applyFont="1" applyBorder="1" applyAlignment="1">
      <alignment vertical="center" wrapText="1"/>
    </xf>
    <xf numFmtId="0" fontId="9" fillId="0" borderId="4" xfId="0" applyFont="1" applyBorder="1" applyAlignment="1">
      <alignment horizontal="left" vertical="center" wrapText="1"/>
    </xf>
    <xf numFmtId="0" fontId="5" fillId="0" borderId="4" xfId="0" applyFont="1" applyBorder="1" applyAlignment="1">
      <alignment wrapText="1"/>
    </xf>
    <xf numFmtId="0" fontId="7" fillId="0" borderId="4" xfId="1" applyFont="1" applyBorder="1" applyAlignment="1">
      <alignment horizontal="center" vertical="center" wrapText="1"/>
    </xf>
    <xf numFmtId="14" fontId="1" fillId="0" borderId="4" xfId="1" applyNumberFormat="1" applyBorder="1" applyAlignment="1">
      <alignment vertical="center" wrapText="1"/>
    </xf>
    <xf numFmtId="0" fontId="1" fillId="0" borderId="4" xfId="1" applyBorder="1" applyAlignment="1">
      <alignment horizontal="left" vertical="center" wrapText="1"/>
    </xf>
    <xf numFmtId="0" fontId="18" fillId="3" borderId="0" xfId="0" applyFont="1" applyFill="1" applyAlignment="1">
      <alignment horizontal="center"/>
    </xf>
    <xf numFmtId="14" fontId="4" fillId="4" borderId="4" xfId="2" applyNumberFormat="1" applyFont="1" applyFill="1" applyBorder="1" applyAlignment="1">
      <alignment horizontal="center" vertical="center" wrapText="1"/>
    </xf>
    <xf numFmtId="0" fontId="0" fillId="11" borderId="0" xfId="0" applyFill="1" applyAlignment="1">
      <alignment horizontal="center"/>
    </xf>
    <xf numFmtId="0" fontId="19" fillId="0" borderId="4" xfId="1" applyFont="1" applyFill="1" applyBorder="1" applyAlignment="1">
      <alignment horizontal="center" vertical="center" wrapText="1"/>
    </xf>
    <xf numFmtId="0" fontId="10" fillId="0" borderId="4" xfId="0" applyFont="1" applyBorder="1" applyAlignment="1">
      <alignment vertical="center" wrapText="1"/>
    </xf>
    <xf numFmtId="0" fontId="20" fillId="0" borderId="4" xfId="1" applyFont="1" applyBorder="1" applyAlignment="1">
      <alignment vertical="center" wrapText="1"/>
    </xf>
    <xf numFmtId="0" fontId="20" fillId="0" borderId="4" xfId="1" applyFont="1" applyFill="1" applyBorder="1" applyAlignment="1">
      <alignment horizontal="center" vertical="center" wrapText="1"/>
    </xf>
    <xf numFmtId="0" fontId="19" fillId="0" borderId="4" xfId="1" applyFont="1" applyBorder="1" applyAlignment="1">
      <alignment vertical="center" wrapText="1"/>
    </xf>
    <xf numFmtId="22" fontId="0" fillId="0" borderId="0" xfId="0" applyNumberFormat="1"/>
    <xf numFmtId="0" fontId="0" fillId="3" borderId="0" xfId="0" applyFill="1"/>
    <xf numFmtId="0" fontId="4" fillId="15" borderId="4" xfId="2" applyFont="1" applyFill="1" applyBorder="1" applyAlignment="1">
      <alignment horizontal="center" vertical="center" wrapText="1"/>
    </xf>
    <xf numFmtId="0" fontId="4" fillId="16" borderId="4" xfId="2" applyFont="1" applyFill="1" applyBorder="1" applyAlignment="1">
      <alignment horizontal="center" vertical="center" wrapText="1"/>
    </xf>
    <xf numFmtId="0" fontId="14" fillId="0" borderId="0" xfId="0" applyFont="1" applyAlignment="1">
      <alignment vertical="top" wrapText="1"/>
    </xf>
    <xf numFmtId="0" fontId="17" fillId="17" borderId="0" xfId="0" applyFont="1" applyFill="1"/>
    <xf numFmtId="0" fontId="14" fillId="17" borderId="0" xfId="0" applyFont="1" applyFill="1"/>
    <xf numFmtId="0" fontId="0" fillId="17" borderId="0" xfId="0" applyFill="1"/>
    <xf numFmtId="0" fontId="16" fillId="3" borderId="0" xfId="0" applyFont="1" applyFill="1" applyAlignment="1">
      <alignment horizontal="center" vertical="center" wrapText="1"/>
    </xf>
    <xf numFmtId="0" fontId="14" fillId="0" borderId="0" xfId="0" applyFont="1" applyAlignment="1">
      <alignment horizontal="center" vertical="center" wrapText="1"/>
    </xf>
    <xf numFmtId="14" fontId="14" fillId="0" borderId="0" xfId="0" applyNumberFormat="1" applyFont="1" applyAlignment="1">
      <alignment horizontal="center" vertical="center" wrapText="1"/>
    </xf>
    <xf numFmtId="0" fontId="0" fillId="0" borderId="9" xfId="0" applyBorder="1" applyAlignment="1">
      <alignment horizontal="center" vertical="center"/>
    </xf>
    <xf numFmtId="16" fontId="14" fillId="0" borderId="0" xfId="0" applyNumberFormat="1" applyFont="1" applyAlignment="1">
      <alignment horizontal="center" vertical="center" wrapText="1"/>
    </xf>
    <xf numFmtId="0" fontId="5" fillId="18" borderId="4" xfId="2" applyFont="1" applyFill="1" applyBorder="1" applyAlignment="1">
      <alignment horizontal="left" vertical="center" wrapText="1"/>
    </xf>
    <xf numFmtId="0" fontId="5" fillId="18" borderId="4" xfId="0" applyFont="1" applyFill="1" applyBorder="1" applyAlignment="1">
      <alignment horizontal="left" vertical="center" wrapText="1"/>
    </xf>
    <xf numFmtId="0" fontId="0" fillId="19" borderId="0" xfId="0" applyFill="1" applyAlignment="1">
      <alignment horizontal="left"/>
    </xf>
    <xf numFmtId="0" fontId="0" fillId="0" borderId="4" xfId="0" applyBorder="1" applyAlignment="1">
      <alignment vertical="center"/>
    </xf>
    <xf numFmtId="0" fontId="5" fillId="20" borderId="4" xfId="2" applyFont="1" applyFill="1" applyBorder="1" applyAlignment="1">
      <alignment horizontal="left" vertical="center" wrapText="1"/>
    </xf>
    <xf numFmtId="0" fontId="5" fillId="20" borderId="4" xfId="0" applyFont="1" applyFill="1" applyBorder="1" applyAlignment="1">
      <alignment vertical="center" wrapText="1"/>
    </xf>
    <xf numFmtId="0" fontId="7" fillId="20" borderId="4" xfId="1" applyFont="1" applyFill="1" applyBorder="1" applyAlignment="1">
      <alignment vertical="center" wrapText="1"/>
    </xf>
    <xf numFmtId="0" fontId="5" fillId="20" borderId="4" xfId="0" applyFont="1" applyFill="1" applyBorder="1" applyAlignment="1">
      <alignment horizontal="center" vertical="center" wrapText="1"/>
    </xf>
    <xf numFmtId="0" fontId="1" fillId="20" borderId="4" xfId="1" applyFill="1" applyBorder="1" applyAlignment="1">
      <alignment vertical="center" wrapText="1"/>
    </xf>
    <xf numFmtId="0" fontId="7" fillId="20" borderId="4" xfId="1" applyFont="1" applyFill="1" applyBorder="1" applyAlignment="1">
      <alignment horizontal="center" vertical="center" wrapText="1"/>
    </xf>
    <xf numFmtId="0" fontId="5" fillId="20" borderId="4" xfId="2" applyFont="1" applyFill="1" applyBorder="1" applyAlignment="1">
      <alignment horizontal="center" vertical="center" wrapText="1"/>
    </xf>
    <xf numFmtId="0" fontId="21" fillId="0" borderId="4" xfId="0" applyFont="1" applyBorder="1" applyAlignment="1">
      <alignment vertical="center" wrapText="1"/>
    </xf>
    <xf numFmtId="0" fontId="19" fillId="0" borderId="4" xfId="1" applyFont="1" applyFill="1" applyBorder="1" applyAlignment="1">
      <alignment vertical="center" wrapText="1"/>
    </xf>
    <xf numFmtId="0" fontId="20" fillId="0" borderId="4" xfId="1" applyFont="1" applyFill="1" applyBorder="1" applyAlignment="1">
      <alignment vertical="center" wrapText="1"/>
    </xf>
    <xf numFmtId="0" fontId="1" fillId="0" borderId="4" xfId="1" applyFill="1" applyBorder="1" applyAlignment="1">
      <alignment horizontal="left" vertical="center" wrapText="1"/>
    </xf>
    <xf numFmtId="0" fontId="4" fillId="12" borderId="4" xfId="0" applyFont="1" applyFill="1" applyBorder="1" applyAlignment="1">
      <alignment horizontal="center"/>
    </xf>
    <xf numFmtId="0" fontId="0" fillId="0" borderId="0" xfId="0" applyAlignment="1">
      <alignment vertical="center"/>
    </xf>
    <xf numFmtId="0" fontId="4" fillId="3" borderId="6" xfId="0" applyFont="1" applyFill="1" applyBorder="1" applyAlignment="1">
      <alignment horizontal="center" vertical="center"/>
    </xf>
    <xf numFmtId="0" fontId="15" fillId="0" borderId="0" xfId="0" applyFont="1" applyAlignment="1">
      <alignment horizontal="center" vertical="center"/>
    </xf>
    <xf numFmtId="0" fontId="0" fillId="0" borderId="4" xfId="0" applyBorder="1" applyAlignment="1">
      <alignment horizontal="center" vertical="center" wrapText="1"/>
    </xf>
    <xf numFmtId="0" fontId="0" fillId="0" borderId="4" xfId="0" applyBorder="1" applyAlignment="1">
      <alignment horizontal="center" vertical="center"/>
    </xf>
    <xf numFmtId="0" fontId="5" fillId="0" borderId="2" xfId="0" applyFont="1" applyBorder="1" applyAlignment="1">
      <alignment vertical="center"/>
    </xf>
    <xf numFmtId="0" fontId="5" fillId="0" borderId="2" xfId="0" applyFont="1" applyBorder="1" applyAlignment="1">
      <alignment horizontal="center" vertical="center"/>
    </xf>
    <xf numFmtId="0" fontId="5" fillId="0" borderId="10" xfId="0" applyFont="1" applyBorder="1" applyAlignment="1">
      <alignment horizontal="center" vertical="center"/>
    </xf>
    <xf numFmtId="0" fontId="5" fillId="2" borderId="4" xfId="0" applyFont="1" applyFill="1" applyBorder="1" applyAlignment="1">
      <alignment vertical="center"/>
    </xf>
    <xf numFmtId="0" fontId="5" fillId="0" borderId="0" xfId="0" applyFont="1" applyAlignment="1">
      <alignment wrapText="1"/>
    </xf>
    <xf numFmtId="0" fontId="0" fillId="20" borderId="4" xfId="0" applyFill="1" applyBorder="1"/>
    <xf numFmtId="14" fontId="0" fillId="0" borderId="4" xfId="0" applyNumberFormat="1" applyBorder="1"/>
    <xf numFmtId="0" fontId="10" fillId="0" borderId="4" xfId="0" applyFont="1" applyBorder="1" applyAlignment="1">
      <alignment vertical="center"/>
    </xf>
    <xf numFmtId="14" fontId="20" fillId="0" borderId="4" xfId="1" applyNumberFormat="1" applyFont="1" applyBorder="1" applyAlignment="1">
      <alignment vertical="center" wrapText="1"/>
    </xf>
    <xf numFmtId="0" fontId="23" fillId="0" borderId="0" xfId="0" applyFont="1"/>
    <xf numFmtId="0" fontId="5" fillId="2" borderId="4" xfId="0" applyFont="1" applyFill="1" applyBorder="1" applyAlignment="1">
      <alignment horizontal="left" vertical="center" wrapText="1"/>
    </xf>
    <xf numFmtId="0" fontId="26" fillId="0" borderId="0" xfId="0" pivotButton="1" applyFont="1" applyAlignment="1">
      <alignment horizontal="center"/>
    </xf>
    <xf numFmtId="0" fontId="26" fillId="0" borderId="0" xfId="0" pivotButton="1" applyFont="1"/>
    <xf numFmtId="0" fontId="26" fillId="0" borderId="0" xfId="0" applyFont="1" applyAlignment="1">
      <alignment horizontal="center" vertical="center" wrapText="1"/>
    </xf>
    <xf numFmtId="0" fontId="26" fillId="0" borderId="0" xfId="0" applyFont="1" applyAlignment="1">
      <alignment horizontal="left" vertical="center" wrapText="1"/>
    </xf>
    <xf numFmtId="0" fontId="26" fillId="0" borderId="0" xfId="0" applyFont="1" applyAlignment="1">
      <alignment horizontal="center" vertical="center"/>
    </xf>
    <xf numFmtId="0" fontId="26" fillId="0" borderId="0" xfId="0" applyFont="1"/>
    <xf numFmtId="14" fontId="26" fillId="0" borderId="0" xfId="0" applyNumberFormat="1" applyFont="1" applyAlignment="1">
      <alignment horizontal="center" vertical="center" wrapText="1"/>
    </xf>
    <xf numFmtId="0" fontId="26" fillId="0" borderId="0" xfId="0" pivotButton="1" applyFont="1" applyAlignment="1">
      <alignment horizontal="center" vertical="center"/>
    </xf>
    <xf numFmtId="0" fontId="26" fillId="0" borderId="0" xfId="0" pivotButton="1" applyFont="1" applyAlignment="1">
      <alignment vertical="center"/>
    </xf>
    <xf numFmtId="0" fontId="26" fillId="0" borderId="0" xfId="0" applyFont="1" applyAlignment="1">
      <alignment horizontal="center"/>
    </xf>
    <xf numFmtId="14" fontId="26" fillId="0" borderId="0" xfId="0" applyNumberFormat="1" applyFont="1" applyAlignment="1">
      <alignment horizontal="center"/>
    </xf>
    <xf numFmtId="0" fontId="26" fillId="2" borderId="0" xfId="0" applyFont="1" applyFill="1" applyAlignment="1">
      <alignment horizontal="center" vertical="center" wrapText="1"/>
    </xf>
    <xf numFmtId="0" fontId="26" fillId="2" borderId="0" xfId="0" applyFont="1" applyFill="1" applyAlignment="1">
      <alignment horizontal="center" vertical="center"/>
    </xf>
    <xf numFmtId="0" fontId="4" fillId="4" borderId="12" xfId="2" applyFont="1" applyFill="1" applyBorder="1" applyAlignment="1">
      <alignment horizontal="center" vertical="center" wrapText="1"/>
    </xf>
    <xf numFmtId="0" fontId="4" fillId="4" borderId="11" xfId="2" applyFont="1" applyFill="1" applyBorder="1" applyAlignment="1">
      <alignment horizontal="center" vertical="center" wrapText="1"/>
    </xf>
    <xf numFmtId="0" fontId="4" fillId="4" borderId="0" xfId="2" applyFont="1" applyFill="1" applyAlignment="1">
      <alignment horizontal="center" vertical="center" wrapText="1"/>
    </xf>
    <xf numFmtId="0" fontId="21" fillId="2" borderId="4" xfId="0" applyFont="1" applyFill="1" applyBorder="1" applyAlignment="1">
      <alignment vertical="center" wrapText="1"/>
    </xf>
    <xf numFmtId="0" fontId="5" fillId="12" borderId="4" xfId="0" applyFont="1" applyFill="1" applyBorder="1" applyAlignment="1">
      <alignment horizontal="left" vertical="center" wrapText="1"/>
    </xf>
    <xf numFmtId="0" fontId="0" fillId="13" borderId="0" xfId="0" applyFill="1"/>
    <xf numFmtId="0" fontId="0" fillId="13" borderId="0" xfId="0" applyFill="1" applyAlignment="1">
      <alignment horizontal="center"/>
    </xf>
    <xf numFmtId="0" fontId="0" fillId="14" borderId="0" xfId="0" applyFill="1"/>
    <xf numFmtId="14" fontId="4" fillId="21" borderId="4" xfId="2" applyNumberFormat="1" applyFont="1" applyFill="1" applyBorder="1" applyAlignment="1">
      <alignment horizontal="center" vertical="center" wrapText="1"/>
    </xf>
    <xf numFmtId="1" fontId="0" fillId="0" borderId="4" xfId="0" applyNumberFormat="1" applyBorder="1" applyAlignment="1">
      <alignment horizontal="center" vertical="center"/>
    </xf>
    <xf numFmtId="0" fontId="1" fillId="0" borderId="4" xfId="1" applyBorder="1" applyAlignment="1">
      <alignment horizontal="center" vertical="center" wrapText="1"/>
    </xf>
    <xf numFmtId="0" fontId="0" fillId="0" borderId="0" xfId="0" applyAlignment="1">
      <alignment horizontal="left" vertical="center"/>
    </xf>
    <xf numFmtId="0" fontId="1" fillId="0" borderId="0" xfId="1" applyAlignment="1">
      <alignment horizontal="left" vertical="center"/>
    </xf>
    <xf numFmtId="0" fontId="28" fillId="22" borderId="13" xfId="0" applyFont="1" applyFill="1" applyBorder="1" applyAlignment="1">
      <alignment horizontal="center" vertical="center" wrapText="1" readingOrder="1"/>
    </xf>
    <xf numFmtId="0" fontId="28" fillId="22" borderId="14" xfId="0" applyFont="1" applyFill="1" applyBorder="1" applyAlignment="1">
      <alignment horizontal="center" vertical="center" wrapText="1" readingOrder="1"/>
    </xf>
    <xf numFmtId="0" fontId="29" fillId="0" borderId="15" xfId="0" applyFont="1" applyBorder="1" applyAlignment="1">
      <alignment horizontal="left" vertical="top" wrapText="1" readingOrder="1"/>
    </xf>
    <xf numFmtId="0" fontId="29" fillId="0" borderId="16" xfId="0" applyFont="1" applyBorder="1" applyAlignment="1">
      <alignment horizontal="left" vertical="top" wrapText="1" readingOrder="1"/>
    </xf>
    <xf numFmtId="0" fontId="29" fillId="23" borderId="15" xfId="0" applyFont="1" applyFill="1" applyBorder="1" applyAlignment="1">
      <alignment horizontal="left" vertical="top" wrapText="1" readingOrder="1"/>
    </xf>
    <xf numFmtId="0" fontId="29" fillId="24" borderId="15" xfId="0" applyFont="1" applyFill="1" applyBorder="1" applyAlignment="1">
      <alignment horizontal="left" vertical="top" wrapText="1" readingOrder="1"/>
    </xf>
    <xf numFmtId="0" fontId="29" fillId="24" borderId="16" xfId="0" applyFont="1" applyFill="1" applyBorder="1" applyAlignment="1">
      <alignment horizontal="left" vertical="top" wrapText="1" readingOrder="1"/>
    </xf>
    <xf numFmtId="0" fontId="29" fillId="24" borderId="18" xfId="0" applyFont="1" applyFill="1" applyBorder="1" applyAlignment="1">
      <alignment horizontal="left" vertical="top" wrapText="1" readingOrder="1"/>
    </xf>
    <xf numFmtId="0" fontId="3" fillId="0" borderId="4" xfId="0" applyFont="1" applyBorder="1" applyAlignment="1">
      <alignment horizontal="center" vertical="center" wrapText="1"/>
    </xf>
    <xf numFmtId="0" fontId="5" fillId="0" borderId="4" xfId="0" applyFont="1" applyBorder="1" applyAlignment="1">
      <alignment vertical="top" wrapText="1"/>
    </xf>
    <xf numFmtId="0" fontId="15" fillId="0" borderId="4" xfId="0" applyFont="1" applyBorder="1" applyAlignment="1">
      <alignment horizontal="center" vertical="center"/>
    </xf>
    <xf numFmtId="14" fontId="5" fillId="0" borderId="4" xfId="0" applyNumberFormat="1" applyFont="1" applyBorder="1" applyAlignment="1">
      <alignment horizontal="center" vertical="center"/>
    </xf>
    <xf numFmtId="0" fontId="24" fillId="0" borderId="4" xfId="0" applyFont="1" applyBorder="1" applyAlignment="1">
      <alignment horizontal="left" vertical="center" wrapText="1"/>
    </xf>
    <xf numFmtId="0" fontId="3" fillId="25" borderId="4" xfId="2" applyFont="1" applyFill="1" applyBorder="1" applyAlignment="1">
      <alignment horizontal="center" vertical="center" wrapText="1"/>
    </xf>
    <xf numFmtId="14" fontId="10" fillId="0" borderId="4" xfId="0" applyNumberFormat="1" applyFont="1" applyBorder="1" applyAlignment="1">
      <alignment horizontal="center" vertical="center"/>
    </xf>
    <xf numFmtId="14" fontId="0" fillId="0" borderId="0" xfId="0" applyNumberFormat="1" applyAlignment="1">
      <alignment horizontal="center" vertical="center"/>
    </xf>
    <xf numFmtId="14" fontId="5" fillId="2" borderId="4" xfId="2" applyNumberFormat="1" applyFont="1" applyFill="1" applyBorder="1" applyAlignment="1">
      <alignment horizontal="center" vertical="center" wrapText="1"/>
    </xf>
    <xf numFmtId="0" fontId="5" fillId="2" borderId="4" xfId="2" applyFont="1" applyFill="1" applyBorder="1" applyAlignment="1">
      <alignment horizontal="center" vertical="center" wrapText="1"/>
    </xf>
    <xf numFmtId="14" fontId="5" fillId="2" borderId="4" xfId="0" applyNumberFormat="1" applyFont="1" applyFill="1" applyBorder="1" applyAlignment="1">
      <alignment horizontal="center" vertical="center" wrapText="1"/>
    </xf>
    <xf numFmtId="14" fontId="5" fillId="2" borderId="4" xfId="0" applyNumberFormat="1" applyFont="1" applyFill="1" applyBorder="1" applyAlignment="1">
      <alignment horizontal="center" vertical="center"/>
    </xf>
    <xf numFmtId="14" fontId="5" fillId="26" borderId="4" xfId="2" applyNumberFormat="1" applyFont="1" applyFill="1" applyBorder="1" applyAlignment="1">
      <alignment horizontal="center" vertical="center" wrapText="1"/>
    </xf>
    <xf numFmtId="14" fontId="5" fillId="26" borderId="4" xfId="0" applyNumberFormat="1" applyFont="1" applyFill="1" applyBorder="1" applyAlignment="1">
      <alignment horizontal="center" vertical="center" wrapText="1"/>
    </xf>
    <xf numFmtId="0" fontId="3" fillId="27" borderId="4" xfId="2" applyFont="1" applyFill="1" applyBorder="1" applyAlignment="1">
      <alignment horizontal="center" vertical="center" wrapText="1"/>
    </xf>
    <xf numFmtId="0" fontId="5" fillId="26" borderId="4" xfId="2" applyFont="1" applyFill="1" applyBorder="1" applyAlignment="1">
      <alignment horizontal="center" vertical="center" wrapText="1"/>
    </xf>
    <xf numFmtId="0" fontId="5" fillId="26" borderId="4" xfId="0" applyFont="1" applyFill="1" applyBorder="1" applyAlignment="1">
      <alignment horizontal="center" vertical="center" wrapText="1"/>
    </xf>
    <xf numFmtId="14" fontId="3" fillId="26" borderId="4" xfId="2" applyNumberFormat="1" applyFont="1" applyFill="1" applyBorder="1" applyAlignment="1">
      <alignment horizontal="center" vertical="center" wrapText="1"/>
    </xf>
    <xf numFmtId="14" fontId="0" fillId="26" borderId="4" xfId="0" applyNumberFormat="1" applyFill="1" applyBorder="1" applyAlignment="1">
      <alignment horizontal="center" vertical="center"/>
    </xf>
    <xf numFmtId="14" fontId="10" fillId="26" borderId="4" xfId="0" applyNumberFormat="1" applyFont="1" applyFill="1" applyBorder="1" applyAlignment="1">
      <alignment horizontal="center" vertical="center"/>
    </xf>
    <xf numFmtId="0" fontId="5" fillId="2" borderId="4" xfId="0" applyFont="1" applyFill="1" applyBorder="1" applyAlignment="1">
      <alignment horizontal="center" vertical="center" wrapText="1"/>
    </xf>
    <xf numFmtId="14" fontId="10" fillId="2" borderId="4" xfId="0" applyNumberFormat="1" applyFont="1" applyFill="1" applyBorder="1" applyAlignment="1">
      <alignment horizontal="center" vertical="center"/>
    </xf>
    <xf numFmtId="14" fontId="0" fillId="2" borderId="4" xfId="0" applyNumberFormat="1" applyFill="1" applyBorder="1" applyAlignment="1">
      <alignment horizontal="center" vertical="center"/>
    </xf>
    <xf numFmtId="14" fontId="5" fillId="2" borderId="0" xfId="0" applyNumberFormat="1" applyFont="1" applyFill="1" applyAlignment="1">
      <alignment horizontal="center" vertical="center"/>
    </xf>
    <xf numFmtId="14" fontId="4" fillId="21" borderId="19" xfId="2" applyNumberFormat="1" applyFont="1" applyFill="1" applyBorder="1" applyAlignment="1">
      <alignment horizontal="center" vertical="center" wrapText="1"/>
    </xf>
    <xf numFmtId="0" fontId="28" fillId="22" borderId="20" xfId="0" applyFont="1" applyFill="1" applyBorder="1" applyAlignment="1">
      <alignment horizontal="center" vertical="center" wrapText="1" readingOrder="1"/>
    </xf>
    <xf numFmtId="0" fontId="4" fillId="12" borderId="4" xfId="0" applyFont="1" applyFill="1" applyBorder="1" applyAlignment="1">
      <alignment horizontal="center"/>
    </xf>
    <xf numFmtId="0" fontId="4" fillId="3" borderId="4"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6" xfId="0" applyFont="1" applyFill="1" applyBorder="1" applyAlignment="1">
      <alignment horizontal="center" vertical="center"/>
    </xf>
    <xf numFmtId="0" fontId="0" fillId="0" borderId="17" xfId="0" applyBorder="1" applyAlignment="1">
      <alignment horizontal="center" vertical="center"/>
    </xf>
    <xf numFmtId="0" fontId="5" fillId="0" borderId="2" xfId="2" applyFont="1" applyBorder="1" applyAlignment="1">
      <alignment horizontal="left" vertical="center" wrapText="1"/>
    </xf>
    <xf numFmtId="0" fontId="5" fillId="0" borderId="6" xfId="2" applyFont="1" applyBorder="1" applyAlignment="1">
      <alignment horizontal="left" vertical="center" wrapText="1"/>
    </xf>
  </cellXfs>
  <cellStyles count="5">
    <cellStyle name="Hipervínculo" xfId="1" builtinId="8"/>
    <cellStyle name="Hipervínculo 2" xfId="3" xr:uid="{5E56DF6F-6363-4A22-BB0D-DFFE886BB413}"/>
    <cellStyle name="Normal" xfId="0" builtinId="0"/>
    <cellStyle name="Normal 2" xfId="2" xr:uid="{5D79947F-09D9-4440-AC13-9EF46D04AA5A}"/>
    <cellStyle name="Porcentaje" xfId="4" builtinId="5"/>
  </cellStyles>
  <dxfs count="950">
    <dxf>
      <numFmt numFmtId="27" formatCode="d/mm/yyyy\ h:mm"/>
    </dxf>
    <dxf>
      <numFmt numFmtId="27" formatCode="d/mm/yyyy\ h:mm"/>
    </dxf>
    <dxf>
      <numFmt numFmtId="27" formatCode="d/mm/yyyy\ h:mm"/>
    </dxf>
    <dxf>
      <numFmt numFmtId="27" formatCode="d/mm/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val="0"/>
        <i val="0"/>
        <strike val="0"/>
        <condense val="0"/>
        <extend val="0"/>
        <outline val="0"/>
        <shadow val="0"/>
        <u val="none"/>
        <vertAlign val="baseline"/>
        <sz val="9"/>
        <color theme="1"/>
        <name val="Arial"/>
        <family val="2"/>
        <scheme val="none"/>
      </font>
      <alignment horizontal="left"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i val="0"/>
        <strike val="0"/>
        <condense val="0"/>
        <extend val="0"/>
        <outline val="0"/>
        <shadow val="0"/>
        <u val="none"/>
        <vertAlign val="baseline"/>
        <sz val="9"/>
        <color theme="1"/>
        <name val="Arial"/>
        <family val="2"/>
        <scheme val="none"/>
      </font>
      <alignment horizontal="general"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val="0"/>
        <i val="0"/>
        <strike val="0"/>
        <condense val="0"/>
        <extend val="0"/>
        <outline val="0"/>
        <shadow val="0"/>
        <u val="none"/>
        <vertAlign val="baseline"/>
        <sz val="9"/>
        <color theme="1"/>
        <name val="Arial"/>
        <family val="2"/>
        <scheme val="none"/>
      </font>
      <alignment horizontal="left"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border outline="0">
        <right style="hair">
          <color rgb="FF000000"/>
        </right>
        <bottom style="hair">
          <color rgb="FF000000"/>
        </bottom>
      </border>
    </dxf>
    <dxf>
      <alignment horizontal="center" vertical="center" textRotation="0" wrapText="0" indent="0" justifyLastLine="0" shrinkToFit="0" readingOrder="0"/>
    </dxf>
    <dxf>
      <font>
        <b/>
        <i val="0"/>
        <strike val="0"/>
        <condense val="0"/>
        <extend val="0"/>
        <outline val="0"/>
        <shadow val="0"/>
        <u val="none"/>
        <vertAlign val="baseline"/>
        <sz val="9"/>
        <color theme="0"/>
        <name val="Arial"/>
        <family val="2"/>
        <scheme val="none"/>
      </font>
      <fill>
        <patternFill patternType="solid">
          <fgColor rgb="FF003366"/>
          <bgColor theme="4" tint="0.39997558519241921"/>
        </patternFill>
      </fill>
      <alignment horizontal="center" vertical="center" textRotation="0" wrapText="1" indent="0" justifyLastLine="0" shrinkToFit="0" readingOrder="0"/>
      <border diagonalUp="0" diagonalDown="0" outline="0">
        <left style="hair">
          <color rgb="FF000000"/>
        </left>
        <right style="hair">
          <color rgb="FF000000"/>
        </right>
        <top/>
        <bottom/>
      </border>
    </dxf>
    <dxf>
      <fill>
        <patternFill patternType="solid">
          <bgColor theme="4" tint="0.39997558519241921"/>
        </patternFill>
      </fill>
    </dxf>
    <dxf>
      <fill>
        <patternFill patternType="solid">
          <bgColor theme="9" tint="0.59999389629810485"/>
        </patternFill>
      </fill>
    </dxf>
    <dxf>
      <fill>
        <patternFill>
          <bgColor theme="9" tint="0.59999389629810485"/>
        </patternFill>
      </fill>
    </dxf>
    <dxf>
      <fill>
        <patternFill patternType="solid">
          <bgColor theme="4" tint="0.79998168889431442"/>
        </patternFill>
      </fill>
    </dxf>
    <dxf>
      <alignment horizontal="center"/>
    </dxf>
    <dxf>
      <alignment horizontal="center"/>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alignment vertical="center"/>
    </dxf>
    <dxf>
      <alignment horizontal="center"/>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FFFF00"/>
        </patternFill>
      </fill>
    </dxf>
    <dxf>
      <fill>
        <patternFill patternType="solid">
          <bgColor rgb="FFFFFF00"/>
        </patternFill>
      </fill>
    </dxf>
    <dxf>
      <fill>
        <patternFill patternType="solid">
          <bgColor rgb="FFFFFF00"/>
        </patternFill>
      </fill>
    </dxf>
    <dxf>
      <alignment horizontal="center"/>
    </dxf>
    <dxf>
      <alignment horizontal="center"/>
    </dxf>
    <dxf>
      <font>
        <b/>
      </font>
    </dxf>
    <dxf>
      <font>
        <b/>
      </font>
    </dxf>
    <dxf>
      <alignment vertical="center"/>
    </dxf>
    <dxf>
      <alignment vertic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vertical="center"/>
    </dxf>
    <dxf>
      <alignment horizontal="center"/>
    </dxf>
    <dxf>
      <alignment vertical="center"/>
    </dxf>
    <dxf>
      <alignment horizontal="center"/>
    </dxf>
    <dxf>
      <alignment vertical="center"/>
    </dxf>
    <dxf>
      <alignment horizontal="center"/>
    </dxf>
    <dxf>
      <alignment vertical="center"/>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alignment horizontal="left"/>
    </dxf>
    <dxf>
      <alignment horizontal="left"/>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wrapText="1"/>
    </dxf>
    <dxf>
      <alignment horizontal="center"/>
    </dxf>
    <dxf>
      <alignment vertical="center"/>
    </dxf>
    <dxf>
      <alignment horizontal="center"/>
    </dxf>
    <dxf>
      <alignment vertical="center"/>
    </dxf>
    <dxf>
      <alignment wrapText="1"/>
    </dxf>
    <dxf>
      <alignment vertical="center"/>
    </dxf>
    <dxf>
      <alignment horizontal="center"/>
    </dxf>
    <dxf>
      <alignment wrapText="1"/>
    </dxf>
    <dxf>
      <alignment wrapText="1"/>
    </dxf>
    <dxf>
      <alignment horizontal="left"/>
    </dxf>
    <dxf>
      <alignment vertical="center"/>
    </dxf>
    <dxf>
      <alignment horizontal="center"/>
    </dxf>
    <dxf>
      <alignment vertical="center"/>
    </dxf>
    <dxf>
      <alignment horizontal="left"/>
    </dxf>
    <dxf>
      <alignment vertical="center"/>
    </dxf>
    <dxf>
      <alignment wrapText="1"/>
    </dxf>
    <dxf>
      <alignment horizontal="center"/>
    </dxf>
    <dxf>
      <alignment vertical="center"/>
    </dxf>
    <dxf>
      <alignment wrapText="1"/>
    </dxf>
    <dxf>
      <alignment vertical="center"/>
    </dxf>
    <dxf>
      <alignment wrapText="1"/>
    </dxf>
    <dxf>
      <font>
        <b/>
        <color theme="1"/>
      </font>
      <border>
        <bottom style="thin">
          <color theme="4"/>
        </bottom>
        <vertical/>
        <horizontal/>
      </border>
    </dxf>
    <dxf>
      <font>
        <b val="0"/>
        <i val="0"/>
        <sz val="11"/>
        <color theme="1"/>
      </font>
      <border diagonalUp="0" diagonalDown="0">
        <left/>
        <right/>
        <top/>
        <bottom/>
        <vertical/>
        <horizontal/>
      </border>
    </dxf>
  </dxfs>
  <tableStyles count="1" defaultTableStyle="TableStyleMedium2" defaultPivotStyle="PivotStyleLight16">
    <tableStyle name="SlicerStyleDark1 2" pivot="0" table="0" count="10" xr9:uid="{0E3CC920-D6BB-4F5E-A991-B0AF202F4599}">
      <tableStyleElement type="wholeTable" dxfId="949"/>
      <tableStyleElement type="headerRow" dxfId="948"/>
    </tableStyle>
  </tableStyles>
  <colors>
    <mruColors>
      <color rgb="FF00CC66"/>
      <color rgb="FF33CC33"/>
      <color rgb="FFE5D497"/>
      <color rgb="FF009900"/>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1.xml"/><Relationship Id="rId26" Type="http://schemas.openxmlformats.org/officeDocument/2006/relationships/calcChain" Target="calcChain.xml"/><Relationship Id="rId3" Type="http://schemas.openxmlformats.org/officeDocument/2006/relationships/worksheet" Target="worksheets/sheet3.xml"/><Relationship Id="rId21" Type="http://schemas.microsoft.com/office/2007/relationships/slicerCache" Target="slicerCaches/slicerCache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3.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pivotCacheDefinition" Target="pivotCache/pivotCacheDefinition2.xml"/><Relationship Id="rId20" Type="http://schemas.microsoft.com/office/2007/relationships/slicerCache" Target="slicerCaches/slicerCache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23" Type="http://schemas.openxmlformats.org/officeDocument/2006/relationships/connections" Target="connections.xml"/><Relationship Id="rId28" Type="http://schemas.microsoft.com/office/2006/relationships/vbaProject" Target="vbaProject.bin"/><Relationship Id="rId10" Type="http://schemas.openxmlformats.org/officeDocument/2006/relationships/worksheet" Target="worksheets/sheet10.xml"/><Relationship Id="rId19" Type="http://schemas.microsoft.com/office/2007/relationships/slicerCache" Target="slicerCaches/slicerCache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spPr>
            <a:solidFill>
              <a:schemeClr val="accent1"/>
            </a:solidFill>
            <a:ln>
              <a:noFill/>
            </a:ln>
            <a:effectLst/>
          </c:spPr>
          <c:invertIfNegative val="0"/>
          <c:dPt>
            <c:idx val="0"/>
            <c:invertIfNegative val="0"/>
            <c:bubble3D val="0"/>
            <c:spPr>
              <a:solidFill>
                <a:srgbClr val="009900">
                  <a:alpha val="64000"/>
                </a:srgbClr>
              </a:solidFill>
              <a:ln>
                <a:noFill/>
              </a:ln>
              <a:effectLst/>
            </c:spPr>
            <c:extLst>
              <c:ext xmlns:c16="http://schemas.microsoft.com/office/drawing/2014/chart" uri="{C3380CC4-5D6E-409C-BE32-E72D297353CC}">
                <c16:uniqueId val="{00000001-E2F7-47C7-9F9B-DF8B7FE68C28}"/>
              </c:ext>
            </c:extLst>
          </c:dPt>
          <c:dPt>
            <c:idx val="1"/>
            <c:invertIfNegative val="0"/>
            <c:bubble3D val="0"/>
            <c:spPr>
              <a:solidFill>
                <a:srgbClr val="E5D497">
                  <a:alpha val="66000"/>
                </a:srgbClr>
              </a:solidFill>
              <a:ln>
                <a:noFill/>
              </a:ln>
              <a:effectLst/>
            </c:spPr>
            <c:extLst>
              <c:ext xmlns:c16="http://schemas.microsoft.com/office/drawing/2014/chart" uri="{C3380CC4-5D6E-409C-BE32-E72D297353CC}">
                <c16:uniqueId val="{00000002-E2F7-47C7-9F9B-DF8B7FE68C28}"/>
              </c:ext>
            </c:extLst>
          </c:dPt>
          <c:dPt>
            <c:idx val="2"/>
            <c:invertIfNegative val="0"/>
            <c:bubble3D val="0"/>
            <c:spPr>
              <a:solidFill>
                <a:schemeClr val="accent1">
                  <a:lumMod val="60000"/>
                  <a:lumOff val="40000"/>
                  <a:alpha val="62000"/>
                </a:schemeClr>
              </a:solidFill>
              <a:ln>
                <a:noFill/>
              </a:ln>
              <a:effectLst/>
            </c:spPr>
            <c:extLst>
              <c:ext xmlns:c16="http://schemas.microsoft.com/office/drawing/2014/chart" uri="{C3380CC4-5D6E-409C-BE32-E72D297353CC}">
                <c16:uniqueId val="{00000003-E2F7-47C7-9F9B-DF8B7FE68C28}"/>
              </c:ext>
            </c:extLst>
          </c:dPt>
          <c:dPt>
            <c:idx val="3"/>
            <c:invertIfNegative val="0"/>
            <c:bubble3D val="0"/>
            <c:spPr>
              <a:solidFill>
                <a:schemeClr val="accent2">
                  <a:lumMod val="40000"/>
                  <a:lumOff val="60000"/>
                </a:schemeClr>
              </a:solidFill>
              <a:ln>
                <a:noFill/>
              </a:ln>
              <a:effectLst/>
            </c:spPr>
            <c:extLst>
              <c:ext xmlns:c16="http://schemas.microsoft.com/office/drawing/2014/chart" uri="{C3380CC4-5D6E-409C-BE32-E72D297353CC}">
                <c16:uniqueId val="{00000004-E2F7-47C7-9F9B-DF8B7FE68C28}"/>
              </c:ext>
            </c:extLst>
          </c:dPt>
          <c:dLbls>
            <c:dLbl>
              <c:idx val="3"/>
              <c:layout>
                <c:manualLayout>
                  <c:x val="3.1992696596380142E-3"/>
                  <c:y val="-1.8232104533232454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E2F7-47C7-9F9B-DF8B7FE68C28}"/>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Calculos!$C$101:$C$104</c:f>
              <c:numCache>
                <c:formatCode>General</c:formatCode>
                <c:ptCount val="4"/>
                <c:pt idx="0">
                  <c:v>31</c:v>
                </c:pt>
                <c:pt idx="1">
                  <c:v>26</c:v>
                </c:pt>
                <c:pt idx="2">
                  <c:v>106</c:v>
                </c:pt>
                <c:pt idx="3">
                  <c:v>1</c:v>
                </c:pt>
              </c:numCache>
            </c:numRef>
          </c:val>
          <c:extLst>
            <c:ext xmlns:c16="http://schemas.microsoft.com/office/drawing/2014/chart" uri="{C3380CC4-5D6E-409C-BE32-E72D297353CC}">
              <c16:uniqueId val="{00000000-E2F7-47C7-9F9B-DF8B7FE68C28}"/>
            </c:ext>
          </c:extLst>
        </c:ser>
        <c:dLbls>
          <c:dLblPos val="inEnd"/>
          <c:showLegendKey val="0"/>
          <c:showVal val="1"/>
          <c:showCatName val="0"/>
          <c:showSerName val="0"/>
          <c:showPercent val="0"/>
          <c:showBubbleSize val="0"/>
        </c:dLbls>
        <c:gapWidth val="150"/>
        <c:overlap val="100"/>
        <c:axId val="1740693615"/>
        <c:axId val="1740694095"/>
      </c:barChart>
      <c:catAx>
        <c:axId val="1740693615"/>
        <c:scaling>
          <c:orientation val="minMax"/>
        </c:scaling>
        <c:delete val="1"/>
        <c:axPos val="b"/>
        <c:majorTickMark val="none"/>
        <c:minorTickMark val="none"/>
        <c:tickLblPos val="nextTo"/>
        <c:crossAx val="1740694095"/>
        <c:crosses val="autoZero"/>
        <c:auto val="1"/>
        <c:lblAlgn val="ctr"/>
        <c:lblOffset val="100"/>
        <c:noMultiLvlLbl val="0"/>
      </c:catAx>
      <c:valAx>
        <c:axId val="1740694095"/>
        <c:scaling>
          <c:orientation val="minMax"/>
        </c:scaling>
        <c:delete val="1"/>
        <c:axPos val="l"/>
        <c:numFmt formatCode="General" sourceLinked="1"/>
        <c:majorTickMark val="none"/>
        <c:minorTickMark val="none"/>
        <c:tickLblPos val="nextTo"/>
        <c:crossAx val="174069361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v>Tabla</c:v>
          </c:tx>
          <c:spPr>
            <a:solidFill>
              <a:srgbClr val="00B050"/>
            </a:solidFill>
          </c:spPr>
          <c:dPt>
            <c:idx val="0"/>
            <c:bubble3D val="0"/>
            <c:spPr>
              <a:solidFill>
                <a:srgbClr val="00B050"/>
              </a:solidFill>
              <a:ln w="19050">
                <a:solidFill>
                  <a:schemeClr val="lt1"/>
                </a:solidFill>
              </a:ln>
              <a:effectLst/>
            </c:spPr>
            <c:extLst>
              <c:ext xmlns:c16="http://schemas.microsoft.com/office/drawing/2014/chart" uri="{C3380CC4-5D6E-409C-BE32-E72D297353CC}">
                <c16:uniqueId val="{00000001-889C-4FD5-A550-B81B72B6A2C3}"/>
              </c:ext>
            </c:extLst>
          </c:dPt>
          <c:dPt>
            <c:idx val="1"/>
            <c:bubble3D val="0"/>
            <c:spPr>
              <a:solidFill>
                <a:srgbClr val="00B050"/>
              </a:solidFill>
              <a:ln w="19050">
                <a:solidFill>
                  <a:schemeClr val="lt1"/>
                </a:solidFill>
              </a:ln>
              <a:effectLst/>
            </c:spPr>
            <c:extLst>
              <c:ext xmlns:c16="http://schemas.microsoft.com/office/drawing/2014/chart" uri="{C3380CC4-5D6E-409C-BE32-E72D297353CC}">
                <c16:uniqueId val="{00000003-889C-4FD5-A550-B81B72B6A2C3}"/>
              </c:ext>
            </c:extLst>
          </c:dPt>
          <c:dPt>
            <c:idx val="2"/>
            <c:bubble3D val="0"/>
            <c:spPr>
              <a:solidFill>
                <a:srgbClr val="00B050"/>
              </a:solidFill>
              <a:ln w="19050">
                <a:solidFill>
                  <a:schemeClr val="lt1"/>
                </a:solidFill>
              </a:ln>
              <a:effectLst/>
            </c:spPr>
            <c:extLst>
              <c:ext xmlns:c16="http://schemas.microsoft.com/office/drawing/2014/chart" uri="{C3380CC4-5D6E-409C-BE32-E72D297353CC}">
                <c16:uniqueId val="{00000005-889C-4FD5-A550-B81B72B6A2C3}"/>
              </c:ext>
            </c:extLst>
          </c:dPt>
          <c:dPt>
            <c:idx val="3"/>
            <c:bubble3D val="0"/>
            <c:spPr>
              <a:solidFill>
                <a:srgbClr val="00B050"/>
              </a:solidFill>
              <a:ln w="19050">
                <a:solidFill>
                  <a:schemeClr val="lt1"/>
                </a:solidFill>
              </a:ln>
              <a:effectLst/>
            </c:spPr>
            <c:extLst>
              <c:ext xmlns:c16="http://schemas.microsoft.com/office/drawing/2014/chart" uri="{C3380CC4-5D6E-409C-BE32-E72D297353CC}">
                <c16:uniqueId val="{00000007-889C-4FD5-A550-B81B72B6A2C3}"/>
              </c:ext>
            </c:extLst>
          </c:dPt>
          <c:dPt>
            <c:idx val="4"/>
            <c:bubble3D val="0"/>
            <c:spPr>
              <a:solidFill>
                <a:srgbClr val="00B050"/>
              </a:solidFill>
              <a:ln w="19050">
                <a:solidFill>
                  <a:schemeClr val="lt1"/>
                </a:solidFill>
              </a:ln>
              <a:effectLst/>
            </c:spPr>
            <c:extLst>
              <c:ext xmlns:c16="http://schemas.microsoft.com/office/drawing/2014/chart" uri="{C3380CC4-5D6E-409C-BE32-E72D297353CC}">
                <c16:uniqueId val="{00000009-889C-4FD5-A550-B81B72B6A2C3}"/>
              </c:ext>
            </c:extLst>
          </c:dPt>
          <c:dPt>
            <c:idx val="5"/>
            <c:bubble3D val="0"/>
            <c:spPr>
              <a:solidFill>
                <a:srgbClr val="00B050"/>
              </a:solidFill>
              <a:ln w="19050">
                <a:solidFill>
                  <a:schemeClr val="lt1"/>
                </a:solidFill>
              </a:ln>
              <a:effectLst/>
            </c:spPr>
            <c:extLst>
              <c:ext xmlns:c16="http://schemas.microsoft.com/office/drawing/2014/chart" uri="{C3380CC4-5D6E-409C-BE32-E72D297353CC}">
                <c16:uniqueId val="{0000000B-889C-4FD5-A550-B81B72B6A2C3}"/>
              </c:ext>
            </c:extLst>
          </c:dPt>
          <c:dPt>
            <c:idx val="6"/>
            <c:bubble3D val="0"/>
            <c:spPr>
              <a:solidFill>
                <a:srgbClr val="00B050"/>
              </a:solidFill>
              <a:ln w="19050">
                <a:solidFill>
                  <a:schemeClr val="lt1"/>
                </a:solidFill>
              </a:ln>
              <a:effectLst/>
            </c:spPr>
            <c:extLst>
              <c:ext xmlns:c16="http://schemas.microsoft.com/office/drawing/2014/chart" uri="{C3380CC4-5D6E-409C-BE32-E72D297353CC}">
                <c16:uniqueId val="{0000000D-889C-4FD5-A550-B81B72B6A2C3}"/>
              </c:ext>
            </c:extLst>
          </c:dPt>
          <c:dPt>
            <c:idx val="7"/>
            <c:bubble3D val="0"/>
            <c:spPr>
              <a:solidFill>
                <a:srgbClr val="00B050"/>
              </a:solidFill>
              <a:ln w="19050">
                <a:solidFill>
                  <a:schemeClr val="lt1"/>
                </a:solidFill>
              </a:ln>
              <a:effectLst/>
            </c:spPr>
            <c:extLst>
              <c:ext xmlns:c16="http://schemas.microsoft.com/office/drawing/2014/chart" uri="{C3380CC4-5D6E-409C-BE32-E72D297353CC}">
                <c16:uniqueId val="{0000000F-889C-4FD5-A550-B81B72B6A2C3}"/>
              </c:ext>
            </c:extLst>
          </c:dPt>
          <c:dPt>
            <c:idx val="8"/>
            <c:bubble3D val="0"/>
            <c:spPr>
              <a:solidFill>
                <a:srgbClr val="00B050"/>
              </a:solidFill>
              <a:ln w="19050">
                <a:solidFill>
                  <a:schemeClr val="lt1"/>
                </a:solidFill>
              </a:ln>
              <a:effectLst/>
            </c:spPr>
            <c:extLst>
              <c:ext xmlns:c16="http://schemas.microsoft.com/office/drawing/2014/chart" uri="{C3380CC4-5D6E-409C-BE32-E72D297353CC}">
                <c16:uniqueId val="{00000011-889C-4FD5-A550-B81B72B6A2C3}"/>
              </c:ext>
            </c:extLst>
          </c:dPt>
          <c:dPt>
            <c:idx val="9"/>
            <c:bubble3D val="0"/>
            <c:spPr>
              <a:solidFill>
                <a:srgbClr val="00B050"/>
              </a:solidFill>
              <a:ln w="19050">
                <a:solidFill>
                  <a:schemeClr val="lt1"/>
                </a:solidFill>
              </a:ln>
              <a:effectLst/>
            </c:spPr>
            <c:extLst>
              <c:ext xmlns:c16="http://schemas.microsoft.com/office/drawing/2014/chart" uri="{C3380CC4-5D6E-409C-BE32-E72D297353CC}">
                <c16:uniqueId val="{00000013-889C-4FD5-A550-B81B72B6A2C3}"/>
              </c:ext>
            </c:extLst>
          </c:dPt>
          <c:dPt>
            <c:idx val="10"/>
            <c:bubble3D val="0"/>
            <c:spPr>
              <a:solidFill>
                <a:srgbClr val="00B050"/>
              </a:solidFill>
              <a:ln w="19050">
                <a:solidFill>
                  <a:schemeClr val="lt1"/>
                </a:solidFill>
              </a:ln>
              <a:effectLst/>
            </c:spPr>
            <c:extLst>
              <c:ext xmlns:c16="http://schemas.microsoft.com/office/drawing/2014/chart" uri="{C3380CC4-5D6E-409C-BE32-E72D297353CC}">
                <c16:uniqueId val="{00000015-889C-4FD5-A550-B81B72B6A2C3}"/>
              </c:ext>
            </c:extLst>
          </c:dPt>
          <c:dPt>
            <c:idx val="11"/>
            <c:bubble3D val="0"/>
            <c:spPr>
              <a:solidFill>
                <a:srgbClr val="00B050"/>
              </a:solidFill>
              <a:ln w="19050">
                <a:solidFill>
                  <a:schemeClr val="lt1"/>
                </a:solidFill>
              </a:ln>
              <a:effectLst/>
            </c:spPr>
            <c:extLst>
              <c:ext xmlns:c16="http://schemas.microsoft.com/office/drawing/2014/chart" uri="{C3380CC4-5D6E-409C-BE32-E72D297353CC}">
                <c16:uniqueId val="{00000017-889C-4FD5-A550-B81B72B6A2C3}"/>
              </c:ext>
            </c:extLst>
          </c:dPt>
          <c:dPt>
            <c:idx val="12"/>
            <c:bubble3D val="0"/>
            <c:spPr>
              <a:solidFill>
                <a:srgbClr val="00B050"/>
              </a:solidFill>
              <a:ln w="19050">
                <a:solidFill>
                  <a:schemeClr val="lt1"/>
                </a:solidFill>
              </a:ln>
              <a:effectLst/>
            </c:spPr>
            <c:extLst>
              <c:ext xmlns:c16="http://schemas.microsoft.com/office/drawing/2014/chart" uri="{C3380CC4-5D6E-409C-BE32-E72D297353CC}">
                <c16:uniqueId val="{00000019-889C-4FD5-A550-B81B72B6A2C3}"/>
              </c:ext>
            </c:extLst>
          </c:dPt>
          <c:dPt>
            <c:idx val="13"/>
            <c:bubble3D val="0"/>
            <c:spPr>
              <a:solidFill>
                <a:srgbClr val="00B050"/>
              </a:solidFill>
              <a:ln w="19050">
                <a:solidFill>
                  <a:schemeClr val="lt1"/>
                </a:solidFill>
              </a:ln>
              <a:effectLst/>
            </c:spPr>
            <c:extLst>
              <c:ext xmlns:c16="http://schemas.microsoft.com/office/drawing/2014/chart" uri="{C3380CC4-5D6E-409C-BE32-E72D297353CC}">
                <c16:uniqueId val="{0000001B-889C-4FD5-A550-B81B72B6A2C3}"/>
              </c:ext>
            </c:extLst>
          </c:dPt>
          <c:dPt>
            <c:idx val="14"/>
            <c:bubble3D val="0"/>
            <c:spPr>
              <a:solidFill>
                <a:srgbClr val="00B050"/>
              </a:solidFill>
              <a:ln w="19050">
                <a:solidFill>
                  <a:schemeClr val="lt1"/>
                </a:solidFill>
              </a:ln>
              <a:effectLst/>
            </c:spPr>
            <c:extLst>
              <c:ext xmlns:c16="http://schemas.microsoft.com/office/drawing/2014/chart" uri="{C3380CC4-5D6E-409C-BE32-E72D297353CC}">
                <c16:uniqueId val="{0000001D-889C-4FD5-A550-B81B72B6A2C3}"/>
              </c:ext>
            </c:extLst>
          </c:dPt>
          <c:dPt>
            <c:idx val="15"/>
            <c:bubble3D val="0"/>
            <c:spPr>
              <a:solidFill>
                <a:srgbClr val="00B050"/>
              </a:solidFill>
              <a:ln w="19050">
                <a:solidFill>
                  <a:schemeClr val="lt1"/>
                </a:solidFill>
              </a:ln>
              <a:effectLst/>
            </c:spPr>
            <c:extLst>
              <c:ext xmlns:c16="http://schemas.microsoft.com/office/drawing/2014/chart" uri="{C3380CC4-5D6E-409C-BE32-E72D297353CC}">
                <c16:uniqueId val="{0000001F-889C-4FD5-A550-B81B72B6A2C3}"/>
              </c:ext>
            </c:extLst>
          </c:dPt>
          <c:dPt>
            <c:idx val="16"/>
            <c:bubble3D val="0"/>
            <c:spPr>
              <a:solidFill>
                <a:srgbClr val="00B050"/>
              </a:solidFill>
              <a:ln w="19050">
                <a:solidFill>
                  <a:schemeClr val="lt1"/>
                </a:solidFill>
              </a:ln>
              <a:effectLst/>
            </c:spPr>
            <c:extLst>
              <c:ext xmlns:c16="http://schemas.microsoft.com/office/drawing/2014/chart" uri="{C3380CC4-5D6E-409C-BE32-E72D297353CC}">
                <c16:uniqueId val="{00000021-889C-4FD5-A550-B81B72B6A2C3}"/>
              </c:ext>
            </c:extLst>
          </c:dPt>
          <c:dPt>
            <c:idx val="17"/>
            <c:bubble3D val="0"/>
            <c:spPr>
              <a:solidFill>
                <a:srgbClr val="00B050"/>
              </a:solidFill>
              <a:ln w="19050">
                <a:solidFill>
                  <a:schemeClr val="lt1"/>
                </a:solidFill>
              </a:ln>
              <a:effectLst/>
            </c:spPr>
            <c:extLst>
              <c:ext xmlns:c16="http://schemas.microsoft.com/office/drawing/2014/chart" uri="{C3380CC4-5D6E-409C-BE32-E72D297353CC}">
                <c16:uniqueId val="{00000023-889C-4FD5-A550-B81B72B6A2C3}"/>
              </c:ext>
            </c:extLst>
          </c:dPt>
          <c:dPt>
            <c:idx val="18"/>
            <c:bubble3D val="0"/>
            <c:spPr>
              <a:solidFill>
                <a:srgbClr val="00B050"/>
              </a:solidFill>
              <a:ln w="19050">
                <a:solidFill>
                  <a:schemeClr val="lt1"/>
                </a:solidFill>
              </a:ln>
              <a:effectLst/>
            </c:spPr>
            <c:extLst>
              <c:ext xmlns:c16="http://schemas.microsoft.com/office/drawing/2014/chart" uri="{C3380CC4-5D6E-409C-BE32-E72D297353CC}">
                <c16:uniqueId val="{00000025-889C-4FD5-A550-B81B72B6A2C3}"/>
              </c:ext>
            </c:extLst>
          </c:dPt>
          <c:dPt>
            <c:idx val="19"/>
            <c:bubble3D val="0"/>
            <c:spPr>
              <a:solidFill>
                <a:srgbClr val="00B050"/>
              </a:solidFill>
              <a:ln w="19050">
                <a:solidFill>
                  <a:schemeClr val="lt1"/>
                </a:solidFill>
              </a:ln>
              <a:effectLst/>
            </c:spPr>
            <c:extLst>
              <c:ext xmlns:c16="http://schemas.microsoft.com/office/drawing/2014/chart" uri="{C3380CC4-5D6E-409C-BE32-E72D297353CC}">
                <c16:uniqueId val="{00000027-889C-4FD5-A550-B81B72B6A2C3}"/>
              </c:ext>
            </c:extLst>
          </c:dPt>
          <c:val>
            <c:numLit>
              <c:formatCode>General</c:formatCode>
              <c:ptCount val="2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numLit>
          </c:val>
          <c:extLst>
            <c:ext xmlns:c16="http://schemas.microsoft.com/office/drawing/2014/chart" uri="{C3380CC4-5D6E-409C-BE32-E72D297353CC}">
              <c16:uniqueId val="{00000028-889C-4FD5-A550-B81B72B6A2C3}"/>
            </c:ext>
          </c:extLst>
        </c:ser>
        <c:dLbls>
          <c:showLegendKey val="0"/>
          <c:showVal val="0"/>
          <c:showCatName val="0"/>
          <c:showSerName val="0"/>
          <c:showPercent val="0"/>
          <c:showBubbleSize val="0"/>
          <c:showLeaderLines val="1"/>
        </c:dLbls>
        <c:firstSliceAng val="0"/>
        <c:holeSize val="60"/>
      </c:doughnutChart>
      <c:doughnutChart>
        <c:varyColors val="1"/>
        <c:ser>
          <c:idx val="1"/>
          <c:order val="1"/>
          <c:tx>
            <c:v>Tabla</c:v>
          </c:tx>
          <c:dPt>
            <c:idx val="0"/>
            <c:bubble3D val="0"/>
            <c:spPr>
              <a:noFill/>
              <a:ln w="19050">
                <a:solidFill>
                  <a:schemeClr val="lt1"/>
                </a:solidFill>
              </a:ln>
              <a:effectLst/>
            </c:spPr>
            <c:extLst>
              <c:ext xmlns:c16="http://schemas.microsoft.com/office/drawing/2014/chart" uri="{C3380CC4-5D6E-409C-BE32-E72D297353CC}">
                <c16:uniqueId val="{0000002A-889C-4FD5-A550-B81B72B6A2C3}"/>
              </c:ext>
            </c:extLst>
          </c:dPt>
          <c:dPt>
            <c:idx val="1"/>
            <c:bubble3D val="0"/>
            <c:spPr>
              <a:solidFill>
                <a:schemeClr val="bg1">
                  <a:alpha val="76000"/>
                </a:schemeClr>
              </a:solidFill>
              <a:ln w="19050">
                <a:solidFill>
                  <a:schemeClr val="lt1"/>
                </a:solidFill>
              </a:ln>
              <a:effectLst/>
            </c:spPr>
            <c:extLst>
              <c:ext xmlns:c16="http://schemas.microsoft.com/office/drawing/2014/chart" uri="{C3380CC4-5D6E-409C-BE32-E72D297353CC}">
                <c16:uniqueId val="{0000002C-889C-4FD5-A550-B81B72B6A2C3}"/>
              </c:ext>
            </c:extLst>
          </c:dPt>
          <c:val>
            <c:numRef>
              <c:f>Calculos!$A$109:$A$110</c:f>
              <c:numCache>
                <c:formatCode>0%</c:formatCode>
                <c:ptCount val="2"/>
                <c:pt idx="0">
                  <c:v>0.65030674846625769</c:v>
                </c:pt>
                <c:pt idx="1">
                  <c:v>0.34969325153374231</c:v>
                </c:pt>
              </c:numCache>
            </c:numRef>
          </c:val>
          <c:extLst>
            <c:ext xmlns:c16="http://schemas.microsoft.com/office/drawing/2014/chart" uri="{C3380CC4-5D6E-409C-BE32-E72D297353CC}">
              <c16:uniqueId val="{0000002D-889C-4FD5-A550-B81B72B6A2C3}"/>
            </c:ext>
          </c:extLst>
        </c:ser>
        <c:dLbls>
          <c:showLegendKey val="0"/>
          <c:showVal val="0"/>
          <c:showCatName val="0"/>
          <c:showSerName val="0"/>
          <c:showPercent val="0"/>
          <c:showBubbleSize val="0"/>
          <c:showLeaderLines val="1"/>
        </c:dLbls>
        <c:firstSliceAng val="0"/>
        <c:holeSize val="6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image" Target="../media/image11.svg"/><Relationship Id="rId3" Type="http://schemas.openxmlformats.org/officeDocument/2006/relationships/image" Target="../media/image3.svg"/><Relationship Id="rId7" Type="http://schemas.openxmlformats.org/officeDocument/2006/relationships/image" Target="../media/image5.svg"/><Relationship Id="rId12" Type="http://schemas.openxmlformats.org/officeDocument/2006/relationships/image" Target="../media/image10.png"/><Relationship Id="rId17" Type="http://schemas.openxmlformats.org/officeDocument/2006/relationships/image" Target="../media/image15.svg"/><Relationship Id="rId2" Type="http://schemas.openxmlformats.org/officeDocument/2006/relationships/image" Target="../media/image2.png"/><Relationship Id="rId16" Type="http://schemas.openxmlformats.org/officeDocument/2006/relationships/image" Target="../media/image14.png"/><Relationship Id="rId1" Type="http://schemas.openxmlformats.org/officeDocument/2006/relationships/image" Target="../media/image1.png"/><Relationship Id="rId6" Type="http://schemas.openxmlformats.org/officeDocument/2006/relationships/image" Target="../media/image4.png"/><Relationship Id="rId11" Type="http://schemas.openxmlformats.org/officeDocument/2006/relationships/image" Target="../media/image9.png"/><Relationship Id="rId5" Type="http://schemas.openxmlformats.org/officeDocument/2006/relationships/chart" Target="../charts/chart2.xml"/><Relationship Id="rId15" Type="http://schemas.openxmlformats.org/officeDocument/2006/relationships/image" Target="../media/image13.svg"/><Relationship Id="rId10" Type="http://schemas.openxmlformats.org/officeDocument/2006/relationships/image" Target="../media/image8.png"/><Relationship Id="rId4" Type="http://schemas.openxmlformats.org/officeDocument/2006/relationships/chart" Target="../charts/chart1.xml"/><Relationship Id="rId9" Type="http://schemas.openxmlformats.org/officeDocument/2006/relationships/image" Target="../media/image7.svg"/><Relationship Id="rId14" Type="http://schemas.openxmlformats.org/officeDocument/2006/relationships/image" Target="../media/image12.png"/></Relationships>
</file>

<file path=xl/drawings/_rels/drawing3.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image" Target="../media/image17.svg"/><Relationship Id="rId1" Type="http://schemas.openxmlformats.org/officeDocument/2006/relationships/image" Target="../media/image16.png"/><Relationship Id="rId4" Type="http://schemas.openxmlformats.org/officeDocument/2006/relationships/image" Target="../media/image19.svg"/></Relationships>
</file>

<file path=xl/drawings/drawing1.xml><?xml version="1.0" encoding="utf-8"?>
<xdr:wsDr xmlns:xdr="http://schemas.openxmlformats.org/drawingml/2006/spreadsheetDrawing" xmlns:a="http://schemas.openxmlformats.org/drawingml/2006/main">
  <xdr:twoCellAnchor>
    <xdr:from>
      <xdr:col>0</xdr:col>
      <xdr:colOff>137801</xdr:colOff>
      <xdr:row>5</xdr:row>
      <xdr:rowOff>2352</xdr:rowOff>
    </xdr:from>
    <xdr:to>
      <xdr:col>5</xdr:col>
      <xdr:colOff>335643</xdr:colOff>
      <xdr:row>32</xdr:row>
      <xdr:rowOff>48854</xdr:rowOff>
    </xdr:to>
    <xdr:grpSp>
      <xdr:nvGrpSpPr>
        <xdr:cNvPr id="39" name="Grupo 38" hidden="1">
          <a:extLst>
            <a:ext uri="{FF2B5EF4-FFF2-40B4-BE49-F238E27FC236}">
              <a16:creationId xmlns:a16="http://schemas.microsoft.com/office/drawing/2014/main" id="{A0FE6743-5430-EB87-C113-555EB615D7EB}"/>
            </a:ext>
          </a:extLst>
        </xdr:cNvPr>
        <xdr:cNvGrpSpPr/>
      </xdr:nvGrpSpPr>
      <xdr:grpSpPr>
        <a:xfrm>
          <a:off x="137801" y="931992"/>
          <a:ext cx="4160242" cy="4984262"/>
          <a:chOff x="15240" y="952501"/>
          <a:chExt cx="3985260" cy="5044440"/>
        </a:xfrm>
      </xdr:grpSpPr>
      <xdr:sp macro="" textlink="">
        <xdr:nvSpPr>
          <xdr:cNvPr id="17" name="Rectángulo 16" hidden="1">
            <a:extLst>
              <a:ext uri="{FF2B5EF4-FFF2-40B4-BE49-F238E27FC236}">
                <a16:creationId xmlns:a16="http://schemas.microsoft.com/office/drawing/2014/main" id="{4010A8D0-A222-2E76-5C3A-A142D90668A8}"/>
              </a:ext>
            </a:extLst>
          </xdr:cNvPr>
          <xdr:cNvSpPr/>
        </xdr:nvSpPr>
        <xdr:spPr>
          <a:xfrm>
            <a:off x="76200" y="967740"/>
            <a:ext cx="3863340" cy="5021580"/>
          </a:xfrm>
          <a:prstGeom prst="rect">
            <a:avLst/>
          </a:prstGeom>
          <a:solidFill>
            <a:schemeClr val="accent4">
              <a:lumMod val="50000"/>
              <a:alpha val="72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mc:AlternateContent xmlns:mc="http://schemas.openxmlformats.org/markup-compatibility/2006" xmlns:a14="http://schemas.microsoft.com/office/drawing/2010/main">
        <mc:Choice Requires="a14">
          <xdr:graphicFrame macro="">
            <xdr:nvGraphicFramePr>
              <xdr:cNvPr id="35" name="Plan Auditoría" hidden="1">
                <a:extLst>
                  <a:ext uri="{FF2B5EF4-FFF2-40B4-BE49-F238E27FC236}">
                    <a16:creationId xmlns:a16="http://schemas.microsoft.com/office/drawing/2014/main" id="{FA836CEA-7FB1-4E47-9B62-5E3A7D4440E5}"/>
                  </a:ext>
                </a:extLst>
              </xdr:cNvPr>
              <xdr:cNvGraphicFramePr/>
            </xdr:nvGraphicFramePr>
            <xdr:xfrm>
              <a:off x="15241" y="952501"/>
              <a:ext cx="3932476" cy="1055485"/>
            </xdr:xfrm>
            <a:graphic>
              <a:graphicData uri="http://schemas.microsoft.com/office/drawing/2010/slicer">
                <sle:slicer xmlns:sle="http://schemas.microsoft.com/office/drawing/2010/slicer" name="Plan Auditoría"/>
              </a:graphicData>
            </a:graphic>
          </xdr:graphicFrame>
        </mc:Choice>
        <mc:Fallback xmlns="">
          <xdr:sp macro="" textlink="">
            <xdr:nvSpPr>
              <xdr:cNvPr id="0" name=""/>
              <xdr:cNvSpPr>
                <a:spLocks noTextEdit="1"/>
              </xdr:cNvSpPr>
            </xdr:nvSpPr>
            <xdr:spPr>
              <a:xfrm>
                <a:off x="137802" y="931992"/>
                <a:ext cx="4105140" cy="1042894"/>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mc:AlternateContent xmlns:mc="http://schemas.openxmlformats.org/markup-compatibility/2006" xmlns:a14="http://schemas.microsoft.com/office/drawing/2010/main">
        <mc:Choice Requires="a14">
          <xdr:graphicFrame macro="">
            <xdr:nvGraphicFramePr>
              <xdr:cNvPr id="36" name="Segmentador_Plan_Auditoría" hidden="1">
                <a:extLst>
                  <a:ext uri="{FF2B5EF4-FFF2-40B4-BE49-F238E27FC236}">
                    <a16:creationId xmlns:a16="http://schemas.microsoft.com/office/drawing/2014/main" id="{C21DBAFE-128F-4612-8CE4-EE0B9CF3C8A2}"/>
                  </a:ext>
                </a:extLst>
              </xdr:cNvPr>
              <xdr:cNvGraphicFramePr/>
            </xdr:nvGraphicFramePr>
            <xdr:xfrm>
              <a:off x="15240" y="1874521"/>
              <a:ext cx="3985260" cy="1805939"/>
            </xdr:xfrm>
            <a:graphic>
              <a:graphicData uri="http://schemas.microsoft.com/office/drawing/2010/slicer">
                <sle:slicer xmlns:sle="http://schemas.microsoft.com/office/drawing/2010/slicer" name="Segmentador_Plan_Auditoría"/>
              </a:graphicData>
            </a:graphic>
          </xdr:graphicFrame>
        </mc:Choice>
        <mc:Fallback xmlns="">
          <xdr:sp macro="" textlink="">
            <xdr:nvSpPr>
              <xdr:cNvPr id="0" name=""/>
              <xdr:cNvSpPr>
                <a:spLocks noTextEdit="1"/>
              </xdr:cNvSpPr>
            </xdr:nvSpPr>
            <xdr:spPr>
              <a:xfrm>
                <a:off x="137801" y="1843013"/>
                <a:ext cx="4160242" cy="178439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mc:AlternateContent xmlns:mc="http://schemas.openxmlformats.org/markup-compatibility/2006" xmlns:a14="http://schemas.microsoft.com/office/drawing/2010/main">
        <mc:Choice Requires="a14">
          <xdr:graphicFrame macro="">
            <xdr:nvGraphicFramePr>
              <xdr:cNvPr id="37" name="Responsable" hidden="1">
                <a:extLst>
                  <a:ext uri="{FF2B5EF4-FFF2-40B4-BE49-F238E27FC236}">
                    <a16:creationId xmlns:a16="http://schemas.microsoft.com/office/drawing/2014/main" id="{7804D891-BA75-436D-87CE-CCFF958095DD}"/>
                  </a:ext>
                </a:extLst>
              </xdr:cNvPr>
              <xdr:cNvGraphicFramePr/>
            </xdr:nvGraphicFramePr>
            <xdr:xfrm>
              <a:off x="22860" y="3604261"/>
              <a:ext cx="3970020" cy="2392680"/>
            </xdr:xfrm>
            <a:graphic>
              <a:graphicData uri="http://schemas.microsoft.com/office/drawing/2010/slicer">
                <sle:slicer xmlns:sle="http://schemas.microsoft.com/office/drawing/2010/slicer" name="Responsable"/>
              </a:graphicData>
            </a:graphic>
          </xdr:graphicFrame>
        </mc:Choice>
        <mc:Fallback xmlns="">
          <xdr:sp macro="" textlink="">
            <xdr:nvSpPr>
              <xdr:cNvPr id="0" name=""/>
              <xdr:cNvSpPr>
                <a:spLocks noTextEdit="1"/>
              </xdr:cNvSpPr>
            </xdr:nvSpPr>
            <xdr:spPr>
              <a:xfrm>
                <a:off x="145756" y="3552118"/>
                <a:ext cx="4144333" cy="2364136"/>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grpSp>
    <xdr:clientData fLocksWithSheet="0"/>
  </xdr:twoCellAnchor>
  <xdr:twoCellAnchor editAs="oneCell">
    <xdr:from>
      <xdr:col>0</xdr:col>
      <xdr:colOff>2</xdr:colOff>
      <xdr:row>0</xdr:row>
      <xdr:rowOff>0</xdr:rowOff>
    </xdr:from>
    <xdr:to>
      <xdr:col>1</xdr:col>
      <xdr:colOff>152401</xdr:colOff>
      <xdr:row>5</xdr:row>
      <xdr:rowOff>50800</xdr:rowOff>
    </xdr:to>
    <xdr:pic>
      <xdr:nvPicPr>
        <xdr:cNvPr id="85" name="image2.png">
          <a:extLst>
            <a:ext uri="{FF2B5EF4-FFF2-40B4-BE49-F238E27FC236}">
              <a16:creationId xmlns:a16="http://schemas.microsoft.com/office/drawing/2014/main" id="{D2806D7F-0C3D-557D-7E5E-44184D88BC85}"/>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2" y="0"/>
          <a:ext cx="944879" cy="980440"/>
        </a:xfrm>
        <a:prstGeom prst="rect">
          <a:avLst/>
        </a:prstGeom>
        <a:noFill/>
      </xdr:spPr>
    </xdr:pic>
    <xdr:clientData/>
  </xdr:twoCellAnchor>
  <xdr:twoCellAnchor editAs="absolute">
    <xdr:from>
      <xdr:col>5</xdr:col>
      <xdr:colOff>327031</xdr:colOff>
      <xdr:row>0</xdr:row>
      <xdr:rowOff>129539</xdr:rowOff>
    </xdr:from>
    <xdr:to>
      <xdr:col>13</xdr:col>
      <xdr:colOff>450423</xdr:colOff>
      <xdr:row>2</xdr:row>
      <xdr:rowOff>65433</xdr:rowOff>
    </xdr:to>
    <xdr:sp macro="" textlink="">
      <xdr:nvSpPr>
        <xdr:cNvPr id="42" name="Rectángulo 41">
          <a:extLst>
            <a:ext uri="{FF2B5EF4-FFF2-40B4-BE49-F238E27FC236}">
              <a16:creationId xmlns:a16="http://schemas.microsoft.com/office/drawing/2014/main" id="{8D058DF0-0003-430F-B902-B61B0DC95C1C}"/>
            </a:ext>
          </a:extLst>
        </xdr:cNvPr>
        <xdr:cNvSpPr/>
      </xdr:nvSpPr>
      <xdr:spPr>
        <a:xfrm>
          <a:off x="4289431" y="129539"/>
          <a:ext cx="6714692" cy="31689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600" b="1">
              <a:solidFill>
                <a:schemeClr val="bg1"/>
              </a:solidFill>
              <a:latin typeface="Arial" panose="020B0604020202020204" pitchFamily="34" charset="0"/>
              <a:cs typeface="Arial" panose="020B0604020202020204" pitchFamily="34" charset="0"/>
            </a:rPr>
            <a:t>SEGUIMIENTO</a:t>
          </a:r>
          <a:r>
            <a:rPr lang="es-CO" sz="1600" b="1" baseline="0">
              <a:solidFill>
                <a:schemeClr val="bg1"/>
              </a:solidFill>
              <a:latin typeface="Arial" panose="020B0604020202020204" pitchFamily="34" charset="0"/>
              <a:cs typeface="Arial" panose="020B0604020202020204" pitchFamily="34" charset="0"/>
            </a:rPr>
            <a:t> A</a:t>
          </a:r>
          <a:r>
            <a:rPr lang="es-CO" sz="1600" b="1">
              <a:solidFill>
                <a:schemeClr val="bg1"/>
              </a:solidFill>
              <a:latin typeface="Arial" panose="020B0604020202020204" pitchFamily="34" charset="0"/>
              <a:cs typeface="Arial" panose="020B0604020202020204" pitchFamily="34" charset="0"/>
            </a:rPr>
            <a:t> PLANES DE ACCIÓN DE AUDITORÍAS</a:t>
          </a:r>
          <a:r>
            <a:rPr lang="es-CO" sz="1600" b="1" baseline="0">
              <a:solidFill>
                <a:schemeClr val="bg1"/>
              </a:solidFill>
              <a:latin typeface="Arial" panose="020B0604020202020204" pitchFamily="34" charset="0"/>
              <a:cs typeface="Arial" panose="020B0604020202020204" pitchFamily="34" charset="0"/>
            </a:rPr>
            <a:t> INTERNAS</a:t>
          </a:r>
          <a:endParaRPr lang="es-CO" sz="1600" b="1">
            <a:solidFill>
              <a:schemeClr val="bg1"/>
            </a:solidFill>
            <a:latin typeface="Arial" panose="020B0604020202020204" pitchFamily="34" charset="0"/>
            <a:cs typeface="Arial" panose="020B0604020202020204" pitchFamily="34" charset="0"/>
          </a:endParaRPr>
        </a:p>
      </xdr:txBody>
    </xdr:sp>
    <xdr:clientData/>
  </xdr:twoCellAnchor>
  <xdr:twoCellAnchor>
    <xdr:from>
      <xdr:col>5</xdr:col>
      <xdr:colOff>606670</xdr:colOff>
      <xdr:row>3</xdr:row>
      <xdr:rowOff>76200</xdr:rowOff>
    </xdr:from>
    <xdr:to>
      <xdr:col>10</xdr:col>
      <xdr:colOff>103476</xdr:colOff>
      <xdr:row>28</xdr:row>
      <xdr:rowOff>104439</xdr:rowOff>
    </xdr:to>
    <xdr:grpSp>
      <xdr:nvGrpSpPr>
        <xdr:cNvPr id="64" name="Grupo 63">
          <a:extLst>
            <a:ext uri="{FF2B5EF4-FFF2-40B4-BE49-F238E27FC236}">
              <a16:creationId xmlns:a16="http://schemas.microsoft.com/office/drawing/2014/main" id="{4913F062-FB57-1766-7E58-B016EFF524E9}"/>
            </a:ext>
          </a:extLst>
        </xdr:cNvPr>
        <xdr:cNvGrpSpPr/>
      </xdr:nvGrpSpPr>
      <xdr:grpSpPr>
        <a:xfrm>
          <a:off x="4569070" y="640080"/>
          <a:ext cx="3710666" cy="4600239"/>
          <a:chOff x="4402159" y="635000"/>
          <a:chExt cx="3713206" cy="4563953"/>
        </a:xfrm>
      </xdr:grpSpPr>
      <xdr:sp macro="" textlink="Calculos!B106">
        <xdr:nvSpPr>
          <xdr:cNvPr id="20" name="Rectángulo 19">
            <a:extLst>
              <a:ext uri="{FF2B5EF4-FFF2-40B4-BE49-F238E27FC236}">
                <a16:creationId xmlns:a16="http://schemas.microsoft.com/office/drawing/2014/main" id="{C74AAB55-BD3B-41A5-A003-0A7CC45C5A2A}"/>
              </a:ext>
            </a:extLst>
          </xdr:cNvPr>
          <xdr:cNvSpPr/>
        </xdr:nvSpPr>
        <xdr:spPr>
          <a:xfrm>
            <a:off x="4466111" y="2216310"/>
            <a:ext cx="1445345" cy="2275306"/>
          </a:xfrm>
          <a:prstGeom prst="rect">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87594C0D-F54B-401A-9E4D-EEF88C86CE93}" type="TxLink">
              <a:rPr lang="en-US" sz="1600" b="1" i="0" u="none" strike="noStrike">
                <a:solidFill>
                  <a:srgbClr val="000000"/>
                </a:solidFill>
                <a:latin typeface="Arial" panose="020B0604020202020204" pitchFamily="34" charset="0"/>
                <a:cs typeface="Arial" panose="020B0604020202020204" pitchFamily="34" charset="0"/>
              </a:rPr>
              <a:pPr algn="ctr"/>
              <a:t>163</a:t>
            </a:fld>
            <a:endParaRPr lang="en-US" sz="16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1" name="Rectángulo 20">
            <a:extLst>
              <a:ext uri="{FF2B5EF4-FFF2-40B4-BE49-F238E27FC236}">
                <a16:creationId xmlns:a16="http://schemas.microsoft.com/office/drawing/2014/main" id="{BA6CC883-5E73-42FF-95E6-5D25C3E01637}"/>
              </a:ext>
            </a:extLst>
          </xdr:cNvPr>
          <xdr:cNvSpPr/>
        </xdr:nvSpPr>
        <xdr:spPr>
          <a:xfrm>
            <a:off x="4402159" y="1925619"/>
            <a:ext cx="1666325" cy="22939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Total Planes de Acción</a:t>
            </a:r>
          </a:p>
        </xdr:txBody>
      </xdr:sp>
      <xdr:sp macro="" textlink="Calculos!C34">
        <xdr:nvSpPr>
          <xdr:cNvPr id="22" name="Rectángulo 21">
            <a:extLst>
              <a:ext uri="{FF2B5EF4-FFF2-40B4-BE49-F238E27FC236}">
                <a16:creationId xmlns:a16="http://schemas.microsoft.com/office/drawing/2014/main" id="{F9059023-376B-4A68-85A0-451EA2E8C090}"/>
              </a:ext>
            </a:extLst>
          </xdr:cNvPr>
          <xdr:cNvSpPr>
            <a:spLocks/>
          </xdr:cNvSpPr>
        </xdr:nvSpPr>
        <xdr:spPr>
          <a:xfrm>
            <a:off x="4473731" y="944517"/>
            <a:ext cx="3562745" cy="431885"/>
          </a:xfrm>
          <a:prstGeom prst="rect">
            <a:avLst/>
          </a:prstGeom>
          <a:solidFill>
            <a:schemeClr val="tx2">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E14F8E1-DD50-4F72-BB7D-A03A48418680}" type="TxLink">
              <a:rPr lang="en-US" sz="1600" b="1" i="0" u="none" strike="noStrike">
                <a:solidFill>
                  <a:srgbClr val="000000"/>
                </a:solidFill>
                <a:latin typeface="Arial" panose="020B0604020202020204" pitchFamily="34" charset="0"/>
                <a:cs typeface="Arial" panose="020B0604020202020204" pitchFamily="34" charset="0"/>
              </a:rPr>
              <a:pPr algn="ctr"/>
              <a:t>119</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0]!IrADetalleAbiertos" textlink="Calculos!C36">
        <xdr:nvSpPr>
          <xdr:cNvPr id="23" name="Rectángulo 22">
            <a:extLst>
              <a:ext uri="{FF2B5EF4-FFF2-40B4-BE49-F238E27FC236}">
                <a16:creationId xmlns:a16="http://schemas.microsoft.com/office/drawing/2014/main" id="{DFC2EBE7-9362-422E-A0F0-C5B7E7325A6D}"/>
              </a:ext>
            </a:extLst>
          </xdr:cNvPr>
          <xdr:cNvSpPr/>
        </xdr:nvSpPr>
        <xdr:spPr>
          <a:xfrm>
            <a:off x="7014084" y="2246790"/>
            <a:ext cx="1044042" cy="524888"/>
          </a:xfrm>
          <a:prstGeom prst="rect">
            <a:avLst/>
          </a:prstGeom>
          <a:gradFill flip="none" rotWithShape="1">
            <a:gsLst>
              <a:gs pos="0">
                <a:schemeClr val="accent3">
                  <a:lumMod val="40000"/>
                  <a:lumOff val="60000"/>
                  <a:shade val="30000"/>
                  <a:satMod val="115000"/>
                </a:schemeClr>
              </a:gs>
              <a:gs pos="50000">
                <a:schemeClr val="accent3">
                  <a:lumMod val="40000"/>
                  <a:lumOff val="60000"/>
                  <a:shade val="67500"/>
                  <a:satMod val="115000"/>
                </a:schemeClr>
              </a:gs>
              <a:gs pos="100000">
                <a:schemeClr val="accent3">
                  <a:lumMod val="40000"/>
                  <a:lumOff val="60000"/>
                  <a:shade val="100000"/>
                  <a:satMod val="115000"/>
                </a:schemeClr>
              </a:gs>
            </a:gsLst>
            <a:lin ang="189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FC789B03-28A1-4D85-B79F-9C9764EA8C82}" type="TxLink">
              <a:rPr lang="en-US" sz="1600" b="1" i="0" u="none" strike="noStrike">
                <a:solidFill>
                  <a:srgbClr val="000000"/>
                </a:solidFill>
                <a:latin typeface="Arial" panose="020B0604020202020204" pitchFamily="34" charset="0"/>
                <a:cs typeface="Arial" panose="020B0604020202020204" pitchFamily="34" charset="0"/>
              </a:rPr>
              <a:pPr algn="ctr"/>
              <a:t>31</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0]!IrADetalleVencidos" textlink="Calculos!C37">
        <xdr:nvSpPr>
          <xdr:cNvPr id="24" name="Rectángulo 23">
            <a:extLst>
              <a:ext uri="{FF2B5EF4-FFF2-40B4-BE49-F238E27FC236}">
                <a16:creationId xmlns:a16="http://schemas.microsoft.com/office/drawing/2014/main" id="{8098C395-357F-4FD4-8D25-584E23B5190C}"/>
              </a:ext>
            </a:extLst>
          </xdr:cNvPr>
          <xdr:cNvSpPr/>
        </xdr:nvSpPr>
        <xdr:spPr>
          <a:xfrm>
            <a:off x="7002534" y="3118394"/>
            <a:ext cx="1044042" cy="524888"/>
          </a:xfrm>
          <a:prstGeom prst="rect">
            <a:avLst/>
          </a:prstGeom>
          <a:gradFill flip="none" rotWithShape="1">
            <a:gsLst>
              <a:gs pos="0">
                <a:srgbClr val="FFC000">
                  <a:tint val="66000"/>
                  <a:satMod val="160000"/>
                </a:srgbClr>
              </a:gs>
              <a:gs pos="50000">
                <a:srgbClr val="FFC000">
                  <a:tint val="44500"/>
                  <a:satMod val="160000"/>
                </a:srgbClr>
              </a:gs>
              <a:gs pos="100000">
                <a:srgbClr val="FFC000">
                  <a:tint val="23500"/>
                  <a:satMod val="160000"/>
                </a:srgbClr>
              </a:gs>
            </a:gsLst>
            <a:lin ang="162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2F49BBCB-F4AF-4D54-8458-6730317DB6E1}" type="TxLink">
              <a:rPr lang="en-US" sz="1600" b="1" i="0" u="none" strike="noStrike">
                <a:solidFill>
                  <a:srgbClr val="000000"/>
                </a:solidFill>
                <a:latin typeface="Arial" panose="020B0604020202020204" pitchFamily="34" charset="0"/>
                <a:cs typeface="Arial" panose="020B0604020202020204" pitchFamily="34" charset="0"/>
              </a:rPr>
              <a:pPr algn="ctr"/>
              <a:t>26</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5" name="Rectángulo 24">
            <a:extLst>
              <a:ext uri="{FF2B5EF4-FFF2-40B4-BE49-F238E27FC236}">
                <a16:creationId xmlns:a16="http://schemas.microsoft.com/office/drawing/2014/main" id="{F0D16D34-4D56-4B17-A86B-8407B7BA4A20}"/>
              </a:ext>
            </a:extLst>
          </xdr:cNvPr>
          <xdr:cNvSpPr/>
        </xdr:nvSpPr>
        <xdr:spPr>
          <a:xfrm>
            <a:off x="6136471" y="2401773"/>
            <a:ext cx="840783" cy="21594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Abiertos</a:t>
            </a:r>
          </a:p>
        </xdr:txBody>
      </xdr:sp>
      <xdr:sp macro="[0]!IrADetalleFinalizados" textlink="Calculos!C38">
        <xdr:nvSpPr>
          <xdr:cNvPr id="26" name="Rectángulo 25">
            <a:extLst>
              <a:ext uri="{FF2B5EF4-FFF2-40B4-BE49-F238E27FC236}">
                <a16:creationId xmlns:a16="http://schemas.microsoft.com/office/drawing/2014/main" id="{A8D5C460-EEEF-403F-A963-A7FB838E8AE9}"/>
              </a:ext>
            </a:extLst>
          </xdr:cNvPr>
          <xdr:cNvSpPr/>
        </xdr:nvSpPr>
        <xdr:spPr>
          <a:xfrm>
            <a:off x="7004227" y="3940458"/>
            <a:ext cx="1044042" cy="526340"/>
          </a:xfrm>
          <a:prstGeom prst="rect">
            <a:avLst/>
          </a:prstGeom>
          <a:solidFill>
            <a:schemeClr val="accent1">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3AFECE3-3972-4F1E-9031-E42D522DA953}" type="TxLink">
              <a:rPr lang="en-US" sz="1600" b="1" i="0" u="none" strike="noStrike">
                <a:solidFill>
                  <a:srgbClr val="000000"/>
                </a:solidFill>
                <a:latin typeface="Arial" panose="020B0604020202020204" pitchFamily="34" charset="0"/>
                <a:cs typeface="Arial" panose="020B0604020202020204" pitchFamily="34" charset="0"/>
              </a:rPr>
              <a:pPr algn="ctr"/>
              <a:t>106</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7" name="Rectángulo 26">
            <a:extLst>
              <a:ext uri="{FF2B5EF4-FFF2-40B4-BE49-F238E27FC236}">
                <a16:creationId xmlns:a16="http://schemas.microsoft.com/office/drawing/2014/main" id="{3A007306-BA88-4494-A4A1-CC1160652C7D}"/>
              </a:ext>
            </a:extLst>
          </xdr:cNvPr>
          <xdr:cNvSpPr/>
        </xdr:nvSpPr>
        <xdr:spPr>
          <a:xfrm>
            <a:off x="6045713" y="4107234"/>
            <a:ext cx="1004838" cy="20832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Finalizados</a:t>
            </a:r>
          </a:p>
        </xdr:txBody>
      </xdr:sp>
      <xdr:sp macro="" textlink="">
        <xdr:nvSpPr>
          <xdr:cNvPr id="28" name="Rectángulo 27">
            <a:extLst>
              <a:ext uri="{FF2B5EF4-FFF2-40B4-BE49-F238E27FC236}">
                <a16:creationId xmlns:a16="http://schemas.microsoft.com/office/drawing/2014/main" id="{C0B825A9-C353-420F-BD02-6F3E7D41DA62}"/>
              </a:ext>
            </a:extLst>
          </xdr:cNvPr>
          <xdr:cNvSpPr/>
        </xdr:nvSpPr>
        <xdr:spPr>
          <a:xfrm>
            <a:off x="6060271" y="3295874"/>
            <a:ext cx="1008423" cy="19308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Vencidos</a:t>
            </a:r>
          </a:p>
        </xdr:txBody>
      </xdr:sp>
      <xdr:sp macro="[0]!IrADetalleSinPlandeacción" textlink="Calculos!C39">
        <xdr:nvSpPr>
          <xdr:cNvPr id="29" name="Rectángulo 28">
            <a:extLst>
              <a:ext uri="{FF2B5EF4-FFF2-40B4-BE49-F238E27FC236}">
                <a16:creationId xmlns:a16="http://schemas.microsoft.com/office/drawing/2014/main" id="{127FD0D8-6FC5-4DAE-98D8-9B770A4AC7F8}"/>
              </a:ext>
            </a:extLst>
          </xdr:cNvPr>
          <xdr:cNvSpPr/>
        </xdr:nvSpPr>
        <xdr:spPr>
          <a:xfrm>
            <a:off x="4450872" y="4862541"/>
            <a:ext cx="3611154" cy="336412"/>
          </a:xfrm>
          <a:prstGeom prst="rect">
            <a:avLst/>
          </a:prstGeom>
          <a:solidFill>
            <a:schemeClr val="accent2">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44EB924-167A-4142-B060-3FBC12DF29E4}" type="TxLink">
              <a:rPr lang="en-US" sz="1600" b="1" i="0" u="none" strike="noStrike">
                <a:solidFill>
                  <a:srgbClr val="000000"/>
                </a:solidFill>
                <a:latin typeface="Arial" panose="020B0604020202020204" pitchFamily="34" charset="0"/>
                <a:cs typeface="Arial" panose="020B0604020202020204" pitchFamily="34" charset="0"/>
              </a:rPr>
              <a:pPr algn="ctr"/>
              <a:t>1</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30" name="Rectángulo 29">
            <a:extLst>
              <a:ext uri="{FF2B5EF4-FFF2-40B4-BE49-F238E27FC236}">
                <a16:creationId xmlns:a16="http://schemas.microsoft.com/office/drawing/2014/main" id="{4AD96CEC-044B-4CAF-BFE2-336622C4D2FA}"/>
              </a:ext>
            </a:extLst>
          </xdr:cNvPr>
          <xdr:cNvSpPr/>
        </xdr:nvSpPr>
        <xdr:spPr>
          <a:xfrm>
            <a:off x="7200049" y="1931878"/>
            <a:ext cx="627977" cy="22939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Estado</a:t>
            </a:r>
          </a:p>
        </xdr:txBody>
      </xdr:sp>
      <xdr:sp macro="[0]!IrADetalleRiesgoAlto" textlink="Calculos!C40">
        <xdr:nvSpPr>
          <xdr:cNvPr id="31" name="Rectángulo 30">
            <a:extLst>
              <a:ext uri="{FF2B5EF4-FFF2-40B4-BE49-F238E27FC236}">
                <a16:creationId xmlns:a16="http://schemas.microsoft.com/office/drawing/2014/main" id="{C8036DDB-C7AF-4DE3-8288-6641C1D9D674}"/>
              </a:ext>
            </a:extLst>
          </xdr:cNvPr>
          <xdr:cNvSpPr/>
        </xdr:nvSpPr>
        <xdr:spPr>
          <a:xfrm>
            <a:off x="4511831" y="1596155"/>
            <a:ext cx="786962" cy="245511"/>
          </a:xfrm>
          <a:prstGeom prst="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14D4E1C-E6F2-4B02-A3FD-17A838B8DBA3}" type="TxLink">
              <a:rPr lang="en-US" sz="1400" b="1" i="0" u="none" strike="noStrike">
                <a:solidFill>
                  <a:srgbClr val="000000"/>
                </a:solidFill>
                <a:latin typeface="Arial" panose="020B0604020202020204" pitchFamily="34" charset="0"/>
                <a:cs typeface="Arial" panose="020B0604020202020204" pitchFamily="34" charset="0"/>
              </a:rPr>
              <a:pPr algn="ctr"/>
              <a:t>19</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0]!IrADetalleRiesgoMedio" textlink="Calculos!C41">
        <xdr:nvSpPr>
          <xdr:cNvPr id="32" name="Rectángulo 31">
            <a:extLst>
              <a:ext uri="{FF2B5EF4-FFF2-40B4-BE49-F238E27FC236}">
                <a16:creationId xmlns:a16="http://schemas.microsoft.com/office/drawing/2014/main" id="{97113E19-FCF6-48C1-B5BC-97CEBC79B188}"/>
              </a:ext>
            </a:extLst>
          </xdr:cNvPr>
          <xdr:cNvSpPr/>
        </xdr:nvSpPr>
        <xdr:spPr>
          <a:xfrm>
            <a:off x="5892406" y="1603775"/>
            <a:ext cx="786964" cy="245511"/>
          </a:xfrm>
          <a:prstGeom prst="rect">
            <a:avLst/>
          </a:prstGeom>
          <a:solidFill>
            <a:srgbClr val="FFFF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58C8BC7-364E-4A4B-A9E8-9E9392D15F7B}" type="TxLink">
              <a:rPr lang="en-US" sz="1400" b="1" i="0" u="none" strike="noStrike">
                <a:solidFill>
                  <a:srgbClr val="000000"/>
                </a:solidFill>
                <a:latin typeface="Arial" panose="020B0604020202020204" pitchFamily="34" charset="0"/>
                <a:cs typeface="Arial" panose="020B0604020202020204" pitchFamily="34" charset="0"/>
              </a:rPr>
              <a:pPr algn="ctr"/>
              <a:t>40</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0]!IrADetalleRiesgoBajo" textlink="Calculos!C42">
        <xdr:nvSpPr>
          <xdr:cNvPr id="33" name="Rectángulo 32">
            <a:extLst>
              <a:ext uri="{FF2B5EF4-FFF2-40B4-BE49-F238E27FC236}">
                <a16:creationId xmlns:a16="http://schemas.microsoft.com/office/drawing/2014/main" id="{859B1A61-DD5B-4271-BF6D-AF3E58B74740}"/>
              </a:ext>
            </a:extLst>
          </xdr:cNvPr>
          <xdr:cNvSpPr/>
        </xdr:nvSpPr>
        <xdr:spPr>
          <a:xfrm>
            <a:off x="7327774" y="1603775"/>
            <a:ext cx="692982" cy="245511"/>
          </a:xfrm>
          <a:prstGeom prst="rect">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CCCA860-2AB6-4A6C-AB1B-34C2F01FFC02}" type="TxLink">
              <a:rPr lang="en-US" sz="1400" b="1" i="0" u="none" strike="noStrike">
                <a:solidFill>
                  <a:srgbClr val="000000"/>
                </a:solidFill>
                <a:latin typeface="Arial" panose="020B0604020202020204" pitchFamily="34" charset="0"/>
                <a:cs typeface="Arial" panose="020B0604020202020204" pitchFamily="34" charset="0"/>
              </a:rPr>
              <a:pPr algn="ctr"/>
              <a:t>17</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38" name="Rectángulo 37">
            <a:extLst>
              <a:ext uri="{FF2B5EF4-FFF2-40B4-BE49-F238E27FC236}">
                <a16:creationId xmlns:a16="http://schemas.microsoft.com/office/drawing/2014/main" id="{DB8D667B-C157-4085-9B59-B3A2E537C29F}"/>
              </a:ext>
            </a:extLst>
          </xdr:cNvPr>
          <xdr:cNvSpPr/>
        </xdr:nvSpPr>
        <xdr:spPr>
          <a:xfrm>
            <a:off x="5318099" y="4611189"/>
            <a:ext cx="1971127" cy="24283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Planes de Acción sin definir</a:t>
            </a:r>
          </a:p>
        </xdr:txBody>
      </xdr:sp>
      <xdr:sp macro="" textlink="">
        <xdr:nvSpPr>
          <xdr:cNvPr id="43" name="Rectángulo 42">
            <a:extLst>
              <a:ext uri="{FF2B5EF4-FFF2-40B4-BE49-F238E27FC236}">
                <a16:creationId xmlns:a16="http://schemas.microsoft.com/office/drawing/2014/main" id="{93510B9D-BAEF-4816-BD05-5356407357CA}"/>
              </a:ext>
            </a:extLst>
          </xdr:cNvPr>
          <xdr:cNvSpPr/>
        </xdr:nvSpPr>
        <xdr:spPr>
          <a:xfrm>
            <a:off x="5523839" y="635000"/>
            <a:ext cx="1696807" cy="21235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Total Hallazgos</a:t>
            </a:r>
          </a:p>
        </xdr:txBody>
      </xdr:sp>
      <xdr:sp macro="" textlink="">
        <xdr:nvSpPr>
          <xdr:cNvPr id="9" name="Rectángulo 8">
            <a:extLst>
              <a:ext uri="{FF2B5EF4-FFF2-40B4-BE49-F238E27FC236}">
                <a16:creationId xmlns:a16="http://schemas.microsoft.com/office/drawing/2014/main" id="{FC0721B3-5958-52C9-544F-F7BA87352331}"/>
              </a:ext>
            </a:extLst>
          </xdr:cNvPr>
          <xdr:cNvSpPr/>
        </xdr:nvSpPr>
        <xdr:spPr>
          <a:xfrm>
            <a:off x="4511831" y="1368334"/>
            <a:ext cx="821508" cy="20428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 Alto</a:t>
            </a:r>
          </a:p>
        </xdr:txBody>
      </xdr:sp>
      <xdr:sp macro="" textlink="">
        <xdr:nvSpPr>
          <xdr:cNvPr id="10" name="Rectángulo 9">
            <a:extLst>
              <a:ext uri="{FF2B5EF4-FFF2-40B4-BE49-F238E27FC236}">
                <a16:creationId xmlns:a16="http://schemas.microsoft.com/office/drawing/2014/main" id="{477747F2-900F-4BE8-8760-413B5BFC11DB}"/>
              </a:ext>
            </a:extLst>
          </xdr:cNvPr>
          <xdr:cNvSpPr/>
        </xdr:nvSpPr>
        <xdr:spPr>
          <a:xfrm>
            <a:off x="5844422" y="1368334"/>
            <a:ext cx="933815" cy="18142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 Medio</a:t>
            </a:r>
          </a:p>
        </xdr:txBody>
      </xdr:sp>
      <xdr:sp macro="" textlink="">
        <xdr:nvSpPr>
          <xdr:cNvPr id="11" name="Rectángulo 10">
            <a:extLst>
              <a:ext uri="{FF2B5EF4-FFF2-40B4-BE49-F238E27FC236}">
                <a16:creationId xmlns:a16="http://schemas.microsoft.com/office/drawing/2014/main" id="{10BCDF0F-E0F1-4762-8DD8-2483D173460E}"/>
              </a:ext>
            </a:extLst>
          </xdr:cNvPr>
          <xdr:cNvSpPr/>
        </xdr:nvSpPr>
        <xdr:spPr>
          <a:xfrm>
            <a:off x="7243057" y="1360714"/>
            <a:ext cx="872308" cy="19666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a:t>
            </a:r>
            <a:r>
              <a:rPr lang="es-CO" sz="900" b="1" baseline="0">
                <a:solidFill>
                  <a:schemeClr val="tx1"/>
                </a:solidFill>
                <a:latin typeface="Arial" panose="020B0604020202020204" pitchFamily="34" charset="0"/>
                <a:cs typeface="Arial" panose="020B0604020202020204" pitchFamily="34" charset="0"/>
              </a:rPr>
              <a:t> Bajo</a:t>
            </a:r>
            <a:endParaRPr lang="es-CO" sz="900" b="1">
              <a:solidFill>
                <a:schemeClr val="tx1"/>
              </a:solidFill>
              <a:latin typeface="Arial" panose="020B0604020202020204" pitchFamily="34" charset="0"/>
              <a:cs typeface="Arial" panose="020B0604020202020204" pitchFamily="34" charset="0"/>
            </a:endParaRPr>
          </a:p>
        </xdr:txBody>
      </xdr:sp>
    </xdr:grpSp>
    <xdr:clientData/>
  </xdr:twoCellAnchor>
  <xdr:twoCellAnchor>
    <xdr:from>
      <xdr:col>1</xdr:col>
      <xdr:colOff>445412</xdr:colOff>
      <xdr:row>3</xdr:row>
      <xdr:rowOff>122177</xdr:rowOff>
    </xdr:from>
    <xdr:to>
      <xdr:col>2</xdr:col>
      <xdr:colOff>727894</xdr:colOff>
      <xdr:row>4</xdr:row>
      <xdr:rowOff>160277</xdr:rowOff>
    </xdr:to>
    <xdr:sp macro="[0]!TogglePanelFiltros" textlink="">
      <xdr:nvSpPr>
        <xdr:cNvPr id="41" name="Rectángulo 40">
          <a:extLst>
            <a:ext uri="{FF2B5EF4-FFF2-40B4-BE49-F238E27FC236}">
              <a16:creationId xmlns:a16="http://schemas.microsoft.com/office/drawing/2014/main" id="{13E16175-A80D-2AE2-6124-24AC3049779F}"/>
            </a:ext>
          </a:extLst>
        </xdr:cNvPr>
        <xdr:cNvSpPr/>
      </xdr:nvSpPr>
      <xdr:spPr>
        <a:xfrm>
          <a:off x="1236441" y="680977"/>
          <a:ext cx="1073510" cy="219529"/>
        </a:xfrm>
        <a:prstGeom prst="rect">
          <a:avLst/>
        </a:prstGeom>
        <a:solidFill>
          <a:schemeClr val="accent4">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050" b="1">
              <a:latin typeface="Arial" panose="020B0604020202020204" pitchFamily="34" charset="0"/>
              <a:cs typeface="Arial" panose="020B0604020202020204" pitchFamily="34" charset="0"/>
            </a:rPr>
            <a:t>Boton Filtros</a:t>
          </a:r>
        </a:p>
      </xdr:txBody>
    </xdr:sp>
    <xdr:clientData/>
  </xdr:twoCellAnchor>
  <xdr:twoCellAnchor>
    <xdr:from>
      <xdr:col>17</xdr:col>
      <xdr:colOff>251644</xdr:colOff>
      <xdr:row>0</xdr:row>
      <xdr:rowOff>54195</xdr:rowOff>
    </xdr:from>
    <xdr:to>
      <xdr:col>18</xdr:col>
      <xdr:colOff>7805</xdr:colOff>
      <xdr:row>2</xdr:row>
      <xdr:rowOff>138015</xdr:rowOff>
    </xdr:to>
    <xdr:grpSp>
      <xdr:nvGrpSpPr>
        <xdr:cNvPr id="53" name="Grupo 52">
          <a:extLst>
            <a:ext uri="{FF2B5EF4-FFF2-40B4-BE49-F238E27FC236}">
              <a16:creationId xmlns:a16="http://schemas.microsoft.com/office/drawing/2014/main" id="{1CBA9935-368E-0E63-9F43-F958E871F80E}"/>
            </a:ext>
          </a:extLst>
        </xdr:cNvPr>
        <xdr:cNvGrpSpPr/>
      </xdr:nvGrpSpPr>
      <xdr:grpSpPr>
        <a:xfrm>
          <a:off x="13670464" y="54195"/>
          <a:ext cx="548641" cy="464820"/>
          <a:chOff x="12451080" y="38100"/>
          <a:chExt cx="548640" cy="464820"/>
        </a:xfrm>
      </xdr:grpSpPr>
      <xdr:sp macro="[0]!Limpiar_Refrescar_Sin_Mensajes" textlink="">
        <xdr:nvSpPr>
          <xdr:cNvPr id="2" name="Rectángulo 1">
            <a:extLst>
              <a:ext uri="{FF2B5EF4-FFF2-40B4-BE49-F238E27FC236}">
                <a16:creationId xmlns:a16="http://schemas.microsoft.com/office/drawing/2014/main" id="{7CC26C47-E065-9089-78DF-14F818368DCC}"/>
              </a:ext>
            </a:extLst>
          </xdr:cNvPr>
          <xdr:cNvSpPr/>
        </xdr:nvSpPr>
        <xdr:spPr>
          <a:xfrm>
            <a:off x="12451080" y="46255"/>
            <a:ext cx="548640" cy="44851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pic macro="[0]!Limpiar_Refrescar_Sin_Mensajes">
        <xdr:nvPicPr>
          <xdr:cNvPr id="4" name="Gráfico 3" descr="Actualizar con relleno sólido">
            <a:extLst>
              <a:ext uri="{FF2B5EF4-FFF2-40B4-BE49-F238E27FC236}">
                <a16:creationId xmlns:a16="http://schemas.microsoft.com/office/drawing/2014/main" id="{DD9CCA69-AA7D-2529-0FFF-2ED653D1D42B}"/>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2536859" y="38100"/>
            <a:ext cx="446750" cy="464820"/>
          </a:xfrm>
          <a:prstGeom prst="rect">
            <a:avLst/>
          </a:prstGeom>
        </xdr:spPr>
      </xdr:pic>
    </xdr:grpSp>
    <xdr:clientData fLocksWithSheet="0"/>
  </xdr:twoCellAnchor>
  <xdr:twoCellAnchor>
    <xdr:from>
      <xdr:col>10</xdr:col>
      <xdr:colOff>285523</xdr:colOff>
      <xdr:row>3</xdr:row>
      <xdr:rowOff>142603</xdr:rowOff>
    </xdr:from>
    <xdr:to>
      <xdr:col>17</xdr:col>
      <xdr:colOff>97977</xdr:colOff>
      <xdr:row>28</xdr:row>
      <xdr:rowOff>72937</xdr:rowOff>
    </xdr:to>
    <xdr:grpSp>
      <xdr:nvGrpSpPr>
        <xdr:cNvPr id="60" name="Grupo 59">
          <a:extLst>
            <a:ext uri="{FF2B5EF4-FFF2-40B4-BE49-F238E27FC236}">
              <a16:creationId xmlns:a16="http://schemas.microsoft.com/office/drawing/2014/main" id="{B28214F3-5124-F0F3-A84D-6D3C6BF99399}"/>
            </a:ext>
          </a:extLst>
        </xdr:cNvPr>
        <xdr:cNvGrpSpPr/>
      </xdr:nvGrpSpPr>
      <xdr:grpSpPr>
        <a:xfrm>
          <a:off x="8461783" y="706483"/>
          <a:ext cx="5055014" cy="4502334"/>
          <a:chOff x="8152266" y="657860"/>
          <a:chExt cx="5044854" cy="4466048"/>
        </a:xfrm>
      </xdr:grpSpPr>
      <xdr:grpSp>
        <xdr:nvGrpSpPr>
          <xdr:cNvPr id="8" name="Grupo 7">
            <a:extLst>
              <a:ext uri="{FF2B5EF4-FFF2-40B4-BE49-F238E27FC236}">
                <a16:creationId xmlns:a16="http://schemas.microsoft.com/office/drawing/2014/main" id="{906863B4-3A81-9F62-E555-E162C42E41A3}"/>
              </a:ext>
            </a:extLst>
          </xdr:cNvPr>
          <xdr:cNvGrpSpPr/>
        </xdr:nvGrpSpPr>
        <xdr:grpSpPr>
          <a:xfrm>
            <a:off x="8152266" y="657860"/>
            <a:ext cx="5044854" cy="4466048"/>
            <a:chOff x="8152266" y="657860"/>
            <a:chExt cx="5044854" cy="4466048"/>
          </a:xfrm>
        </xdr:grpSpPr>
        <xdr:grpSp>
          <xdr:nvGrpSpPr>
            <xdr:cNvPr id="6" name="Grupo 5">
              <a:extLst>
                <a:ext uri="{FF2B5EF4-FFF2-40B4-BE49-F238E27FC236}">
                  <a16:creationId xmlns:a16="http://schemas.microsoft.com/office/drawing/2014/main" id="{DB63A386-3C28-C5AD-8D8B-B8E83FA26A11}"/>
                </a:ext>
              </a:extLst>
            </xdr:cNvPr>
            <xdr:cNvGrpSpPr/>
          </xdr:nvGrpSpPr>
          <xdr:grpSpPr>
            <a:xfrm>
              <a:off x="8152266" y="657860"/>
              <a:ext cx="2545320" cy="2053014"/>
              <a:chOff x="8152266" y="657860"/>
              <a:chExt cx="2545320" cy="2053014"/>
            </a:xfrm>
          </xdr:grpSpPr>
          <xdr:sp macro="" textlink="">
            <xdr:nvSpPr>
              <xdr:cNvPr id="45" name="Rectángulo 44">
                <a:extLst>
                  <a:ext uri="{FF2B5EF4-FFF2-40B4-BE49-F238E27FC236}">
                    <a16:creationId xmlns:a16="http://schemas.microsoft.com/office/drawing/2014/main" id="{9C5507B9-1C38-49B8-9521-266C7ACC553A}"/>
                  </a:ext>
                </a:extLst>
              </xdr:cNvPr>
              <xdr:cNvSpPr/>
            </xdr:nvSpPr>
            <xdr:spPr>
              <a:xfrm>
                <a:off x="8152266" y="657860"/>
                <a:ext cx="2545320" cy="28665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Acciones próximas a vencer</a:t>
                </a:r>
              </a:p>
            </xdr:txBody>
          </xdr:sp>
          <xdr:sp macro="[0]!IrADetalleAlerta10" textlink="Calculos!C44">
            <xdr:nvSpPr>
              <xdr:cNvPr id="47" name="Rectángulo 46">
                <a:extLst>
                  <a:ext uri="{FF2B5EF4-FFF2-40B4-BE49-F238E27FC236}">
                    <a16:creationId xmlns:a16="http://schemas.microsoft.com/office/drawing/2014/main" id="{0CA18DBA-D6DC-4F36-9DE0-6C8D13D6BB4A}"/>
                  </a:ext>
                </a:extLst>
              </xdr:cNvPr>
              <xdr:cNvSpPr/>
            </xdr:nvSpPr>
            <xdr:spPr>
              <a:xfrm>
                <a:off x="9511768" y="1481183"/>
                <a:ext cx="610549" cy="322548"/>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49FE702-A1CB-4367-9603-C004096B723F}"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49" name="CuadroTexto 48">
                <a:extLst>
                  <a:ext uri="{FF2B5EF4-FFF2-40B4-BE49-F238E27FC236}">
                    <a16:creationId xmlns:a16="http://schemas.microsoft.com/office/drawing/2014/main" id="{EA2C8B53-BBE7-1268-595A-B2C955359278}"/>
                  </a:ext>
                </a:extLst>
              </xdr:cNvPr>
              <xdr:cNvSpPr txBox="1"/>
            </xdr:nvSpPr>
            <xdr:spPr>
              <a:xfrm>
                <a:off x="8415940" y="1519283"/>
                <a:ext cx="638628" cy="2728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10 días </a:t>
                </a:r>
              </a:p>
            </xdr:txBody>
          </xdr:sp>
          <xdr:sp macro="" textlink="">
            <xdr:nvSpPr>
              <xdr:cNvPr id="50" name="Elipse 49">
                <a:extLst>
                  <a:ext uri="{FF2B5EF4-FFF2-40B4-BE49-F238E27FC236}">
                    <a16:creationId xmlns:a16="http://schemas.microsoft.com/office/drawing/2014/main" id="{AA20592E-E672-6CA5-38CE-8260C5BC322C}"/>
                  </a:ext>
                </a:extLst>
              </xdr:cNvPr>
              <xdr:cNvSpPr/>
            </xdr:nvSpPr>
            <xdr:spPr>
              <a:xfrm>
                <a:off x="9123148" y="1534523"/>
                <a:ext cx="205740" cy="196668"/>
              </a:xfrm>
              <a:prstGeom prst="ellipse">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0]!IrADetalleAlerta20" textlink="Calculos!C45">
            <xdr:nvSpPr>
              <xdr:cNvPr id="55" name="Rectángulo 54">
                <a:extLst>
                  <a:ext uri="{FF2B5EF4-FFF2-40B4-BE49-F238E27FC236}">
                    <a16:creationId xmlns:a16="http://schemas.microsoft.com/office/drawing/2014/main" id="{FD37847F-5D87-43BC-B865-F702763EFD28}"/>
                  </a:ext>
                </a:extLst>
              </xdr:cNvPr>
              <xdr:cNvSpPr/>
            </xdr:nvSpPr>
            <xdr:spPr>
              <a:xfrm>
                <a:off x="9509863" y="1939290"/>
                <a:ext cx="610549" cy="321097"/>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6FA0704-3D5A-4C8C-90C2-4C016983C5A0}"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4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56" name="CuadroTexto 55">
                <a:extLst>
                  <a:ext uri="{FF2B5EF4-FFF2-40B4-BE49-F238E27FC236}">
                    <a16:creationId xmlns:a16="http://schemas.microsoft.com/office/drawing/2014/main" id="{4DB6CF3A-58BF-4BB7-827B-93B20B0DF4D8}"/>
                  </a:ext>
                </a:extLst>
              </xdr:cNvPr>
              <xdr:cNvSpPr txBox="1"/>
            </xdr:nvSpPr>
            <xdr:spPr>
              <a:xfrm>
                <a:off x="8423560" y="2434046"/>
                <a:ext cx="669108" cy="2728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30 días </a:t>
                </a:r>
              </a:p>
            </xdr:txBody>
          </xdr:sp>
          <xdr:sp macro="" textlink="">
            <xdr:nvSpPr>
              <xdr:cNvPr id="57" name="Elipse 56">
                <a:extLst>
                  <a:ext uri="{FF2B5EF4-FFF2-40B4-BE49-F238E27FC236}">
                    <a16:creationId xmlns:a16="http://schemas.microsoft.com/office/drawing/2014/main" id="{ED9E2731-AFBE-4469-B040-A5E1C2FE9982}"/>
                  </a:ext>
                </a:extLst>
              </xdr:cNvPr>
              <xdr:cNvSpPr/>
            </xdr:nvSpPr>
            <xdr:spPr>
              <a:xfrm>
                <a:off x="9130768" y="2456906"/>
                <a:ext cx="205740" cy="196668"/>
              </a:xfrm>
              <a:prstGeom prst="ellipse">
                <a:avLst/>
              </a:prstGeom>
              <a:solidFill>
                <a:schemeClr val="tx2">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 textlink="">
            <xdr:nvSpPr>
              <xdr:cNvPr id="58" name="CuadroTexto 57">
                <a:extLst>
                  <a:ext uri="{FF2B5EF4-FFF2-40B4-BE49-F238E27FC236}">
                    <a16:creationId xmlns:a16="http://schemas.microsoft.com/office/drawing/2014/main" id="{40625B3A-7898-44EF-80AD-F306A381EAF8}"/>
                  </a:ext>
                </a:extLst>
              </xdr:cNvPr>
              <xdr:cNvSpPr txBox="1"/>
            </xdr:nvSpPr>
            <xdr:spPr>
              <a:xfrm>
                <a:off x="8415940" y="1996440"/>
                <a:ext cx="730068" cy="271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20 días </a:t>
                </a:r>
              </a:p>
            </xdr:txBody>
          </xdr:sp>
          <xdr:sp macro="" textlink="">
            <xdr:nvSpPr>
              <xdr:cNvPr id="59" name="Elipse 58">
                <a:extLst>
                  <a:ext uri="{FF2B5EF4-FFF2-40B4-BE49-F238E27FC236}">
                    <a16:creationId xmlns:a16="http://schemas.microsoft.com/office/drawing/2014/main" id="{F29AF731-4C98-4381-88B8-9B6287089827}"/>
                  </a:ext>
                </a:extLst>
              </xdr:cNvPr>
              <xdr:cNvSpPr/>
            </xdr:nvSpPr>
            <xdr:spPr>
              <a:xfrm>
                <a:off x="9123148" y="2010229"/>
                <a:ext cx="205740" cy="196668"/>
              </a:xfrm>
              <a:prstGeom prst="ellipse">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0]!IrADetalleAlerta30" textlink="Calculos!C46">
            <xdr:nvSpPr>
              <xdr:cNvPr id="61" name="Rectángulo 60">
                <a:extLst>
                  <a:ext uri="{FF2B5EF4-FFF2-40B4-BE49-F238E27FC236}">
                    <a16:creationId xmlns:a16="http://schemas.microsoft.com/office/drawing/2014/main" id="{2054C6E8-B00C-4340-AE06-6E8EE2153EC9}"/>
                  </a:ext>
                </a:extLst>
              </xdr:cNvPr>
              <xdr:cNvSpPr/>
            </xdr:nvSpPr>
            <xdr:spPr>
              <a:xfrm>
                <a:off x="9507958" y="2388326"/>
                <a:ext cx="610549" cy="322548"/>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E1F0A4F-DAC4-4886-83B6-82712AD4435F}"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400" b="1" i="0" u="none" strike="noStrike">
                  <a:solidFill>
                    <a:srgbClr val="000000"/>
                  </a:solidFill>
                  <a:latin typeface="Arial" panose="020B0604020202020204" pitchFamily="34" charset="0"/>
                  <a:cs typeface="Arial" panose="020B0604020202020204" pitchFamily="34" charset="0"/>
                </a:endParaRPr>
              </a:p>
            </xdr:txBody>
          </xdr:sp>
          <xdr:sp macro="[0]!IrADetalleAlerta5" textlink="Calculos!C43">
            <xdr:nvSpPr>
              <xdr:cNvPr id="18" name="Rectángulo 17">
                <a:extLst>
                  <a:ext uri="{FF2B5EF4-FFF2-40B4-BE49-F238E27FC236}">
                    <a16:creationId xmlns:a16="http://schemas.microsoft.com/office/drawing/2014/main" id="{E8E8C69E-09CC-4046-A5CD-241B7FF66484}"/>
                  </a:ext>
                </a:extLst>
              </xdr:cNvPr>
              <xdr:cNvSpPr/>
            </xdr:nvSpPr>
            <xdr:spPr>
              <a:xfrm>
                <a:off x="9504148" y="1013097"/>
                <a:ext cx="610549" cy="321097"/>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2B52295-4E0A-480A-87B8-104E19FA0E6E}"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19" name="CuadroTexto 18">
                <a:extLst>
                  <a:ext uri="{FF2B5EF4-FFF2-40B4-BE49-F238E27FC236}">
                    <a16:creationId xmlns:a16="http://schemas.microsoft.com/office/drawing/2014/main" id="{829F2844-8752-4BF1-9D56-4975E1BCFC5D}"/>
                  </a:ext>
                </a:extLst>
              </xdr:cNvPr>
              <xdr:cNvSpPr txBox="1"/>
            </xdr:nvSpPr>
            <xdr:spPr>
              <a:xfrm>
                <a:off x="8461660" y="1051197"/>
                <a:ext cx="638628" cy="271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5 días </a:t>
                </a:r>
              </a:p>
            </xdr:txBody>
          </xdr:sp>
          <xdr:sp macro="" textlink="">
            <xdr:nvSpPr>
              <xdr:cNvPr id="34" name="Elipse 33">
                <a:extLst>
                  <a:ext uri="{FF2B5EF4-FFF2-40B4-BE49-F238E27FC236}">
                    <a16:creationId xmlns:a16="http://schemas.microsoft.com/office/drawing/2014/main" id="{4821321E-EA61-457A-AF03-1443EC41F621}"/>
                  </a:ext>
                </a:extLst>
              </xdr:cNvPr>
              <xdr:cNvSpPr/>
            </xdr:nvSpPr>
            <xdr:spPr>
              <a:xfrm>
                <a:off x="9115528" y="1096917"/>
                <a:ext cx="205740" cy="195217"/>
              </a:xfrm>
              <a:prstGeom prst="ellipse">
                <a:avLst/>
              </a:prstGeom>
              <a:solidFill>
                <a:srgbClr val="FF0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grpSp>
          <xdr:nvGrpSpPr>
            <xdr:cNvPr id="46" name="Grupo 45">
              <a:extLst>
                <a:ext uri="{FF2B5EF4-FFF2-40B4-BE49-F238E27FC236}">
                  <a16:creationId xmlns:a16="http://schemas.microsoft.com/office/drawing/2014/main" id="{40FBF46C-9792-AF70-7329-1A7E58DCEAFB}"/>
                </a:ext>
              </a:extLst>
            </xdr:cNvPr>
            <xdr:cNvGrpSpPr/>
          </xdr:nvGrpSpPr>
          <xdr:grpSpPr>
            <a:xfrm>
              <a:off x="8563097" y="2834614"/>
              <a:ext cx="3969656" cy="2289294"/>
              <a:chOff x="8731609" y="2762176"/>
              <a:chExt cx="3964329" cy="2293622"/>
            </a:xfrm>
          </xdr:grpSpPr>
          <xdr:sp macro="" textlink="">
            <xdr:nvSpPr>
              <xdr:cNvPr id="12" name="Rectángulo 11">
                <a:extLst>
                  <a:ext uri="{FF2B5EF4-FFF2-40B4-BE49-F238E27FC236}">
                    <a16:creationId xmlns:a16="http://schemas.microsoft.com/office/drawing/2014/main" id="{D5E8BBE4-6415-4BE5-8C85-0B2A16A0E775}"/>
                  </a:ext>
                </a:extLst>
              </xdr:cNvPr>
              <xdr:cNvSpPr/>
            </xdr:nvSpPr>
            <xdr:spPr>
              <a:xfrm>
                <a:off x="9002686" y="4858798"/>
                <a:ext cx="661489" cy="1970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Abiertos</a:t>
                </a:r>
              </a:p>
            </xdr:txBody>
          </xdr:sp>
          <xdr:sp macro="" textlink="">
            <xdr:nvSpPr>
              <xdr:cNvPr id="13" name="Rectángulo 12">
                <a:extLst>
                  <a:ext uri="{FF2B5EF4-FFF2-40B4-BE49-F238E27FC236}">
                    <a16:creationId xmlns:a16="http://schemas.microsoft.com/office/drawing/2014/main" id="{B4D97CE3-1FBE-430E-8771-45F678CFC4A0}"/>
                  </a:ext>
                </a:extLst>
              </xdr:cNvPr>
              <xdr:cNvSpPr/>
            </xdr:nvSpPr>
            <xdr:spPr>
              <a:xfrm>
                <a:off x="10735011" y="4821787"/>
                <a:ext cx="805205" cy="2122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Finalizados</a:t>
                </a:r>
              </a:p>
            </xdr:txBody>
          </xdr:sp>
          <xdr:sp macro="" textlink="">
            <xdr:nvSpPr>
              <xdr:cNvPr id="14" name="Rectángulo 13">
                <a:extLst>
                  <a:ext uri="{FF2B5EF4-FFF2-40B4-BE49-F238E27FC236}">
                    <a16:creationId xmlns:a16="http://schemas.microsoft.com/office/drawing/2014/main" id="{AF667BC2-4557-4676-8810-DD46B5E25628}"/>
                  </a:ext>
                </a:extLst>
              </xdr:cNvPr>
              <xdr:cNvSpPr/>
            </xdr:nvSpPr>
            <xdr:spPr>
              <a:xfrm>
                <a:off x="9840547" y="4859524"/>
                <a:ext cx="767102" cy="1512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Vencidos</a:t>
                </a:r>
              </a:p>
            </xdr:txBody>
          </xdr:sp>
          <xdr:sp macro="" textlink="">
            <xdr:nvSpPr>
              <xdr:cNvPr id="15" name="Rectángulo 14">
                <a:extLst>
                  <a:ext uri="{FF2B5EF4-FFF2-40B4-BE49-F238E27FC236}">
                    <a16:creationId xmlns:a16="http://schemas.microsoft.com/office/drawing/2014/main" id="{D6A53F57-02C6-463F-ADD9-AB27EF2411D1}"/>
                  </a:ext>
                </a:extLst>
              </xdr:cNvPr>
              <xdr:cNvSpPr/>
            </xdr:nvSpPr>
            <xdr:spPr>
              <a:xfrm>
                <a:off x="11691891" y="4821786"/>
                <a:ext cx="767102" cy="20462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Sin definir</a:t>
                </a:r>
              </a:p>
            </xdr:txBody>
          </xdr:sp>
          <xdr:graphicFrame macro="">
            <xdr:nvGraphicFramePr>
              <xdr:cNvPr id="76" name="GraficaEstado">
                <a:extLst>
                  <a:ext uri="{FF2B5EF4-FFF2-40B4-BE49-F238E27FC236}">
                    <a16:creationId xmlns:a16="http://schemas.microsoft.com/office/drawing/2014/main" id="{ADC5378E-6EB1-4C02-831C-E22C2BF61D2D}"/>
                  </a:ext>
                </a:extLst>
              </xdr:cNvPr>
              <xdr:cNvGraphicFramePr>
                <a:graphicFrameLocks/>
              </xdr:cNvGraphicFramePr>
            </xdr:nvGraphicFramePr>
            <xdr:xfrm>
              <a:off x="8731609" y="2762176"/>
              <a:ext cx="3964329" cy="2137261"/>
            </xdr:xfrm>
            <a:graphic>
              <a:graphicData uri="http://schemas.openxmlformats.org/drawingml/2006/chart">
                <c:chart xmlns:c="http://schemas.openxmlformats.org/drawingml/2006/chart" xmlns:r="http://schemas.openxmlformats.org/officeDocument/2006/relationships" r:id="rId4"/>
              </a:graphicData>
            </a:graphic>
          </xdr:graphicFrame>
        </xdr:grpSp>
        <xdr:grpSp>
          <xdr:nvGrpSpPr>
            <xdr:cNvPr id="84" name="Grupo 83">
              <a:extLst>
                <a:ext uri="{FF2B5EF4-FFF2-40B4-BE49-F238E27FC236}">
                  <a16:creationId xmlns:a16="http://schemas.microsoft.com/office/drawing/2014/main" id="{393B580B-6125-6F3A-8623-3ED6947A8FB6}"/>
                </a:ext>
              </a:extLst>
            </xdr:cNvPr>
            <xdr:cNvGrpSpPr/>
          </xdr:nvGrpSpPr>
          <xdr:grpSpPr>
            <a:xfrm>
              <a:off x="10724975" y="664488"/>
              <a:ext cx="2472145" cy="2332446"/>
              <a:chOff x="10934700" y="657497"/>
              <a:chExt cx="2540725" cy="2332446"/>
            </a:xfrm>
          </xdr:grpSpPr>
          <xdr:sp macro="" textlink="">
            <xdr:nvSpPr>
              <xdr:cNvPr id="7" name="Rectángulo 6">
                <a:extLst>
                  <a:ext uri="{FF2B5EF4-FFF2-40B4-BE49-F238E27FC236}">
                    <a16:creationId xmlns:a16="http://schemas.microsoft.com/office/drawing/2014/main" id="{3E1762C9-7A90-4E28-B9C5-D0223C94046B}"/>
                  </a:ext>
                </a:extLst>
              </xdr:cNvPr>
              <xdr:cNvSpPr/>
            </xdr:nvSpPr>
            <xdr:spPr>
              <a:xfrm>
                <a:off x="10934700" y="657497"/>
                <a:ext cx="2540725" cy="28665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effectLst/>
                    <a:latin typeface="Arial" panose="020B0604020202020204" pitchFamily="34" charset="0"/>
                    <a:ea typeface="+mn-ea"/>
                    <a:cs typeface="Arial" panose="020B0604020202020204" pitchFamily="34" charset="0"/>
                  </a:rPr>
                  <a:t>Porcentaje de Implementación</a:t>
                </a:r>
                <a:endParaRPr lang="es-CO" sz="1200" b="1">
                  <a:solidFill>
                    <a:schemeClr val="tx1"/>
                  </a:solidFill>
                  <a:latin typeface="Arial" panose="020B0604020202020204" pitchFamily="34" charset="0"/>
                  <a:cs typeface="Arial" panose="020B0604020202020204" pitchFamily="34" charset="0"/>
                </a:endParaRPr>
              </a:p>
            </xdr:txBody>
          </xdr:sp>
          <xdr:grpSp>
            <xdr:nvGrpSpPr>
              <xdr:cNvPr id="77" name="Grupo 76">
                <a:extLst>
                  <a:ext uri="{FF2B5EF4-FFF2-40B4-BE49-F238E27FC236}">
                    <a16:creationId xmlns:a16="http://schemas.microsoft.com/office/drawing/2014/main" id="{32B4A2B5-67E6-466D-AC8C-1D060F65BEB6}"/>
                  </a:ext>
                </a:extLst>
              </xdr:cNvPr>
              <xdr:cNvGrpSpPr/>
            </xdr:nvGrpSpPr>
            <xdr:grpSpPr>
              <a:xfrm>
                <a:off x="11270343" y="718457"/>
                <a:ext cx="1959428" cy="2271486"/>
                <a:chOff x="11643360" y="762000"/>
                <a:chExt cx="1889760" cy="2133600"/>
              </a:xfrm>
            </xdr:grpSpPr>
            <xdr:graphicFrame macro="">
              <xdr:nvGraphicFramePr>
                <xdr:cNvPr id="78" name="Gráfico 77">
                  <a:extLst>
                    <a:ext uri="{FF2B5EF4-FFF2-40B4-BE49-F238E27FC236}">
                      <a16:creationId xmlns:a16="http://schemas.microsoft.com/office/drawing/2014/main" id="{EB8AE7A5-078A-1B1C-F4DB-AADA382826D4}"/>
                    </a:ext>
                  </a:extLst>
                </xdr:cNvPr>
                <xdr:cNvGraphicFramePr>
                  <a:graphicFrameLocks/>
                </xdr:cNvGraphicFramePr>
              </xdr:nvGraphicFramePr>
              <xdr:xfrm>
                <a:off x="11643360" y="762000"/>
                <a:ext cx="1889760" cy="2133600"/>
              </xdr:xfrm>
              <a:graphic>
                <a:graphicData uri="http://schemas.openxmlformats.org/drawingml/2006/chart">
                  <c:chart xmlns:c="http://schemas.openxmlformats.org/drawingml/2006/chart" xmlns:r="http://schemas.openxmlformats.org/officeDocument/2006/relationships" r:id="rId5"/>
                </a:graphicData>
              </a:graphic>
            </xdr:graphicFrame>
            <xdr:sp macro="" textlink="Calculos!F137">
              <xdr:nvSpPr>
                <xdr:cNvPr id="79" name="CuadroTexto 78">
                  <a:extLst>
                    <a:ext uri="{FF2B5EF4-FFF2-40B4-BE49-F238E27FC236}">
                      <a16:creationId xmlns:a16="http://schemas.microsoft.com/office/drawing/2014/main" id="{F411C33A-20A2-D083-0697-6365265E175E}"/>
                    </a:ext>
                  </a:extLst>
                </xdr:cNvPr>
                <xdr:cNvSpPr txBox="1"/>
              </xdr:nvSpPr>
              <xdr:spPr>
                <a:xfrm>
                  <a:off x="12298680" y="1645920"/>
                  <a:ext cx="594360" cy="396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68E3044-3623-42B8-AE5A-49254B4A19E2}" type="TxLink">
                    <a:rPr lang="en-US" sz="1600" b="1" i="0" u="none" strike="noStrike">
                      <a:solidFill>
                        <a:srgbClr val="000000"/>
                      </a:solidFill>
                      <a:latin typeface="Arial" panose="020B0604020202020204" pitchFamily="34" charset="0"/>
                      <a:cs typeface="Arial" panose="020B0604020202020204" pitchFamily="34" charset="0"/>
                    </a:rPr>
                    <a:pPr/>
                    <a:t> </a:t>
                  </a:fld>
                  <a:endParaRPr lang="es-CO" sz="1600" b="1">
                    <a:latin typeface="Arial" panose="020B0604020202020204" pitchFamily="34" charset="0"/>
                    <a:cs typeface="Arial" panose="020B0604020202020204" pitchFamily="34" charset="0"/>
                  </a:endParaRPr>
                </a:p>
              </xdr:txBody>
            </xdr:sp>
          </xdr:grpSp>
          <xdr:sp macro="" textlink="Calculos!A109">
            <xdr:nvSpPr>
              <xdr:cNvPr id="80" name="CuadroTexto 79">
                <a:extLst>
                  <a:ext uri="{FF2B5EF4-FFF2-40B4-BE49-F238E27FC236}">
                    <a16:creationId xmlns:a16="http://schemas.microsoft.com/office/drawing/2014/main" id="{5AF34013-00C6-B161-B7BA-29F06B60F198}"/>
                  </a:ext>
                </a:extLst>
              </xdr:cNvPr>
              <xdr:cNvSpPr txBox="1"/>
            </xdr:nvSpPr>
            <xdr:spPr>
              <a:xfrm>
                <a:off x="11923486" y="1632857"/>
                <a:ext cx="732971" cy="4209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592FB72-0F95-42D9-A3CA-4F44902A68BA}" type="TxLink">
                  <a:rPr lang="en-US" sz="2000" b="1" i="0" u="none" strike="noStrike">
                    <a:solidFill>
                      <a:srgbClr val="000000"/>
                    </a:solidFill>
                    <a:latin typeface="Arial" panose="020B0604020202020204" pitchFamily="34" charset="0"/>
                    <a:cs typeface="Arial" panose="020B0604020202020204" pitchFamily="34" charset="0"/>
                  </a:rPr>
                  <a:pPr/>
                  <a:t>65%</a:t>
                </a:fld>
                <a:endParaRPr lang="es-CO" sz="2000" b="1">
                  <a:latin typeface="Arial" panose="020B0604020202020204" pitchFamily="34" charset="0"/>
                  <a:cs typeface="Arial" panose="020B0604020202020204" pitchFamily="34" charset="0"/>
                </a:endParaRPr>
              </a:p>
            </xdr:txBody>
          </xdr:sp>
        </xdr:grpSp>
      </xdr:grpSp>
      <xdr:sp macro="" textlink="">
        <xdr:nvSpPr>
          <xdr:cNvPr id="51" name="Rectángulo 50">
            <a:extLst>
              <a:ext uri="{FF2B5EF4-FFF2-40B4-BE49-F238E27FC236}">
                <a16:creationId xmlns:a16="http://schemas.microsoft.com/office/drawing/2014/main" id="{A04BF1D5-52A3-424C-8D1B-68FB37DA01A6}"/>
              </a:ext>
            </a:extLst>
          </xdr:cNvPr>
          <xdr:cNvSpPr/>
        </xdr:nvSpPr>
        <xdr:spPr>
          <a:xfrm>
            <a:off x="8396513" y="2982687"/>
            <a:ext cx="2017487" cy="2032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Estado - Planes</a:t>
            </a:r>
            <a:r>
              <a:rPr lang="es-CO" sz="1100" b="1" baseline="0">
                <a:solidFill>
                  <a:schemeClr val="tx1"/>
                </a:solidFill>
                <a:latin typeface="Arial" panose="020B0604020202020204" pitchFamily="34" charset="0"/>
                <a:cs typeface="Arial" panose="020B0604020202020204" pitchFamily="34" charset="0"/>
              </a:rPr>
              <a:t> de Acción</a:t>
            </a:r>
            <a:endParaRPr lang="es-CO" sz="1100" b="1">
              <a:solidFill>
                <a:schemeClr val="tx1"/>
              </a:solidFill>
              <a:latin typeface="Arial" panose="020B0604020202020204" pitchFamily="34" charset="0"/>
              <a:cs typeface="Arial" panose="020B0604020202020204" pitchFamily="34" charset="0"/>
            </a:endParaRPr>
          </a:p>
        </xdr:txBody>
      </xdr:sp>
    </xdr:grpSp>
    <xdr:clientData/>
  </xdr:twoCellAnchor>
  <xdr:twoCellAnchor>
    <xdr:from>
      <xdr:col>3</xdr:col>
      <xdr:colOff>224971</xdr:colOff>
      <xdr:row>5</xdr:row>
      <xdr:rowOff>14514</xdr:rowOff>
    </xdr:from>
    <xdr:to>
      <xdr:col>5</xdr:col>
      <xdr:colOff>370115</xdr:colOff>
      <xdr:row>7</xdr:row>
      <xdr:rowOff>101601</xdr:rowOff>
    </xdr:to>
    <xdr:sp macro="" textlink="">
      <xdr:nvSpPr>
        <xdr:cNvPr id="83" name="CuadroTexto 82">
          <a:extLst>
            <a:ext uri="{FF2B5EF4-FFF2-40B4-BE49-F238E27FC236}">
              <a16:creationId xmlns:a16="http://schemas.microsoft.com/office/drawing/2014/main" id="{F8BB5500-28EC-6054-883F-3D677A933401}"/>
            </a:ext>
          </a:extLst>
        </xdr:cNvPr>
        <xdr:cNvSpPr txBox="1"/>
      </xdr:nvSpPr>
      <xdr:spPr>
        <a:xfrm>
          <a:off x="2598057" y="936171"/>
          <a:ext cx="1727201" cy="4499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1100" b="1">
              <a:latin typeface="Arial" panose="020B0604020202020204" pitchFamily="34" charset="0"/>
              <a:cs typeface="Arial" panose="020B0604020202020204" pitchFamily="34" charset="0"/>
            </a:rPr>
            <a:t>Acciones Finalizadas</a:t>
          </a:r>
        </a:p>
        <a:p>
          <a:pPr algn="ctr"/>
          <a:r>
            <a:rPr lang="es-CO" sz="1100" b="1">
              <a:latin typeface="Arial" panose="020B0604020202020204" pitchFamily="34" charset="0"/>
              <a:cs typeface="Arial" panose="020B0604020202020204" pitchFamily="34" charset="0"/>
            </a:rPr>
            <a:t>Vigencia 2026</a:t>
          </a:r>
        </a:p>
      </xdr:txBody>
    </xdr:sp>
    <xdr:clientData/>
  </xdr:twoCellAnchor>
  <xdr:twoCellAnchor>
    <xdr:from>
      <xdr:col>3</xdr:col>
      <xdr:colOff>276496</xdr:colOff>
      <xdr:row>9</xdr:row>
      <xdr:rowOff>11613</xdr:rowOff>
    </xdr:from>
    <xdr:to>
      <xdr:col>4</xdr:col>
      <xdr:colOff>22860</xdr:colOff>
      <xdr:row>9</xdr:row>
      <xdr:rowOff>129541</xdr:rowOff>
    </xdr:to>
    <xdr:sp macro="" textlink="">
      <xdr:nvSpPr>
        <xdr:cNvPr id="86" name="CuadroTexto 85">
          <a:extLst>
            <a:ext uri="{FF2B5EF4-FFF2-40B4-BE49-F238E27FC236}">
              <a16:creationId xmlns:a16="http://schemas.microsoft.com/office/drawing/2014/main" id="{CC58882A-E68F-46BE-AD8B-23B6BF22EA8F}"/>
            </a:ext>
          </a:extLst>
        </xdr:cNvPr>
        <xdr:cNvSpPr txBox="1"/>
      </xdr:nvSpPr>
      <xdr:spPr>
        <a:xfrm>
          <a:off x="2653936" y="1672773"/>
          <a:ext cx="538844" cy="1179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ENE</a:t>
          </a:r>
        </a:p>
      </xdr:txBody>
    </xdr:sp>
    <xdr:clientData/>
  </xdr:twoCellAnchor>
  <xdr:twoCellAnchor>
    <xdr:from>
      <xdr:col>3</xdr:col>
      <xdr:colOff>305162</xdr:colOff>
      <xdr:row>10</xdr:row>
      <xdr:rowOff>26853</xdr:rowOff>
    </xdr:from>
    <xdr:to>
      <xdr:col>4</xdr:col>
      <xdr:colOff>7620</xdr:colOff>
      <xdr:row>10</xdr:row>
      <xdr:rowOff>137161</xdr:rowOff>
    </xdr:to>
    <xdr:sp macro="" textlink="">
      <xdr:nvSpPr>
        <xdr:cNvPr id="92" name="CuadroTexto 91">
          <a:extLst>
            <a:ext uri="{FF2B5EF4-FFF2-40B4-BE49-F238E27FC236}">
              <a16:creationId xmlns:a16="http://schemas.microsoft.com/office/drawing/2014/main" id="{4CA52A17-5699-47E2-96C9-14C603D4F905}"/>
            </a:ext>
          </a:extLst>
        </xdr:cNvPr>
        <xdr:cNvSpPr txBox="1"/>
      </xdr:nvSpPr>
      <xdr:spPr>
        <a:xfrm>
          <a:off x="2682602" y="1870893"/>
          <a:ext cx="494938" cy="1103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FEB</a:t>
          </a:r>
        </a:p>
      </xdr:txBody>
    </xdr:sp>
    <xdr:clientData/>
  </xdr:twoCellAnchor>
  <xdr:twoCellAnchor>
    <xdr:from>
      <xdr:col>4</xdr:col>
      <xdr:colOff>79467</xdr:colOff>
      <xdr:row>10</xdr:row>
      <xdr:rowOff>14877</xdr:rowOff>
    </xdr:from>
    <xdr:to>
      <xdr:col>4</xdr:col>
      <xdr:colOff>723900</xdr:colOff>
      <xdr:row>10</xdr:row>
      <xdr:rowOff>160020</xdr:rowOff>
    </xdr:to>
    <xdr:sp macro="[0]!Filtro_Febrero" textlink="Calculos!B119">
      <xdr:nvSpPr>
        <xdr:cNvPr id="93" name="CuadroTexto 92">
          <a:extLst>
            <a:ext uri="{FF2B5EF4-FFF2-40B4-BE49-F238E27FC236}">
              <a16:creationId xmlns:a16="http://schemas.microsoft.com/office/drawing/2014/main" id="{0A387A89-E32A-4B52-9EC1-E70ED253A6AD}"/>
            </a:ext>
          </a:extLst>
        </xdr:cNvPr>
        <xdr:cNvSpPr txBox="1"/>
      </xdr:nvSpPr>
      <xdr:spPr>
        <a:xfrm>
          <a:off x="3249387" y="1858917"/>
          <a:ext cx="644433" cy="145143"/>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FB5BFA9-AC40-4587-808D-6F2161882C80}" type="TxLink">
            <a:rPr lang="en-US" sz="1200" b="1" i="0" u="none" strike="noStrike">
              <a:solidFill>
                <a:srgbClr val="000000"/>
              </a:solidFill>
              <a:latin typeface="Arial" panose="020B0604020202020204" pitchFamily="34" charset="0"/>
              <a:cs typeface="Arial" panose="020B0604020202020204" pitchFamily="34" charset="0"/>
            </a:rPr>
            <a:pPr algn="ctr"/>
            <a:t>5</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288108</xdr:colOff>
      <xdr:row>11</xdr:row>
      <xdr:rowOff>27941</xdr:rowOff>
    </xdr:from>
    <xdr:to>
      <xdr:col>4</xdr:col>
      <xdr:colOff>7620</xdr:colOff>
      <xdr:row>12</xdr:row>
      <xdr:rowOff>0</xdr:rowOff>
    </xdr:to>
    <xdr:sp macro="" textlink="">
      <xdr:nvSpPr>
        <xdr:cNvPr id="94" name="CuadroTexto 93">
          <a:extLst>
            <a:ext uri="{FF2B5EF4-FFF2-40B4-BE49-F238E27FC236}">
              <a16:creationId xmlns:a16="http://schemas.microsoft.com/office/drawing/2014/main" id="{ACD7A0C6-BA48-404E-9CEA-644BC3787B32}"/>
            </a:ext>
          </a:extLst>
        </xdr:cNvPr>
        <xdr:cNvSpPr txBox="1"/>
      </xdr:nvSpPr>
      <xdr:spPr>
        <a:xfrm>
          <a:off x="2665548" y="2054861"/>
          <a:ext cx="511992" cy="1549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MAR</a:t>
          </a:r>
        </a:p>
      </xdr:txBody>
    </xdr:sp>
    <xdr:clientData/>
  </xdr:twoCellAnchor>
  <xdr:twoCellAnchor>
    <xdr:from>
      <xdr:col>4</xdr:col>
      <xdr:colOff>87087</xdr:colOff>
      <xdr:row>11</xdr:row>
      <xdr:rowOff>23225</xdr:rowOff>
    </xdr:from>
    <xdr:to>
      <xdr:col>4</xdr:col>
      <xdr:colOff>731520</xdr:colOff>
      <xdr:row>11</xdr:row>
      <xdr:rowOff>175260</xdr:rowOff>
    </xdr:to>
    <xdr:sp macro="[0]!Filtro_Marzo" textlink="Calculos!B120">
      <xdr:nvSpPr>
        <xdr:cNvPr id="95" name="CuadroTexto 94">
          <a:extLst>
            <a:ext uri="{FF2B5EF4-FFF2-40B4-BE49-F238E27FC236}">
              <a16:creationId xmlns:a16="http://schemas.microsoft.com/office/drawing/2014/main" id="{7F98D834-67EB-4355-B3BB-5B0C5D9CCE08}"/>
            </a:ext>
          </a:extLst>
        </xdr:cNvPr>
        <xdr:cNvSpPr txBox="1"/>
      </xdr:nvSpPr>
      <xdr:spPr>
        <a:xfrm>
          <a:off x="3257007" y="2050145"/>
          <a:ext cx="644433" cy="152035"/>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45DFAF5-C3D0-40B2-80E5-FF6CBD6B4D84}"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283028</xdr:colOff>
      <xdr:row>13</xdr:row>
      <xdr:rowOff>45721</xdr:rowOff>
    </xdr:from>
    <xdr:to>
      <xdr:col>4</xdr:col>
      <xdr:colOff>22860</xdr:colOff>
      <xdr:row>14</xdr:row>
      <xdr:rowOff>0</xdr:rowOff>
    </xdr:to>
    <xdr:sp macro="" textlink="">
      <xdr:nvSpPr>
        <xdr:cNvPr id="96" name="CuadroTexto 95">
          <a:extLst>
            <a:ext uri="{FF2B5EF4-FFF2-40B4-BE49-F238E27FC236}">
              <a16:creationId xmlns:a16="http://schemas.microsoft.com/office/drawing/2014/main" id="{E89DC1BA-AAED-4944-B427-2697D332E5BD}"/>
            </a:ext>
          </a:extLst>
        </xdr:cNvPr>
        <xdr:cNvSpPr txBox="1"/>
      </xdr:nvSpPr>
      <xdr:spPr>
        <a:xfrm>
          <a:off x="2660468" y="2438401"/>
          <a:ext cx="532312" cy="1371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MAY</a:t>
          </a:r>
        </a:p>
      </xdr:txBody>
    </xdr:sp>
    <xdr:clientData/>
  </xdr:twoCellAnchor>
  <xdr:twoCellAnchor>
    <xdr:from>
      <xdr:col>4</xdr:col>
      <xdr:colOff>87087</xdr:colOff>
      <xdr:row>13</xdr:row>
      <xdr:rowOff>63137</xdr:rowOff>
    </xdr:from>
    <xdr:to>
      <xdr:col>4</xdr:col>
      <xdr:colOff>731520</xdr:colOff>
      <xdr:row>14</xdr:row>
      <xdr:rowOff>15240</xdr:rowOff>
    </xdr:to>
    <xdr:sp macro="[0]!Filtro_Mayo" textlink="Calculos!B122">
      <xdr:nvSpPr>
        <xdr:cNvPr id="97" name="CuadroTexto 96">
          <a:extLst>
            <a:ext uri="{FF2B5EF4-FFF2-40B4-BE49-F238E27FC236}">
              <a16:creationId xmlns:a16="http://schemas.microsoft.com/office/drawing/2014/main" id="{5E9A6B8E-35B5-4A12-92ED-53F8DCA7BABE}"/>
            </a:ext>
          </a:extLst>
        </xdr:cNvPr>
        <xdr:cNvSpPr txBox="1"/>
      </xdr:nvSpPr>
      <xdr:spPr>
        <a:xfrm>
          <a:off x="3257007" y="2455817"/>
          <a:ext cx="644433" cy="134983"/>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26F0D9E-D6C2-4E31-8F07-47218252DA36}"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0</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3</xdr:col>
      <xdr:colOff>277222</xdr:colOff>
      <xdr:row>14</xdr:row>
      <xdr:rowOff>45721</xdr:rowOff>
    </xdr:from>
    <xdr:to>
      <xdr:col>4</xdr:col>
      <xdr:colOff>7620</xdr:colOff>
      <xdr:row>15</xdr:row>
      <xdr:rowOff>1</xdr:rowOff>
    </xdr:to>
    <xdr:sp macro="" textlink="">
      <xdr:nvSpPr>
        <xdr:cNvPr id="98" name="CuadroTexto 97">
          <a:extLst>
            <a:ext uri="{FF2B5EF4-FFF2-40B4-BE49-F238E27FC236}">
              <a16:creationId xmlns:a16="http://schemas.microsoft.com/office/drawing/2014/main" id="{F93870E0-6935-4BDA-883E-E8DC008E2DE1}"/>
            </a:ext>
          </a:extLst>
        </xdr:cNvPr>
        <xdr:cNvSpPr txBox="1"/>
      </xdr:nvSpPr>
      <xdr:spPr>
        <a:xfrm>
          <a:off x="2654662" y="2621281"/>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JUN</a:t>
          </a:r>
        </a:p>
      </xdr:txBody>
    </xdr:sp>
    <xdr:clientData/>
  </xdr:twoCellAnchor>
  <xdr:twoCellAnchor>
    <xdr:from>
      <xdr:col>4</xdr:col>
      <xdr:colOff>72572</xdr:colOff>
      <xdr:row>14</xdr:row>
      <xdr:rowOff>56243</xdr:rowOff>
    </xdr:from>
    <xdr:to>
      <xdr:col>4</xdr:col>
      <xdr:colOff>731519</xdr:colOff>
      <xdr:row>15</xdr:row>
      <xdr:rowOff>7620</xdr:rowOff>
    </xdr:to>
    <xdr:sp macro="[0]!Filtro_Junio" textlink="Calculos!B123">
      <xdr:nvSpPr>
        <xdr:cNvPr id="99" name="CuadroTexto 98">
          <a:extLst>
            <a:ext uri="{FF2B5EF4-FFF2-40B4-BE49-F238E27FC236}">
              <a16:creationId xmlns:a16="http://schemas.microsoft.com/office/drawing/2014/main" id="{A530C9CA-7405-4A87-AE6A-77B2964BB4F3}"/>
            </a:ext>
          </a:extLst>
        </xdr:cNvPr>
        <xdr:cNvSpPr txBox="1"/>
      </xdr:nvSpPr>
      <xdr:spPr>
        <a:xfrm>
          <a:off x="3242492" y="2631803"/>
          <a:ext cx="658947" cy="134257"/>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3565D36-34BA-47A9-9A0C-AC92BE5021AB}"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12</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3</xdr:col>
      <xdr:colOff>306977</xdr:colOff>
      <xdr:row>12</xdr:row>
      <xdr:rowOff>51525</xdr:rowOff>
    </xdr:from>
    <xdr:to>
      <xdr:col>3</xdr:col>
      <xdr:colOff>777240</xdr:colOff>
      <xdr:row>13</xdr:row>
      <xdr:rowOff>0</xdr:rowOff>
    </xdr:to>
    <xdr:sp macro="" textlink="">
      <xdr:nvSpPr>
        <xdr:cNvPr id="102" name="CuadroTexto 101">
          <a:extLst>
            <a:ext uri="{FF2B5EF4-FFF2-40B4-BE49-F238E27FC236}">
              <a16:creationId xmlns:a16="http://schemas.microsoft.com/office/drawing/2014/main" id="{256728C8-9A95-4AD8-B284-CC39349DA4E1}"/>
            </a:ext>
          </a:extLst>
        </xdr:cNvPr>
        <xdr:cNvSpPr txBox="1"/>
      </xdr:nvSpPr>
      <xdr:spPr>
        <a:xfrm>
          <a:off x="2684417" y="2261325"/>
          <a:ext cx="470263" cy="1313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s-CO" sz="1000" b="1">
              <a:solidFill>
                <a:schemeClr val="dk1"/>
              </a:solidFill>
              <a:latin typeface="Arial" panose="020B0604020202020204" pitchFamily="34" charset="0"/>
              <a:ea typeface="+mn-ea"/>
              <a:cs typeface="Arial" panose="020B0604020202020204" pitchFamily="34" charset="0"/>
            </a:rPr>
            <a:t>ABR</a:t>
          </a:r>
        </a:p>
      </xdr:txBody>
    </xdr:sp>
    <xdr:clientData/>
  </xdr:twoCellAnchor>
  <xdr:twoCellAnchor>
    <xdr:from>
      <xdr:col>4</xdr:col>
      <xdr:colOff>83820</xdr:colOff>
      <xdr:row>12</xdr:row>
      <xdr:rowOff>39189</xdr:rowOff>
    </xdr:from>
    <xdr:to>
      <xdr:col>4</xdr:col>
      <xdr:colOff>723899</xdr:colOff>
      <xdr:row>13</xdr:row>
      <xdr:rowOff>15240</xdr:rowOff>
    </xdr:to>
    <xdr:sp macro="[0]!Filtro_Abril" textlink="Calculos!B121">
      <xdr:nvSpPr>
        <xdr:cNvPr id="103" name="CuadroTexto 102">
          <a:extLst>
            <a:ext uri="{FF2B5EF4-FFF2-40B4-BE49-F238E27FC236}">
              <a16:creationId xmlns:a16="http://schemas.microsoft.com/office/drawing/2014/main" id="{04285239-E5CB-4B31-8C3D-7DBEB64B041B}"/>
            </a:ext>
          </a:extLst>
        </xdr:cNvPr>
        <xdr:cNvSpPr txBox="1"/>
      </xdr:nvSpPr>
      <xdr:spPr>
        <a:xfrm>
          <a:off x="3253740" y="2248989"/>
          <a:ext cx="640079" cy="158931"/>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2FF8D71-8B5C-4A9D-945C-838362987357}"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4</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4</xdr:col>
      <xdr:colOff>87086</xdr:colOff>
      <xdr:row>9</xdr:row>
      <xdr:rowOff>1</xdr:rowOff>
    </xdr:from>
    <xdr:to>
      <xdr:col>4</xdr:col>
      <xdr:colOff>716280</xdr:colOff>
      <xdr:row>9</xdr:row>
      <xdr:rowOff>144780</xdr:rowOff>
    </xdr:to>
    <xdr:sp macro="[0]!Filtro_Enero" textlink="Calculos!B118">
      <xdr:nvSpPr>
        <xdr:cNvPr id="63" name="CuadroTexto 62">
          <a:extLst>
            <a:ext uri="{FF2B5EF4-FFF2-40B4-BE49-F238E27FC236}">
              <a16:creationId xmlns:a16="http://schemas.microsoft.com/office/drawing/2014/main" id="{7F1FF91E-7BFB-4AA6-99B5-83EDFAE8481F}"/>
            </a:ext>
          </a:extLst>
        </xdr:cNvPr>
        <xdr:cNvSpPr txBox="1"/>
      </xdr:nvSpPr>
      <xdr:spPr>
        <a:xfrm>
          <a:off x="3257006" y="1661161"/>
          <a:ext cx="629194" cy="144779"/>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50C9A1E-77B1-4F36-A2D2-AADCC2504FE6}" type="TxLink">
            <a:rPr lang="en-US" sz="1200" b="1" i="0" u="none" strike="noStrike">
              <a:solidFill>
                <a:srgbClr val="000000"/>
              </a:solidFill>
              <a:latin typeface="Arial" panose="020B0604020202020204" pitchFamily="34" charset="0"/>
              <a:cs typeface="Arial" panose="020B0604020202020204" pitchFamily="34" charset="0"/>
            </a:rPr>
            <a:pPr algn="ctr"/>
            <a:t>11</a:t>
          </a:fld>
          <a:endParaRPr lang="en-US" sz="1400" b="1" i="0" u="none" strike="noStrike">
            <a:solidFill>
              <a:srgbClr val="000000"/>
            </a:solidFill>
            <a:latin typeface="Arial" panose="020B0604020202020204" pitchFamily="34" charset="0"/>
            <a:cs typeface="Arial" panose="020B0604020202020204" pitchFamily="34" charset="0"/>
          </a:endParaRPr>
        </a:p>
      </xdr:txBody>
    </xdr:sp>
    <xdr:clientData/>
  </xdr:twoCellAnchor>
  <xdr:twoCellAnchor>
    <xdr:from>
      <xdr:col>0</xdr:col>
      <xdr:colOff>250424</xdr:colOff>
      <xdr:row>5</xdr:row>
      <xdr:rowOff>147619</xdr:rowOff>
    </xdr:from>
    <xdr:to>
      <xdr:col>3</xdr:col>
      <xdr:colOff>79829</xdr:colOff>
      <xdr:row>31</xdr:row>
      <xdr:rowOff>137890</xdr:rowOff>
    </xdr:to>
    <xdr:grpSp>
      <xdr:nvGrpSpPr>
        <xdr:cNvPr id="90" name="Grupo 89">
          <a:extLst>
            <a:ext uri="{FF2B5EF4-FFF2-40B4-BE49-F238E27FC236}">
              <a16:creationId xmlns:a16="http://schemas.microsoft.com/office/drawing/2014/main" id="{77194E22-1E97-C2EF-1B0D-09B84C562F15}"/>
            </a:ext>
          </a:extLst>
        </xdr:cNvPr>
        <xdr:cNvGrpSpPr/>
      </xdr:nvGrpSpPr>
      <xdr:grpSpPr>
        <a:xfrm>
          <a:off x="250424" y="1077259"/>
          <a:ext cx="2206845" cy="4745151"/>
          <a:chOff x="250424" y="1185388"/>
          <a:chExt cx="2202491" cy="4707414"/>
        </a:xfrm>
      </xdr:grpSpPr>
      <xdr:grpSp>
        <xdr:nvGrpSpPr>
          <xdr:cNvPr id="68" name="Grupo 67">
            <a:extLst>
              <a:ext uri="{FF2B5EF4-FFF2-40B4-BE49-F238E27FC236}">
                <a16:creationId xmlns:a16="http://schemas.microsoft.com/office/drawing/2014/main" id="{3D81AEE3-1865-A025-4266-5027C18FBF62}"/>
              </a:ext>
            </a:extLst>
          </xdr:cNvPr>
          <xdr:cNvGrpSpPr/>
        </xdr:nvGrpSpPr>
        <xdr:grpSpPr>
          <a:xfrm>
            <a:off x="1243234" y="2500090"/>
            <a:ext cx="1122595" cy="692494"/>
            <a:chOff x="1219790" y="2562413"/>
            <a:chExt cx="1270898" cy="716597"/>
          </a:xfrm>
        </xdr:grpSpPr>
        <xdr:sp macro="[0]!ModoFullPantalla" textlink="">
          <xdr:nvSpPr>
            <xdr:cNvPr id="62" name="Rectángulo 61">
              <a:extLst>
                <a:ext uri="{FF2B5EF4-FFF2-40B4-BE49-F238E27FC236}">
                  <a16:creationId xmlns:a16="http://schemas.microsoft.com/office/drawing/2014/main" id="{4883364B-4445-4186-9172-56B49C4064EC}"/>
                </a:ext>
              </a:extLst>
            </xdr:cNvPr>
            <xdr:cNvSpPr/>
          </xdr:nvSpPr>
          <xdr:spPr>
            <a:xfrm>
              <a:off x="1219790" y="3093441"/>
              <a:ext cx="1270898" cy="18556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Pantalla</a:t>
              </a:r>
              <a:r>
                <a:rPr lang="es-CO" sz="800" b="1" baseline="0">
                  <a:solidFill>
                    <a:schemeClr val="tx1"/>
                  </a:solidFill>
                  <a:latin typeface="Arial" panose="020B0604020202020204" pitchFamily="34" charset="0"/>
                  <a:cs typeface="Arial" panose="020B0604020202020204" pitchFamily="34" charset="0"/>
                </a:rPr>
                <a:t> completa</a:t>
              </a:r>
              <a:endParaRPr lang="es-CO" sz="800" b="1">
                <a:solidFill>
                  <a:schemeClr val="tx1"/>
                </a:solidFill>
                <a:latin typeface="Arial" panose="020B0604020202020204" pitchFamily="34" charset="0"/>
                <a:cs typeface="Arial" panose="020B0604020202020204" pitchFamily="34" charset="0"/>
              </a:endParaRPr>
            </a:p>
          </xdr:txBody>
        </xdr:sp>
        <xdr:pic macro="[0]!ModoFullPantalla">
          <xdr:nvPicPr>
            <xdr:cNvPr id="66" name="Gráfico 65" descr="Monitor contorno">
              <a:extLst>
                <a:ext uri="{FF2B5EF4-FFF2-40B4-BE49-F238E27FC236}">
                  <a16:creationId xmlns:a16="http://schemas.microsoft.com/office/drawing/2014/main" id="{A17BCC0F-9948-953F-3807-2DF1B7D5ADE5}"/>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509061" y="2562413"/>
              <a:ext cx="605118" cy="605118"/>
            </a:xfrm>
            <a:prstGeom prst="rect">
              <a:avLst/>
            </a:prstGeom>
          </xdr:spPr>
        </xdr:pic>
      </xdr:grpSp>
      <xdr:grpSp>
        <xdr:nvGrpSpPr>
          <xdr:cNvPr id="72" name="Grupo 71">
            <a:extLst>
              <a:ext uri="{FF2B5EF4-FFF2-40B4-BE49-F238E27FC236}">
                <a16:creationId xmlns:a16="http://schemas.microsoft.com/office/drawing/2014/main" id="{71BBD154-404E-8A38-A7F6-551AF232D36E}"/>
              </a:ext>
            </a:extLst>
          </xdr:cNvPr>
          <xdr:cNvGrpSpPr/>
        </xdr:nvGrpSpPr>
        <xdr:grpSpPr>
          <a:xfrm>
            <a:off x="338213" y="3838109"/>
            <a:ext cx="924530" cy="762922"/>
            <a:chOff x="1334305" y="3892176"/>
            <a:chExt cx="1016000" cy="776778"/>
          </a:xfrm>
        </xdr:grpSpPr>
        <xdr:pic macro="[0]!VerHistorialDeCambios">
          <xdr:nvPicPr>
            <xdr:cNvPr id="70" name="Gráfico 69" descr="Lupa contorno">
              <a:extLst>
                <a:ext uri="{FF2B5EF4-FFF2-40B4-BE49-F238E27FC236}">
                  <a16:creationId xmlns:a16="http://schemas.microsoft.com/office/drawing/2014/main" id="{27F9E974-E3B9-2611-0C15-39110CB0E3F6}"/>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538941" y="3892176"/>
              <a:ext cx="582706" cy="582706"/>
            </a:xfrm>
            <a:prstGeom prst="rect">
              <a:avLst/>
            </a:prstGeom>
          </xdr:spPr>
        </xdr:pic>
        <xdr:sp macro="[0]!VerHistorialDeCambios" textlink="">
          <xdr:nvSpPr>
            <xdr:cNvPr id="71" name="Rectángulo 70">
              <a:extLst>
                <a:ext uri="{FF2B5EF4-FFF2-40B4-BE49-F238E27FC236}">
                  <a16:creationId xmlns:a16="http://schemas.microsoft.com/office/drawing/2014/main" id="{F30B4A8E-18A8-41F3-9DB9-A489582FC54D}"/>
                </a:ext>
              </a:extLst>
            </xdr:cNvPr>
            <xdr:cNvSpPr/>
          </xdr:nvSpPr>
          <xdr:spPr>
            <a:xfrm>
              <a:off x="1334305" y="4459778"/>
              <a:ext cx="1016000" cy="20917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Log_cambios</a:t>
              </a:r>
            </a:p>
          </xdr:txBody>
        </xdr:sp>
      </xdr:grpSp>
      <xdr:grpSp>
        <xdr:nvGrpSpPr>
          <xdr:cNvPr id="73" name="Grupo 72">
            <a:extLst>
              <a:ext uri="{FF2B5EF4-FFF2-40B4-BE49-F238E27FC236}">
                <a16:creationId xmlns:a16="http://schemas.microsoft.com/office/drawing/2014/main" id="{7E9FAF72-07AD-23AF-0602-604280C64275}"/>
              </a:ext>
            </a:extLst>
          </xdr:cNvPr>
          <xdr:cNvGrpSpPr/>
        </xdr:nvGrpSpPr>
        <xdr:grpSpPr>
          <a:xfrm>
            <a:off x="287340" y="1199302"/>
            <a:ext cx="1062489" cy="738355"/>
            <a:chOff x="1139302" y="2123244"/>
            <a:chExt cx="1613513" cy="933410"/>
          </a:xfrm>
        </xdr:grpSpPr>
        <xdr:sp macro="[0]!DescargarInformeFinal" textlink="">
          <xdr:nvSpPr>
            <xdr:cNvPr id="48" name="Rectángulo 47">
              <a:extLst>
                <a:ext uri="{FF2B5EF4-FFF2-40B4-BE49-F238E27FC236}">
                  <a16:creationId xmlns:a16="http://schemas.microsoft.com/office/drawing/2014/main" id="{332EC621-04FF-425C-A471-1006EA37F372}"/>
                </a:ext>
              </a:extLst>
            </xdr:cNvPr>
            <xdr:cNvSpPr/>
          </xdr:nvSpPr>
          <xdr:spPr>
            <a:xfrm>
              <a:off x="1139302" y="2826057"/>
              <a:ext cx="1613513" cy="23059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Exportar informe</a:t>
              </a:r>
              <a:r>
                <a:rPr lang="es-CO" sz="800" b="1" baseline="0">
                  <a:solidFill>
                    <a:schemeClr val="tx1"/>
                  </a:solidFill>
                  <a:latin typeface="Arial" panose="020B0604020202020204" pitchFamily="34" charset="0"/>
                  <a:cs typeface="Arial" panose="020B0604020202020204" pitchFamily="34" charset="0"/>
                </a:rPr>
                <a:t> </a:t>
              </a:r>
              <a:endParaRPr lang="es-CO" sz="800" b="1">
                <a:solidFill>
                  <a:schemeClr val="tx1"/>
                </a:solidFill>
                <a:latin typeface="Arial" panose="020B0604020202020204" pitchFamily="34" charset="0"/>
                <a:cs typeface="Arial" panose="020B0604020202020204" pitchFamily="34" charset="0"/>
              </a:endParaRPr>
            </a:p>
          </xdr:txBody>
        </xdr:sp>
        <xdr:pic macro="[0]!DescargarInformeFinal">
          <xdr:nvPicPr>
            <xdr:cNvPr id="54" name="Imagen 53">
              <a:extLst>
                <a:ext uri="{FF2B5EF4-FFF2-40B4-BE49-F238E27FC236}">
                  <a16:creationId xmlns:a16="http://schemas.microsoft.com/office/drawing/2014/main" id="{46768110-2D0E-F5F9-D4F4-242939D136F1}"/>
                </a:ext>
              </a:extLst>
            </xdr:cNvPr>
            <xdr:cNvPicPr>
              <a:picLocks noChangeAspect="1"/>
            </xdr:cNvPicPr>
          </xdr:nvPicPr>
          <xdr:blipFill>
            <a:blip xmlns:r="http://schemas.openxmlformats.org/officeDocument/2006/relationships" r:embed="rId10"/>
            <a:stretch>
              <a:fillRect/>
            </a:stretch>
          </xdr:blipFill>
          <xdr:spPr>
            <a:xfrm>
              <a:off x="1538796" y="2123244"/>
              <a:ext cx="582795" cy="569650"/>
            </a:xfrm>
            <a:prstGeom prst="rect">
              <a:avLst/>
            </a:prstGeom>
          </xdr:spPr>
        </xdr:pic>
      </xdr:grpSp>
      <xdr:grpSp>
        <xdr:nvGrpSpPr>
          <xdr:cNvPr id="69" name="Grupo 68">
            <a:extLst>
              <a:ext uri="{FF2B5EF4-FFF2-40B4-BE49-F238E27FC236}">
                <a16:creationId xmlns:a16="http://schemas.microsoft.com/office/drawing/2014/main" id="{201251BB-A1F9-6AE4-E61F-14CE968A09E8}"/>
              </a:ext>
            </a:extLst>
          </xdr:cNvPr>
          <xdr:cNvGrpSpPr/>
        </xdr:nvGrpSpPr>
        <xdr:grpSpPr>
          <a:xfrm>
            <a:off x="250424" y="2535934"/>
            <a:ext cx="968776" cy="671726"/>
            <a:chOff x="1247946" y="1131905"/>
            <a:chExt cx="1171219" cy="725007"/>
          </a:xfrm>
        </xdr:grpSpPr>
        <xdr:sp macro="[0]!ExportarReportePDF" textlink="">
          <xdr:nvSpPr>
            <xdr:cNvPr id="52" name="Rectángulo 51">
              <a:extLst>
                <a:ext uri="{FF2B5EF4-FFF2-40B4-BE49-F238E27FC236}">
                  <a16:creationId xmlns:a16="http://schemas.microsoft.com/office/drawing/2014/main" id="{450F8BB7-7134-4945-A3BA-CDCAE6D9AD1C}"/>
                </a:ext>
              </a:extLst>
            </xdr:cNvPr>
            <xdr:cNvSpPr/>
          </xdr:nvSpPr>
          <xdr:spPr>
            <a:xfrm>
              <a:off x="1247946" y="1639749"/>
              <a:ext cx="1171219" cy="217163"/>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Exportar tablero</a:t>
              </a:r>
            </a:p>
          </xdr:txBody>
        </xdr:sp>
        <xdr:pic macro="[0]!ExportarReportePDF">
          <xdr:nvPicPr>
            <xdr:cNvPr id="67" name="Imagen 66">
              <a:extLst>
                <a:ext uri="{FF2B5EF4-FFF2-40B4-BE49-F238E27FC236}">
                  <a16:creationId xmlns:a16="http://schemas.microsoft.com/office/drawing/2014/main" id="{16A3F0B6-56B6-4BDB-D255-8D34C6228100}"/>
                </a:ext>
              </a:extLst>
            </xdr:cNvPr>
            <xdr:cNvPicPr>
              <a:picLocks noChangeAspect="1"/>
            </xdr:cNvPicPr>
          </xdr:nvPicPr>
          <xdr:blipFill>
            <a:blip xmlns:r="http://schemas.openxmlformats.org/officeDocument/2006/relationships" r:embed="rId11"/>
            <a:stretch>
              <a:fillRect/>
            </a:stretch>
          </xdr:blipFill>
          <xdr:spPr>
            <a:xfrm>
              <a:off x="1575787" y="1131905"/>
              <a:ext cx="525262" cy="556904"/>
            </a:xfrm>
            <a:prstGeom prst="rect">
              <a:avLst/>
            </a:prstGeom>
            <a:solidFill>
              <a:schemeClr val="tx1"/>
            </a:solidFill>
          </xdr:spPr>
        </xdr:pic>
      </xdr:grpSp>
      <xdr:grpSp>
        <xdr:nvGrpSpPr>
          <xdr:cNvPr id="5" name="Grupo 4">
            <a:extLst>
              <a:ext uri="{FF2B5EF4-FFF2-40B4-BE49-F238E27FC236}">
                <a16:creationId xmlns:a16="http://schemas.microsoft.com/office/drawing/2014/main" id="{BD176B27-F989-9BE3-A39F-A2B0903786F9}"/>
              </a:ext>
            </a:extLst>
          </xdr:cNvPr>
          <xdr:cNvGrpSpPr/>
        </xdr:nvGrpSpPr>
        <xdr:grpSpPr>
          <a:xfrm>
            <a:off x="1531161" y="3883503"/>
            <a:ext cx="638726" cy="695762"/>
            <a:chOff x="1597979" y="4934505"/>
            <a:chExt cx="547457" cy="746812"/>
          </a:xfrm>
        </xdr:grpSpPr>
        <xdr:pic macro="[0]!Guardar_y_Salir">
          <xdr:nvPicPr>
            <xdr:cNvPr id="87" name="Gráfico 86" descr="Salir contorno">
              <a:extLst>
                <a:ext uri="{FF2B5EF4-FFF2-40B4-BE49-F238E27FC236}">
                  <a16:creationId xmlns:a16="http://schemas.microsoft.com/office/drawing/2014/main" id="{6CD7A041-EDB8-323F-06D4-50A42EEF8EA4}"/>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597979" y="4934505"/>
              <a:ext cx="547457" cy="547457"/>
            </a:xfrm>
            <a:prstGeom prst="rect">
              <a:avLst/>
            </a:prstGeom>
          </xdr:spPr>
        </xdr:pic>
        <xdr:sp macro="[0]!Guardar_y_Salir" textlink="">
          <xdr:nvSpPr>
            <xdr:cNvPr id="3" name="Rectángulo 2">
              <a:extLst>
                <a:ext uri="{FF2B5EF4-FFF2-40B4-BE49-F238E27FC236}">
                  <a16:creationId xmlns:a16="http://schemas.microsoft.com/office/drawing/2014/main" id="{C718CB97-A577-4458-9F9E-9EB969908A2F}"/>
                </a:ext>
              </a:extLst>
            </xdr:cNvPr>
            <xdr:cNvSpPr/>
          </xdr:nvSpPr>
          <xdr:spPr>
            <a:xfrm>
              <a:off x="1614616" y="5474171"/>
              <a:ext cx="466078" cy="20714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Salir</a:t>
              </a:r>
            </a:p>
          </xdr:txBody>
        </xdr:sp>
      </xdr:grpSp>
      <xdr:grpSp>
        <xdr:nvGrpSpPr>
          <xdr:cNvPr id="44" name="Grupo 43">
            <a:extLst>
              <a:ext uri="{FF2B5EF4-FFF2-40B4-BE49-F238E27FC236}">
                <a16:creationId xmlns:a16="http://schemas.microsoft.com/office/drawing/2014/main" id="{5A2E40AD-A663-A708-6337-76BABB34CF7A}"/>
              </a:ext>
            </a:extLst>
          </xdr:cNvPr>
          <xdr:cNvGrpSpPr/>
        </xdr:nvGrpSpPr>
        <xdr:grpSpPr>
          <a:xfrm>
            <a:off x="1308176" y="1185388"/>
            <a:ext cx="1023106" cy="804280"/>
            <a:chOff x="2748626" y="1971412"/>
            <a:chExt cx="1097559" cy="884058"/>
          </a:xfrm>
        </xdr:grpSpPr>
        <xdr:pic macro="[0]!EnviarReporte_Gmail_Automatico">
          <xdr:nvPicPr>
            <xdr:cNvPr id="16" name="Gráfico 15" descr="Correo electrónico contorno">
              <a:extLst>
                <a:ext uri="{FF2B5EF4-FFF2-40B4-BE49-F238E27FC236}">
                  <a16:creationId xmlns:a16="http://schemas.microsoft.com/office/drawing/2014/main" id="{9A98063F-9DF2-AD9A-5785-DDCC8A4D4FBD}"/>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2957119" y="1971412"/>
              <a:ext cx="538294" cy="538294"/>
            </a:xfrm>
            <a:prstGeom prst="rect">
              <a:avLst/>
            </a:prstGeom>
          </xdr:spPr>
        </xdr:pic>
        <xdr:sp macro="[0]!EnviarReporte_Gmail_Automatico" textlink="">
          <xdr:nvSpPr>
            <xdr:cNvPr id="40" name="CuadroTexto 39">
              <a:extLst>
                <a:ext uri="{FF2B5EF4-FFF2-40B4-BE49-F238E27FC236}">
                  <a16:creationId xmlns:a16="http://schemas.microsoft.com/office/drawing/2014/main" id="{7BAC9927-A85E-75C2-5957-3E6B35BA5358}"/>
                </a:ext>
              </a:extLst>
            </xdr:cNvPr>
            <xdr:cNvSpPr txBox="1"/>
          </xdr:nvSpPr>
          <xdr:spPr>
            <a:xfrm>
              <a:off x="2748626" y="2603801"/>
              <a:ext cx="1097559" cy="2516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800" b="1">
                  <a:latin typeface="Arial" panose="020B0604020202020204" pitchFamily="34" charset="0"/>
                  <a:cs typeface="Arial" panose="020B0604020202020204" pitchFamily="34" charset="0"/>
                </a:rPr>
                <a:t>Enviar Informe</a:t>
              </a:r>
            </a:p>
          </xdr:txBody>
        </xdr:sp>
      </xdr:grpSp>
      <xdr:grpSp>
        <xdr:nvGrpSpPr>
          <xdr:cNvPr id="81" name="Grupo 80">
            <a:extLst>
              <a:ext uri="{FF2B5EF4-FFF2-40B4-BE49-F238E27FC236}">
                <a16:creationId xmlns:a16="http://schemas.microsoft.com/office/drawing/2014/main" id="{3EE5921A-E8C8-1FE7-42D8-B17C73A29EF6}"/>
              </a:ext>
            </a:extLst>
          </xdr:cNvPr>
          <xdr:cNvGrpSpPr/>
        </xdr:nvGrpSpPr>
        <xdr:grpSpPr>
          <a:xfrm>
            <a:off x="268513" y="5087260"/>
            <a:ext cx="1008744" cy="783770"/>
            <a:chOff x="268513" y="5174344"/>
            <a:chExt cx="1008744" cy="783770"/>
          </a:xfrm>
        </xdr:grpSpPr>
        <xdr:pic macro="[0]!SincronizarFelipeSilencioso">
          <xdr:nvPicPr>
            <xdr:cNvPr id="65" name="Gráfico 64" descr="Campana contorno">
              <a:extLst>
                <a:ext uri="{FF2B5EF4-FFF2-40B4-BE49-F238E27FC236}">
                  <a16:creationId xmlns:a16="http://schemas.microsoft.com/office/drawing/2014/main" id="{EFF713C8-C704-703C-1C17-D44BD9B6E325}"/>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457200" y="5174344"/>
              <a:ext cx="595085" cy="595085"/>
            </a:xfrm>
            <a:prstGeom prst="rect">
              <a:avLst/>
            </a:prstGeom>
          </xdr:spPr>
        </xdr:pic>
        <xdr:sp macro="[0]!SincronizarFelipeSilencioso" textlink="">
          <xdr:nvSpPr>
            <xdr:cNvPr id="75" name="Rectángulo 74">
              <a:extLst>
                <a:ext uri="{FF2B5EF4-FFF2-40B4-BE49-F238E27FC236}">
                  <a16:creationId xmlns:a16="http://schemas.microsoft.com/office/drawing/2014/main" id="{54DEBD53-D9B6-10E2-61FE-4D6924310037}"/>
                </a:ext>
              </a:extLst>
            </xdr:cNvPr>
            <xdr:cNvSpPr/>
          </xdr:nvSpPr>
          <xdr:spPr>
            <a:xfrm>
              <a:off x="268513" y="5754915"/>
              <a:ext cx="1008744" cy="20319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Notificar a Felipe</a:t>
              </a:r>
            </a:p>
          </xdr:txBody>
        </xdr:sp>
      </xdr:grpSp>
      <xdr:grpSp>
        <xdr:nvGrpSpPr>
          <xdr:cNvPr id="88" name="Grupo 87">
            <a:extLst>
              <a:ext uri="{FF2B5EF4-FFF2-40B4-BE49-F238E27FC236}">
                <a16:creationId xmlns:a16="http://schemas.microsoft.com/office/drawing/2014/main" id="{4D7D53E5-BCEF-2B0C-2E34-5A48964269CE}"/>
              </a:ext>
            </a:extLst>
          </xdr:cNvPr>
          <xdr:cNvGrpSpPr/>
        </xdr:nvGrpSpPr>
        <xdr:grpSpPr>
          <a:xfrm>
            <a:off x="1320800" y="5080001"/>
            <a:ext cx="1132115" cy="812801"/>
            <a:chOff x="1255485" y="5072742"/>
            <a:chExt cx="1132115" cy="812801"/>
          </a:xfrm>
        </xdr:grpSpPr>
        <xdr:pic macro="[0]!SincronizarEduardoSilencioso">
          <xdr:nvPicPr>
            <xdr:cNvPr id="74" name="Gráfico 73" descr="Campana contorno">
              <a:extLst>
                <a:ext uri="{FF2B5EF4-FFF2-40B4-BE49-F238E27FC236}">
                  <a16:creationId xmlns:a16="http://schemas.microsoft.com/office/drawing/2014/main" id="{677FB9F2-47D9-B26F-6D4B-26B1A8816A6E}"/>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1487714" y="5072742"/>
              <a:ext cx="595085" cy="595085"/>
            </a:xfrm>
            <a:prstGeom prst="rect">
              <a:avLst/>
            </a:prstGeom>
          </xdr:spPr>
        </xdr:pic>
        <xdr:sp macro="[0]!SincronizarEduardoSilencioso" textlink="">
          <xdr:nvSpPr>
            <xdr:cNvPr id="82" name="Rectángulo 81">
              <a:extLst>
                <a:ext uri="{FF2B5EF4-FFF2-40B4-BE49-F238E27FC236}">
                  <a16:creationId xmlns:a16="http://schemas.microsoft.com/office/drawing/2014/main" id="{F155AB52-3B2B-3F24-AA4C-B916B435F798}"/>
                </a:ext>
              </a:extLst>
            </xdr:cNvPr>
            <xdr:cNvSpPr/>
          </xdr:nvSpPr>
          <xdr:spPr>
            <a:xfrm>
              <a:off x="1255485" y="5660572"/>
              <a:ext cx="1132115" cy="22497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ysClr val="windowText" lastClr="000000"/>
                  </a:solidFill>
                  <a:latin typeface="Arial" panose="020B0604020202020204" pitchFamily="34" charset="0"/>
                  <a:cs typeface="Arial" panose="020B0604020202020204" pitchFamily="34" charset="0"/>
                </a:rPr>
                <a:t>Notificar a Eduardo</a:t>
              </a:r>
            </a:p>
          </xdr:txBody>
        </xdr:sp>
      </xdr:grpSp>
    </xdr:grpSp>
    <xdr:clientData/>
  </xdr:twoCellAnchor>
  <xdr:twoCellAnchor>
    <xdr:from>
      <xdr:col>4</xdr:col>
      <xdr:colOff>68580</xdr:colOff>
      <xdr:row>15</xdr:row>
      <xdr:rowOff>68580</xdr:rowOff>
    </xdr:from>
    <xdr:to>
      <xdr:col>4</xdr:col>
      <xdr:colOff>716280</xdr:colOff>
      <xdr:row>16</xdr:row>
      <xdr:rowOff>38100</xdr:rowOff>
    </xdr:to>
    <xdr:sp macro="" textlink="Calculos!B124">
      <xdr:nvSpPr>
        <xdr:cNvPr id="89" name="Rectángulo 88">
          <a:extLst>
            <a:ext uri="{FF2B5EF4-FFF2-40B4-BE49-F238E27FC236}">
              <a16:creationId xmlns:a16="http://schemas.microsoft.com/office/drawing/2014/main" id="{638CBFB8-BFC6-9F7C-0CE7-D0E8CC0045DE}"/>
            </a:ext>
          </a:extLst>
        </xdr:cNvPr>
        <xdr:cNvSpPr/>
      </xdr:nvSpPr>
      <xdr:spPr>
        <a:xfrm>
          <a:off x="3238500" y="2827020"/>
          <a:ext cx="647700" cy="15240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327A4A5-2304-4856-A2DB-F4751CF34555}"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16</xdr:row>
      <xdr:rowOff>121920</xdr:rowOff>
    </xdr:from>
    <xdr:to>
      <xdr:col>4</xdr:col>
      <xdr:colOff>723900</xdr:colOff>
      <xdr:row>17</xdr:row>
      <xdr:rowOff>91440</xdr:rowOff>
    </xdr:to>
    <xdr:sp macro="" textlink="Calculos!B125">
      <xdr:nvSpPr>
        <xdr:cNvPr id="91" name="Rectángulo 90">
          <a:extLst>
            <a:ext uri="{FF2B5EF4-FFF2-40B4-BE49-F238E27FC236}">
              <a16:creationId xmlns:a16="http://schemas.microsoft.com/office/drawing/2014/main" id="{F2FCA328-7A4C-4E2C-8525-217C79919CA1}"/>
            </a:ext>
          </a:extLst>
        </xdr:cNvPr>
        <xdr:cNvSpPr/>
      </xdr:nvSpPr>
      <xdr:spPr>
        <a:xfrm>
          <a:off x="3238500" y="3063240"/>
          <a:ext cx="655320" cy="15240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CE0E7FA-EAE5-4023-8082-98401840D6C6}"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60960</xdr:colOff>
      <xdr:row>17</xdr:row>
      <xdr:rowOff>160020</xdr:rowOff>
    </xdr:from>
    <xdr:to>
      <xdr:col>4</xdr:col>
      <xdr:colOff>723900</xdr:colOff>
      <xdr:row>18</xdr:row>
      <xdr:rowOff>121920</xdr:rowOff>
    </xdr:to>
    <xdr:sp macro="" textlink="Calculos!B126">
      <xdr:nvSpPr>
        <xdr:cNvPr id="100" name="Rectángulo 99">
          <a:extLst>
            <a:ext uri="{FF2B5EF4-FFF2-40B4-BE49-F238E27FC236}">
              <a16:creationId xmlns:a16="http://schemas.microsoft.com/office/drawing/2014/main" id="{ABA00320-FA82-4067-83E1-3754F61475B0}"/>
            </a:ext>
          </a:extLst>
        </xdr:cNvPr>
        <xdr:cNvSpPr/>
      </xdr:nvSpPr>
      <xdr:spPr>
        <a:xfrm>
          <a:off x="3230880" y="3284220"/>
          <a:ext cx="662940" cy="14478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77E4EBDB-515F-445F-B889-FB49E4ED62FD}"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19</xdr:row>
      <xdr:rowOff>7620</xdr:rowOff>
    </xdr:from>
    <xdr:to>
      <xdr:col>4</xdr:col>
      <xdr:colOff>731520</xdr:colOff>
      <xdr:row>19</xdr:row>
      <xdr:rowOff>137160</xdr:rowOff>
    </xdr:to>
    <xdr:sp macro="" textlink="Calculos!B127">
      <xdr:nvSpPr>
        <xdr:cNvPr id="101" name="Rectángulo 100">
          <a:extLst>
            <a:ext uri="{FF2B5EF4-FFF2-40B4-BE49-F238E27FC236}">
              <a16:creationId xmlns:a16="http://schemas.microsoft.com/office/drawing/2014/main" id="{5703535F-306E-4D8E-AC1A-2325EDDBF506}"/>
            </a:ext>
          </a:extLst>
        </xdr:cNvPr>
        <xdr:cNvSpPr/>
      </xdr:nvSpPr>
      <xdr:spPr>
        <a:xfrm>
          <a:off x="3238500" y="3497580"/>
          <a:ext cx="662940" cy="12954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5BB9C93-59BC-49B4-BD23-E5B818735E2F}"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76200</xdr:colOff>
      <xdr:row>20</xdr:row>
      <xdr:rowOff>22860</xdr:rowOff>
    </xdr:from>
    <xdr:to>
      <xdr:col>4</xdr:col>
      <xdr:colOff>716280</xdr:colOff>
      <xdr:row>20</xdr:row>
      <xdr:rowOff>144780</xdr:rowOff>
    </xdr:to>
    <xdr:sp macro="" textlink="Calculos!B128">
      <xdr:nvSpPr>
        <xdr:cNvPr id="104" name="Rectángulo 103">
          <a:extLst>
            <a:ext uri="{FF2B5EF4-FFF2-40B4-BE49-F238E27FC236}">
              <a16:creationId xmlns:a16="http://schemas.microsoft.com/office/drawing/2014/main" id="{01A18AD8-32FE-4963-B490-1B57B1173665}"/>
            </a:ext>
          </a:extLst>
        </xdr:cNvPr>
        <xdr:cNvSpPr/>
      </xdr:nvSpPr>
      <xdr:spPr>
        <a:xfrm>
          <a:off x="3246120" y="3695700"/>
          <a:ext cx="640080" cy="12192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D1DBFE59-61EF-4543-984F-FCC45877F50E}"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21</xdr:row>
      <xdr:rowOff>38100</xdr:rowOff>
    </xdr:from>
    <xdr:to>
      <xdr:col>4</xdr:col>
      <xdr:colOff>708660</xdr:colOff>
      <xdr:row>21</xdr:row>
      <xdr:rowOff>160020</xdr:rowOff>
    </xdr:to>
    <xdr:sp macro="" textlink="Calculos!B129">
      <xdr:nvSpPr>
        <xdr:cNvPr id="105" name="Rectángulo 104">
          <a:extLst>
            <a:ext uri="{FF2B5EF4-FFF2-40B4-BE49-F238E27FC236}">
              <a16:creationId xmlns:a16="http://schemas.microsoft.com/office/drawing/2014/main" id="{363C43F0-5848-4A8F-B77F-085F1B4EE719}"/>
            </a:ext>
          </a:extLst>
        </xdr:cNvPr>
        <xdr:cNvSpPr/>
      </xdr:nvSpPr>
      <xdr:spPr>
        <a:xfrm>
          <a:off x="3238500" y="3893820"/>
          <a:ext cx="640080" cy="12192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94BEB34-57C7-45DE-98B4-24A8C11D54CD}"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289560</xdr:colOff>
      <xdr:row>15</xdr:row>
      <xdr:rowOff>83820</xdr:rowOff>
    </xdr:from>
    <xdr:to>
      <xdr:col>4</xdr:col>
      <xdr:colOff>19958</xdr:colOff>
      <xdr:row>16</xdr:row>
      <xdr:rowOff>38100</xdr:rowOff>
    </xdr:to>
    <xdr:sp macro="" textlink="">
      <xdr:nvSpPr>
        <xdr:cNvPr id="106" name="CuadroTexto 105">
          <a:extLst>
            <a:ext uri="{FF2B5EF4-FFF2-40B4-BE49-F238E27FC236}">
              <a16:creationId xmlns:a16="http://schemas.microsoft.com/office/drawing/2014/main" id="{65C808CE-DA9C-4619-A14A-7B8FDCA2A004}"/>
            </a:ext>
          </a:extLst>
        </xdr:cNvPr>
        <xdr:cNvSpPr txBox="1"/>
      </xdr:nvSpPr>
      <xdr:spPr>
        <a:xfrm>
          <a:off x="2667000" y="28422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JUL</a:t>
          </a:r>
        </a:p>
      </xdr:txBody>
    </xdr:sp>
    <xdr:clientData/>
  </xdr:twoCellAnchor>
  <xdr:twoCellAnchor>
    <xdr:from>
      <xdr:col>3</xdr:col>
      <xdr:colOff>266700</xdr:colOff>
      <xdr:row>16</xdr:row>
      <xdr:rowOff>129540</xdr:rowOff>
    </xdr:from>
    <xdr:to>
      <xdr:col>3</xdr:col>
      <xdr:colOff>789578</xdr:colOff>
      <xdr:row>17</xdr:row>
      <xdr:rowOff>83820</xdr:rowOff>
    </xdr:to>
    <xdr:sp macro="" textlink="">
      <xdr:nvSpPr>
        <xdr:cNvPr id="107" name="CuadroTexto 106">
          <a:extLst>
            <a:ext uri="{FF2B5EF4-FFF2-40B4-BE49-F238E27FC236}">
              <a16:creationId xmlns:a16="http://schemas.microsoft.com/office/drawing/2014/main" id="{E83A9309-7A54-4855-8965-EA629CD1AFD2}"/>
            </a:ext>
          </a:extLst>
        </xdr:cNvPr>
        <xdr:cNvSpPr txBox="1"/>
      </xdr:nvSpPr>
      <xdr:spPr>
        <a:xfrm>
          <a:off x="2644140" y="30708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AGO</a:t>
          </a:r>
        </a:p>
      </xdr:txBody>
    </xdr:sp>
    <xdr:clientData/>
  </xdr:twoCellAnchor>
  <xdr:twoCellAnchor>
    <xdr:from>
      <xdr:col>3</xdr:col>
      <xdr:colOff>289560</xdr:colOff>
      <xdr:row>18</xdr:row>
      <xdr:rowOff>0</xdr:rowOff>
    </xdr:from>
    <xdr:to>
      <xdr:col>4</xdr:col>
      <xdr:colOff>19958</xdr:colOff>
      <xdr:row>18</xdr:row>
      <xdr:rowOff>137160</xdr:rowOff>
    </xdr:to>
    <xdr:sp macro="" textlink="">
      <xdr:nvSpPr>
        <xdr:cNvPr id="108" name="CuadroTexto 107">
          <a:extLst>
            <a:ext uri="{FF2B5EF4-FFF2-40B4-BE49-F238E27FC236}">
              <a16:creationId xmlns:a16="http://schemas.microsoft.com/office/drawing/2014/main" id="{DFDB0609-E69C-4C84-8DDF-2260BE13ACC0}"/>
            </a:ext>
          </a:extLst>
        </xdr:cNvPr>
        <xdr:cNvSpPr txBox="1"/>
      </xdr:nvSpPr>
      <xdr:spPr>
        <a:xfrm>
          <a:off x="2667000" y="330708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SEP</a:t>
          </a:r>
        </a:p>
      </xdr:txBody>
    </xdr:sp>
    <xdr:clientData/>
  </xdr:twoCellAnchor>
  <xdr:twoCellAnchor>
    <xdr:from>
      <xdr:col>3</xdr:col>
      <xdr:colOff>251460</xdr:colOff>
      <xdr:row>19</xdr:row>
      <xdr:rowOff>15240</xdr:rowOff>
    </xdr:from>
    <xdr:to>
      <xdr:col>3</xdr:col>
      <xdr:colOff>774338</xdr:colOff>
      <xdr:row>19</xdr:row>
      <xdr:rowOff>152400</xdr:rowOff>
    </xdr:to>
    <xdr:sp macro="" textlink="">
      <xdr:nvSpPr>
        <xdr:cNvPr id="109" name="CuadroTexto 108">
          <a:extLst>
            <a:ext uri="{FF2B5EF4-FFF2-40B4-BE49-F238E27FC236}">
              <a16:creationId xmlns:a16="http://schemas.microsoft.com/office/drawing/2014/main" id="{9E29E783-75ED-49B0-9D9B-E9FD33B033C9}"/>
            </a:ext>
          </a:extLst>
        </xdr:cNvPr>
        <xdr:cNvSpPr txBox="1"/>
      </xdr:nvSpPr>
      <xdr:spPr>
        <a:xfrm>
          <a:off x="2628900" y="350520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OCT</a:t>
          </a:r>
        </a:p>
      </xdr:txBody>
    </xdr:sp>
    <xdr:clientData/>
  </xdr:twoCellAnchor>
  <xdr:twoCellAnchor>
    <xdr:from>
      <xdr:col>3</xdr:col>
      <xdr:colOff>274320</xdr:colOff>
      <xdr:row>20</xdr:row>
      <xdr:rowOff>22860</xdr:rowOff>
    </xdr:from>
    <xdr:to>
      <xdr:col>4</xdr:col>
      <xdr:colOff>4718</xdr:colOff>
      <xdr:row>20</xdr:row>
      <xdr:rowOff>160020</xdr:rowOff>
    </xdr:to>
    <xdr:sp macro="" textlink="">
      <xdr:nvSpPr>
        <xdr:cNvPr id="110" name="CuadroTexto 109">
          <a:extLst>
            <a:ext uri="{FF2B5EF4-FFF2-40B4-BE49-F238E27FC236}">
              <a16:creationId xmlns:a16="http://schemas.microsoft.com/office/drawing/2014/main" id="{783CBA3C-521F-4D6C-A938-75FB34F093E2}"/>
            </a:ext>
          </a:extLst>
        </xdr:cNvPr>
        <xdr:cNvSpPr txBox="1"/>
      </xdr:nvSpPr>
      <xdr:spPr>
        <a:xfrm>
          <a:off x="2651760" y="369570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NOV</a:t>
          </a:r>
        </a:p>
      </xdr:txBody>
    </xdr:sp>
    <xdr:clientData/>
  </xdr:twoCellAnchor>
  <xdr:twoCellAnchor>
    <xdr:from>
      <xdr:col>3</xdr:col>
      <xdr:colOff>259080</xdr:colOff>
      <xdr:row>21</xdr:row>
      <xdr:rowOff>15240</xdr:rowOff>
    </xdr:from>
    <xdr:to>
      <xdr:col>3</xdr:col>
      <xdr:colOff>781958</xdr:colOff>
      <xdr:row>21</xdr:row>
      <xdr:rowOff>152400</xdr:rowOff>
    </xdr:to>
    <xdr:sp macro="" textlink="">
      <xdr:nvSpPr>
        <xdr:cNvPr id="111" name="CuadroTexto 110">
          <a:extLst>
            <a:ext uri="{FF2B5EF4-FFF2-40B4-BE49-F238E27FC236}">
              <a16:creationId xmlns:a16="http://schemas.microsoft.com/office/drawing/2014/main" id="{E56BF0E8-02EB-4013-A7D8-9A73B9FC3BD0}"/>
            </a:ext>
          </a:extLst>
        </xdr:cNvPr>
        <xdr:cNvSpPr txBox="1"/>
      </xdr:nvSpPr>
      <xdr:spPr>
        <a:xfrm>
          <a:off x="2636520" y="38709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DIC</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419100</xdr:colOff>
      <xdr:row>0</xdr:row>
      <xdr:rowOff>106680</xdr:rowOff>
    </xdr:from>
    <xdr:to>
      <xdr:col>0</xdr:col>
      <xdr:colOff>1013460</xdr:colOff>
      <xdr:row>2</xdr:row>
      <xdr:rowOff>152400</xdr:rowOff>
    </xdr:to>
    <xdr:sp macro="[0]!Módulo1.VolverAlTablero" textlink="">
      <xdr:nvSpPr>
        <xdr:cNvPr id="2" name="Flecha: hacia la izquierda 1">
          <a:extLst>
            <a:ext uri="{FF2B5EF4-FFF2-40B4-BE49-F238E27FC236}">
              <a16:creationId xmlns:a16="http://schemas.microsoft.com/office/drawing/2014/main" id="{4EB4C53F-8B36-530E-A1AF-6C67D7418906}"/>
            </a:ext>
          </a:extLst>
        </xdr:cNvPr>
        <xdr:cNvSpPr/>
      </xdr:nvSpPr>
      <xdr:spPr>
        <a:xfrm>
          <a:off x="419100" y="106680"/>
          <a:ext cx="594360" cy="381000"/>
        </a:xfrm>
        <a:prstGeom prst="leftArrow">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952500</xdr:colOff>
      <xdr:row>0</xdr:row>
      <xdr:rowOff>106680</xdr:rowOff>
    </xdr:from>
    <xdr:to>
      <xdr:col>7</xdr:col>
      <xdr:colOff>198120</xdr:colOff>
      <xdr:row>2</xdr:row>
      <xdr:rowOff>60960</xdr:rowOff>
    </xdr:to>
    <xdr:sp macro="" textlink="">
      <xdr:nvSpPr>
        <xdr:cNvPr id="2" name="CuadroTexto 1">
          <a:extLst>
            <a:ext uri="{FF2B5EF4-FFF2-40B4-BE49-F238E27FC236}">
              <a16:creationId xmlns:a16="http://schemas.microsoft.com/office/drawing/2014/main" id="{DF4C4D24-8DBD-E694-5972-7027172C7709}"/>
            </a:ext>
          </a:extLst>
        </xdr:cNvPr>
        <xdr:cNvSpPr txBox="1"/>
      </xdr:nvSpPr>
      <xdr:spPr>
        <a:xfrm>
          <a:off x="5250180" y="106680"/>
          <a:ext cx="359664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600" b="1">
              <a:solidFill>
                <a:schemeClr val="bg1"/>
              </a:solidFill>
              <a:latin typeface="Arial" panose="020B0604020202020204" pitchFamily="34" charset="0"/>
              <a:cs typeface="Arial" panose="020B0604020202020204" pitchFamily="34" charset="0"/>
            </a:rPr>
            <a:t>DETALLE DE PLANES DE ACCIÓN</a:t>
          </a:r>
        </a:p>
      </xdr:txBody>
    </xdr:sp>
    <xdr:clientData/>
  </xdr:twoCellAnchor>
  <xdr:twoCellAnchor>
    <xdr:from>
      <xdr:col>12</xdr:col>
      <xdr:colOff>91440</xdr:colOff>
      <xdr:row>0</xdr:row>
      <xdr:rowOff>60960</xdr:rowOff>
    </xdr:from>
    <xdr:to>
      <xdr:col>12</xdr:col>
      <xdr:colOff>594360</xdr:colOff>
      <xdr:row>2</xdr:row>
      <xdr:rowOff>121920</xdr:rowOff>
    </xdr:to>
    <xdr:grpSp>
      <xdr:nvGrpSpPr>
        <xdr:cNvPr id="6" name="Grupo 5">
          <a:extLst>
            <a:ext uri="{FF2B5EF4-FFF2-40B4-BE49-F238E27FC236}">
              <a16:creationId xmlns:a16="http://schemas.microsoft.com/office/drawing/2014/main" id="{EADFCF85-4713-6299-D1AE-8FB9B9757069}"/>
            </a:ext>
          </a:extLst>
        </xdr:cNvPr>
        <xdr:cNvGrpSpPr/>
      </xdr:nvGrpSpPr>
      <xdr:grpSpPr>
        <a:xfrm>
          <a:off x="13434060" y="60960"/>
          <a:ext cx="502920" cy="426720"/>
          <a:chOff x="11003280" y="45720"/>
          <a:chExt cx="502920" cy="426720"/>
        </a:xfrm>
      </xdr:grpSpPr>
      <xdr:sp macro="[0]!Actualizar_Detalle_Dinamico" textlink="">
        <xdr:nvSpPr>
          <xdr:cNvPr id="3" name="Rectángulo 2">
            <a:extLst>
              <a:ext uri="{FF2B5EF4-FFF2-40B4-BE49-F238E27FC236}">
                <a16:creationId xmlns:a16="http://schemas.microsoft.com/office/drawing/2014/main" id="{BF22836B-E76A-C32F-4DBA-6E5E9469611A}"/>
              </a:ext>
            </a:extLst>
          </xdr:cNvPr>
          <xdr:cNvSpPr/>
        </xdr:nvSpPr>
        <xdr:spPr>
          <a:xfrm>
            <a:off x="11003280" y="60960"/>
            <a:ext cx="502920" cy="40386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pic macro="[0]!Actualizar_Detalle_Dinamico">
        <xdr:nvPicPr>
          <xdr:cNvPr id="5" name="Gráfico 4" descr="Actualizar con relleno sólido">
            <a:extLst>
              <a:ext uri="{FF2B5EF4-FFF2-40B4-BE49-F238E27FC236}">
                <a16:creationId xmlns:a16="http://schemas.microsoft.com/office/drawing/2014/main" id="{C9CD3A4D-7C64-2ADD-C7A1-5E9B58634B4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1064240" y="45720"/>
            <a:ext cx="426720" cy="426720"/>
          </a:xfrm>
          <a:prstGeom prst="rect">
            <a:avLst/>
          </a:prstGeom>
        </xdr:spPr>
      </xdr:pic>
    </xdr:grpSp>
    <xdr:clientData/>
  </xdr:twoCellAnchor>
  <xdr:twoCellAnchor>
    <xdr:from>
      <xdr:col>0</xdr:col>
      <xdr:colOff>213360</xdr:colOff>
      <xdr:row>0</xdr:row>
      <xdr:rowOff>76200</xdr:rowOff>
    </xdr:from>
    <xdr:to>
      <xdr:col>0</xdr:col>
      <xdr:colOff>670560</xdr:colOff>
      <xdr:row>2</xdr:row>
      <xdr:rowOff>83820</xdr:rowOff>
    </xdr:to>
    <xdr:sp macro="[0]!Módulo3.VolverAlTablero" textlink="">
      <xdr:nvSpPr>
        <xdr:cNvPr id="7" name="Flecha: hacia la izquierda 6">
          <a:extLst>
            <a:ext uri="{FF2B5EF4-FFF2-40B4-BE49-F238E27FC236}">
              <a16:creationId xmlns:a16="http://schemas.microsoft.com/office/drawing/2014/main" id="{E887F2C6-612E-D81B-85A2-415971A96D3C}"/>
            </a:ext>
          </a:extLst>
        </xdr:cNvPr>
        <xdr:cNvSpPr/>
      </xdr:nvSpPr>
      <xdr:spPr>
        <a:xfrm>
          <a:off x="213360" y="76200"/>
          <a:ext cx="457200" cy="373380"/>
        </a:xfrm>
        <a:prstGeom prst="leftArrow">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editAs="oneCell">
    <xdr:from>
      <xdr:col>11</xdr:col>
      <xdr:colOff>228600</xdr:colOff>
      <xdr:row>0</xdr:row>
      <xdr:rowOff>22860</xdr:rowOff>
    </xdr:from>
    <xdr:to>
      <xdr:col>11</xdr:col>
      <xdr:colOff>723900</xdr:colOff>
      <xdr:row>2</xdr:row>
      <xdr:rowOff>152400</xdr:rowOff>
    </xdr:to>
    <xdr:pic macro="[0]!ExportarDetalleExcel">
      <xdr:nvPicPr>
        <xdr:cNvPr id="10" name="Gráfico 9" descr="Fax contorno">
          <a:extLst>
            <a:ext uri="{FF2B5EF4-FFF2-40B4-BE49-F238E27FC236}">
              <a16:creationId xmlns:a16="http://schemas.microsoft.com/office/drawing/2014/main" id="{FF2A0EEC-48EC-C69E-F2DD-AE1686656827}"/>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2656820" y="22860"/>
          <a:ext cx="495300" cy="495300"/>
        </a:xfrm>
        <a:prstGeom prst="rect">
          <a:avLst/>
        </a:prstGeom>
      </xdr:spPr>
    </xdr:pic>
    <xdr:clientData/>
  </xdr:twoCellAnchor>
  <xdr:twoCellAnchor editAs="oneCell">
    <xdr:from>
      <xdr:col>26</xdr:col>
      <xdr:colOff>640080</xdr:colOff>
      <xdr:row>0</xdr:row>
      <xdr:rowOff>68580</xdr:rowOff>
    </xdr:from>
    <xdr:to>
      <xdr:col>29</xdr:col>
      <xdr:colOff>78740</xdr:colOff>
      <xdr:row>4</xdr:row>
      <xdr:rowOff>582295</xdr:rowOff>
    </xdr:to>
    <mc:AlternateContent xmlns:mc="http://schemas.openxmlformats.org/markup-compatibility/2006" xmlns:a14="http://schemas.microsoft.com/office/drawing/2010/main">
      <mc:Choice Requires="a14">
        <xdr:graphicFrame macro="">
          <xdr:nvGraphicFramePr>
            <xdr:cNvPr id="4" name="SegMes">
              <a:extLst>
                <a:ext uri="{FF2B5EF4-FFF2-40B4-BE49-F238E27FC236}">
                  <a16:creationId xmlns:a16="http://schemas.microsoft.com/office/drawing/2014/main" id="{87160453-2009-AE58-8822-B05B89B3656B}"/>
                </a:ext>
              </a:extLst>
            </xdr:cNvPr>
            <xdr:cNvGraphicFramePr/>
          </xdr:nvGraphicFramePr>
          <xdr:xfrm>
            <a:off x="0" y="0"/>
            <a:ext cx="0" cy="0"/>
          </xdr:xfrm>
          <a:graphic>
            <a:graphicData uri="http://schemas.microsoft.com/office/drawing/2010/slicer">
              <sle:slicer xmlns:sle="http://schemas.microsoft.com/office/drawing/2010/slicer" name="SegMes"/>
            </a:graphicData>
          </a:graphic>
        </xdr:graphicFrame>
      </mc:Choice>
      <mc:Fallback xmlns="">
        <xdr:sp macro="" textlink="">
          <xdr:nvSpPr>
            <xdr:cNvPr id="0" name=""/>
            <xdr:cNvSpPr>
              <a:spLocks noTextEdit="1"/>
            </xdr:cNvSpPr>
          </xdr:nvSpPr>
          <xdr:spPr>
            <a:xfrm>
              <a:off x="29420820" y="68580"/>
              <a:ext cx="1828800" cy="258127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1249997" createdVersion="8" refreshedVersion="8" minRefreshableVersion="3" recordCount="50" xr:uid="{3D556255-2D8F-49A1-B6A6-A8791B50BC2D}">
  <cacheSource type="worksheet">
    <worksheetSource name="TablaResumen"/>
  </cacheSource>
  <cacheFields count="28">
    <cacheField name="Plan Auditoría" numFmtId="0">
      <sharedItems count="4">
        <s v="PLAN DE MEJORAMIENTO VIGENCIA 2023"/>
        <s v="PLAN DE MEJORAMIENTO VIGENCIA 2024"/>
        <s v="PLAN DE MEJORAMIENTO VIGENCIA 2025"/>
        <s v="PLAN DE MEJORAMIENTO VIGENCIA 2026"/>
      </sharedItems>
    </cacheField>
    <cacheField name="Auditoría" numFmtId="0">
      <sharedItems count="18">
        <s v="Proyecto ZPP (20240310026682)"/>
        <s v="Auditoría Requerimientos (20250110002803)"/>
        <s v="Auditoría Gestión Financiera (20240110040203)"/>
        <s v="Auditoría Contratación (20250110007093)"/>
        <s v="Auditoría Servicios Conexos (20250110018563)"/>
        <s v="Auditoría al Programa de Seguridad Vial (20250110031663)"/>
        <s v="Auditoría – Índice de Transparencia y Acceso a la Información –ITA (20250110033183)"/>
        <s v="Operativos de Control Externo (20250110018323)"/>
        <s v="Servicio al Ciudadano (20250110042183)"/>
        <s v="Auditoría al Cierre del Almacén (20250110045533)"/>
        <s v="Auditoría Gobierno Corporativo, Transparencia y Conflicto de Intereses (20250110041653)"/>
        <s v="Auditoría AIU - Temporales (20250110024753)"/>
        <s v="Auditoría Evaluación al Ambiente de TI (20250110045483)"/>
        <s v="Auditoría – Investigación Interna – Queja recibida de la Oficina de Control Interno de la Secretaría Distrital de Movilidad (20250110037763)"/>
        <s v="Seguimiento al Derecho de Petición_x000a_radicado 20250310114332"/>
        <s v="Informe de Auditoría al Proceso Gestión de Parqueaderos en Vía (ZPP) 20260110007943"/>
        <s v="Auditoría – Proceso de Contratación, Supervisión e Interventoría 20261200015083"/>
        <s v="Migración de datos a la nube 20261200022073 "/>
      </sharedItems>
    </cacheField>
    <cacheField name="Responsable" numFmtId="0">
      <sharedItems count="24">
        <s v="SUB GERENCIA DE SERVICIOS OPERACIONALES E INFRAESTRUCTURA"/>
        <s v="DIRECCIÓN DE GESTIÓN HUMANA"/>
        <s v="SUB GERENCIA JURÍDICA"/>
        <s v="DIRECCIÓN DE INFRAESTRUCTURA"/>
        <s v="DIRECCIÓN DE GESTIÓN FINANCIERA"/>
        <s v="DIRECCIÓN DE RECURSOS TECNOLÓGICOS"/>
        <s v="SUB GERENCIA CORPORATIVA"/>
        <s v="DIRECCIÓN DE RECURSOS FÍSICOS Y NEGOCIOS"/>
        <s v="DIRECCIÓN DE RECURSOS FÍSICOS Y NEGOCIOS_x000a_DIRECCIÓN DE SERVICIO AL CIUDADANO"/>
        <s v="DIRECCIÓN DE RECURSOS FÍSICOS Y NEGOCIOS_x000a_DIRECCIÓN DE SERVICIO AL CIUDADANO_x000a_SUB GERENCIA DE PLANEACIÓN Y PROYECTOS_x000a_DIRECCIÓN DE GESTIÓN FINANCIERA"/>
        <s v="DIRECCIÓN DE SERVICIO AL CIUDADANO"/>
        <s v="SUB GERENCIA CORPORATIVA_x000a_SUB GERENCIA DE PLANEACIÓN Y PROYECTOS"/>
        <s v="SUB GERENCIA DE PLANEACIÓN Y PROYECTOS"/>
        <s v="DIRECCIÓN DE SERVICIO AL TRANSPORTADOR"/>
        <s v="SUB GERENCIA DE SERVICIOS OPERACIONALES E INFRAESTRUCTURADIRECCIÓN DE RECURSOS TECNOLÓGICOS"/>
        <s v="SUB GERENCIA DE SERVICIOS OPERACIONALES E INFRAESTRUCTURA_x000a_DIRECCIÓN DE SERVICIO AL TRANSPORTADOR"/>
        <s v="SUB GERENCIA DE SERVICIOS OPERACIONALES E INFRAESTRUCTURA_x000a_DIRECCIÓN DE RECURSOS TECNOLÓGICOS"/>
        <s v="OFICINA DE COMUNICACIONES"/>
        <s v="DIRECCIÓN DE SERVICIO AL CIUDADANO_x000a_SUB GERENCIA DE PLANEACIÓN Y PROYECTOS"/>
        <s v="SUB GERENCIA JURÍDICA_x000a_SUB GERENCIA CORPORATIVA_x000a_SUB GERENCIA DE SERVICIOS OPERACIONALES E INFRAESTRUCTURA"/>
        <s v="OFICIAL DE CUMPLIMIENTO_x000a__x000a_DIRECCIÓN DE GESTIÓN HUMANA"/>
        <s v="SUB GERENCIA JURÍDICA_x000a__x000a_SUB GERENCIA DE PLANEACIÓN Y PROYECTOS"/>
        <s v="DIRECCIÓN DE SEGURIDAD OPERACIONAL"/>
        <s v="DIRECCIÓN DE RECURSOS TECNOLÓGICOS_x000a__x000a_SUB GERENCIA DE PLANEACIÓN Y PROYECTOS"/>
      </sharedItems>
    </cacheField>
    <cacheField name="No. Hallazgos" numFmtId="0">
      <sharedItems containsSemiMixedTypes="0" containsString="0" containsNumber="1" containsInteger="1" minValue="0" maxValue="25"/>
    </cacheField>
    <cacheField name="No. Planes de Acción" numFmtId="0">
      <sharedItems containsSemiMixedTypes="0" containsString="0" containsNumber="1" containsInteger="1" minValue="0" maxValue="26"/>
    </cacheField>
    <cacheField name="Abiertos" numFmtId="0">
      <sharedItems containsSemiMixedTypes="0" containsString="0" containsNumber="1" containsInteger="1" minValue="0" maxValue="12"/>
    </cacheField>
    <cacheField name="Finalizados" numFmtId="0">
      <sharedItems containsSemiMixedTypes="0" containsString="0" containsNumber="1" containsInteger="1" minValue="0" maxValue="25"/>
    </cacheField>
    <cacheField name="Vencidos" numFmtId="0">
      <sharedItems containsSemiMixedTypes="0" containsString="0" containsNumber="1" containsInteger="1" minValue="0" maxValue="6"/>
    </cacheField>
    <cacheField name="Sin plan de acción" numFmtId="0">
      <sharedItems containsSemiMixedTypes="0" containsString="0" containsNumber="1" containsInteger="1" minValue="0" maxValue="1"/>
    </cacheField>
    <cacheField name="Alto " numFmtId="0">
      <sharedItems containsSemiMixedTypes="0" containsString="0" containsNumber="1" containsInteger="1" minValue="0" maxValue="10"/>
    </cacheField>
    <cacheField name="Medio" numFmtId="0">
      <sharedItems containsSemiMixedTypes="0" containsString="0" containsNumber="1" containsInteger="1" minValue="0" maxValue="5"/>
    </cacheField>
    <cacheField name="Bajo" numFmtId="0">
      <sharedItems containsSemiMixedTypes="0" containsString="0" containsNumber="1" containsInteger="1" minValue="0" maxValue="3"/>
    </cacheField>
    <cacheField name="Alerta 10 días" numFmtId="0">
      <sharedItems containsSemiMixedTypes="0" containsString="0" containsNumber="1" containsInteger="1" minValue="0" maxValue="0"/>
    </cacheField>
    <cacheField name="Alerta 20 días" numFmtId="0">
      <sharedItems containsSemiMixedTypes="0" containsString="0" containsNumber="1" containsInteger="1" minValue="0" maxValue="0"/>
    </cacheField>
    <cacheField name="Alerta 30 días" numFmtId="0">
      <sharedItems containsSemiMixedTypes="0" containsString="0" containsNumber="1" containsInteger="1" minValue="0" maxValue="0"/>
    </cacheField>
    <cacheField name="Alerta 5 días" numFmtId="0">
      <sharedItems containsSemiMixedTypes="0" containsString="0" containsNumber="1" containsInteger="1" minValue="0" maxValue="0"/>
    </cacheField>
    <cacheField name="Ene" numFmtId="0">
      <sharedItems containsSemiMixedTypes="0" containsString="0" containsNumber="1" containsInteger="1" minValue="0" maxValue="2"/>
    </cacheField>
    <cacheField name="Feb" numFmtId="0">
      <sharedItems containsSemiMixedTypes="0" containsString="0" containsNumber="1" containsInteger="1" minValue="0" maxValue="2"/>
    </cacheField>
    <cacheField name="Mar" numFmtId="0">
      <sharedItems containsSemiMixedTypes="0" containsString="0" containsNumber="1" containsInteger="1" minValue="0" maxValue="0"/>
    </cacheField>
    <cacheField name="Abr" numFmtId="0">
      <sharedItems containsSemiMixedTypes="0" containsString="0" containsNumber="1" containsInteger="1" minValue="0" maxValue="1"/>
    </cacheField>
    <cacheField name="May" numFmtId="0">
      <sharedItems containsSemiMixedTypes="0" containsString="0" containsNumber="1" containsInteger="1" minValue="0" maxValue="0"/>
    </cacheField>
    <cacheField name="Jun" numFmtId="0">
      <sharedItems containsSemiMixedTypes="0" containsString="0" containsNumber="1" containsInteger="1" minValue="0" maxValue="4"/>
    </cacheField>
    <cacheField name="Jul" numFmtId="0">
      <sharedItems containsSemiMixedTypes="0" containsString="0" containsNumber="1" containsInteger="1" minValue="0" maxValue="0"/>
    </cacheField>
    <cacheField name="Ago" numFmtId="0">
      <sharedItems containsSemiMixedTypes="0" containsString="0" containsNumber="1" containsInteger="1" minValue="0" maxValue="0"/>
    </cacheField>
    <cacheField name="Sep" numFmtId="0">
      <sharedItems containsSemiMixedTypes="0" containsString="0" containsNumber="1" containsInteger="1" minValue="0" maxValue="0"/>
    </cacheField>
    <cacheField name="Oct" numFmtId="0">
      <sharedItems containsSemiMixedTypes="0" containsString="0" containsNumber="1" containsInteger="1" minValue="0" maxValue="0"/>
    </cacheField>
    <cacheField name="Nov" numFmtId="0">
      <sharedItems containsSemiMixedTypes="0" containsString="0" containsNumber="1" containsInteger="1" minValue="0" maxValue="0"/>
    </cacheField>
    <cacheField name="Dic" numFmtId="0">
      <sharedItems containsSemiMixedTypes="0" containsString="0" containsNumber="1" containsInteger="1" minValue="0" maxValue="0"/>
    </cacheField>
  </cacheFields>
  <extLst>
    <ext xmlns:x14="http://schemas.microsoft.com/office/spreadsheetml/2009/9/main" uri="{725AE2AE-9491-48be-B2B4-4EB974FC3084}">
      <x14:pivotCacheDefinition pivotCacheId="24184439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2060182" createdVersion="8" refreshedVersion="8" minRefreshableVersion="3" recordCount="50" xr:uid="{51FECDC3-3171-47E6-9A74-1A6DAFC9CCE2}">
  <cacheSource type="worksheet">
    <worksheetSource ref="A1:O51" sheet="Resumen"/>
  </cacheSource>
  <cacheFields count="15">
    <cacheField name="Plan Auditoría" numFmtId="0">
      <sharedItems/>
    </cacheField>
    <cacheField name="Auditoría" numFmtId="0">
      <sharedItems/>
    </cacheField>
    <cacheField name="Responsable" numFmtId="0">
      <sharedItems/>
    </cacheField>
    <cacheField name="No. Hallazgos" numFmtId="0">
      <sharedItems containsSemiMixedTypes="0" containsString="0" containsNumber="1" containsInteger="1" minValue="0" maxValue="25"/>
    </cacheField>
    <cacheField name="No. Planes de Acción" numFmtId="0">
      <sharedItems containsSemiMixedTypes="0" containsString="0" containsNumber="1" containsInteger="1" minValue="0" maxValue="26"/>
    </cacheField>
    <cacheField name="Abiertos" numFmtId="0">
      <sharedItems containsSemiMixedTypes="0" containsString="0" containsNumber="1" containsInteger="1" minValue="0" maxValue="12"/>
    </cacheField>
    <cacheField name="Finalizados" numFmtId="0">
      <sharedItems containsSemiMixedTypes="0" containsString="0" containsNumber="1" containsInteger="1" minValue="0" maxValue="25"/>
    </cacheField>
    <cacheField name="Vencidos" numFmtId="0">
      <sharedItems containsSemiMixedTypes="0" containsString="0" containsNumber="1" containsInteger="1" minValue="0" maxValue="6"/>
    </cacheField>
    <cacheField name="Sin plan de acción" numFmtId="0">
      <sharedItems containsSemiMixedTypes="0" containsString="0" containsNumber="1" containsInteger="1" minValue="0" maxValue="1"/>
    </cacheField>
    <cacheField name="Alto " numFmtId="0">
      <sharedItems containsSemiMixedTypes="0" containsString="0" containsNumber="1" containsInteger="1" minValue="0" maxValue="10"/>
    </cacheField>
    <cacheField name="Medio" numFmtId="0">
      <sharedItems containsSemiMixedTypes="0" containsString="0" containsNumber="1" containsInteger="1" minValue="0" maxValue="5"/>
    </cacheField>
    <cacheField name="Bajo" numFmtId="0">
      <sharedItems containsSemiMixedTypes="0" containsString="0" containsNumber="1" containsInteger="1" minValue="0" maxValue="3"/>
    </cacheField>
    <cacheField name="Alerta 10 días" numFmtId="0">
      <sharedItems containsSemiMixedTypes="0" containsString="0" containsNumber="1" containsInteger="1" minValue="0" maxValue="0"/>
    </cacheField>
    <cacheField name="Alerta 20 días" numFmtId="0">
      <sharedItems containsSemiMixedTypes="0" containsString="0" containsNumber="1" containsInteger="1" minValue="0" maxValue="0"/>
    </cacheField>
    <cacheField name="Alerta 30 días" numFmtId="0">
      <sharedItems containsSemiMixedTypes="0" containsString="0" containsNumber="1" containsInteger="1" minValue="0" maxValue="0"/>
    </cacheField>
  </cacheFields>
  <extLst>
    <ext xmlns:x14="http://schemas.microsoft.com/office/spreadsheetml/2009/9/main" uri="{725AE2AE-9491-48be-B2B4-4EB974FC3084}">
      <x14:pivotCacheDefinition pivotCacheId="1624763498"/>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2291667" createdVersion="8" refreshedVersion="8" minRefreshableVersion="3" recordCount="146" xr:uid="{5CB1237A-7606-45DA-8661-1059E52DF917}">
  <cacheSource type="worksheet">
    <worksheetSource ref="A1:S147" sheet="Base de datos"/>
  </cacheSource>
  <cacheFields count="22">
    <cacheField name=" Plan Auditoría" numFmtId="0">
      <sharedItems count="3">
        <s v="PLAN DE MEJORAMIENTO VIGENCIA 2023"/>
        <s v="PLAN DE MEJORAMIENTO VIGENCIA 2024"/>
        <s v="PLAN DE MEJORAMIENTO VIGENCIA 2025"/>
      </sharedItems>
    </cacheField>
    <cacheField name="Auditoría" numFmtId="0">
      <sharedItems count="16">
        <s v="Proyecto ZPP (20240310026682)"/>
        <s v="Auditoría Requerimientos (20250110002803)"/>
        <s v="Auditoría Gestión Financiera (20240110040203)"/>
        <s v="Auditoría Contratación (20250110007093)"/>
        <s v="Auditoría Servicios Conexos (20250110018563)"/>
        <s v="Auditoría al Programa de Seguridad Vial (20250110031663)"/>
        <s v="Auditoría – Índice de Transparencia y Acceso a la Información –ITA (20250110033183)"/>
        <s v="Operativos de Control Externo (20250110018323)"/>
        <s v="Servicio al Ciudadano (20250110042183)"/>
        <s v="Auditoría al Cierre del Almacén (20250110045533)"/>
        <s v="Auditoría Gobierno Corporativo, Transparencia y Conflicto de Intereses (20250110041653)"/>
        <s v="Auditoría AIU - Temporales (20250110024753)"/>
        <s v="Auditoría Evaluación al Ambiente de TI (20250110045483)"/>
        <s v="Auditoría – Investigación Interna – Queja recibida de la Oficina de Control Interno de la Secretaría Distrital de Movilidad (20250110037763)"/>
        <s v="Seguimiento al Derecho de Petición_x000a_radicado 20250310114332"/>
        <s v="Informe de Auditoría al Proceso Gestión de Parqueaderos en Vía (ZPP) 20260110007943"/>
      </sharedItems>
    </cacheField>
    <cacheField name="Titulo del Hallazgo" numFmtId="0">
      <sharedItems containsBlank="1" count="99" longText="1">
        <s v="3.1 Se identificaron partidas conciliatorias que persisten mes a mes durante el año."/>
        <s v="3.2 cuentas de caja denominadas “ZPP Caja efectivo” por valor de $61.835.491 y ”ZPP Caja electrónica” por valor de $9.914.000, que deberían cerrar en cero cada mes."/>
        <s v="3.3 El procedimiento de recaudo, conciliaciones y cierre se encuentran en elaboración."/>
        <s v="3.4 El balance de prueba en la sub cuenta 991510020103 - ZPP caja bases DB al corte 31 de julio de 2023 cierra con un saldo de $22.800.000, saldo que no presenta movimiento en el año 2023  y corresponde a un saldo acumulado de cierre año 2022. (…)"/>
        <m/>
        <s v="3.5 Incumplimiento de la cláusula tercera del contrato de fiducia mercantil, cómo de la cláusula séptima del contrato interadministrativo 2021-2470, suscrito entre la Terminal de Transporte y la Secretaría de Movilidad."/>
        <s v="3.6 El proyecto no suministró la certificación emitida a la fiduciaria que permitiera al equipo auditor validar el cumplimiento de la cláusula décima primera del contrato de fiducia."/>
        <s v="3.6.1 El modelo financiero no se ajusta a la realidad operativa del proyecto dificultando el cumplimiento de las proyecciones, por lo que sería importante evaluar junto con la SDM si se debe ajustar a una nueva versión."/>
        <s v="3.7 Los informes mensuales de abril, mayo, junio y siguientes del año 2023 solicitados no fueron cargados debido a que se encuentran en revisión por parte de la Secretaria Distrital de Movilidad."/>
        <s v="3.8 Cuantías menores de sobrantes y faltantes continuos, que se han fortalecido con capacitaciones a facilitadores, supervisión constante y de acompañamiento por parte del equipo auditor"/>
        <s v="3.9 La integración de la información operativa (con efecto contable) procesada en la solución omnicanal con la aplicación ERP informa WEB de RSN Soltions, es manual y se soporta en una conciliación diaria."/>
        <s v="3.10 Las actividades de gestión y control del acceso lógico de cuentas de usuario final no se encuentran documentadas"/>
        <s v="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
        <s v="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
        <s v="3.13 Dentro del proceso verbal de contratación con los usuarios no se deja evidencia de la explicación de los términos y condiciones a este pues toda la transacción se realiza verbalmente."/>
        <s v="3.14 Para los usuarios del sistema IOS, los términos y condiciones del contrato - operador al ingresar a la opción términos y condiciones no están actualizados y no llegan por ningún medio posterior a registro en la App."/>
        <s v="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
        <s v="3.16 En el seguimiento a las PQRSDF se determina que 895 registros exceden los tiempos limite previstos por la norma para la debida respuesta, sin embargo se muestra mejoría durante los años 2022 y 2023, de igual forma se debe continuar monitoreando los tiempos de respuesta"/>
        <s v="3.18  Los soporte del registro de medición de los indicadores, no soportan la totalidad de los indicadores, ni cumplen con los requisitos indicados."/>
        <s v="3.19 La Secretaría de Movilidad no dispone del acceso en modo consulta para visualizar el grado de cumplimiento de los ANS."/>
        <s v="3.20 Se identificaron situaciones respecto a las señalizaciones en las áreas de implementación que pueden afectar el normal desarrollo del proyecto, debido a la dificultad de los usuarios para accederá las zonas de parqueo pago y la dificultad para acceder a la información."/>
        <s v="3.21 A corte 30 de junio de 2023, no se identifican procedimiento o reconocimiento contable de las cuentas por cobrar por concepto de evasión ($357.320.650) definido en el modelo financiero."/>
        <s v="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
        <s v="3.23 El reconocimiento discontinuo de los gastos del proyecto, pueden llevar a tomas de decisiones equivocas por no contar con la información completa de la operación dentro de la contabilidad del proyecto."/>
        <s v="3.24 Se identificaron contratos que no cuentan con el debido cargue en el secop, de la totalidad de los informes de actividades que dan cuenta de la ejecución del contrato."/>
        <s v="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
        <s v="Se identificó que el abogado contratista Omar Arturo Calderón Zaque, con número de contrato TT-171-2024 se apartó del proceso de selección TT-SPO-08-2024 sin previa confirmación de la decisión por parte del supervisor del contrato (Dirección de Gestión Humana).  (...)"/>
        <s v="Inconsistencia en los criterios de ponderación de experiencia adicional respecto a procesos de objeto similar."/>
        <s v="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quot;CONSORCIO SERVICIOS TEMPORALES&quot; inicialmente se calificó_x000a_como &quot;No hábil&quot;. (...)"/>
        <s v="Desalineación en la vigencia de la garantía de Responsabilidad Civil Extracontractual frente al plazo de ejecución contractual."/>
        <s v="Insuficiencia en el amparo de riesgos de la Garantía Única del Contrato TT-194-2024."/>
        <s v="Incumplimiento de los Acuerdos de Niveles de Servicio (ANS) en el pago de nómina del contrato TT-214-2024."/>
        <s v="Incumplimiento del principio de publicidad y transparencia por falta de cargue de informes de ejecución en SECOP II."/>
        <s v="Deficiencias en el diseño y ejecución del control de seguimiento a la Planificación Financiera y Entes de Control."/>
        <s v="Inconsistencia en la determinación del destino económico y aplicación de tarifa impositiva del predio CHIP AAA0077FYUH."/>
        <s v="Inefectividad del control de tesorería y materialización de riesgos por pago extemporáneo de obligaciones tributarias."/>
        <s v="Debilidades en el control de integraciones operativas y falta de formalidad en la gestión de accesos a plataformas tributarias."/>
        <s v="Incumplimiento en la ejecución de la reinversión del 1% y falta de evidencia en la entrega de bienes del Plan de Bienestar del Contrato TT-135-2023."/>
        <s v="Incumplimiento de los términos legales y contractuales para la liquidación del Contrato TT-67-2022."/>
        <s v="Incumplimiento en la afiliación a ARL durante la ejecución contractual"/>
        <s v="Omisión de los servicios conexos como fuente de ingreso en los planes de acción del Plan Estratégico"/>
        <s v="Debilidades en el control y seguimiento del recaudo de servicios conexos"/>
        <s v="Incumplimiento del procedimiento de control de recaudo en el servicio de baños"/>
        <s v="Debilidades en la supervisión y control del contrato de mantenimiento de torniquetes y registradoras"/>
        <s v="Debilidades en la gestión y control de equipajes olvidados en guarda equipaje"/>
        <s v="Debilidades en los mecanismos de seguridad y control del servicio de guarda equipaje"/>
        <s v="Incumplimiento en la gestión de autorización para el tratamiento de datos personales en guarda equipaje"/>
        <s v="Inconsistencias entre el inventario físico y el registro en el sistema de guarda equipaje"/>
        <s v="Alto número de quejas por deficiencias en el servicio de taxis"/>
        <s v="Pago de pruebas de alcoholimetría sin evidencia de ejecución"/>
        <s v="Debilidades en cobertura de pruebas de alcoholimetría"/>
        <s v="Debilidades en el seguimiento a la cobertura médica"/>
        <s v="Limitaciones del sistema web para la descarga histórica de pruebas y exámenes"/>
        <s v="Desalineación normativa"/>
        <s v="Debilidades en el funcionamiento del comité del PSV"/>
        <s v="Falta de publicación de otrosí 3 e informes de supervisión en SECOP Il"/>
        <s v="Saltos en consecutivos de registros de alcoholimetría que afectan la trazabilidad"/>
        <s v="Desactualización de la base de datos de conductores en GOPETT"/>
        <s v="Publicación de información sensible del Manual de Identidad Corporativa en el sitio web institucional"/>
        <s v="Incumplimiento de criterios de accesibilidad en documentos publicados en canales digitales"/>
        <s v="Información incompleta y errores de acceso en el organigrama institucional publicado"/>
        <s v="Ausencia de rotación del personal en áreas sensibles"/>
        <s v="Debilidades en la aplicación de medidas frente a evasiones de la tasa de uso"/>
        <s v="Debilidades en la identificación y seguimiento de peligros en SST"/>
        <s v="Procedimiento de Operativos de Control Externo desactualizado"/>
        <s v="Ausencia de documentos asociados en el SIG"/>
        <s v="Uso de formato no documentado en el SIG ni en el procedimiento"/>
        <s v="Uso ineficiente del vehículo institucional frente a su capacidad operativa"/>
        <s v="Eliminación de registros en el SDQS sin trazabilidad ni validación"/>
        <s v="Disminución en la calidad de las respuestas a peticiones ciudadanas"/>
        <s v="Falta de plan de acción y seguimiento a resultados de encuesta de satisfacción"/>
        <s v="Falta de análisis cualitativo en el seguimiento de peticiones"/>
        <s v="Operarios sin certificación como Primer Respondiente"/>
        <s v="Deficiencias en botiquines y falta de continuidad del servicio"/>
        <s v="Falta de publicación de informes de supervisión en SECOP II"/>
        <s v="Debilidades en la trazabilidad de controles y formalización de custodia en la Política GMC-PO01"/>
        <s v="Diseño ineficaz de controles de capacitación (R34 y R36) y permanencia de Riesgo Residual Alto"/>
        <s v="Ingreso a almacén sin aval técnico"/>
        <s v="Compras por caja menor no ingresadas al almacén"/>
        <s v="Entrega de bienes fuera de contrato"/>
        <s v="Equipos institucionales sin acta de devolución"/>
        <s v="Falta de lineamientos para inventario de consumo controlado"/>
        <s v="Bajo nivel de cumplimiento del PTEP 2025 "/>
        <s v="Declaraciones de conflicto incompletas"/>
        <s v="Incumplimiento en la gestión de las responsabilidades de los gestores de integridad"/>
        <s v="Código de Gobierno y Política de Integridad desactualizados"/>
        <s v="Debilidades en la estructuración del estudio de mercado"/>
        <s v="Falta de pluralidad de oferentes"/>
        <s v="Falta de justificación en variación del AIU"/>
        <s v="Estudios previos no publicados en SECOP II"/>
        <s v="Vulnerabilidad en gestión de credenciales (buzón compartido)"/>
        <s v="Obsolescencia de sistemas y brechas en el control de acceso"/>
        <s v="Vacío procedimental en metodología para ofertas bajas"/>
        <s v="Ausencia de claridad y fondo en respuesta a petición"/>
        <s v="Incumplimiento de tiempos en traslado de PQRS"/>
        <s v="Debilidades en el control de transporte y custodia de valores"/>
        <s v="Debilidades en las Especificacioens técnicas que limitan la verificación del contrato"/>
        <s v="Gastos no operativos y formatos no oficiales en caja menor"/>
        <s v="Inconsistencia entre procedimientos y operación actual"/>
      </sharedItems>
    </cacheField>
    <cacheField name="Transcribir el del Hallazgo o Situación Evidenciada" numFmtId="0">
      <sharedItems containsBlank="1" longText="1"/>
    </cacheField>
    <cacheField name="Nivel del Riesgo" numFmtId="0">
      <sharedItems containsBlank="1" count="4">
        <m/>
        <s v="Medio"/>
        <s v="Alto"/>
        <s v="Bajo"/>
      </sharedItems>
    </cacheField>
    <cacheField name="Plan de Acción " numFmtId="0">
      <sharedItems containsBlank="1" count="143" longText="1">
        <s v="Conciliaciones de partidas con corte a 31 de diciembre de 2023 y 31 de enero de 2024 "/>
        <s v="Enviar a la Dirección Financiera reporte mensual de la depuración de cuentas."/>
        <s v="Elaboración e implementación del procedimiento de recaudo, conciliaciones y cierre."/>
        <s v="Llevar a cabo una mesa de trabajo entre la Dirección de Gestión Humana, la Subgerencia Jurídica y Zona de Parqueo Pago, para analizar el estado de la devolución del dinero adeudado_x000a__x000a_Cambio Plan de acción radicado 20250040044083_x000a__x000a_1. Realizar un informe detallado de la situación del  hallazgo, las diferentes gestiones realizadas y el estado contable del mismo."/>
        <s v="2.Socialización del informe en el Comité  Financiero de la Terminal de Transporte S.A."/>
        <s v="Revisión por parte del área jurídica de la minuta al otro si del contrato fiduciario. Una vez revisado se procede a realizar las siguientes actividades:_x000a_1. Envío de la minuta al otro si a la Fiduciario._x000a_2. Revisión por parte de la fiducia y comentarios."/>
        <s v="Entregar a la fiduciaria dentro de los cinco (5) primeros días hábiles de cada mes, una certificación debidamente suscrita por el revisor fiscal o contador, según corresponda y por el representante legal del fidecomitente."/>
        <s v="Formalización de proyecciones financieras ante la Secretaría Distrital de Movilidad."/>
        <s v="Remitir los informes en sus diferentes periodicidades a la SDM en cumplimiento a la cláusula 16 del contrato interadministrativo"/>
        <s v="1. Matriz de seguimiento de arqueos._x000a_2. Convocatoria a la reinducción del Power BI._x000a_3. Formatos de seguimientos, diario, semanal y mensual por área._x000a_4. Piezas de comunicaciones difundidas._x000a_5. Estrategia para pago electrónico del cepo."/>
        <s v="Seguimiento a la implementación de la interface automática implementada y probada entre la solución omnicanal y el ERP informa web de la Terminal de Transporte ._x000a_Articulación y verificación de información contable verídica."/>
        <s v="Procedimiento de administración de usuario del back documentado"/>
        <s v="Incluir en la documentación del proceso de administración de usuario del back de ZPP la creación de un manual de sistema de gestión de seguridad de la información."/>
        <s v="Documentar los cambios al software omnicanal, indicando las actividades, controles y responsables. "/>
        <s v="Estrategia de socialización permanente T&amp;C ZPP - Principio de publicidad tecnología, revisar el redireccionamiento al contrato usuario - operador (evidencia de la aceptación)."/>
        <s v="Actualización en la aplicación de modo para la visualización del contrato usuario - operador al ingresar a la opción términos y condiciones, con copia a correo para tener soporte documental."/>
        <s v="Actualización de documento y fe de erratas frente a versión previa."/>
        <s v="Informe mensual del tablero de control de las PQRSDF relacionadas con ZPP."/>
        <s v="Elaborar una matriz de seguimiento para todos los ANS, cumpliendo con los elementos solicitados."/>
        <s v="Crear un tablero de control con los ANS del Proyecto ZPP."/>
        <s v="Oficios de reporte de mantenimiento de la señalización en las áreas de implementación (periodicidad mensual)."/>
        <s v="Crear e implementar procedimiento de cartera."/>
        <s v="Establecer conciliaciones mensuales de la Terminal de Transporte y el Proyecto de ZPP."/>
        <s v="Definir las causación de provisión del gasto de las comisión mensual dentro de las políticas contables."/>
        <s v="1. Manual de supervisión actualizado._x000a_2. Cronograma de capacitaciones suministrado por la Sub Gerencia Jurídica._x000a_3. Revisiones trimestrales de los contratos a cargo del Proyect."/>
        <s v="1. Informe mensual de seguimiento a la vinculación del personal suministrado por la temporal, conforme a lo establecido en la normatividad vigente._x000a__x000a_2. Establecer un cronograma de capacitaciones para reforzar temas, tales como, llamados de atención."/>
        <s v="Se realizó el envío del documento LINEAMIENTO PARA EL REPORTE DE ANOMALIAS O DIFICULTADES EN EL DESARROLLO DE LAS ACTIVIDADES ASIGNADAS con radicado número 20250320005933.          _x000a__x000a_Con lo anterior se busca notificar normalmente que frente a cualquier circunstancia que se presente en el marco del contrato en su viabilización o ejecución se tenga claro que cualquier circunstancia que presente un giro extraordinario a lo establecido procedimentalmente debe ser notificado inmediatamente."/>
        <s v="Se plasmarán en las actas del comité de contratación las razones y justificaciones cuando existan modificaciones o inclusiones de requisitos"/>
        <s v="Elaborar y formalizar un manual de gestión del mercado donde se definan los lineamientos técnicos para las invitaciones a cotizar y se establezcan todos los criterios y condiciones especiales que afecten la estructura de costos de las cotizaciones. Además, donde se establezcan mecanismos para consulta de bases de datos especializadas y datos históricos y adicionalmente, para garantizar la objetividad de la selección de la media estadística en casos donde la dispersión de datos sea aceptable, se establecerá un criterio de inspección aleatoria basado en la TRM (Tasa Representativa del Mercado)."/>
        <s v="Corregir la Póliza de Seguro de Responsabilidad Civil_x000a_Extracontractual número 980-74-994000011463, de acuerdo a la vigencia de ejecución del contrato, contados apartir de la suscripción del mismo."/>
        <s v="1. Realizar la consulta al corredor de seguros de la entidad sobre la explicación del contratista de no expedición por parte de la aseguradora del amparo “Daño, pérdida o hurto de maquinaria”, de conformidad las especificaciones del contrato"/>
        <s v="2. Realizar el trámite para el respectivo otrosí al contrato eliminando el amparo en cuestión."/>
        <s v="Aplicar los descuentos correspondientes en la facturación mensual por los retrasos en los pagos en el marco del contrato TT-214-2024."/>
        <s v="Cargar los informes de ejecución correspondientes a los meses de ejecución del_x000a_contrato TT-110- 2024 en la plataforma SECOP II."/>
        <s v="Crear un Procedimieto e instructivo de todos los impuestos de la terminal de transporte para establecer las responsabilidades y actuaciones frente acada tipo de tributo ."/>
        <s v="Solicitar a  los Líderes de cada área responsable de plataformas externas la entrega en sobre sellado del usuario y contraseña de acceso a cada plataforma al área de tecnología y esta a su vez hará la oficialización a través del protocolo de resguardo en caja fuerte de esta información  como lo indica la política de seguridad de la información numeral 10.3.3"/>
        <s v="Capacitar a los Líderes,  sobre los roles y responsables de seguridad de la información en la  delegación de accesos a información sensible  de cara a ejercer control (…)"/>
        <s v="Realizar mesas de trabajo con los proveedores para implementar el procedimiento  de control de cambios de la terminal esto con el fin de establecer, el alcance, los lineamiento de control para la aprobación  del cambio, evaluación de pruebas, gestión del conocimiento, pruebas de usuario final  y control de resultados para paso a producción."/>
        <s v="1. Realizar seguimiento mensual del recurso invertido con respecto al valor facturado; al igual que, del recurso presupuestado para las actividades de Bienestar con respecto al recurso efectivamente ejecutado; y en caso de rezago en  el % de ejecución (por menor valor de adquisición de bienes y/o servicios), incluir actividades adicionales. "/>
        <s v="Inclusión dentro de la matriz de seguimiento de contratos que lleva la Dirección de Gestión Humana, de la fecha máxima de liquidación de los respectivos contratos acorde a lo pactado contractualmente, con el fin de que la liquidación se realice dentro de los términos previstos por las partes. "/>
        <s v="Incluir Plan de acción que ya se envío pedir a felipe, de acuerdo al reporte se cierra"/>
        <s v="1. Inspección y actualizacion de los documentos pendientes del contrato  TT-166-2024.  en Secop II"/>
        <s v="2. Generar un comunicado interno que tendrá como objetivo asignar al técnico 3 de la Dirección de Recursos Tecnológicos la tarea de elaborar y cargar los informes correspondientes en el SECOP II."/>
        <s v="Plan de acción realizado, se validarán los documentos actualizados en el SIG"/>
        <s v="6. En caso de no aprobación, se continuará con el control de los ingresos de servicios conexos que se diligencian desde los indicadores financieros"/>
        <s v="1. Diseñar un procedimiento de verificación operativa aleatoria del recaudo aplicable a baños y excretas."/>
        <s v="Actualización del procedimiento GAD-PR05"/>
        <s v="3. Incluir en el PAA 2026 un proyecto de modernización de los controles al recaudo aplicable a baños, excretas, taxis y guardaequipaje. (Acción de largo plazo)"/>
        <s v="2. Elaborar proyección del presupuesto para los años 2026 y 2027 de servicios conexos para adicionar a la meta del OE1 (teniendo en cuenta los lineamientos en la elaboración del presupuesto desde la Subgerencia Corporativa)."/>
        <s v="Cargar los informes del contratista y el diagnostico inicial"/>
        <s v="2. Diseñar un procedimiento de verificación operativa aleatoria del recaudo aplicable taxis y guardaequipaje."/>
        <s v="Realizar una solictiud a la Direccion de Recursos Tecnologicos, con el fin de revisar el aplicativo y analizar la inclusion de los datos en la base de datos de guardaequipaje como (numero de telefono, dirección física y correo electronico)"/>
        <s v="Realizar solicitud a la Dirección de Seguridad con el fin de evaluar la instalacion de una camara de seguridad fuera y dentro del guardaequipaje"/>
        <s v="Solicitar a la Oficina de Comunicaciones un aviso en las medidas necesarias con el fin de informar a los usuarios sobre el tratamiento de datos personales"/>
        <s v="Crear un formato de inventario, que permita verificar el ingreso y la salida de los equipajes, con el fin de tener un control en cada entraga de turno y adicionalmente, quedaran en el formato que fueron dados de baja. "/>
        <s v="Implementar un control de trazabilidad de conductores reincidentes, indicando quién será el responsable de su ejecución y seguimiento._x000a__x000a_Diseñar e implementar un plan anual de formación para taxistas_x000a__x000a_Cambio plan de acción_x000a__x000a_1. Actualización del Manual de Convivencia: (Resolución 119 de 2015, modificada el 18_x000a_de agosto de 2021). La actualización incluirá los siguientes puntos:_x000a_• Faltas: Revisión y actualización de las faltas graves y leves._x000a_• Gestión de PQRS: Detalle del procedimiento para el manejo de Peticiones, Quejas,_x000a_Reclamos y Sugerencias (PQRS)._x000a_• Traslado de casos: Aclaración del proceso para el traslado de quejas a la Secretaría_x000a_de Movilidad cuando corresponda."/>
        <s v="2. Sensibilización: Realizar socialización a los conductores con respecto al cumplimiento y buen uso del manual de convivencia."/>
        <s v="3. Consolidar el presupuesto y presentar al Comité Directivo para aprobación."/>
        <s v="1. Realizar reunión con las áreas (DRFN, DSC, DGF, SPP) para validar la posiblidad de incluir los ingresos de servicios conexos en la meta del objetivo 1 del plan estratégico. "/>
        <s v="4.  De acuerdo a aprobación del Comité Directivo, incluir en la meta del OE1 del plan estratégico"/>
        <s v="5. Someter a aprobación de Junta Directiva."/>
        <s v="1. Incluir en la agenda mensual del comité de seguimiento del contrato TT-87-2022, la presentación, revisión y control de las pruebas de alcoholimetria efectivamente ejecutadas"/>
        <s v="2. Presentar las conciliaciones de las cantidades de pruebas ejecutadas y pagadas con el fin de realizar ajustes necesarios."/>
        <s v="En el software Gopett, parametrizar por empresa transportadora la cobertura del 33% de las pruebas de alcoholimetría a los despachos que generen en las rutas de influencia"/>
        <s v="1. Remitir comunicaciones de acuerdo al seguimiento realizado en el comité del contrato TT-87-2022, promoviendo en las empresas transportadoras el cumplimiento de la realización de los EMGAF en los periodos determinados "/>
        <s v="Generar una actualización en el sistema web (ADITT ASOTRANS) que permita consultas y descargas historicas de los componentes del Programa de Seguridad Vial"/>
        <s v="Solicitar la modificación de la resolución No. 21 de 2023 ajustando la terminología del marco normativo del programa de seguridad vial respecto de la destinación de los recursos"/>
        <s v="1. Realizar las citaciones al comité de seguimiento dispuestas de conformidad con la periodicidad establecida en la resolución No. 21 de 2023 o aquella que la modifique o sustituya._x000a__x000a_Incorporar en la citación la agenda incluyendo el punto a tratar sobre el informe trimestral"/>
        <s v="2. Presentar y aprobar en la última sesión del año del comité de seguimiento a los recursos del programa, el cronograma de sesiones del año siguiente"/>
        <s v="Cargar los documentos del seguimiento a la ejecución del contrato TT-87-2022, en la plataforma SECOP II"/>
        <s v="Implementar una funcionalidad en el sistema de alcoholimetria con el objetivo que la Terminal de Bogotá (Salitre - Norte - Sur) tenga su propio consecutivo"/>
        <s v="1. Reporte anual a la Dirección de Servicio al Transportador y al Consorcio ADITT ASOTRANS de conductores sin despachos activos durante el periodo señalado "/>
        <s v="2. Realizar comunicaciones a cada empresa transportadora solicitando la actualización de los conductores activos y retirados de conformidad con el procedimiento de vinculación o desvinculación por la plataforma de rodamiento"/>
        <s v="El Manual de Imagen Corporativa será desmontado de la página web de acceso público._x000a__x000a_​A partir de la fecha, el manual se alojará en un espacio de almacenamiento privado (Google Drive) al que solo podrán acceder las personas previamente autorizadas tras realizar la solicitud correspondiente._x000a__x000a_Proceso de Solicitud y Autorización_x000a_​Si requieren acceder o utilizar nuestro Manual de Imagen, deben solicitarlo directamente a la Oficina Asesora de Comunicaciones a través del siguiente correo electrónico (...)"/>
        <s v="Respuesta comunicaciones: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
        <s v="1. Revisar con cada uno de los encargados de actualizar la página web en cada una de las áreas para que carguen la información solicitada, con el fin de tener la última publicada la última versión de cada documento.  "/>
        <s v="2. Se programará en el 2026 una Reinducción de página web y de Intranet."/>
        <s v="3. Solicitar una mesa técnica al Departamento Administrativo de la Función Pública - DAFP, para validar si es posible inscribir nuevos Trámites en el SUIT._x000a_ 2. De acuerdo a resultado de la mesa técnica con el DAFP, se procederá a:_x000a_ a) Generar el(los) debido(s) registros de inscripción; o,_x000a_ b) Justificar la no inscripción ante el SUIT."/>
        <s v="4. Solicitar la guía de evaluación al ente rector (Secretaría de Movilidad) y públicarla."/>
        <s v="Rotar al personal que actualmente se encuentra asignado para el desarrollo de los operativos de control externo, y realizar una mesa de trabajo con Gestión Humana para definir riesgos y la posibilidad de incorparar personal en misión con servicio de transporte.  "/>
        <s v="1.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
        <s v="2. 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
        <s v="Solicitar a la profesional de Seguridad y Salud en el Trabajo adelantar la aplicación de las encuestas en el marco del procedimiento GTS-PR07 “Identificación de Peligros, Valoración de Riesgos y Determinación de Controles”, con el fin de estructurar adecuadamente la matriz de peligros y riesgos de la terminal en el formato GTS-FT39, dejando definido los riesgos a todo el personal operativo y en misión y facilite su seguimiento. "/>
        <s v="Actualizar el procedimiento  SOF-PR01 en el marco de nueva estrategia para el desarrollo de operativos de control externo desde la Dirección responsable de gestionar esta actividad."/>
        <s v="Realizar la revisión integral de los documentos que soportan la estrategia para el desarrollo de los operativos de control externo, con el fin de validar su vigencia, aprobación y adecuada publicación en el Sistema Integrado de Gestión."/>
        <s v="Incorporar al procedimiento que se defina para la implementación de la nueva estrategia para el desarrollo de los operativos de control externo, los documentos relacionados con las actividades para los controles que se desarrollen en el perímetro urbano de la ciudad. "/>
        <s v="Devolver el vehículo a la Dirección de Recursos Físicos, dependencia responsable de la administración y custodia de los bienes de la empresa "/>
        <s v="Revisión que se realizará en una fecha posterior  al descargue de la información mensual (dia 10 de cada mes). La cual se evidenciará a traves de un correo electronico enviado por la persona designada para dicha tarea, que para el caso es la asistente de la Dirección de Servicio al Ciudadano."/>
        <s v="1. Solicitar a la Dirección de Recursos Tecnológicos la mejora en el sistema con respecto a la identificación del peticionario. (campo de documento de identificación no obligatorio)."/>
        <s v="1. Definir y documentar la periodicidad de los seguimientos a los planes de acción."/>
        <s v="2. Realizar seguimiento a los planes de acción derivados de las encuestas, en conjunto con la Subgerencia de Planeación y Proyectos."/>
        <s v="3. Remitir un oficio con los resultados de las encuestas a las empresas transportadoras recordando tomar acciones frente al servicio que prestan los taquilleros y operarios "/>
        <s v="1. Realizar mesas de trabajo con el personal encargado del seguimiento y control de los derechos de petición de cada área."/>
        <s v="Modificación, y/o eliminación del instructivo SAC-IN05 toda vez que la información contenida en dicho instructivo no corresponde a los procedimientos actualmente desarrollados. "/>
        <s v="Garantizar la continuidad del contrato de elementos de emergencia, a traves de los procedimientos establecidos."/>
        <s v="Realizar el cargue de la información faltante "/>
        <s v="Garantizar una capacitación semestral en la cual se socializarán varios temas resorte de la Dirección de Servicio al Ciudadano, Actualización en matriz de riesgos."/>
        <s v="Modificar el procedimiento GAD-PR02 Entradas de Almacén en lo referente al traslado de bienes por reintegro al almacén, para dar claridad en el estado en el que se reciben los bienes y el motivo por el cual se devuelven al almacén"/>
        <s v="1. Registrar la entrada al almacén de los toldos plegables"/>
        <s v="2. Generar campañas a través de los medios de comunicación internos y una capacitación en la cual se recuerde y refuercen las responsabilidades que deben tener los supervisores de los contratos y todos los trabajadores al momento de gestionar la adquisición de bienes  "/>
        <s v="1. Modificar el procedimiento GAD-PR03 Salidas de Almacén en lo referente a la salida de bienes para contratistas que identifique con claridad la pertinencia y validación de asignación y las responsabilidades."/>
        <m/>
        <s v="1._x0009_Generar una mesa de trabajo con la subgerencia jurídica y la dirección de Gestión Humana que permitan establecer parámetros sobre la asignación de inventarios a contratistas y trabajadores temporales "/>
        <s v="2._x0009_Modificar el procedimiento GAD-PR03 Salidas de Almacén en lo referente a la salida de bienes, su control y devolución a la terminación del contrato."/>
        <s v="Modificar el procedimiento GAD-PR06 Toma física de inventarios en lo referente a la inclusión de los bienes de consumo controlado para su verificación y responsabilidad de la tenencia de los bienes."/>
        <s v="1. Identificar en el anexo técnico los requerimientos a cumplir frente al documento del PTEP con el fin de cerrar las brechas y elaborar plan de mejoras a realizar en el documento."/>
        <s v="2. Realizar las mesas de trabajo con las áreas involucradas por cada componente."/>
        <s v="3. Definir indicadores y la instancia a la cual se le presenta el reporte."/>
        <s v="4. Actualizar el PTEP de acuerdo al resultado obtenido de las mesas."/>
        <s v="5. Socializar y operativizar el PTEP."/>
        <s v="6. Programar (como segunda línea de defensa) el monitoreo y verificación que los responsables de cada componente, esté cumpliendo con la ejecución de las acciones planteadas en el PTEP."/>
        <s v="1. Actualizar el Procedimiento de Conflicto de intereses en: Definir roles y responsabilidaes en la recepción, almacenamiento, centralización y traslado de la declaración al Oficila de Cumplimiento y afinamiento de las responsabilidades del OC en seguimiento. Definir la periodicidad de seguimiento a las declaraciones por parte del personal responsable. Vuncular los lineamientos aplñicables del Decreto 46 de 2024 relacionado con el conflicto de intereses y la competencia de los administradores, y la aplicación del principio de deferencia al criterio empresarial."/>
        <s v="2. Realizar una campaña de comunicaciones en Conflicto de Intereses"/>
        <s v="3. Capacitación en lineamientos en Conflicto de Intereses según responsabilidades del procedimiento."/>
        <s v="4. Definir el mecansmo y formalizar junto con la Dirección de Gestión Humana las funciones, rol y responsabilidades del Oficial de Cumplimient"/>
        <s v="1. Requerir al Líder de Gestores de Integridad y las evidencias de ejecución del Plan de Trabajo 2025."/>
        <s v="2. Socializar con los líderes el plan de trabajo de 2026 de las actividades en las cuales van a participar los Gestores de Integridad. "/>
        <s v="3. Convocar a la Dirección de Gestión Humana para definir el cronograma de trabajo de la próxima vigencia, asegurando la alineación de objetivos. "/>
        <s v="4. Realizar seguimiento al cumplimiento del plan de trabajo de gestores a cargo de Gestión Humana de manera Trimestral. "/>
        <s v="5. Notificar a los jefes inmediatos sobre el nivel de cumplimiento y participación de sus colaboradores en las actividades del programa de Gestores de manera Trimestral."/>
        <s v="1. Revisar y actualizar el Código de Gobierno Corporativo"/>
        <s v="2. Revisar y actualizar la Política de Integridad"/>
        <s v="3. Socializar los documentos actualizados"/>
        <s v="1. Se establecen cartas de compromiso para vincular al equipo in-house según las necesidades de la Terminal. No se definirán perfiles específicos para garantizar la fluidez de los procesos técnicos"/>
        <s v="1. Se excluyeron los factores de ponderación para evitar un impacto desproporcionado en los costos del AIU._x000a_2. Se remite el registro histórico junto con el soporte técnico y los estudios de mercado, incluyendo la evaluación de los respectivos factores de ponderación."/>
        <s v="Establecer flujos de aprobación en la plataforma SECOP II con el fin de garantizar el cargue correcto de la documentación necesaria para adelantar los procesos de selección de la empresa"/>
        <s v="Analizar la implementación de un Gestor de Identidad."/>
        <s v="1. Realizar un diagnóstico de la obsolescencia tecnológica de la empresa."/>
        <s v="2. Revisión de los usuarios con múltiples privilegios"/>
        <s v="3. Realizar capacitación y concientización en riesgos de Ciberseguridad."/>
        <s v="4. Evaluar el alcance y cubrimiento de las Pólizas de Seguro para ataques cibernéticos."/>
        <s v="1. Elaborar un procedimiento donde se definan los criterios metodológicos estadísticos para el cálculo del presupuesto estimado en el estudio de mercado, fundamentada en la dispersión de los datos."/>
        <s v="2. Modificar y actualizar el Formato GJC-FT09 Estudio de precios de mercado donde se incluirá una columna con el porcentaje de variación con respeto a la desviación estándar y una sección de sustento metodológico para el cálculo de precios, el método de dispersión y la herramienta estadística usada."/>
        <s v="Establecer en los pliegos de condiciones y/o invitaciones a ofertar la utilización de una formula única para identificar ofertas con presuntos precios artificialmente bajos "/>
        <s v="Crear una carpeta en la que se adjunta el correo enviado, con el compromiso de responder de forma clara, precisa, congruente y de fondo respecto de lo solicitado a los derechos de petición "/>
        <s v="Crear una carpeta en la que se relacionarán los traslados por competencia, con el compromiso de tramitarlos dentro de un término máximo de cinco (5) días hábiles."/>
        <s v="1. Ajustar el procedimiento para que definan un mismo monto máximo de custodia. "/>
        <s v="2. Realizar seguimiento con el supervisor del contrato de la empresa Temporal, sobre el cumplimiento del Procedimiento que debe tener en cuenta el personal responsable del recaudo de las Zonas de Parqueo Pago. "/>
        <s v="Fortalecer la revisión técnica en la etapa precontractual mediante la implementación de un diagnóstico que sirva como insumo para la elaboración de las especificaciones técnicas de modo que contengan criterios claros, medibles y verificables (ej. capacidad de carga, autonomía y condiciones de medición), previo a la aprobación de los procesos contractuales. Así mismo, socializar estos lineamientos con las áreas involucradas y dejar evidencia de su revisión."/>
        <s v="1. Revisar y actualizar los lineamientos para el uso adecuado de la caja menor y la destinación de los rubros presupuestales."/>
        <s v="2. Definir, unificar y formalizar los formatos de solicitud y legalización de recursos en el Sistema Integrado de Gestión (SIG)."/>
        <s v="Actualizar los procedimientos ZPP-PR05 y ZPP-PR06 conforme a la operación vigente, definiendo claramente los puntos autorizados de custodia del recaudo y socializando los cambios al personal operativo para asegurar su correcta aplicación."/>
        <s v="Se realizará modificación al manual de contratación en el sentido de incluir de manera general que las formulas para efectos de los requisitos financieros en los procesos de selección, serán las que se plasmen en el estudio del sector para cada unos de los procesos de selección" u="1"/>
      </sharedItems>
    </cacheField>
    <cacheField name="Responsable" numFmtId="0">
      <sharedItems count="21">
        <s v="SUB GERENCIA DE SERVICIOS OPERACIONALES E INFRAESTRUCTURA"/>
        <s v="DIRECCIÓN DE GESTIÓN HUMANA"/>
        <s v="SUB GERENCIA JURÍDICA"/>
        <s v="DIRECCIÓN DE INFRAESTRUCTURA"/>
        <s v="DIRECCIÓN DE GESTIÓN FINANCIERA"/>
        <s v="DIRECCIÓN DE RECURSOS TECNOLÓGICOS"/>
        <s v="SUB GERENCIA CORPORATIVA"/>
        <s v="DIRECCIÓN DE RECURSOS FÍSICOS Y NEGOCIOS"/>
        <s v="DIRECCIÓN DE RECURSOS FÍSICOS Y NEGOCIOS_x000a_DIRECCIÓN DE SERVICIO AL CIUDADANO"/>
        <s v="DIRECCIÓN DE RECURSOS FÍSICOS Y NEGOCIOS_x000a_DIRECCIÓN DE SERVICIO AL CIUDADANO_x000a_SUB GERENCIA DE PLANEACIÓN Y PROYECTOS_x000a_DIRECCIÓN DE GESTIÓN FINANCIERA"/>
        <s v="DIRECCIÓN DE SERVICIO AL CIUDADANO"/>
        <s v="SUB GERENCIA CORPORATIVA_x000a_SUB GERENCIA DE PLANEACIÓN Y PROYECTOS"/>
        <s v="SUB GERENCIA DE PLANEACIÓN Y PROYECTOS"/>
        <s v="DIRECCIÓN DE SERVICIO AL TRANSPORTADOR"/>
        <s v="SUB GERENCIA DE SERVICIOS OPERACIONALES E INFRAESTRUCTURA_x000a_DIRECCIÓN DE RECURSOS TECNOLÓGICOS"/>
        <s v="SUB GERENCIA DE SERVICIOS OPERACIONALES E INFRAESTRUCTURA_x000a_DIRECCIÓN DE SERVICIO AL TRANSPORTADOR"/>
        <s v="OFICINA DE COMUNICACIONES"/>
        <s v="DIRECCIÓN DE SERVICIO AL CIUDADANO_x000a_SUB GERENCIA DE PLANEACIÓN Y PROYECTOS"/>
        <s v="SUB GERENCIA JURÍDICA_x000a_SUB GERENCIA CORPORATIVA_x000a_SUB GERENCIA DE SERVICIOS OPERACIONALES E INFRAESTRUCTURA"/>
        <s v="OFICIAL DE CUMPLIMIENTO_x000a__x000a_DIRECCIÓN DE GESTIÓN HUMANA"/>
        <s v="SUB GERENCIA JURÍDICA_x000a__x000a_SUB GERENCIA DE PLANEACIÓN Y PROYECTOS"/>
      </sharedItems>
    </cacheField>
    <cacheField name="Inicio_x000a_DD/MM/AA" numFmtId="0">
      <sharedItems containsDate="1" containsBlank="1" containsMixedTypes="1" minDate="2023-03-10T00:00:00" maxDate="2026-04-07T00:00:00"/>
    </cacheField>
    <cacheField name="Cierre_x000a_DD/MM/AA" numFmtId="0">
      <sharedItems containsDate="1" containsBlank="1" containsMixedTypes="1" minDate="2024-02-01T00:00:00" maxDate="2027-01-01T00:00:00" count="57">
        <d v="2024-02-01T00:00:00"/>
        <d v="2024-03-30T00:00:00"/>
        <d v="2024-06-30T00:00:00"/>
        <d v="2026-06-30T00:00:00"/>
        <d v="2024-05-31T00:00:00"/>
        <d v="2024-03-01T00:00:00"/>
        <d v="2024-04-30T00:00:00"/>
        <d v="2025-02-21T00:00:00"/>
        <s v="Inmediato"/>
        <d v="2025-01-24T00:00:00"/>
        <d v="2025-03-31T00:00:00"/>
        <d v="2025-04-30T00:00:00"/>
        <d v="2026-02-28T00:00:00"/>
        <d v="2025-02-24T00:00:00"/>
        <d v="2026-02-27T00:00:00"/>
        <s v=" - "/>
        <d v="2025-03-20T00:00:00"/>
        <d v="2026-01-01T00:00:00"/>
        <d v="2025-10-15T00:00:00"/>
        <d v="2026-12-31T00:00:00"/>
        <d v="2025-12-01T00:00:00"/>
        <d v="2026-02-26T00:00:00"/>
        <d v="2025-08-06T00:00:00"/>
        <d v="2025-08-12T00:00:00"/>
        <d v="2025-10-30T00:00:00"/>
        <d v="2025-12-15T00:00:00"/>
        <d v="2025-07-15T00:00:00"/>
        <d v="2026-01-10T00:00:00"/>
        <d v="2026-01-30T00:00:00"/>
        <d v="2025-10-31T00:00:00"/>
        <d v="2025-12-31T00:00:00"/>
        <d v="2026-01-31T00:00:00"/>
        <d v="2025-11-28T00:00:00"/>
        <d v="2026-01-03T00:00:00"/>
        <d v="2025-11-27T00:00:00"/>
        <d v="2026-04-17T00:00:00"/>
        <d v="2026-04-15T00:00:00"/>
        <d v="2025-08-15T00:00:00"/>
        <d v="2025-09-15T00:00:00"/>
        <d v="2025-12-10T00:00:00"/>
        <d v="2026-02-10T00:00:00"/>
        <s v="30/04/2026"/>
        <d v="2026-04-30T00:00:00"/>
        <d v="2026-05-31T00:00:00"/>
        <d v="2026-04-03T00:00:00"/>
        <d v="2026-09-30T00:00:00"/>
        <m/>
        <d v="2026-07-15T00:00:00"/>
        <d v="2026-12-30T00:00:00"/>
        <d v="2026-05-29T00:00:00"/>
        <d v="2025-02-27T00:00:00"/>
        <d v="2026-04-06T00:00:00"/>
        <d v="2026-09-28T00:00:00"/>
        <d v="2026-10-15T00:00:00"/>
        <d v="2026-10-05T00:00:00"/>
        <d v="2026-07-31T00:00:00" u="1"/>
        <d v="2025-12-17T00:00:00" u="1"/>
      </sharedItems>
      <fieldGroup par="19"/>
    </cacheField>
    <cacheField name="Enlace para cargar evidencias" numFmtId="0">
      <sharedItems containsBlank="1"/>
    </cacheField>
    <cacheField name="Observación Auditoría" numFmtId="0">
      <sharedItems containsBlank="1" longText="1"/>
    </cacheField>
    <cacheField name="Estado" numFmtId="0">
      <sharedItems count="4">
        <s v="Finalizada"/>
        <s v="Vencida"/>
        <s v="Abierta"/>
        <s v="Sin plan de acción"/>
      </sharedItems>
    </cacheField>
    <cacheField name="Días de vencimiento" numFmtId="1">
      <sharedItems containsMixedTypes="1" containsNumber="1" containsInteger="1" minValue="38" maxValue="132"/>
    </cacheField>
    <cacheField name="Alerta 10 días" numFmtId="0">
      <sharedItems count="2">
        <s v=""/>
        <s v="🚨 CRÍTICO (10d)" u="1"/>
      </sharedItems>
    </cacheField>
    <cacheField name="Alerta 20 días" numFmtId="0">
      <sharedItems count="2">
        <s v=""/>
        <s v="⏳ URGENTE (20d)" u="1"/>
      </sharedItems>
    </cacheField>
    <cacheField name="Alerta 30 días" numFmtId="0">
      <sharedItems count="2">
        <s v=""/>
        <s v="📅 SEGUIMIENTO (30d)" u="1"/>
      </sharedItems>
    </cacheField>
    <cacheField name="Alerta 5 días" numFmtId="0">
      <sharedItems count="2">
        <s v=""/>
        <s v="⚠️ INMINENTE (5d)" u="1"/>
      </sharedItems>
    </cacheField>
    <cacheField name="Correo Responsable " numFmtId="0">
      <sharedItems containsBlank="1" longText="1"/>
    </cacheField>
    <cacheField name="Fecha de cierre Auditoría" numFmtId="14">
      <sharedItems containsNonDate="0" containsDate="1" containsString="0" containsBlank="1" minDate="2026-01-01T00:00:00" maxDate="2026-06-06T00:00:00" count="15">
        <m/>
        <d v="2026-06-05T00:00:00"/>
        <d v="2026-04-16T00:00:00"/>
        <d v="2026-02-27T00:00:00"/>
        <d v="2026-01-01T00:00:00"/>
        <d v="2026-02-28T00:00:00"/>
        <d v="2026-02-26T00:00:00"/>
        <d v="2026-01-10T00:00:00"/>
        <d v="2026-01-30T00:00:00"/>
        <d v="2026-01-31T00:00:00"/>
        <d v="2026-01-03T00:00:00"/>
        <d v="2026-04-17T00:00:00"/>
        <d v="2026-02-10T00:00:00"/>
        <d v="2026-04-30T00:00:00"/>
        <d v="2026-04-06T00:00:00"/>
      </sharedItems>
      <fieldGroup par="21"/>
    </cacheField>
    <cacheField name="Cierre_x000a_DD/MM/AA2" numFmtId="0" databaseField="0">
      <fieldGroup base="8">
        <discretePr count="57">
          <x v="17"/>
          <x v="17"/>
          <x v="17"/>
          <x v="17"/>
          <x v="17"/>
          <x v="17"/>
          <x v="17"/>
          <x v="17"/>
          <x v="16"/>
          <x v="17"/>
          <x v="17"/>
          <x v="17"/>
          <x v="17"/>
          <x v="17"/>
          <x v="1"/>
          <x v="2"/>
          <x v="17"/>
          <x v="17"/>
          <x v="17"/>
          <x v="3"/>
          <x v="17"/>
          <x v="4"/>
          <x v="17"/>
          <x v="17"/>
          <x v="17"/>
          <x v="17"/>
          <x v="17"/>
          <x v="17"/>
          <x v="17"/>
          <x v="17"/>
          <x v="17"/>
          <x v="17"/>
          <x v="17"/>
          <x v="17"/>
          <x v="17"/>
          <x v="5"/>
          <x v="6"/>
          <x v="17"/>
          <x v="17"/>
          <x v="17"/>
          <x v="17"/>
          <x v="21"/>
          <x v="17"/>
          <x v="7"/>
          <x v="8"/>
          <x v="15"/>
          <x v="9"/>
          <x v="10"/>
          <x v="11"/>
          <x v="12"/>
          <x v="17"/>
          <x v="18"/>
          <x v="13"/>
          <x v="14"/>
          <x v="19"/>
          <x v="20"/>
          <x v="0"/>
        </discretePr>
        <groupItems count="22">
          <d v="2025-12-17T00:00:00"/>
          <d v="2026-02-27T00:00:00"/>
          <s v=" - "/>
          <d v="2026-12-31T00:00:00"/>
          <d v="2026-02-26T00:00:00"/>
          <d v="2026-04-17T00:00:00"/>
          <d v="2026-04-15T00:00:00"/>
          <d v="2026-05-31T00:00:00"/>
          <d v="2026-04-03T00:00:00"/>
          <m/>
          <d v="2026-07-15T00:00:00"/>
          <d v="2026-12-30T00:00:00"/>
          <d v="2026-05-29T00:00:00"/>
          <d v="2026-09-28T00:00:00"/>
          <d v="2026-10-15T00:00:00"/>
          <d v="2026-09-30T00:00:00"/>
          <s v="Inmediato"/>
          <s v="Grupo1"/>
          <d v="2026-04-06T00:00:00"/>
          <d v="2026-10-05T00:00:00"/>
          <d v="2026-07-31T00:00:00"/>
          <s v="30/04/2026"/>
        </groupItems>
      </fieldGroup>
    </cacheField>
    <cacheField name="Días (Fecha de cierre Auditoría)" numFmtId="0" databaseField="0">
      <fieldGroup base="18">
        <rangePr groupBy="days" startDate="2026-01-01T00:00:00" endDate="2026-06-06T00:00:00"/>
        <groupItems count="368">
          <s v="&lt;1/01/2026"/>
          <s v="1-ene"/>
          <s v="2-ene"/>
          <s v="3-ene"/>
          <s v="4-ene"/>
          <s v="5-ene"/>
          <s v="6-ene"/>
          <s v="7-ene"/>
          <s v="8-ene"/>
          <s v="9-ene"/>
          <s v="10-ene"/>
          <s v="11-ene"/>
          <s v="12-ene"/>
          <s v="13-ene"/>
          <s v="14-ene"/>
          <s v="15-ene"/>
          <s v="16-ene"/>
          <s v="17-ene"/>
          <s v="18-ene"/>
          <s v="19-ene"/>
          <s v="20-ene"/>
          <s v="21-ene"/>
          <s v="22-ene"/>
          <s v="23-ene"/>
          <s v="24-ene"/>
          <s v="25-ene"/>
          <s v="26-ene"/>
          <s v="27-ene"/>
          <s v="28-ene"/>
          <s v="29-ene"/>
          <s v="30-ene"/>
          <s v="31-ene"/>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br"/>
          <s v="2-abr"/>
          <s v="3-abr"/>
          <s v="4-abr"/>
          <s v="5-abr"/>
          <s v="6-abr"/>
          <s v="7-abr"/>
          <s v="8-abr"/>
          <s v="9-abr"/>
          <s v="10-abr"/>
          <s v="11-abr"/>
          <s v="12-abr"/>
          <s v="13-abr"/>
          <s v="14-abr"/>
          <s v="15-abr"/>
          <s v="16-abr"/>
          <s v="17-abr"/>
          <s v="18-abr"/>
          <s v="19-abr"/>
          <s v="20-abr"/>
          <s v="21-abr"/>
          <s v="22-abr"/>
          <s v="23-abr"/>
          <s v="24-abr"/>
          <s v="25-abr"/>
          <s v="26-abr"/>
          <s v="27-abr"/>
          <s v="28-abr"/>
          <s v="29-abr"/>
          <s v="30-ab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go"/>
          <s v="2-ago"/>
          <s v="3-ago"/>
          <s v="4-ago"/>
          <s v="5-ago"/>
          <s v="6-ago"/>
          <s v="7-ago"/>
          <s v="8-ago"/>
          <s v="9-ago"/>
          <s v="10-ago"/>
          <s v="11-ago"/>
          <s v="12-ago"/>
          <s v="13-ago"/>
          <s v="14-ago"/>
          <s v="15-ago"/>
          <s v="16-ago"/>
          <s v="17-ago"/>
          <s v="18-ago"/>
          <s v="19-ago"/>
          <s v="20-ago"/>
          <s v="21-ago"/>
          <s v="22-ago"/>
          <s v="23-ago"/>
          <s v="24-ago"/>
          <s v="25-ago"/>
          <s v="26-ago"/>
          <s v="27-ago"/>
          <s v="28-ago"/>
          <s v="29-ago"/>
          <s v="30-ago"/>
          <s v="31-ago"/>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ic"/>
          <s v="2-dic"/>
          <s v="3-dic"/>
          <s v="4-dic"/>
          <s v="5-dic"/>
          <s v="6-dic"/>
          <s v="7-dic"/>
          <s v="8-dic"/>
          <s v="9-dic"/>
          <s v="10-dic"/>
          <s v="11-dic"/>
          <s v="12-dic"/>
          <s v="13-dic"/>
          <s v="14-dic"/>
          <s v="15-dic"/>
          <s v="16-dic"/>
          <s v="17-dic"/>
          <s v="18-dic"/>
          <s v="19-dic"/>
          <s v="20-dic"/>
          <s v="21-dic"/>
          <s v="22-dic"/>
          <s v="23-dic"/>
          <s v="24-dic"/>
          <s v="25-dic"/>
          <s v="26-dic"/>
          <s v="27-dic"/>
          <s v="28-dic"/>
          <s v="29-dic"/>
          <s v="30-dic"/>
          <s v="31-dic"/>
          <s v="&gt;6/06/2026"/>
        </groupItems>
      </fieldGroup>
    </cacheField>
    <cacheField name="Meses (Fecha de cierre Auditoría)" numFmtId="0" databaseField="0">
      <fieldGroup base="18">
        <rangePr groupBy="months" startDate="2026-01-01T00:00:00" endDate="2026-06-06T00:00:00"/>
        <groupItems count="14">
          <s v="&lt;1/01/2026"/>
          <s v="ene"/>
          <s v="feb"/>
          <s v="mar"/>
          <s v="abr"/>
          <s v="may"/>
          <s v="jun"/>
          <s v="jul"/>
          <s v="ago"/>
          <s v="sep"/>
          <s v="oct"/>
          <s v="nov"/>
          <s v="dic"/>
          <s v="&gt;6/06/2026"/>
        </groupItems>
      </fieldGroup>
    </cacheField>
  </cacheFields>
  <extLst>
    <ext xmlns:x14="http://schemas.microsoft.com/office/spreadsheetml/2009/9/main" uri="{725AE2AE-9491-48be-B2B4-4EB974FC3084}">
      <x14:pivotCacheDefinition pivotCacheId="157998120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x v="0"/>
    <x v="0"/>
    <x v="0"/>
    <n v="25"/>
    <n v="26"/>
    <n v="0"/>
    <n v="25"/>
    <n v="1"/>
    <n v="0"/>
    <n v="0"/>
    <n v="0"/>
    <n v="0"/>
    <n v="0"/>
    <n v="0"/>
    <n v="0"/>
    <n v="0"/>
    <n v="0"/>
    <n v="0"/>
    <n v="0"/>
    <n v="0"/>
    <n v="0"/>
    <n v="0"/>
    <n v="0"/>
    <n v="0"/>
    <n v="0"/>
    <n v="0"/>
    <n v="0"/>
    <n v="0"/>
  </r>
  <r>
    <x v="1"/>
    <x v="1"/>
    <x v="1"/>
    <n v="2"/>
    <n v="2"/>
    <n v="0"/>
    <n v="2"/>
    <n v="0"/>
    <n v="0"/>
    <n v="0"/>
    <n v="0"/>
    <n v="0"/>
    <n v="0"/>
    <n v="0"/>
    <n v="0"/>
    <n v="0"/>
    <n v="0"/>
    <n v="0"/>
    <n v="0"/>
    <n v="0"/>
    <n v="0"/>
    <n v="0"/>
    <n v="0"/>
    <n v="0"/>
    <n v="0"/>
    <n v="0"/>
    <n v="0"/>
    <n v="0"/>
  </r>
  <r>
    <x v="1"/>
    <x v="1"/>
    <x v="2"/>
    <n v="3"/>
    <n v="3"/>
    <n v="0"/>
    <n v="2"/>
    <n v="1"/>
    <n v="0"/>
    <n v="0"/>
    <n v="0"/>
    <n v="0"/>
    <n v="0"/>
    <n v="0"/>
    <n v="0"/>
    <n v="0"/>
    <n v="0"/>
    <n v="0"/>
    <n v="0"/>
    <n v="0"/>
    <n v="0"/>
    <n v="3"/>
    <n v="0"/>
    <n v="0"/>
    <n v="0"/>
    <n v="0"/>
    <n v="0"/>
    <n v="0"/>
  </r>
  <r>
    <x v="1"/>
    <x v="1"/>
    <x v="3"/>
    <n v="2"/>
    <n v="3"/>
    <n v="0"/>
    <n v="3"/>
    <n v="0"/>
    <n v="0"/>
    <n v="0"/>
    <n v="0"/>
    <n v="0"/>
    <n v="0"/>
    <n v="0"/>
    <n v="0"/>
    <n v="0"/>
    <n v="0"/>
    <n v="0"/>
    <n v="0"/>
    <n v="0"/>
    <n v="0"/>
    <n v="0"/>
    <n v="0"/>
    <n v="0"/>
    <n v="0"/>
    <n v="0"/>
    <n v="0"/>
    <n v="0"/>
  </r>
  <r>
    <x v="1"/>
    <x v="2"/>
    <x v="4"/>
    <n v="3"/>
    <n v="3"/>
    <n v="0"/>
    <n v="3"/>
    <n v="0"/>
    <n v="0"/>
    <n v="0"/>
    <n v="0"/>
    <n v="0"/>
    <n v="0"/>
    <n v="0"/>
    <n v="0"/>
    <n v="0"/>
    <n v="0"/>
    <n v="1"/>
    <n v="0"/>
    <n v="1"/>
    <n v="0"/>
    <n v="0"/>
    <n v="0"/>
    <n v="0"/>
    <n v="0"/>
    <n v="0"/>
    <n v="0"/>
    <n v="0"/>
  </r>
  <r>
    <x v="1"/>
    <x v="2"/>
    <x v="5"/>
    <n v="1"/>
    <n v="3"/>
    <n v="0"/>
    <n v="3"/>
    <n v="0"/>
    <n v="0"/>
    <n v="0"/>
    <n v="0"/>
    <n v="0"/>
    <n v="0"/>
    <n v="0"/>
    <n v="0"/>
    <n v="0"/>
    <n v="0"/>
    <n v="0"/>
    <n v="0"/>
    <n v="0"/>
    <n v="0"/>
    <n v="0"/>
    <n v="0"/>
    <n v="0"/>
    <n v="0"/>
    <n v="0"/>
    <n v="0"/>
    <n v="0"/>
  </r>
  <r>
    <x v="1"/>
    <x v="3"/>
    <x v="1"/>
    <n v="2"/>
    <n v="2"/>
    <n v="0"/>
    <n v="2"/>
    <n v="0"/>
    <n v="0"/>
    <n v="0"/>
    <n v="0"/>
    <n v="0"/>
    <n v="0"/>
    <n v="0"/>
    <n v="0"/>
    <n v="0"/>
    <n v="0"/>
    <n v="0"/>
    <n v="0"/>
    <n v="0"/>
    <n v="0"/>
    <n v="0"/>
    <n v="0"/>
    <n v="0"/>
    <n v="0"/>
    <n v="0"/>
    <n v="0"/>
    <n v="0"/>
  </r>
  <r>
    <x v="1"/>
    <x v="3"/>
    <x v="2"/>
    <n v="1"/>
    <n v="1"/>
    <n v="0"/>
    <n v="1"/>
    <n v="0"/>
    <n v="0"/>
    <n v="0"/>
    <n v="0"/>
    <n v="0"/>
    <n v="0"/>
    <n v="0"/>
    <n v="0"/>
    <n v="0"/>
    <n v="1"/>
    <n v="0"/>
    <n v="0"/>
    <n v="0"/>
    <n v="0"/>
    <n v="0"/>
    <n v="0"/>
    <n v="0"/>
    <n v="0"/>
    <n v="0"/>
    <n v="0"/>
    <n v="0"/>
  </r>
  <r>
    <x v="1"/>
    <x v="3"/>
    <x v="5"/>
    <n v="1"/>
    <n v="2"/>
    <n v="0"/>
    <n v="2"/>
    <n v="0"/>
    <n v="0"/>
    <n v="0"/>
    <n v="0"/>
    <n v="0"/>
    <n v="0"/>
    <n v="0"/>
    <n v="0"/>
    <n v="0"/>
    <n v="0"/>
    <n v="1"/>
    <n v="0"/>
    <n v="0"/>
    <n v="0"/>
    <n v="0"/>
    <n v="0"/>
    <n v="0"/>
    <n v="0"/>
    <n v="0"/>
    <n v="0"/>
    <n v="0"/>
  </r>
  <r>
    <x v="1"/>
    <x v="3"/>
    <x v="6"/>
    <n v="1"/>
    <n v="1"/>
    <n v="0"/>
    <n v="1"/>
    <n v="0"/>
    <n v="0"/>
    <n v="0"/>
    <n v="0"/>
    <n v="0"/>
    <n v="0"/>
    <n v="0"/>
    <n v="0"/>
    <n v="0"/>
    <n v="0"/>
    <n v="0"/>
    <n v="0"/>
    <n v="0"/>
    <n v="0"/>
    <n v="0"/>
    <n v="0"/>
    <n v="0"/>
    <n v="0"/>
    <n v="0"/>
    <n v="0"/>
    <n v="0"/>
  </r>
  <r>
    <x v="2"/>
    <x v="4"/>
    <x v="4"/>
    <n v="0"/>
    <n v="1"/>
    <n v="0"/>
    <n v="1"/>
    <n v="0"/>
    <n v="0"/>
    <n v="0"/>
    <n v="0"/>
    <n v="0"/>
    <n v="0"/>
    <n v="0"/>
    <n v="0"/>
    <n v="0"/>
    <n v="0"/>
    <n v="0"/>
    <n v="0"/>
    <n v="0"/>
    <n v="0"/>
    <n v="1"/>
    <n v="0"/>
    <n v="0"/>
    <n v="0"/>
    <n v="0"/>
    <n v="0"/>
    <n v="0"/>
  </r>
  <r>
    <x v="2"/>
    <x v="4"/>
    <x v="7"/>
    <n v="2"/>
    <n v="2"/>
    <n v="0"/>
    <n v="2"/>
    <n v="0"/>
    <n v="0"/>
    <n v="0"/>
    <n v="2"/>
    <n v="0"/>
    <n v="0"/>
    <n v="0"/>
    <n v="0"/>
    <n v="0"/>
    <n v="0"/>
    <n v="0"/>
    <n v="0"/>
    <n v="0"/>
    <n v="0"/>
    <n v="0"/>
    <n v="0"/>
    <n v="0"/>
    <n v="0"/>
    <n v="0"/>
    <n v="0"/>
    <n v="0"/>
  </r>
  <r>
    <x v="2"/>
    <x v="4"/>
    <x v="8"/>
    <n v="0"/>
    <n v="1"/>
    <n v="0"/>
    <n v="1"/>
    <n v="0"/>
    <n v="0"/>
    <n v="0"/>
    <n v="0"/>
    <n v="0"/>
    <n v="0"/>
    <n v="0"/>
    <n v="0"/>
    <n v="0"/>
    <n v="0"/>
    <n v="0"/>
    <n v="0"/>
    <n v="0"/>
    <n v="0"/>
    <n v="0"/>
    <n v="0"/>
    <n v="0"/>
    <n v="0"/>
    <n v="0"/>
    <n v="0"/>
    <n v="0"/>
  </r>
  <r>
    <x v="2"/>
    <x v="4"/>
    <x v="9"/>
    <n v="0"/>
    <n v="1"/>
    <n v="0"/>
    <n v="1"/>
    <n v="0"/>
    <n v="0"/>
    <n v="0"/>
    <n v="0"/>
    <n v="0"/>
    <n v="0"/>
    <n v="0"/>
    <n v="0"/>
    <n v="0"/>
    <n v="0"/>
    <n v="1"/>
    <n v="0"/>
    <n v="0"/>
    <n v="0"/>
    <n v="0"/>
    <n v="0"/>
    <n v="0"/>
    <n v="0"/>
    <n v="0"/>
    <n v="0"/>
    <n v="0"/>
  </r>
  <r>
    <x v="2"/>
    <x v="4"/>
    <x v="5"/>
    <n v="1"/>
    <n v="1"/>
    <n v="0"/>
    <n v="1"/>
    <n v="0"/>
    <n v="0"/>
    <n v="0"/>
    <n v="1"/>
    <n v="0"/>
    <n v="0"/>
    <n v="0"/>
    <n v="0"/>
    <n v="0"/>
    <n v="0"/>
    <n v="0"/>
    <n v="0"/>
    <n v="0"/>
    <n v="0"/>
    <n v="0"/>
    <n v="0"/>
    <n v="0"/>
    <n v="0"/>
    <n v="0"/>
    <n v="0"/>
    <n v="0"/>
  </r>
  <r>
    <x v="2"/>
    <x v="4"/>
    <x v="10"/>
    <n v="5"/>
    <n v="7"/>
    <n v="0"/>
    <n v="5"/>
    <n v="2"/>
    <n v="0"/>
    <n v="0"/>
    <n v="5"/>
    <n v="0"/>
    <n v="0"/>
    <n v="0"/>
    <n v="0"/>
    <n v="0"/>
    <n v="2"/>
    <n v="0"/>
    <n v="0"/>
    <n v="0"/>
    <n v="0"/>
    <n v="0"/>
    <n v="0"/>
    <n v="0"/>
    <n v="0"/>
    <n v="0"/>
    <n v="0"/>
    <n v="0"/>
  </r>
  <r>
    <x v="2"/>
    <x v="4"/>
    <x v="11"/>
    <n v="0"/>
    <n v="1"/>
    <n v="0"/>
    <n v="1"/>
    <n v="0"/>
    <n v="0"/>
    <n v="0"/>
    <n v="0"/>
    <n v="0"/>
    <n v="0"/>
    <n v="0"/>
    <n v="0"/>
    <n v="0"/>
    <n v="2"/>
    <n v="0"/>
    <n v="0"/>
    <n v="0"/>
    <n v="0"/>
    <n v="0"/>
    <n v="0"/>
    <n v="0"/>
    <n v="0"/>
    <n v="0"/>
    <n v="0"/>
    <n v="0"/>
  </r>
  <r>
    <x v="2"/>
    <x v="4"/>
    <x v="12"/>
    <n v="1"/>
    <n v="3"/>
    <n v="0"/>
    <n v="3"/>
    <n v="0"/>
    <n v="0"/>
    <n v="0"/>
    <n v="1"/>
    <n v="0"/>
    <n v="0"/>
    <n v="0"/>
    <n v="0"/>
    <n v="0"/>
    <n v="0"/>
    <n v="0"/>
    <n v="0"/>
    <n v="0"/>
    <n v="0"/>
    <n v="0"/>
    <n v="0"/>
    <n v="0"/>
    <n v="0"/>
    <n v="0"/>
    <n v="0"/>
    <n v="0"/>
  </r>
  <r>
    <x v="2"/>
    <x v="5"/>
    <x v="13"/>
    <n v="2"/>
    <n v="4"/>
    <n v="0"/>
    <n v="4"/>
    <n v="0"/>
    <n v="0"/>
    <n v="1"/>
    <n v="0"/>
    <n v="1"/>
    <n v="0"/>
    <n v="0"/>
    <n v="0"/>
    <n v="0"/>
    <n v="1"/>
    <n v="0"/>
    <n v="0"/>
    <n v="0"/>
    <n v="0"/>
    <n v="0"/>
    <n v="0"/>
    <n v="0"/>
    <n v="0"/>
    <n v="0"/>
    <n v="0"/>
    <n v="0"/>
  </r>
  <r>
    <x v="2"/>
    <x v="5"/>
    <x v="0"/>
    <n v="2"/>
    <n v="3"/>
    <n v="0"/>
    <n v="3"/>
    <n v="0"/>
    <n v="0"/>
    <n v="0"/>
    <n v="1"/>
    <n v="1"/>
    <n v="0"/>
    <n v="0"/>
    <n v="0"/>
    <n v="0"/>
    <n v="0"/>
    <n v="0"/>
    <n v="0"/>
    <n v="0"/>
    <n v="0"/>
    <n v="0"/>
    <n v="0"/>
    <n v="0"/>
    <n v="0"/>
    <n v="0"/>
    <n v="0"/>
    <n v="0"/>
  </r>
  <r>
    <x v="2"/>
    <x v="5"/>
    <x v="5"/>
    <n v="2"/>
    <n v="2"/>
    <n v="0"/>
    <n v="2"/>
    <n v="0"/>
    <n v="0"/>
    <n v="0"/>
    <n v="1"/>
    <n v="1"/>
    <n v="0"/>
    <n v="0"/>
    <n v="0"/>
    <n v="0"/>
    <n v="1"/>
    <n v="0"/>
    <n v="0"/>
    <n v="0"/>
    <n v="0"/>
    <n v="0"/>
    <n v="0"/>
    <n v="0"/>
    <n v="0"/>
    <n v="0"/>
    <n v="0"/>
    <n v="0"/>
  </r>
  <r>
    <x v="2"/>
    <x v="5"/>
    <x v="14"/>
    <n v="0"/>
    <n v="0"/>
    <n v="0"/>
    <n v="0"/>
    <n v="0"/>
    <n v="0"/>
    <n v="0"/>
    <n v="0"/>
    <n v="0"/>
    <n v="0"/>
    <n v="0"/>
    <n v="0"/>
    <n v="0"/>
    <n v="2"/>
    <n v="0"/>
    <n v="0"/>
    <n v="0"/>
    <n v="0"/>
    <n v="0"/>
    <n v="0"/>
    <n v="0"/>
    <n v="0"/>
    <n v="0"/>
    <n v="0"/>
    <n v="0"/>
  </r>
  <r>
    <x v="2"/>
    <x v="5"/>
    <x v="15"/>
    <n v="1"/>
    <n v="1"/>
    <n v="0"/>
    <n v="1"/>
    <n v="0"/>
    <n v="0"/>
    <n v="0"/>
    <n v="0"/>
    <n v="1"/>
    <n v="0"/>
    <n v="0"/>
    <n v="0"/>
    <n v="0"/>
    <n v="0"/>
    <n v="0"/>
    <n v="0"/>
    <n v="0"/>
    <n v="0"/>
    <n v="0"/>
    <n v="0"/>
    <n v="0"/>
    <n v="0"/>
    <n v="0"/>
    <n v="0"/>
    <n v="0"/>
  </r>
  <r>
    <x v="2"/>
    <x v="5"/>
    <x v="16"/>
    <n v="2"/>
    <n v="2"/>
    <n v="0"/>
    <n v="2"/>
    <n v="0"/>
    <n v="0"/>
    <n v="0"/>
    <n v="1"/>
    <n v="1"/>
    <n v="0"/>
    <n v="0"/>
    <n v="0"/>
    <n v="0"/>
    <n v="0"/>
    <n v="0"/>
    <n v="0"/>
    <n v="1"/>
    <n v="0"/>
    <n v="0"/>
    <n v="0"/>
    <n v="0"/>
    <n v="0"/>
    <n v="0"/>
    <n v="0"/>
    <n v="0"/>
  </r>
  <r>
    <x v="2"/>
    <x v="6"/>
    <x v="17"/>
    <n v="3"/>
    <n v="4"/>
    <n v="0"/>
    <n v="2"/>
    <n v="2"/>
    <n v="0"/>
    <n v="0"/>
    <n v="0"/>
    <n v="3"/>
    <n v="0"/>
    <n v="0"/>
    <n v="0"/>
    <n v="0"/>
    <n v="0"/>
    <n v="0"/>
    <n v="0"/>
    <n v="0"/>
    <n v="0"/>
    <n v="0"/>
    <n v="0"/>
    <n v="0"/>
    <n v="0"/>
    <n v="0"/>
    <n v="0"/>
    <n v="0"/>
  </r>
  <r>
    <x v="2"/>
    <x v="6"/>
    <x v="12"/>
    <n v="0"/>
    <n v="2"/>
    <n v="0"/>
    <n v="2"/>
    <n v="0"/>
    <n v="0"/>
    <n v="0"/>
    <n v="0"/>
    <n v="0"/>
    <n v="0"/>
    <n v="0"/>
    <n v="0"/>
    <n v="0"/>
    <n v="0"/>
    <n v="2"/>
    <n v="0"/>
    <n v="1"/>
    <n v="0"/>
    <n v="4"/>
    <n v="0"/>
    <n v="0"/>
    <n v="0"/>
    <n v="0"/>
    <n v="0"/>
    <n v="0"/>
  </r>
  <r>
    <x v="2"/>
    <x v="7"/>
    <x v="13"/>
    <n v="7"/>
    <n v="8"/>
    <n v="0"/>
    <n v="8"/>
    <n v="0"/>
    <n v="0"/>
    <n v="2"/>
    <n v="2"/>
    <n v="3"/>
    <n v="0"/>
    <n v="0"/>
    <n v="0"/>
    <n v="0"/>
    <n v="0"/>
    <n v="0"/>
    <n v="0"/>
    <n v="0"/>
    <n v="0"/>
    <n v="1"/>
    <n v="0"/>
    <n v="0"/>
    <n v="0"/>
    <n v="0"/>
    <n v="0"/>
    <n v="0"/>
  </r>
  <r>
    <x v="2"/>
    <x v="8"/>
    <x v="10"/>
    <n v="8"/>
    <n v="9"/>
    <n v="0"/>
    <n v="9"/>
    <n v="0"/>
    <n v="0"/>
    <n v="1"/>
    <n v="4"/>
    <n v="3"/>
    <n v="0"/>
    <n v="0"/>
    <n v="0"/>
    <n v="0"/>
    <n v="0"/>
    <n v="0"/>
    <n v="0"/>
    <n v="0"/>
    <n v="0"/>
    <n v="2"/>
    <n v="0"/>
    <n v="0"/>
    <n v="0"/>
    <n v="0"/>
    <n v="0"/>
    <n v="0"/>
  </r>
  <r>
    <x v="2"/>
    <x v="8"/>
    <x v="18"/>
    <n v="1"/>
    <n v="2"/>
    <n v="0"/>
    <n v="1"/>
    <n v="1"/>
    <n v="0"/>
    <n v="0"/>
    <n v="1"/>
    <n v="0"/>
    <n v="0"/>
    <n v="0"/>
    <n v="0"/>
    <n v="0"/>
    <n v="0"/>
    <n v="0"/>
    <n v="0"/>
    <n v="0"/>
    <n v="0"/>
    <n v="1"/>
    <n v="0"/>
    <n v="0"/>
    <n v="0"/>
    <n v="0"/>
    <n v="0"/>
    <n v="0"/>
  </r>
  <r>
    <x v="2"/>
    <x v="9"/>
    <x v="6"/>
    <n v="3"/>
    <n v="5"/>
    <n v="3"/>
    <n v="2"/>
    <n v="0"/>
    <n v="0"/>
    <n v="0"/>
    <n v="2"/>
    <n v="1"/>
    <n v="0"/>
    <n v="0"/>
    <n v="0"/>
    <n v="0"/>
    <n v="0"/>
    <n v="0"/>
    <n v="0"/>
    <n v="0"/>
    <n v="0"/>
    <n v="0"/>
    <n v="0"/>
    <n v="0"/>
    <n v="0"/>
    <n v="0"/>
    <n v="0"/>
    <n v="0"/>
  </r>
  <r>
    <x v="2"/>
    <x v="9"/>
    <x v="0"/>
    <n v="1"/>
    <n v="1"/>
    <n v="0"/>
    <n v="1"/>
    <n v="0"/>
    <n v="0"/>
    <n v="0"/>
    <n v="1"/>
    <n v="0"/>
    <n v="0"/>
    <n v="0"/>
    <n v="0"/>
    <n v="0"/>
    <n v="0"/>
    <n v="0"/>
    <n v="0"/>
    <n v="0"/>
    <n v="0"/>
    <n v="0"/>
    <n v="0"/>
    <n v="0"/>
    <n v="0"/>
    <n v="0"/>
    <n v="0"/>
    <n v="0"/>
  </r>
  <r>
    <x v="2"/>
    <x v="9"/>
    <x v="2"/>
    <n v="0"/>
    <n v="0"/>
    <n v="0"/>
    <n v="0"/>
    <n v="0"/>
    <n v="1"/>
    <n v="0"/>
    <n v="0"/>
    <n v="0"/>
    <n v="0"/>
    <n v="0"/>
    <n v="0"/>
    <n v="0"/>
    <n v="0"/>
    <n v="0"/>
    <n v="0"/>
    <n v="0"/>
    <n v="0"/>
    <n v="0"/>
    <n v="0"/>
    <n v="0"/>
    <n v="0"/>
    <n v="0"/>
    <n v="0"/>
    <n v="0"/>
  </r>
  <r>
    <x v="2"/>
    <x v="9"/>
    <x v="19"/>
    <n v="1"/>
    <n v="1"/>
    <n v="1"/>
    <n v="0"/>
    <n v="0"/>
    <n v="0"/>
    <n v="0"/>
    <n v="1"/>
    <n v="0"/>
    <n v="0"/>
    <n v="0"/>
    <n v="0"/>
    <n v="0"/>
    <n v="0"/>
    <n v="0"/>
    <n v="0"/>
    <n v="0"/>
    <n v="0"/>
    <n v="0"/>
    <n v="0"/>
    <n v="0"/>
    <n v="0"/>
    <n v="0"/>
    <n v="0"/>
    <n v="0"/>
  </r>
  <r>
    <x v="2"/>
    <x v="10"/>
    <x v="12"/>
    <n v="1"/>
    <n v="6"/>
    <n v="0"/>
    <n v="0"/>
    <n v="6"/>
    <n v="0"/>
    <n v="0"/>
    <n v="1"/>
    <n v="0"/>
    <n v="0"/>
    <n v="0"/>
    <n v="0"/>
    <n v="0"/>
    <n v="0"/>
    <n v="0"/>
    <n v="0"/>
    <n v="0"/>
    <n v="0"/>
    <n v="0"/>
    <n v="0"/>
    <n v="0"/>
    <n v="0"/>
    <n v="0"/>
    <n v="0"/>
    <n v="0"/>
  </r>
  <r>
    <x v="2"/>
    <x v="10"/>
    <x v="20"/>
    <n v="1"/>
    <n v="4"/>
    <n v="0"/>
    <n v="0"/>
    <n v="4"/>
    <n v="0"/>
    <n v="0"/>
    <n v="1"/>
    <n v="0"/>
    <n v="0"/>
    <n v="0"/>
    <n v="0"/>
    <n v="0"/>
    <n v="0"/>
    <n v="0"/>
    <n v="0"/>
    <n v="0"/>
    <n v="0"/>
    <n v="0"/>
    <n v="0"/>
    <n v="0"/>
    <n v="0"/>
    <n v="0"/>
    <n v="0"/>
    <n v="0"/>
  </r>
  <r>
    <x v="2"/>
    <x v="10"/>
    <x v="1"/>
    <n v="1"/>
    <n v="5"/>
    <n v="5"/>
    <n v="0"/>
    <n v="0"/>
    <n v="0"/>
    <n v="0"/>
    <n v="1"/>
    <n v="0"/>
    <n v="0"/>
    <n v="0"/>
    <n v="0"/>
    <n v="0"/>
    <n v="0"/>
    <n v="0"/>
    <n v="0"/>
    <n v="0"/>
    <n v="0"/>
    <n v="0"/>
    <n v="0"/>
    <n v="0"/>
    <n v="0"/>
    <n v="0"/>
    <n v="0"/>
    <n v="0"/>
  </r>
  <r>
    <x v="2"/>
    <x v="10"/>
    <x v="21"/>
    <n v="1"/>
    <n v="3"/>
    <n v="0"/>
    <n v="0"/>
    <n v="3"/>
    <n v="0"/>
    <n v="0"/>
    <n v="1"/>
    <n v="0"/>
    <n v="0"/>
    <n v="0"/>
    <n v="0"/>
    <n v="0"/>
    <n v="0"/>
    <n v="0"/>
    <n v="0"/>
    <n v="0"/>
    <n v="0"/>
    <n v="0"/>
    <n v="0"/>
    <n v="0"/>
    <n v="0"/>
    <n v="0"/>
    <n v="0"/>
    <n v="0"/>
  </r>
  <r>
    <x v="2"/>
    <x v="11"/>
    <x v="6"/>
    <n v="1"/>
    <n v="1"/>
    <n v="0"/>
    <n v="0"/>
    <n v="1"/>
    <n v="0"/>
    <n v="1"/>
    <n v="0"/>
    <n v="0"/>
    <n v="0"/>
    <n v="0"/>
    <n v="0"/>
    <n v="0"/>
    <n v="0"/>
    <n v="0"/>
    <n v="0"/>
    <n v="1"/>
    <n v="0"/>
    <n v="0"/>
    <n v="0"/>
    <n v="0"/>
    <n v="0"/>
    <n v="0"/>
    <n v="0"/>
    <n v="0"/>
  </r>
  <r>
    <x v="2"/>
    <x v="11"/>
    <x v="1"/>
    <n v="2"/>
    <n v="2"/>
    <n v="0"/>
    <n v="2"/>
    <n v="0"/>
    <n v="0"/>
    <n v="0"/>
    <n v="2"/>
    <n v="0"/>
    <n v="0"/>
    <n v="0"/>
    <n v="0"/>
    <n v="0"/>
    <n v="0"/>
    <n v="0"/>
    <n v="0"/>
    <n v="0"/>
    <n v="0"/>
    <n v="0"/>
    <n v="0"/>
    <n v="0"/>
    <n v="0"/>
    <n v="0"/>
    <n v="0"/>
    <n v="0"/>
  </r>
  <r>
    <x v="2"/>
    <x v="11"/>
    <x v="2"/>
    <n v="1"/>
    <n v="1"/>
    <n v="0"/>
    <n v="1"/>
    <n v="0"/>
    <n v="0"/>
    <n v="0"/>
    <n v="0"/>
    <n v="1"/>
    <n v="0"/>
    <n v="0"/>
    <n v="0"/>
    <n v="0"/>
    <n v="0"/>
    <n v="0"/>
    <n v="0"/>
    <n v="0"/>
    <n v="0"/>
    <n v="0"/>
    <n v="0"/>
    <n v="0"/>
    <n v="0"/>
    <n v="0"/>
    <n v="0"/>
    <n v="0"/>
  </r>
  <r>
    <x v="2"/>
    <x v="12"/>
    <x v="5"/>
    <n v="2"/>
    <n v="5"/>
    <n v="5"/>
    <n v="0"/>
    <n v="0"/>
    <n v="0"/>
    <n v="0"/>
    <n v="0"/>
    <n v="0"/>
    <n v="0"/>
    <n v="0"/>
    <n v="0"/>
    <n v="0"/>
    <n v="0"/>
    <n v="0"/>
    <n v="0"/>
    <n v="0"/>
    <n v="0"/>
    <n v="0"/>
    <n v="0"/>
    <n v="0"/>
    <n v="0"/>
    <n v="0"/>
    <n v="0"/>
    <n v="0"/>
  </r>
  <r>
    <x v="2"/>
    <x v="13"/>
    <x v="6"/>
    <n v="1"/>
    <n v="2"/>
    <n v="0"/>
    <n v="0"/>
    <n v="2"/>
    <n v="0"/>
    <n v="0"/>
    <n v="1"/>
    <n v="0"/>
    <n v="0"/>
    <n v="0"/>
    <n v="0"/>
    <n v="0"/>
    <n v="2"/>
    <n v="0"/>
    <n v="0"/>
    <n v="0"/>
    <n v="0"/>
    <n v="0"/>
    <n v="0"/>
    <n v="0"/>
    <n v="0"/>
    <n v="0"/>
    <n v="0"/>
    <n v="0"/>
  </r>
  <r>
    <x v="2"/>
    <x v="13"/>
    <x v="2"/>
    <n v="1"/>
    <n v="1"/>
    <n v="1"/>
    <n v="0"/>
    <n v="0"/>
    <n v="0"/>
    <n v="0"/>
    <n v="1"/>
    <n v="0"/>
    <n v="0"/>
    <n v="0"/>
    <n v="0"/>
    <n v="0"/>
    <n v="0"/>
    <n v="0"/>
    <n v="0"/>
    <n v="0"/>
    <n v="0"/>
    <n v="0"/>
    <n v="0"/>
    <n v="0"/>
    <n v="0"/>
    <n v="0"/>
    <n v="0"/>
    <n v="0"/>
  </r>
  <r>
    <x v="2"/>
    <x v="14"/>
    <x v="7"/>
    <n v="2"/>
    <n v="2"/>
    <n v="0"/>
    <n v="2"/>
    <n v="0"/>
    <n v="0"/>
    <n v="0"/>
    <n v="2"/>
    <n v="0"/>
    <n v="0"/>
    <n v="0"/>
    <n v="0"/>
    <n v="0"/>
    <n v="0"/>
    <n v="0"/>
    <n v="0"/>
    <n v="0"/>
    <n v="0"/>
    <n v="0"/>
    <n v="0"/>
    <n v="0"/>
    <n v="0"/>
    <n v="0"/>
    <n v="0"/>
    <n v="0"/>
  </r>
  <r>
    <x v="2"/>
    <x v="15"/>
    <x v="0"/>
    <n v="4"/>
    <n v="6"/>
    <n v="1"/>
    <n v="4"/>
    <n v="1"/>
    <n v="0"/>
    <n v="1"/>
    <n v="2"/>
    <n v="1"/>
    <n v="0"/>
    <n v="0"/>
    <n v="0"/>
    <n v="0"/>
    <n v="0"/>
    <n v="0"/>
    <n v="0"/>
    <n v="0"/>
    <n v="0"/>
    <n v="0"/>
    <n v="0"/>
    <n v="0"/>
    <n v="0"/>
    <n v="0"/>
    <n v="0"/>
    <n v="0"/>
  </r>
  <r>
    <x v="2"/>
    <x v="16"/>
    <x v="1"/>
    <n v="2"/>
    <n v="2"/>
    <n v="0"/>
    <n v="0"/>
    <n v="2"/>
    <n v="0"/>
    <n v="1"/>
    <n v="1"/>
    <n v="0"/>
    <n v="0"/>
    <n v="0"/>
    <n v="0"/>
    <n v="0"/>
    <n v="0"/>
    <n v="0"/>
    <n v="0"/>
    <n v="0"/>
    <n v="0"/>
    <n v="0"/>
    <n v="0"/>
    <n v="0"/>
    <n v="0"/>
    <n v="0"/>
    <n v="0"/>
    <n v="0"/>
  </r>
  <r>
    <x v="2"/>
    <x v="16"/>
    <x v="22"/>
    <n v="1"/>
    <n v="1"/>
    <n v="0"/>
    <n v="1"/>
    <n v="0"/>
    <n v="0"/>
    <n v="0"/>
    <n v="1"/>
    <n v="0"/>
    <n v="0"/>
    <n v="0"/>
    <n v="0"/>
    <n v="0"/>
    <n v="0"/>
    <n v="0"/>
    <n v="0"/>
    <n v="0"/>
    <n v="0"/>
    <n v="0"/>
    <n v="0"/>
    <n v="0"/>
    <n v="0"/>
    <n v="0"/>
    <n v="0"/>
    <n v="0"/>
  </r>
  <r>
    <x v="2"/>
    <x v="16"/>
    <x v="7"/>
    <n v="1"/>
    <n v="1"/>
    <n v="1"/>
    <n v="0"/>
    <n v="0"/>
    <n v="0"/>
    <n v="0"/>
    <n v="1"/>
    <n v="0"/>
    <n v="0"/>
    <n v="0"/>
    <n v="0"/>
    <n v="0"/>
    <n v="0"/>
    <n v="0"/>
    <n v="0"/>
    <n v="0"/>
    <n v="0"/>
    <n v="0"/>
    <n v="0"/>
    <n v="0"/>
    <n v="0"/>
    <n v="0"/>
    <n v="0"/>
    <n v="0"/>
  </r>
  <r>
    <x v="3"/>
    <x v="17"/>
    <x v="5"/>
    <n v="12"/>
    <n v="12"/>
    <n v="12"/>
    <n v="0"/>
    <n v="0"/>
    <n v="0"/>
    <n v="10"/>
    <n v="2"/>
    <n v="0"/>
    <n v="0"/>
    <n v="0"/>
    <n v="0"/>
    <n v="0"/>
    <n v="0"/>
    <n v="0"/>
    <n v="0"/>
    <n v="0"/>
    <n v="0"/>
    <n v="0"/>
    <n v="0"/>
    <n v="0"/>
    <n v="0"/>
    <n v="0"/>
    <n v="0"/>
    <n v="0"/>
  </r>
  <r>
    <x v="3"/>
    <x v="17"/>
    <x v="23"/>
    <n v="2"/>
    <n v="2"/>
    <n v="2"/>
    <n v="0"/>
    <n v="0"/>
    <n v="0"/>
    <n v="2"/>
    <n v="0"/>
    <n v="0"/>
    <n v="0"/>
    <n v="0"/>
    <n v="0"/>
    <n v="0"/>
    <n v="0"/>
    <n v="0"/>
    <n v="0"/>
    <n v="0"/>
    <n v="0"/>
    <n v="0"/>
    <n v="0"/>
    <n v="0"/>
    <n v="0"/>
    <n v="0"/>
    <n v="0"/>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s v="PLAN DE MEJORAMIENTO VIGENCIA 2023"/>
    <s v="Proyecto ZPP (20240310026682)"/>
    <s v="SUB GERENCIA DE SERVICIOS OPERACIONALES E INFRAESTRUCTURA"/>
    <n v="25"/>
    <n v="26"/>
    <n v="0"/>
    <n v="25"/>
    <n v="1"/>
    <n v="0"/>
    <n v="0"/>
    <n v="0"/>
    <n v="0"/>
    <n v="0"/>
    <n v="0"/>
    <n v="0"/>
  </r>
  <r>
    <s v="PLAN DE MEJORAMIENTO VIGENCIA 2024"/>
    <s v="Auditoría Requerimientos (20250110002803)"/>
    <s v="DIRECCIÓN DE GESTIÓN HUMANA"/>
    <n v="2"/>
    <n v="2"/>
    <n v="0"/>
    <n v="2"/>
    <n v="0"/>
    <n v="0"/>
    <n v="0"/>
    <n v="0"/>
    <n v="0"/>
    <n v="0"/>
    <n v="0"/>
    <n v="0"/>
  </r>
  <r>
    <s v="PLAN DE MEJORAMIENTO VIGENCIA 2024"/>
    <s v="Auditoría Requerimientos (20250110002803)"/>
    <s v="SUB GERENCIA JURÍDICA"/>
    <n v="3"/>
    <n v="3"/>
    <n v="0"/>
    <n v="2"/>
    <n v="1"/>
    <n v="0"/>
    <n v="0"/>
    <n v="0"/>
    <n v="0"/>
    <n v="0"/>
    <n v="0"/>
    <n v="0"/>
  </r>
  <r>
    <s v="PLAN DE MEJORAMIENTO VIGENCIA 2024"/>
    <s v="Auditoría Requerimientos (20250110002803)"/>
    <s v="DIRECCIÓN DE INFRAESTRUCTURA"/>
    <n v="2"/>
    <n v="3"/>
    <n v="0"/>
    <n v="3"/>
    <n v="0"/>
    <n v="0"/>
    <n v="0"/>
    <n v="0"/>
    <n v="0"/>
    <n v="0"/>
    <n v="0"/>
    <n v="0"/>
  </r>
  <r>
    <s v="PLAN DE MEJORAMIENTO VIGENCIA 2024"/>
    <s v="Auditoría Gestión Financiera (20240110040203)"/>
    <s v="DIRECCIÓN DE GESTIÓN FINANCIERA"/>
    <n v="3"/>
    <n v="3"/>
    <n v="0"/>
    <n v="3"/>
    <n v="0"/>
    <n v="0"/>
    <n v="0"/>
    <n v="0"/>
    <n v="0"/>
    <n v="0"/>
    <n v="0"/>
    <n v="0"/>
  </r>
  <r>
    <s v="PLAN DE MEJORAMIENTO VIGENCIA 2024"/>
    <s v="Auditoría Gestión Financiera (20240110040203)"/>
    <s v="DIRECCIÓN DE RECURSOS TECNOLÓGICOS"/>
    <n v="1"/>
    <n v="3"/>
    <n v="0"/>
    <n v="3"/>
    <n v="0"/>
    <n v="0"/>
    <n v="0"/>
    <n v="0"/>
    <n v="0"/>
    <n v="0"/>
    <n v="0"/>
    <n v="0"/>
  </r>
  <r>
    <s v="PLAN DE MEJORAMIENTO VIGENCIA 2024"/>
    <s v="Auditoría Contratación (20250110007093)"/>
    <s v="DIRECCIÓN DE GESTIÓN HUMANA"/>
    <n v="2"/>
    <n v="2"/>
    <n v="0"/>
    <n v="2"/>
    <n v="0"/>
    <n v="0"/>
    <n v="0"/>
    <n v="0"/>
    <n v="0"/>
    <n v="0"/>
    <n v="0"/>
    <n v="0"/>
  </r>
  <r>
    <s v="PLAN DE MEJORAMIENTO VIGENCIA 2024"/>
    <s v="Auditoría Contratación (20250110007093)"/>
    <s v="SUB GERENCIA JURÍDICA"/>
    <n v="1"/>
    <n v="1"/>
    <n v="0"/>
    <n v="1"/>
    <n v="0"/>
    <n v="0"/>
    <n v="0"/>
    <n v="0"/>
    <n v="0"/>
    <n v="0"/>
    <n v="0"/>
    <n v="0"/>
  </r>
  <r>
    <s v="PLAN DE MEJORAMIENTO VIGENCIA 2024"/>
    <s v="Auditoría Contratación (20250110007093)"/>
    <s v="DIRECCIÓN DE RECURSOS TECNOLÓGICOS"/>
    <n v="1"/>
    <n v="2"/>
    <n v="0"/>
    <n v="2"/>
    <n v="0"/>
    <n v="0"/>
    <n v="0"/>
    <n v="0"/>
    <n v="0"/>
    <n v="0"/>
    <n v="0"/>
    <n v="0"/>
  </r>
  <r>
    <s v="PLAN DE MEJORAMIENTO VIGENCIA 2024"/>
    <s v="Auditoría Contratación (20250110007093)"/>
    <s v="SUB GERENCIA CORPORATIVA"/>
    <n v="1"/>
    <n v="1"/>
    <n v="0"/>
    <n v="1"/>
    <n v="0"/>
    <n v="0"/>
    <n v="0"/>
    <n v="0"/>
    <n v="0"/>
    <n v="0"/>
    <n v="0"/>
    <n v="0"/>
  </r>
  <r>
    <s v="PLAN DE MEJORAMIENTO VIGENCIA 2025"/>
    <s v="Auditoría Servicios Conexos (20250110018563)"/>
    <s v="DIRECCIÓN DE GESTIÓN FINANCIERA"/>
    <n v="0"/>
    <n v="1"/>
    <n v="0"/>
    <n v="1"/>
    <n v="0"/>
    <n v="0"/>
    <n v="0"/>
    <n v="0"/>
    <n v="0"/>
    <n v="0"/>
    <n v="0"/>
    <n v="0"/>
  </r>
  <r>
    <s v="PLAN DE MEJORAMIENTO VIGENCIA 2025"/>
    <s v="Auditoría Servicios Conexos (20250110018563)"/>
    <s v="DIRECCIÓN DE RECURSOS FÍSICOS Y NEGOCIOS"/>
    <n v="2"/>
    <n v="2"/>
    <n v="0"/>
    <n v="2"/>
    <n v="0"/>
    <n v="0"/>
    <n v="0"/>
    <n v="2"/>
    <n v="0"/>
    <n v="0"/>
    <n v="0"/>
    <n v="0"/>
  </r>
  <r>
    <s v="PLAN DE MEJORAMIENTO VIGENCIA 2025"/>
    <s v="Auditoría Servicios Conexos (20250110018563)"/>
    <s v="DIRECCIÓN DE RECURSOS FÍSICOS Y NEGOCIOS_x000a_DIRECCIÓN DE SERVICIO AL CIUDADANO"/>
    <n v="0"/>
    <n v="1"/>
    <n v="0"/>
    <n v="1"/>
    <n v="0"/>
    <n v="0"/>
    <n v="0"/>
    <n v="0"/>
    <n v="0"/>
    <n v="0"/>
    <n v="0"/>
    <n v="0"/>
  </r>
  <r>
    <s v="PLAN DE MEJORAMIENTO VIGENCIA 2025"/>
    <s v="Auditoría Servicios Conexos (20250110018563)"/>
    <s v="DIRECCIÓN DE RECURSOS FÍSICOS Y NEGOCIOS_x000a_DIRECCIÓN DE SERVICIO AL CIUDADANO_x000a_SUB GERENCIA DE PLANEACIÓN Y PROYECTOS_x000a_DIRECCIÓN DE GESTIÓN FINANCIERA"/>
    <n v="0"/>
    <n v="1"/>
    <n v="0"/>
    <n v="1"/>
    <n v="0"/>
    <n v="0"/>
    <n v="0"/>
    <n v="0"/>
    <n v="0"/>
    <n v="0"/>
    <n v="0"/>
    <n v="0"/>
  </r>
  <r>
    <s v="PLAN DE MEJORAMIENTO VIGENCIA 2025"/>
    <s v="Auditoría Servicios Conexos (20250110018563)"/>
    <s v="DIRECCIÓN DE RECURSOS TECNOLÓGICOS"/>
    <n v="1"/>
    <n v="1"/>
    <n v="0"/>
    <n v="1"/>
    <n v="0"/>
    <n v="0"/>
    <n v="0"/>
    <n v="1"/>
    <n v="0"/>
    <n v="0"/>
    <n v="0"/>
    <n v="0"/>
  </r>
  <r>
    <s v="PLAN DE MEJORAMIENTO VIGENCIA 2025"/>
    <s v="Auditoría Servicios Conexos (20250110018563)"/>
    <s v="DIRECCIÓN DE SERVICIO AL CIUDADANO"/>
    <n v="5"/>
    <n v="7"/>
    <n v="0"/>
    <n v="5"/>
    <n v="2"/>
    <n v="0"/>
    <n v="0"/>
    <n v="5"/>
    <n v="0"/>
    <n v="0"/>
    <n v="0"/>
    <n v="0"/>
  </r>
  <r>
    <s v="PLAN DE MEJORAMIENTO VIGENCIA 2025"/>
    <s v="Auditoría Servicios Conexos (20250110018563)"/>
    <s v="SUB GERENCIA CORPORATIVA_x000a_SUB GERENCIA DE PLANEACIÓN Y PROYECTOS"/>
    <n v="0"/>
    <n v="1"/>
    <n v="0"/>
    <n v="1"/>
    <n v="0"/>
    <n v="0"/>
    <n v="0"/>
    <n v="0"/>
    <n v="0"/>
    <n v="0"/>
    <n v="0"/>
    <n v="0"/>
  </r>
  <r>
    <s v="PLAN DE MEJORAMIENTO VIGENCIA 2025"/>
    <s v="Auditoría Servicios Conexos (20250110018563)"/>
    <s v="SUB GERENCIA DE PLANEACIÓN Y PROYECTOS"/>
    <n v="1"/>
    <n v="3"/>
    <n v="0"/>
    <n v="3"/>
    <n v="0"/>
    <n v="0"/>
    <n v="0"/>
    <n v="1"/>
    <n v="0"/>
    <n v="0"/>
    <n v="0"/>
    <n v="0"/>
  </r>
  <r>
    <s v="PLAN DE MEJORAMIENTO VIGENCIA 2025"/>
    <s v="Auditoría al Programa de Seguridad Vial (20250110031663)"/>
    <s v="DIRECCIÓN DE SERVICIO AL TRANSPORTADOR"/>
    <n v="2"/>
    <n v="4"/>
    <n v="0"/>
    <n v="4"/>
    <n v="0"/>
    <n v="0"/>
    <n v="1"/>
    <n v="0"/>
    <n v="1"/>
    <n v="0"/>
    <n v="0"/>
    <n v="0"/>
  </r>
  <r>
    <s v="PLAN DE MEJORAMIENTO VIGENCIA 2025"/>
    <s v="Auditoría al Programa de Seguridad Vial (20250110031663)"/>
    <s v="SUB GERENCIA DE SERVICIOS OPERACIONALES E INFRAESTRUCTURA"/>
    <n v="2"/>
    <n v="3"/>
    <n v="0"/>
    <n v="3"/>
    <n v="0"/>
    <n v="0"/>
    <n v="0"/>
    <n v="1"/>
    <n v="1"/>
    <n v="0"/>
    <n v="0"/>
    <n v="0"/>
  </r>
  <r>
    <s v="PLAN DE MEJORAMIENTO VIGENCIA 2025"/>
    <s v="Auditoría al Programa de Seguridad Vial (20250110031663)"/>
    <s v="DIRECCIÓN DE RECURSOS TECNOLÓGICOS"/>
    <n v="2"/>
    <n v="2"/>
    <n v="0"/>
    <n v="2"/>
    <n v="0"/>
    <n v="0"/>
    <n v="0"/>
    <n v="1"/>
    <n v="1"/>
    <n v="0"/>
    <n v="0"/>
    <n v="0"/>
  </r>
  <r>
    <s v="PLAN DE MEJORAMIENTO VIGENCIA 2025"/>
    <s v="Auditoría al Programa de Seguridad Vial (20250110031663)"/>
    <s v="SUB GERENCIA DE SERVICIOS OPERACIONALES E INFRAESTRUCTURADIRECCIÓN DE RECURSOS TECNOLÓGICOS"/>
    <n v="0"/>
    <n v="0"/>
    <n v="0"/>
    <n v="0"/>
    <n v="0"/>
    <n v="0"/>
    <n v="0"/>
    <n v="0"/>
    <n v="0"/>
    <n v="0"/>
    <n v="0"/>
    <n v="0"/>
  </r>
  <r>
    <s v="PLAN DE MEJORAMIENTO VIGENCIA 2025"/>
    <s v="Auditoría al Programa de Seguridad Vial (20250110031663)"/>
    <s v="SUB GERENCIA DE SERVICIOS OPERACIONALES E INFRAESTRUCTURA_x000a_DIRECCIÓN DE SERVICIO AL TRANSPORTADOR"/>
    <n v="1"/>
    <n v="1"/>
    <n v="0"/>
    <n v="1"/>
    <n v="0"/>
    <n v="0"/>
    <n v="0"/>
    <n v="0"/>
    <n v="1"/>
    <n v="0"/>
    <n v="0"/>
    <n v="0"/>
  </r>
  <r>
    <s v="PLAN DE MEJORAMIENTO VIGENCIA 2025"/>
    <s v="Auditoría al Programa de Seguridad Vial (20250110031663)"/>
    <s v="SUB GERENCIA DE SERVICIOS OPERACIONALES E INFRAESTRUCTURA_x000a_DIRECCIÓN DE RECURSOS TECNOLÓGICOS"/>
    <n v="2"/>
    <n v="2"/>
    <n v="0"/>
    <n v="2"/>
    <n v="0"/>
    <n v="0"/>
    <n v="0"/>
    <n v="1"/>
    <n v="1"/>
    <n v="0"/>
    <n v="0"/>
    <n v="0"/>
  </r>
  <r>
    <s v="PLAN DE MEJORAMIENTO VIGENCIA 2025"/>
    <s v="Auditoría – Índice de Transparencia y Acceso a la Información –ITA (20250110033183)"/>
    <s v="OFICINA DE COMUNICACIONES"/>
    <n v="3"/>
    <n v="4"/>
    <n v="0"/>
    <n v="2"/>
    <n v="2"/>
    <n v="0"/>
    <n v="0"/>
    <n v="0"/>
    <n v="3"/>
    <n v="0"/>
    <n v="0"/>
    <n v="0"/>
  </r>
  <r>
    <s v="PLAN DE MEJORAMIENTO VIGENCIA 2025"/>
    <s v="Auditoría – Índice de Transparencia y Acceso a la Información –ITA (20250110033183)"/>
    <s v="SUB GERENCIA DE PLANEACIÓN Y PROYECTOS"/>
    <n v="0"/>
    <n v="2"/>
    <n v="0"/>
    <n v="2"/>
    <n v="0"/>
    <n v="0"/>
    <n v="0"/>
    <n v="0"/>
    <n v="0"/>
    <n v="0"/>
    <n v="0"/>
    <n v="0"/>
  </r>
  <r>
    <s v="PLAN DE MEJORAMIENTO VIGENCIA 2025"/>
    <s v="Operativos de Control Externo (20250110018323)"/>
    <s v="DIRECCIÓN DE SERVICIO AL TRANSPORTADOR"/>
    <n v="7"/>
    <n v="8"/>
    <n v="0"/>
    <n v="8"/>
    <n v="0"/>
    <n v="0"/>
    <n v="2"/>
    <n v="2"/>
    <n v="3"/>
    <n v="0"/>
    <n v="0"/>
    <n v="0"/>
  </r>
  <r>
    <s v="PLAN DE MEJORAMIENTO VIGENCIA 2025"/>
    <s v="Servicio al Ciudadano (20250110042183)"/>
    <s v="DIRECCIÓN DE SERVICIO AL CIUDADANO"/>
    <n v="8"/>
    <n v="9"/>
    <n v="0"/>
    <n v="9"/>
    <n v="0"/>
    <n v="0"/>
    <n v="1"/>
    <n v="4"/>
    <n v="3"/>
    <n v="0"/>
    <n v="0"/>
    <n v="0"/>
  </r>
  <r>
    <s v="PLAN DE MEJORAMIENTO VIGENCIA 2025"/>
    <s v="Servicio al Ciudadano (20250110042183)"/>
    <s v="DIRECCIÓN DE SERVICIO AL CIUDADANO_x000a_SUB GERENCIA DE PLANEACIÓN Y PROYECTOS"/>
    <n v="1"/>
    <n v="2"/>
    <n v="0"/>
    <n v="1"/>
    <n v="1"/>
    <n v="0"/>
    <n v="0"/>
    <n v="1"/>
    <n v="0"/>
    <n v="0"/>
    <n v="0"/>
    <n v="0"/>
  </r>
  <r>
    <s v="PLAN DE MEJORAMIENTO VIGENCIA 2025"/>
    <s v="Auditoría al Cierre del Almacén (20250110045533)"/>
    <s v="SUB GERENCIA CORPORATIVA"/>
    <n v="3"/>
    <n v="5"/>
    <n v="3"/>
    <n v="2"/>
    <n v="0"/>
    <n v="0"/>
    <n v="0"/>
    <n v="2"/>
    <n v="1"/>
    <n v="0"/>
    <n v="0"/>
    <n v="0"/>
  </r>
  <r>
    <s v="PLAN DE MEJORAMIENTO VIGENCIA 2025"/>
    <s v="Auditoría al Cierre del Almacén (20250110045533)"/>
    <s v="SUB GERENCIA DE SERVICIOS OPERACIONALES E INFRAESTRUCTURA"/>
    <n v="1"/>
    <n v="1"/>
    <n v="0"/>
    <n v="1"/>
    <n v="0"/>
    <n v="0"/>
    <n v="0"/>
    <n v="1"/>
    <n v="0"/>
    <n v="0"/>
    <n v="0"/>
    <n v="0"/>
  </r>
  <r>
    <s v="PLAN DE MEJORAMIENTO VIGENCIA 2025"/>
    <s v="Auditoría al Cierre del Almacén (20250110045533)"/>
    <s v="SUB GERENCIA JURÍDICA"/>
    <n v="0"/>
    <n v="0"/>
    <n v="0"/>
    <n v="0"/>
    <n v="0"/>
    <n v="1"/>
    <n v="0"/>
    <n v="0"/>
    <n v="0"/>
    <n v="0"/>
    <n v="0"/>
    <n v="0"/>
  </r>
  <r>
    <s v="PLAN DE MEJORAMIENTO VIGENCIA 2025"/>
    <s v="Auditoría al Cierre del Almacén (20250110045533)"/>
    <s v="SUB GERENCIA JURÍDICA_x000a_SUB GERENCIA CORPORATIVA_x000a_SUB GERENCIA DE SERVICIOS OPERACIONALES E INFRAESTRUCTURA"/>
    <n v="1"/>
    <n v="1"/>
    <n v="1"/>
    <n v="0"/>
    <n v="0"/>
    <n v="0"/>
    <n v="0"/>
    <n v="1"/>
    <n v="0"/>
    <n v="0"/>
    <n v="0"/>
    <n v="0"/>
  </r>
  <r>
    <s v="PLAN DE MEJORAMIENTO VIGENCIA 2025"/>
    <s v="Auditoría Gobierno Corporativo, Transparencia y Conflicto de Intereses (20250110041653)"/>
    <s v="SUB GERENCIA DE PLANEACIÓN Y PROYECTOS"/>
    <n v="1"/>
    <n v="6"/>
    <n v="0"/>
    <n v="0"/>
    <n v="6"/>
    <n v="0"/>
    <n v="0"/>
    <n v="1"/>
    <n v="0"/>
    <n v="0"/>
    <n v="0"/>
    <n v="0"/>
  </r>
  <r>
    <s v="PLAN DE MEJORAMIENTO VIGENCIA 2025"/>
    <s v="Auditoría Gobierno Corporativo, Transparencia y Conflicto de Intereses (20250110041653)"/>
    <s v="OFICIAL DE CUMPLIMIENTO_x000a__x000a_DIRECCIÓN DE GESTIÓN HUMANA"/>
    <n v="1"/>
    <n v="4"/>
    <n v="0"/>
    <n v="0"/>
    <n v="4"/>
    <n v="0"/>
    <n v="0"/>
    <n v="1"/>
    <n v="0"/>
    <n v="0"/>
    <n v="0"/>
    <n v="0"/>
  </r>
  <r>
    <s v="PLAN DE MEJORAMIENTO VIGENCIA 2025"/>
    <s v="Auditoría Gobierno Corporativo, Transparencia y Conflicto de Intereses (20250110041653)"/>
    <s v="DIRECCIÓN DE GESTIÓN HUMANA"/>
    <n v="1"/>
    <n v="5"/>
    <n v="5"/>
    <n v="0"/>
    <n v="0"/>
    <n v="0"/>
    <n v="0"/>
    <n v="1"/>
    <n v="0"/>
    <n v="0"/>
    <n v="0"/>
    <n v="0"/>
  </r>
  <r>
    <s v="PLAN DE MEJORAMIENTO VIGENCIA 2025"/>
    <s v="Auditoría Gobierno Corporativo, Transparencia y Conflicto de Intereses (20250110041653)"/>
    <s v="SUB GERENCIA JURÍDICA_x000a__x000a_SUB GERENCIA DE PLANEACIÓN Y PROYECTOS"/>
    <n v="1"/>
    <n v="3"/>
    <n v="0"/>
    <n v="0"/>
    <n v="3"/>
    <n v="0"/>
    <n v="0"/>
    <n v="1"/>
    <n v="0"/>
    <n v="0"/>
    <n v="0"/>
    <n v="0"/>
  </r>
  <r>
    <s v="PLAN DE MEJORAMIENTO VIGENCIA 2025"/>
    <s v="Auditoría AIU - Temporales (20250110024753)"/>
    <s v="SUB GERENCIA CORPORATIVA"/>
    <n v="1"/>
    <n v="1"/>
    <n v="0"/>
    <n v="0"/>
    <n v="1"/>
    <n v="0"/>
    <n v="1"/>
    <n v="0"/>
    <n v="0"/>
    <n v="0"/>
    <n v="0"/>
    <n v="0"/>
  </r>
  <r>
    <s v="PLAN DE MEJORAMIENTO VIGENCIA 2025"/>
    <s v="Auditoría AIU - Temporales (20250110024753)"/>
    <s v="DIRECCIÓN DE GESTIÓN HUMANA"/>
    <n v="2"/>
    <n v="2"/>
    <n v="0"/>
    <n v="2"/>
    <n v="0"/>
    <n v="0"/>
    <n v="0"/>
    <n v="2"/>
    <n v="0"/>
    <n v="0"/>
    <n v="0"/>
    <n v="0"/>
  </r>
  <r>
    <s v="PLAN DE MEJORAMIENTO VIGENCIA 2025"/>
    <s v="Auditoría AIU - Temporales (20250110024753)"/>
    <s v="SUB GERENCIA JURÍDICA"/>
    <n v="1"/>
    <n v="1"/>
    <n v="0"/>
    <n v="1"/>
    <n v="0"/>
    <n v="0"/>
    <n v="0"/>
    <n v="0"/>
    <n v="1"/>
    <n v="0"/>
    <n v="0"/>
    <n v="0"/>
  </r>
  <r>
    <s v="PLAN DE MEJORAMIENTO VIGENCIA 2025"/>
    <s v="Auditoría Evaluación al Ambiente de TI (20250110045483)"/>
    <s v="DIRECCIÓN DE RECURSOS TECNOLÓGICOS"/>
    <n v="2"/>
    <n v="5"/>
    <n v="5"/>
    <n v="0"/>
    <n v="0"/>
    <n v="0"/>
    <n v="0"/>
    <n v="0"/>
    <n v="0"/>
    <n v="0"/>
    <n v="0"/>
    <n v="0"/>
  </r>
  <r>
    <s v="PLAN DE MEJORAMIENTO VIGENCIA 2025"/>
    <s v="Auditoría – Investigación Interna – Queja recibida de la Oficina de Control Interno de la Secretaría Distrital de Movilidad (20250110037763)"/>
    <s v="SUB GERENCIA CORPORATIVA"/>
    <n v="1"/>
    <n v="2"/>
    <n v="0"/>
    <n v="0"/>
    <n v="2"/>
    <n v="0"/>
    <n v="0"/>
    <n v="1"/>
    <n v="0"/>
    <n v="0"/>
    <n v="0"/>
    <n v="0"/>
  </r>
  <r>
    <s v="PLAN DE MEJORAMIENTO VIGENCIA 2025"/>
    <s v="Auditoría – Investigación Interna – Queja recibida de la Oficina de Control Interno de la Secretaría Distrital de Movilidad (20250110037763)"/>
    <s v="SUB GERENCIA JURÍDICA"/>
    <n v="1"/>
    <n v="1"/>
    <n v="1"/>
    <n v="0"/>
    <n v="0"/>
    <n v="0"/>
    <n v="0"/>
    <n v="1"/>
    <n v="0"/>
    <n v="0"/>
    <n v="0"/>
    <n v="0"/>
  </r>
  <r>
    <s v="PLAN DE MEJORAMIENTO VIGENCIA 2025"/>
    <s v="Seguimiento al Derecho de Petición_x000a_radicado 20250310114332"/>
    <s v="DIRECCIÓN DE RECURSOS FÍSICOS Y NEGOCIOS"/>
    <n v="2"/>
    <n v="2"/>
    <n v="0"/>
    <n v="2"/>
    <n v="0"/>
    <n v="0"/>
    <n v="0"/>
    <n v="2"/>
    <n v="0"/>
    <n v="0"/>
    <n v="0"/>
    <n v="0"/>
  </r>
  <r>
    <s v="PLAN DE MEJORAMIENTO VIGENCIA 2025"/>
    <s v="Informe de Auditoría al Proceso Gestión de Parqueaderos en Vía (ZPP) 20260110007943"/>
    <s v="SUB GERENCIA DE SERVICIOS OPERACIONALES E INFRAESTRUCTURA"/>
    <n v="4"/>
    <n v="6"/>
    <n v="1"/>
    <n v="4"/>
    <n v="1"/>
    <n v="0"/>
    <n v="1"/>
    <n v="2"/>
    <n v="1"/>
    <n v="0"/>
    <n v="0"/>
    <n v="0"/>
  </r>
  <r>
    <s v="PLAN DE MEJORAMIENTO VIGENCIA 2025"/>
    <s v="Auditoría – Proceso de Contratación, Supervisión e Interventoría 20261200015083"/>
    <s v="DIRECCIÓN DE GESTIÓN HUMANA"/>
    <n v="2"/>
    <n v="2"/>
    <n v="0"/>
    <n v="0"/>
    <n v="2"/>
    <n v="0"/>
    <n v="1"/>
    <n v="1"/>
    <n v="0"/>
    <n v="0"/>
    <n v="0"/>
    <n v="0"/>
  </r>
  <r>
    <s v="PLAN DE MEJORAMIENTO VIGENCIA 2025"/>
    <s v="Auditoría – Proceso de Contratación, Supervisión e Interventoría 20261200015083"/>
    <s v="DIRECCIÓN DE SEGURIDAD OPERACIONAL"/>
    <n v="1"/>
    <n v="1"/>
    <n v="0"/>
    <n v="1"/>
    <n v="0"/>
    <n v="0"/>
    <n v="0"/>
    <n v="1"/>
    <n v="0"/>
    <n v="0"/>
    <n v="0"/>
    <n v="0"/>
  </r>
  <r>
    <s v="PLAN DE MEJORAMIENTO VIGENCIA 2025"/>
    <s v="Auditoría – Proceso de Contratación, Supervisión e Interventoría 20261200015083"/>
    <s v="DIRECCIÓN DE RECURSOS FÍSICOS Y NEGOCIOS"/>
    <n v="1"/>
    <n v="1"/>
    <n v="1"/>
    <n v="0"/>
    <n v="0"/>
    <n v="0"/>
    <n v="0"/>
    <n v="1"/>
    <n v="0"/>
    <n v="0"/>
    <n v="0"/>
    <n v="0"/>
  </r>
  <r>
    <s v="PLAN DE MEJORAMIENTO VIGENCIA 2026"/>
    <s v="Migración de datos a la nube 20261200022073 "/>
    <s v="DIRECCIÓN DE RECURSOS TECNOLÓGICOS"/>
    <n v="12"/>
    <n v="12"/>
    <n v="12"/>
    <n v="0"/>
    <n v="0"/>
    <n v="0"/>
    <n v="10"/>
    <n v="2"/>
    <n v="0"/>
    <n v="0"/>
    <n v="0"/>
    <n v="0"/>
  </r>
  <r>
    <s v="PLAN DE MEJORAMIENTO VIGENCIA 2026"/>
    <s v="Migración de datos a la nube 20261200022073 "/>
    <s v="DIRECCIÓN DE RECURSOS TECNOLÓGICOS_x000a__x000a_SUB GERENCIA DE PLANEACIÓN Y PROYECTOS"/>
    <n v="2"/>
    <n v="2"/>
    <n v="2"/>
    <n v="0"/>
    <n v="0"/>
    <n v="0"/>
    <n v="2"/>
    <n v="0"/>
    <n v="0"/>
    <n v="0"/>
    <n v="0"/>
    <n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6">
  <r>
    <x v="0"/>
    <x v="0"/>
    <x v="0"/>
    <s v="3.1 Se identificaron partidas conciliatorias que persisten mes a mes durante el año."/>
    <x v="0"/>
    <x v="0"/>
    <x v="0"/>
    <d v="2023-03-10T00:00:00"/>
    <x v="0"/>
    <s v="https://drive.google.com/drive/folders/15q2D3zfr85REpawMR1zHbWTpfiALSGJT"/>
    <s v="Se realizan conciliaciones de partidas con corte a 31 de diciembre de 2023 y 31 de enero de 2024 "/>
    <x v="0"/>
    <s v=""/>
    <x v="0"/>
    <x v="0"/>
    <x v="0"/>
    <x v="0"/>
    <m/>
    <x v="0"/>
  </r>
  <r>
    <x v="0"/>
    <x v="0"/>
    <x v="1"/>
    <s v="3.2 cuentas de caja denominadas “ZPP Caja efectivo” por valor de $61.835.491 y ”ZPP Caja electrónica” por valor de $9.914.000, que deberían cerrar en cero cada mes."/>
    <x v="0"/>
    <x v="1"/>
    <x v="0"/>
    <d v="2023-03-10T00:00:00"/>
    <x v="1"/>
    <s v="https://drive.google.com/drive/folders/1j3QIk587UocE3xYkhNc8raokdQfof0ME"/>
    <s v="Se envía balance de las cuentas del Proyecto ZPP a la Dirección de Gestión Financiera"/>
    <x v="0"/>
    <s v=""/>
    <x v="0"/>
    <x v="0"/>
    <x v="0"/>
    <x v="0"/>
    <m/>
    <x v="0"/>
  </r>
  <r>
    <x v="0"/>
    <x v="0"/>
    <x v="2"/>
    <s v="3.3 El procedimiento de recaudo, conciliaciones y cierre se encuentran en elaboración."/>
    <x v="0"/>
    <x v="2"/>
    <x v="0"/>
    <d v="2023-03-10T00:00:00"/>
    <x v="2"/>
    <s v="https://drive.google.com/drive/folders/15iQdy1LKvRipakDFPCHgprafF1-0IZF3"/>
    <s v="Se establecen las acciones requeridas para garantizar el manejo adecuado del dinero desde su recaudo en efectivo o por medio electrónico, hasta su conciliación y cierre financiero, mediante el procedimiento CÓDIGO: ZPP-PR05 el cual se encuentra disponible en la intranet."/>
    <x v="0"/>
    <s v=""/>
    <x v="0"/>
    <x v="0"/>
    <x v="0"/>
    <x v="0"/>
    <m/>
    <x v="0"/>
  </r>
  <r>
    <x v="0"/>
    <x v="0"/>
    <x v="3"/>
    <s v="3.4 El balance de prueba en la sub cuenta 991510020103 - ZPP caja bases DB al corte 31 de julio de 2023 cierra con un saldo de $22.800.000, saldo que no presenta movimiento en el año 2023  y corresponde a un saldo acumulado de cierre año 2022. (…)"/>
    <x v="0"/>
    <x v="3"/>
    <x v="0"/>
    <d v="2023-03-10T00:00:00"/>
    <x v="3"/>
    <s v="https://drive.google.com/drive/folders/1ipCvItirLu48TTpUK5NUPAbU6IrM5L80"/>
    <s v="Nuevo plazo de acuerdo al seguimiento:_x000a__x000a_30/06/2026_x000a__x000a_Fecha anterior:_x000a__x000a_17/12/2025"/>
    <x v="0"/>
    <s v=""/>
    <x v="0"/>
    <x v="0"/>
    <x v="0"/>
    <x v="0"/>
    <s v="leonardo.vasquez@terminaldetransporte.gov.co,javier.veloza@terminaldetransporte.gov.co,andrea.lievano@terminaldetransporte.gov.co,gerson.lugo@terminaldetransporte.gov.co"/>
    <x v="0"/>
  </r>
  <r>
    <x v="0"/>
    <x v="0"/>
    <x v="4"/>
    <m/>
    <x v="0"/>
    <x v="4"/>
    <x v="0"/>
    <d v="2023-03-10T00:00:00"/>
    <x v="3"/>
    <s v="https://drive.google.com/drive/folders/1ipCvItirLu48TTpUK5NUPAbU6IrM5L80"/>
    <s v="Nuevo plazo de acuerdo al seguimiento:_x000a__x000a_30/06/2026_x000a__x000a_Fecha anterior:_x000a__x000a_17/12/2025"/>
    <x v="1"/>
    <s v=""/>
    <x v="0"/>
    <x v="0"/>
    <x v="0"/>
    <x v="0"/>
    <s v="leonardo.vasquez@terminaldetransporte.gov.co,javier.veloza@terminaldetransporte.gov.co,andrea.lievano@terminaldetransporte.gov.co,gerson.lugo@terminaldetransporte.gov.co"/>
    <x v="0"/>
  </r>
  <r>
    <x v="0"/>
    <x v="0"/>
    <x v="5"/>
    <s v="3.5 Incumplimiento de la cláusula tercera del contrato de fiducia mercantil, cómo de la cláusula séptima del contrato interadministrativo 2021-2470, suscrito entre la Terminal de Transporte y la Secretaría de Movilidad."/>
    <x v="0"/>
    <x v="5"/>
    <x v="0"/>
    <d v="2023-03-10T00:00:00"/>
    <x v="2"/>
    <s v="https://drive.google.com/drive/folders/1_8RJEI0IbkQRlngmiIJGqPoZ3inhfEHc"/>
    <s v="En relación con esta acción, se evidencia que ya se realizaron las modificaciones al contrato interadministrativo. Actualmente, se encuentra en trámite la gestión correspondiente para la modificación del contrato de fiducia, mediante las comunicaciones remitidas a la fiduciaria."/>
    <x v="0"/>
    <s v=""/>
    <x v="0"/>
    <x v="0"/>
    <x v="0"/>
    <x v="0"/>
    <m/>
    <x v="0"/>
  </r>
  <r>
    <x v="0"/>
    <x v="0"/>
    <x v="6"/>
    <s v="3.6 El proyecto no suministró la certificación emitida a la fiduciaria que permitiera al equipo auditor validar el cumplimiento de la cláusula décima primera del contrato de fiducia."/>
    <x v="0"/>
    <x v="6"/>
    <x v="0"/>
    <d v="2023-03-10T00:00:00"/>
    <x v="1"/>
    <s v="https://drive.google.com/drive/folders/16XJrnFNLC-ZeqL65iwBIDpI67sczRxjI"/>
    <s v="Se remite a la fiduciaria dentro de los cinco (5) primeros días hábiles de cada mes, una certificación debidamente suscrita por el revisor fiscal o contador, según corresponda y por el representante legal del fidecomitente."/>
    <x v="0"/>
    <s v=""/>
    <x v="0"/>
    <x v="0"/>
    <x v="0"/>
    <x v="0"/>
    <m/>
    <x v="0"/>
  </r>
  <r>
    <x v="0"/>
    <x v="0"/>
    <x v="7"/>
    <s v="3.6.1 El modelo financiero no se ajusta a la realidad operativa del proyecto dificultando el cumplimiento de las proyecciones, por lo que sería importante evaluar junto con la SDM si se debe ajustar a una nueva versión."/>
    <x v="0"/>
    <x v="7"/>
    <x v="0"/>
    <d v="2023-03-10T00:00:00"/>
    <x v="4"/>
    <m/>
    <s v="Subir los oficios"/>
    <x v="0"/>
    <s v=""/>
    <x v="0"/>
    <x v="0"/>
    <x v="0"/>
    <x v="0"/>
    <m/>
    <x v="0"/>
  </r>
  <r>
    <x v="0"/>
    <x v="0"/>
    <x v="8"/>
    <s v="3.7 Los informes mensuales de abril, mayo, junio y siguientes del año 2023 solicitados no fueron cargados debido a que se encuentran en revisión por parte de la Secretaria Distrital de Movilidad."/>
    <x v="0"/>
    <x v="8"/>
    <x v="0"/>
    <d v="2023-03-10T00:00:00"/>
    <x v="1"/>
    <s v="https://drive.google.com/drive/folders/1JuD0JvrfaKtJDL11rGsa80nfNRU0HUWn"/>
    <s v="Se remiten los informes en sus diferentes periodicidades a la SDM en cumplimiento a la cláusula 16 del contrato interadministrativo"/>
    <x v="0"/>
    <s v=""/>
    <x v="0"/>
    <x v="0"/>
    <x v="0"/>
    <x v="0"/>
    <m/>
    <x v="0"/>
  </r>
  <r>
    <x v="0"/>
    <x v="0"/>
    <x v="9"/>
    <s v="3.8 Cuantías menores de sobrantes y faltantes continuos, que se han fortalecido con capacitaciones a facilitadores, supervisión constante y de acompañamiento por parte del equipo auditor"/>
    <x v="0"/>
    <x v="9"/>
    <x v="0"/>
    <d v="2023-03-10T00:00:00"/>
    <x v="1"/>
    <s v="https://drive.google.com/drive/folders/1nLNxCP8QNKy71dnjn497NGiSK_IkhxJK"/>
    <s v="Se han fortalecido con capacitaciones a facilitadores, supervisión constante y de acompañamiento por parte del equipo auditor."/>
    <x v="0"/>
    <s v=""/>
    <x v="0"/>
    <x v="0"/>
    <x v="0"/>
    <x v="0"/>
    <m/>
    <x v="0"/>
  </r>
  <r>
    <x v="0"/>
    <x v="0"/>
    <x v="10"/>
    <s v="3.9 La integración de la información operativa (con efecto contable) procesada en la solución omnicanal con la aplicación ERP informa WEB de RSN Soltions, es manual y se soporta en una conciliación diaria."/>
    <x v="0"/>
    <x v="10"/>
    <x v="0"/>
    <d v="2023-03-10T00:00:00"/>
    <x v="2"/>
    <s v="https://drive.google.com/drive/folders/1dJ40SSnqCMRgMSfK4Q4VcvosnmZi3_sy"/>
    <s v="Se realiza la aprobación de la integración de ZPP y el sistema contable de la Terminal de Transporte RSN, mediante acta del 14 de junio de 2024 con la empresa ETB."/>
    <x v="0"/>
    <s v=""/>
    <x v="0"/>
    <x v="0"/>
    <x v="0"/>
    <x v="0"/>
    <m/>
    <x v="0"/>
  </r>
  <r>
    <x v="0"/>
    <x v="0"/>
    <x v="11"/>
    <s v="3.10 Las actividades de gestión y control del acceso lógico de cuentas de usuario final no se encuentran documentadas"/>
    <x v="0"/>
    <x v="11"/>
    <x v="0"/>
    <d v="2023-03-10T00:00:00"/>
    <x v="2"/>
    <s v="https://drive.google.com/drive/folders/1M4tH0yvx5coOOWp-5qrxZiuHx3pLUzPc"/>
    <s v="Se implementa el procedimiento &quot;Admistración de usuarios ZPP&quot; Código: GPE-PR01, el cual está públicado y disponible en el SIG."/>
    <x v="0"/>
    <s v=""/>
    <x v="0"/>
    <x v="0"/>
    <x v="0"/>
    <x v="0"/>
    <m/>
    <x v="0"/>
  </r>
  <r>
    <x v="0"/>
    <x v="0"/>
    <x v="12"/>
    <s v="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
    <x v="0"/>
    <x v="12"/>
    <x v="0"/>
    <d v="2023-03-10T00:00:00"/>
    <x v="2"/>
    <s v="https://drive.google.com/drive/folders/1N-f0a5ly6mrI-r6A2pffLw91zk68Gg5u"/>
    <s v="Se implementa el procedimiento &quot;Admistración de usuarios ZPP&quot; Código: GPE-PR01, el cual está públicado y disponible en el SIG."/>
    <x v="0"/>
    <s v=""/>
    <x v="0"/>
    <x v="0"/>
    <x v="0"/>
    <x v="0"/>
    <m/>
    <x v="0"/>
  </r>
  <r>
    <x v="0"/>
    <x v="0"/>
    <x v="13"/>
    <s v="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
    <x v="0"/>
    <x v="13"/>
    <x v="0"/>
    <d v="2023-03-10T00:00:00"/>
    <x v="2"/>
    <s v="https://drive.google.com/drive/folders/1dtQIoZcTe2vjqrUesem5UjKucI5JjLAS"/>
    <s v="Los cambios al Software se encuentran documentados, sien embargo el formato no se encuentra firmado"/>
    <x v="0"/>
    <s v=""/>
    <x v="0"/>
    <x v="0"/>
    <x v="0"/>
    <x v="0"/>
    <m/>
    <x v="0"/>
  </r>
  <r>
    <x v="0"/>
    <x v="0"/>
    <x v="14"/>
    <s v="3.13 Dentro del proceso verbal de contratación con los usuarios no se deja evidencia de la explicación de los términos y condiciones a este pues toda la transacción se realiza verbalmente."/>
    <x v="0"/>
    <x v="14"/>
    <x v="0"/>
    <d v="2023-03-10T00:00:00"/>
    <x v="5"/>
    <s v="https://drive.google.com/drive/folders/1Re1LFSCOQtSf6kLKJavWyzSz6OYGp48i"/>
    <s v="Se cuenta con el redireccionamiento al contrato usuario - operador (evidencia de la aceptación), cuando el ususario entra a la aplicación."/>
    <x v="0"/>
    <s v=""/>
    <x v="0"/>
    <x v="0"/>
    <x v="0"/>
    <x v="0"/>
    <m/>
    <x v="0"/>
  </r>
  <r>
    <x v="0"/>
    <x v="0"/>
    <x v="15"/>
    <s v="3.14 Para los usuarios del sistema IOS, los términos y condiciones del contrato - operador al ingresar a la opción términos y condiciones no están actualizados y no llegan por ningún medio posterior a registro en la App."/>
    <x v="0"/>
    <x v="15"/>
    <x v="0"/>
    <d v="2023-03-10T00:00:00"/>
    <x v="5"/>
    <s v="https://drive.google.com/drive/folders/1oB1Rq67ze5R6yIrJcaejE4hbPJe6nJ4b"/>
    <s v="Se cuenta con el redireccionamiento al contrato usuario - operador (evidencia de la aceptación), cuando el ususario entra a la aplicación."/>
    <x v="0"/>
    <s v=""/>
    <x v="0"/>
    <x v="0"/>
    <x v="0"/>
    <x v="0"/>
    <m/>
    <x v="0"/>
  </r>
  <r>
    <x v="0"/>
    <x v="0"/>
    <x v="16"/>
    <s v="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
    <x v="0"/>
    <x v="16"/>
    <x v="0"/>
    <d v="2023-03-10T00:00:00"/>
    <x v="2"/>
    <s v="https://drive.google.com/drive/folders/1DM90XW4Kcvly7YuuUvBdC2xGB2klr3bh"/>
    <s v="Se actualiza el Instructivo GPE-IN01 Atención al Ciudadano y PQRSDF, el cual se encuentra disponible en el SIG"/>
    <x v="0"/>
    <s v=""/>
    <x v="0"/>
    <x v="0"/>
    <x v="0"/>
    <x v="0"/>
    <m/>
    <x v="0"/>
  </r>
  <r>
    <x v="0"/>
    <x v="0"/>
    <x v="17"/>
    <s v="3.16 En el seguimiento a las PQRSDF se determina que 895 registros exceden los tiempos limite previstos por la norma para la debida respuesta, sin embargo se muestra mejoría durante los años 2022 y 2023, de igual forma se debe continuar monitoreando los tiempos de respuesta"/>
    <x v="0"/>
    <x v="17"/>
    <x v="0"/>
    <d v="2023-03-10T00:00:00"/>
    <x v="2"/>
    <s v="https://drive.google.com/drive/folders/1c0YE6TqgOp4008u04dAdH4qG1lAdkG-T"/>
    <s v="Se remite a la secretaría de Movilidad, informe mensual del estado de las PQRSF."/>
    <x v="0"/>
    <s v=""/>
    <x v="0"/>
    <x v="0"/>
    <x v="0"/>
    <x v="0"/>
    <m/>
    <x v="0"/>
  </r>
  <r>
    <x v="0"/>
    <x v="0"/>
    <x v="18"/>
    <s v="3.18  Los soporte del registro de medición de los indicadores, no soportan la totalidad de los indicadores, ni cumplen con los requisitos indicados."/>
    <x v="0"/>
    <x v="18"/>
    <x v="0"/>
    <d v="2023-03-10T00:00:00"/>
    <x v="2"/>
    <s v="https://drive.google.com/drive/folders/1rAEnwCXhhTUZ-bsiDsJjE6Xw-55jS3Zf"/>
    <m/>
    <x v="0"/>
    <s v=""/>
    <x v="0"/>
    <x v="0"/>
    <x v="0"/>
    <x v="0"/>
    <m/>
    <x v="0"/>
  </r>
  <r>
    <x v="0"/>
    <x v="0"/>
    <x v="19"/>
    <s v="3.19 La Secretaría de Movilidad no dispone del acceso en modo consulta para visualizar el grado de cumplimiento de los ANS."/>
    <x v="0"/>
    <x v="19"/>
    <x v="0"/>
    <d v="2023-03-10T00:00:00"/>
    <x v="2"/>
    <s v="https://drive.google.com/drive/folders/1wssdaaOSXud2wt0bfMzeATOo5yrGz9Qc"/>
    <s v="Se implementa el Tablero de control &quot;Zona de Parqueo Pago&quot;, el cual se puede verificar mediante el siguiente enlace https://app.powerbi.com/view?r=eyJrIjoiYTI0OGFiNjItM2FkMy00NzM1LWE2ZjEtNDVmNzZmMmM2OTMxIiwidCI6ImY4OTU3YzQyLTc2ZTYtNGY4ZC1hNTgyLTMxMjkwZmY2NWU5NiJ9&amp;embedImagePlaceholder=true&amp;pageName=ReportSection"/>
    <x v="0"/>
    <s v=""/>
    <x v="0"/>
    <x v="0"/>
    <x v="0"/>
    <x v="0"/>
    <m/>
    <x v="0"/>
  </r>
  <r>
    <x v="0"/>
    <x v="0"/>
    <x v="20"/>
    <s v="3.20 Se identificaron situaciones respecto a las señalizaciones en las áreas de implementación que pueden afectar el normal desarrollo del proyecto, debido a la dificultad de los usuarios para accederá las zonas de parqueo pago y la dificultad para acceder a la información."/>
    <x v="0"/>
    <x v="20"/>
    <x v="0"/>
    <d v="2023-03-10T00:00:00"/>
    <x v="1"/>
    <s v="https://drive.google.com/drive/folders/1NA8uXnGiIGC7qCLjOcZu_lBEuwwqdROJ"/>
    <s v="Se remiten oficios a Movilidad solicitando señales horizontales y verticales"/>
    <x v="0"/>
    <s v=""/>
    <x v="0"/>
    <x v="0"/>
    <x v="0"/>
    <x v="0"/>
    <m/>
    <x v="0"/>
  </r>
  <r>
    <x v="0"/>
    <x v="0"/>
    <x v="21"/>
    <s v="3.21 A corte 30 de junio de 2023, no se identifican procedimiento o reconocimiento contable de las cuentas por cobrar por concepto de evasión ($357.320.650) definido en el modelo financiero."/>
    <x v="0"/>
    <x v="21"/>
    <x v="0"/>
    <d v="2023-03-10T00:00:00"/>
    <x v="4"/>
    <s v="https://drive.google.com/drive/folders/1CQHs4AxXOo7Y6T2FmJZ_uYDw0IzkhisU"/>
    <s v="Meidante el Procedimiento Gestión y Recuperación de los Registros Susceptibles de Gestión de Zona de Parqueo Pago Código: GPE-PR02 Versión 1 se establecen  los lineamientos para la revisión y análisis de los registros de usos operativos susceptibles de_x000a_gestión de Zona de Parqueo Pago, definiendo el tratamiento que se deberá surtir para cada una de las clasificaciones que originaron los_x000a_respectivos registros."/>
    <x v="0"/>
    <s v=""/>
    <x v="0"/>
    <x v="0"/>
    <x v="0"/>
    <x v="0"/>
    <m/>
    <x v="0"/>
  </r>
  <r>
    <x v="0"/>
    <x v="0"/>
    <x v="22"/>
    <s v="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
    <x v="0"/>
    <x v="22"/>
    <x v="0"/>
    <d v="2023-03-10T00:00:00"/>
    <x v="6"/>
    <s v="https://drive.google.com/drive/folders/1IV64XMHR_s4nfoilOI5YZ-MAJwghQkz7"/>
    <m/>
    <x v="0"/>
    <s v=""/>
    <x v="0"/>
    <x v="0"/>
    <x v="0"/>
    <x v="0"/>
    <m/>
    <x v="0"/>
  </r>
  <r>
    <x v="0"/>
    <x v="0"/>
    <x v="23"/>
    <s v="3.23 El reconocimiento discontinuo de los gastos del proyecto, pueden llevar a tomas de decisiones equivocas por no contar con la información completa de la operación dentro de la contabilidad del proyecto."/>
    <x v="0"/>
    <x v="23"/>
    <x v="0"/>
    <d v="2023-03-10T00:00:00"/>
    <x v="2"/>
    <s v="https://drive.google.com/drive/folders/1M2s9Cmb7an1-SM2wUHxLtgMPC524j7LN"/>
    <m/>
    <x v="0"/>
    <s v=""/>
    <x v="0"/>
    <x v="0"/>
    <x v="0"/>
    <x v="0"/>
    <m/>
    <x v="0"/>
  </r>
  <r>
    <x v="0"/>
    <x v="0"/>
    <x v="24"/>
    <s v="3.24 Se identificaron contratos que no cuentan con el debido cargue en el secop, de la totalidad de los informes de actividades que dan cuenta de la ejecución del contrato."/>
    <x v="0"/>
    <x v="24"/>
    <x v="0"/>
    <d v="2023-03-10T00:00:00"/>
    <x v="5"/>
    <s v="https://drive.google.com/drive/folders/1C-zW_5vNOVEpR0ijOYfNXWWFsg0lE9NV"/>
    <m/>
    <x v="0"/>
    <s v=""/>
    <x v="0"/>
    <x v="0"/>
    <x v="0"/>
    <x v="0"/>
    <m/>
    <x v="0"/>
  </r>
  <r>
    <x v="0"/>
    <x v="0"/>
    <x v="25"/>
    <s v="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
    <x v="0"/>
    <x v="25"/>
    <x v="0"/>
    <d v="2023-03-10T00:00:00"/>
    <x v="2"/>
    <m/>
    <m/>
    <x v="0"/>
    <s v=""/>
    <x v="0"/>
    <x v="0"/>
    <x v="0"/>
    <x v="0"/>
    <m/>
    <x v="0"/>
  </r>
  <r>
    <x v="1"/>
    <x v="1"/>
    <x v="26"/>
    <s v="Se identificó que el abogado contratista Omar Arturo Calderón Zaque, con número de contrato TT-171-2024, cuyo objeto es, “la prestación de servicios profesionales jurídicos a la Subgerencia Corporativa y sus direcciones”, participó en la etapa de construcción de las especificaciones técnicas del Proceso de Selección SPO-08-2024 (contrato TT-214-2024), las cuales fueron remitidas a la Subgerencia Jurídica según el informe de actividades No. 2 (radicado 20240310137952).  _x000a_ _x000a_Sin embargo, no participó en la revisión del estudio previo ni del pliego de condiciones del proceso SPO-08-2024; justificando que Juan Andrés Alviz, contratista con el número de contrato TT-37-2024 y quien presta sus servicios en la Subgerencia Jurídica, manifestó que se encargaría directamente del proceso por instrucciones de la Gerencia General.  _x000a_ _x000a_Respecto al objeto del contrato de TT-37-2024 es “Prestar los ervicios profesionales especializados de apoyo a la gestión, coordinación y asesoramiento de los procesos de contratación que adelante La Terminal de Transporte S.A.” _x000a_ _x000a_Es relevante señalar que Omar Arturo Calderón Zaque, se apartó del proceso de selección TT-SPO-08-2024 sin previa confirmación de la decisión por parte del supervisor del contrato (Dirección de Gestión Humana).  (...)"/>
    <x v="0"/>
    <x v="26"/>
    <x v="1"/>
    <d v="2025-02-21T00:00:00"/>
    <x v="7"/>
    <m/>
    <m/>
    <x v="0"/>
    <s v=""/>
    <x v="0"/>
    <x v="0"/>
    <x v="0"/>
    <x v="0"/>
    <m/>
    <x v="0"/>
  </r>
  <r>
    <x v="1"/>
    <x v="1"/>
    <x v="27"/>
    <s v="En el proceso de Selección Pública de Oferta TT-SPO-08-2024, cuyo objeto es la &quot;Contratación de una empresa de servicios temporales que suministre trabajadores en misión para los distintos proyectos de la Terminal de Transporte S.A.&quot;, se identificó que en el pliego de condiciones, en el numeral 2 bajo el título &quot;PUNTAJE EXPERIENCIA ADICIONAL DE LA MÍNIMA EXIGIDA COMO REQUISITO HABILITANTE - ANEXO 7A&quot;, se incorporó un nuevo criterio de experiencia adicional, por experiencia en &quot;logística de grandes eventos y/o toma de información de campo y/o encuestas presenciales&quot;, el cual fue aprobado en el Comité de Contratación del 9 de oct de 2024._x000a__x000a_Es importante destacar que en el Proceso de Selección Pública de Oferta anterior TT-SPO-10-2023, cuyo objeto era similar y mediante el cual se contrató a la empresa de servicios temporales OSYA, en el criterio de experiencia adicional, solo se evaluaba la &quot;experiencia adicional distinta a la mínima habilitante requerida, en cuanto a la provisión de trabajadores temporales en temas relacionados con estacionamientos públicos y/o privados o peajes&quot;. (...)"/>
    <x v="0"/>
    <x v="27"/>
    <x v="2"/>
    <s v="Inmediato"/>
    <x v="8"/>
    <s v="https://drive.google.com/drive/u/0/folders/1k3lzPVlNQoIuKi8dhGPG7cHofDzpa2Ox"/>
    <s v="Se adjunta el Acta No. 31 del Comité Extraordinario, en la cual se evidencia la aprobación de la evaluación solicitada. En el cuadro anexo se relaciona la observación realizada por el miembro del Comité que efectuó la solicitud."/>
    <x v="0"/>
    <s v=""/>
    <x v="0"/>
    <x v="0"/>
    <x v="0"/>
    <x v="0"/>
    <m/>
    <x v="0"/>
  </r>
  <r>
    <x v="1"/>
    <x v="1"/>
    <x v="28"/>
    <s v="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quot;CONSORCIO SERVICIOS TEMPORALES&quot; inicialmente se calificó_x000a_como &quot;No hábil&quot;. (...)"/>
    <x v="0"/>
    <x v="28"/>
    <x v="2"/>
    <d v="2025-01-24T00:00:00"/>
    <x v="3"/>
    <s v="https://drive.google.com/drive/u/0/folders/1qM1MgdWS3cM7dSOvy6vSLyky2Lw153GR"/>
    <s v="Se realizó reunión con el área el 28 de enero de 2025, y el compromiso fue solicitar plazo"/>
    <x v="1"/>
    <s v=""/>
    <x v="0"/>
    <x v="0"/>
    <x v="0"/>
    <x v="0"/>
    <s v="juan.alviz@terminaldetransporte.gov.co,carlos.salcedo@terminaldetransporte.gov.co,omar.gamboa@terminaldetransporte.gov.co"/>
    <x v="0"/>
  </r>
  <r>
    <x v="1"/>
    <x v="1"/>
    <x v="29"/>
    <s v="Se identificó que la Póliza de Seguro de Responsabilidad Civil Extracontractual del contrato TT-215-2024, número 980-74-994000011463, tiene vigencia hasta el 05 de junio de 2025._x000a__x000a_El contrato TT-215-2024, en su cláusula DÉCIMA SEGUNDA: GARANTÍA ÚNICA, establece que la vigencia de esta garantía se otorgará por todo el periodo de la ejecución del contrato, contados a_x000a_partir de la suscripción del mismo._x000a__x000a_Sin embargo, el contrato cuenta con un acta de inicio que establece la_x000a_ejecución del contrato desde el 26 de diciembre de 2024 hasta el 25 de_x000a_junio de 2025."/>
    <x v="0"/>
    <x v="29"/>
    <x v="3"/>
    <d v="2025-01-24T00:00:00"/>
    <x v="9"/>
    <m/>
    <s v="Verificar las pólizas"/>
    <x v="0"/>
    <s v=""/>
    <x v="0"/>
    <x v="0"/>
    <x v="0"/>
    <x v="0"/>
    <m/>
    <x v="0"/>
  </r>
  <r>
    <x v="1"/>
    <x v="1"/>
    <x v="30"/>
    <s v="En la verificación de los amparos de la Póliza de Cumplimiento número 980-47994000029031, que corresponde al Contrato TT-194-2024, cuyo objeto es &quot;Realizar la construcción de protección lateral salas de espera sabaneros y la construcción de cubierta de conexión del sendero peatonal de ingreso al módulo sabaneros en la Terminal Satélite del Norte&quot;. Se identificó que el contrato establece en su cláusula DÉCIMA SEGUNDA: GARANTÍA ÚNICA, que el contratista debe constituir a su costo y a favor de la Terminal de Transporte S.A, una Póliza de Cumplimiento ante Entidades Públicas con Régimen Privado de Contratación, otorgada por una Compañía de Seguros. La póliza debe amparar los siguientes riesgos:"/>
    <x v="0"/>
    <x v="30"/>
    <x v="2"/>
    <d v="2025-03-12T00:00:00"/>
    <x v="10"/>
    <s v="https://drive.google.com/drive/u/0/folders/1E1Z6IquWHr-XF76eeRPVOrzY5JOkp0-Q"/>
    <s v="Se realizó reunión con el corredor de seguros, se adjunta acta, indicando las recomendaciones del corredor, y se definieron oportunidades de mejora para futuros procesos._x000a__x000a_Como compromiso el corredor realizará una capacitación a la dirección de infraestructura sobre como leer una carátula de póliza, a mas tardar el 30 de enero de 2026"/>
    <x v="0"/>
    <s v=""/>
    <x v="0"/>
    <x v="0"/>
    <x v="0"/>
    <x v="0"/>
    <m/>
    <x v="0"/>
  </r>
  <r>
    <x v="1"/>
    <x v="1"/>
    <x v="4"/>
    <m/>
    <x v="0"/>
    <x v="31"/>
    <x v="3"/>
    <d v="2025-03-12T00:00:00"/>
    <x v="11"/>
    <s v="https://drive.google.com/drive/u/0/folders/1BKMuSrv055apKonh_jwMxJgdgOOuB4cM"/>
    <s v="Se realizó reunión con el corredor de seguros, se adjunta acta, indicando las recomendaciones del corredor, y se definieron oportunidades de mejora para futuros procesos._x000a__x000a_Como compromiso el corredor realizará una capacitación a la dirección de infraestructura sobre como leer una carátula de póliza, a mas tardar el 30 de enero de 2026"/>
    <x v="0"/>
    <s v=""/>
    <x v="0"/>
    <x v="0"/>
    <x v="0"/>
    <x v="0"/>
    <m/>
    <x v="0"/>
  </r>
  <r>
    <x v="1"/>
    <x v="1"/>
    <x v="31"/>
    <s v="Se identificó que la empresa Consorcio Servicios Temporales incumplió lo establecido en el contrato TT-214-2024, específicamente en el numeral 3 bajo el título &quot;OBLIGACIONES ESPECÍFICAS Y/O PRODUCTOS ESPERADOS OBJETO DE DESCUENTOS POR (ANS)&quot;, al realizar el pago de la nómina_x000a_correspondiente a 536 trabajadores el día 31 de diciembre de 2024. Según el contrato, el pago debe realizarse de manera quincenal, específicamente los días 15 y 30 de cada mes, o en su defecto, el día hábil inmediatamente anterior. El pago efectuado en una fecha posterior a lo estipulado constituye un incumplimiento de esta obligación contractual."/>
    <x v="0"/>
    <x v="32"/>
    <x v="1"/>
    <d v="2024-01-24T00:00:00"/>
    <x v="10"/>
    <s v="https://drive.google.com/drive/u/0/folders/1kXSJCWZ1ybkIxlC5BeUn8S_EcGZEkMO2"/>
    <s v="Se evidencia el cumplimiento del plan de acción, mediante la carga de las facturas correspondientes al periodo del 1 al 31 de diciembre, acompañadas de los Acuerdos de Nivel de Servicio (ANS) relacionados y sus respectivos certificados de cumplimiento, lo cual da respuesta al compromiso establecido"/>
    <x v="0"/>
    <s v=""/>
    <x v="0"/>
    <x v="0"/>
    <x v="0"/>
    <x v="0"/>
    <m/>
    <x v="0"/>
  </r>
  <r>
    <x v="1"/>
    <x v="1"/>
    <x v="32"/>
    <s v="Con respecto al contrato TT-110-2024, cuyo objeto es “la ejecución de mantenimiento especializado para las zonas de los parqueaderos administrados por la Terminal”, se observó que los informes de_x000a_ejecución no se están cargando de manera oportuna en la plataforma SECOP II, lo cual es necesario para garantizar la transparencia en el proceso de ejecución del contrato._x000a__x000a_Según la información disponible en el aplicativo RSN, se ha registrado un valor total ejecutado por $77.200.495, correspondiente a los pagos realizados durante los meses de agosto, septiembre, octubre, noviembre y diciembre de 2024. Sin embargo, los informes de ejecución correspondientes a este contrato no han sido cargados en la plataforma SECOP II. (...)"/>
    <x v="0"/>
    <x v="33"/>
    <x v="3"/>
    <d v="2025-01-24T00:00:00"/>
    <x v="9"/>
    <m/>
    <m/>
    <x v="0"/>
    <s v=""/>
    <x v="0"/>
    <x v="0"/>
    <x v="0"/>
    <x v="0"/>
    <m/>
    <x v="0"/>
  </r>
  <r>
    <x v="1"/>
    <x v="2"/>
    <x v="33"/>
    <s v="La Dirección Financiera tiene definido el siguiente Control en la Matriz de Riesgo de la Empresa:  _x000a_ &quot;Realizar mensualmente seguimiento al archivo en PDF -Planificación de Fechas Importantes Dirección Financiera- con las diferentes entidades externas y de control, con el fin de ser presentados oportunamente, teniendo en cuenta la revisión del planeador, las alertas emitidas por las diferentes entidades con sus vencimientos y los reportes de la informacion presentada.&quot; _x000a_ Al revisar la efectividad del Control, se identificaron las siguientes deficiencias: _x000a_ _x000a_1. Las actividades detalladas en la Planificación, no define claramente al responsable de la elaboracion, revisión y reporte, para cada una, especialemente las relacionadas con las obligaciones con entes de control.  _x000a_2. El personal de apoyo de las áreas operativas que gestionan información financiera, tales como: reconocimiento de ingresos, gastos o costos, no indica su responsabilidad respecto a los procesos  financieros. _x000a_3. No hay evidencia del seguimiento a la Planificación Financiera, ni existen reportes a la subgerencia Corporativa informando situaciones que haya impactado su ejecución. _x000a_4. No se relaciona los Comités a los cuales la Dirección Financiera participa y/o realiza rendición de cuentas. _x000a_5. El seguimiento de las partidas Conciliatorias que surgen de los procesos operativos y/o de negocio no está centralizado en órgano de control para una gestión oportuna."/>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4"/>
    <s v="El Impuesto Predial Unificado en Bogotá es regulado por el Acuerdo 469 de 2011 (art. 8 y art.9), por el Decreto Reglamentario 352 de 2002 (Capítulo I- art. 13 al art. 30), y la Base Gravable mínima se asigna a partir del avalúo catastral (Decreto 148 de 2020) que incluye tanto el valor como el uso del  inmueble, con base a las características físicas, jurídicas y económicas. _x000a__x000a_Al respecto,  se observaron diferencias en el destino económico del predio con CHIP AAA0077FYUH, en razón a que la Unidad Administrativa Especial de Catastro Distrital UAECD le asignó la clasificación de “urbanizables no urbanizados” al cual se le aplica una tarifa del 33*1000 para efectos de la liquidación del impuesto predial. No obstante, el criterio definido por la Dirección de Gestión Financiera de destino económico del inmueble fue  “Dotacional Privado” y por lo tanto, sugiere aplicar una tarifa del 6,5*1000, como consta en el correo del 2 de febrero de 2018, dirigido a David Monsalve,endondeadjunta las imágenes con las inconsistencias que presenta la información en la plataforma de la Secretaría de Distrital de Hacienda sobre la propiedad del Bien para los años de 2014 y 2015, razón por la cual se declararon y pagaron fuera del plazo establecido por el Regulador.(...)"/>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5"/>
    <s v="Las Funciones del Profesional 4 de la Dirección Financiera, a cargo del proceso de Tesorería, fueron validadas a través del Manual de Funciones vigente GTSMN01 Versión 05 de 2023, observando que no ha presentado cambios  desde el año  2015 (Resolución 043 de 2015) al 30 de noviembre de 2024. _x000a_ _x000a_Adicionalmente, se verificó en el Manual de Tesorería GAF - MN04 las Responsabilidades en el control y pago de las _x000a_obligaciones financieras, definidas en el numeral 5.1 Bancos Cuentas, en el cual establece que debe &quot;Verificar diariamente los movimientos y saldos de las cuentas bancarias&quot;.  _x000a_ _x000a_Al respecto, se evidenció que el control está definido en la matriz de riesgos, como se describe a continuación:  _x000a_ _x000a_&quot;Revisar el estado diario de Tesorería en las plataformas de las entidades financieras y el reporte de cuentas por pagar en el sistema RSN con el fin de verificacion del disponible para efectuar el pago oportuno de las obligaciones de la entidad registrados en un comprobante de egreso y así evitar sanciones por su incumplimiento. &quot; _x000a_ _x000a_Se evidenció inefectividad del Control en el pago al no incluir la validación en las plataformas de los impuestos nacionales y distritales. Riesgo que se materializó en el año 2023 al pagar $4,597,000 por concepto de intereses a la DIAN por impuestos de Retención en la Fuente e IVA, evidenciando que se presentaron el 13 de marzo de 2023 pero el pago fue efectivo hasta el 21 de marzo del mismo año."/>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6"/>
    <s v="Debilidades en la Integración de los aplicativos operativos con el aplicativo financiero RSN. _x000a_ _x000a_Al respecto, se evidenciaron pruebas de seguridad relacionadas con: _x000a_1) Integración con GOPETT _x000a_2) Conexión para el aplicativo de ZPP por cambio de proveedor  _x000a_3) Integración parqueaderos Security Access _x000a_ _x000a_Se ejecutaron en ambientes de pruebas asociadas a desarrollo seguro, sin embargo, no se evidenciaron las conclusiones ni las observaciones sobre dichas pruebas. _x000a_ _x000a_En cuanto al correo reportado en el Registro de Información Tributaria (RIT) para los impuestos distritales que se declaran a la Secretaría Distrital de Hacienda, conforme a la información suministrada por la Dirección de Recursos Tecnológicos de L  Terminal, fue asignado a Ruth Fabiola González  quien se desempeñó como Jefe de la Oficina de Auditoría Interna entre los año 2014-2022, y debió ser asignado a la Dirección de Gestión Financiera. _x000a__x000a_Si bien,  la Política de Seguridad de la Información no establece una responsabilidad en las plataformas externas, como son: la Dirección de Impuestos y Aduanas  Nacionales DIAN y la Secretaría de Hacienda del Distrito SHD, se debe definir el alcance y la documentación sobre la delegación de responsabilidades sobre este tipo de plataformas."/>
    <x v="0"/>
    <x v="35"/>
    <x v="5"/>
    <d v="2024-04-30T00:00:00"/>
    <x v="13"/>
    <s v="https://drive.google.com/drive/u/0/folders/15sa79e55nguCM0fngr2sArko5M6AJ-AF"/>
    <s v="Se evidencia el cumplimiento de la acción programada, en la medida en que el Director de Recursos Tecnológicos realizó la solicitud formal a los líderes responsables para la entrega del sobre sellado con los usuarios y contraseñas custodiados en la caja fuerte, con el fin de proceder al cambio de claves y su posterior resguardo conforme a la política de seguridad de la información (numeral 10.3.3). No obstante, se realizará seguimiento hasta verificar que la entrega, actualización y resello del sobre hayan sido formalmente ejecutados y registrados por el área de Tecnología. "/>
    <x v="0"/>
    <s v=""/>
    <x v="0"/>
    <x v="0"/>
    <x v="0"/>
    <x v="0"/>
    <m/>
    <x v="0"/>
  </r>
  <r>
    <x v="1"/>
    <x v="2"/>
    <x v="4"/>
    <m/>
    <x v="0"/>
    <x v="36"/>
    <x v="5"/>
    <d v="2024-04-30T00:00:00"/>
    <x v="13"/>
    <s v="https://drive.google.com/drive/u/0/folders/1jky72UrcEM-oBmwkmQynjVtS6Wn0IM6L"/>
    <s v="Se evidencia el cargue de los formatos que demuestran la inducción realizada en Seguridad de la Información. Con ello, se verifica el cumplimiento de la actividad; no obstante, se continuará realizando seguimiento para asegurar que las capacitaciones se mantengan actualizadas y alineadas con las responsabilidades asignadas."/>
    <x v="0"/>
    <s v=""/>
    <x v="0"/>
    <x v="0"/>
    <x v="0"/>
    <x v="0"/>
    <m/>
    <x v="0"/>
  </r>
  <r>
    <x v="1"/>
    <x v="2"/>
    <x v="4"/>
    <m/>
    <x v="0"/>
    <x v="37"/>
    <x v="5"/>
    <d v="2024-04-30T00:00:00"/>
    <x v="13"/>
    <s v="https://drive.google.com/drive/u/0/folders/1UMA9ae1bCQlXfPx-UvAxZuoltHoZa3zo"/>
    <s v="No se evidencian soportes de las mesas de trabajo con los proveedores para implementar el procedimiento de control de cambios de la terminal; no se observa cumplimiento de la acción"/>
    <x v="0"/>
    <s v=""/>
    <x v="0"/>
    <x v="0"/>
    <x v="0"/>
    <x v="0"/>
    <m/>
    <x v="0"/>
  </r>
  <r>
    <x v="1"/>
    <x v="3"/>
    <x v="37"/>
    <s v="Hallazgo 1: _x000a_En la ejecución del contrato TT-135-2023 se evidenciaron las siguientes inconsistencias: _x000a_1._x0009_No se ejecutó el total de la reinversión del 1% de que trata la cláusula Novena, numeral 69 del contrato._x000a_2._x0009_Dentro del mismo presupuesto de reinversión, en la ejecución del plan de Bienestar Social, no se encontró evidencia de entrega de los siguientes elementos:  _x000a__x000a_●_x0009_29 camisas tipo lino por $2.228.483 y 17 buzos tipo Hoodie por $1.598.170.  _x000a_●_x0009_70 bonos de Falabella “Gift Card” por $2.100.000.  _x000a_Total: 5.926.653"/>
    <x v="0"/>
    <x v="38"/>
    <x v="1"/>
    <d v="2025-04-07T00:00:00"/>
    <x v="14"/>
    <s v="https://drive.google.com/drive/u/0/folders/1eqbxC87cQVF99Y3kGW176UOHUjwJxrPE"/>
    <s v="Próximo a vencer_x000a__x000a_Anterior fecha 5/11/2025"/>
    <x v="0"/>
    <s v=""/>
    <x v="0"/>
    <x v="0"/>
    <x v="0"/>
    <x v="0"/>
    <s v="linda.florez@terminaldetransporte.gov.co,jeimmy.torres@terminaldetransporte.gov.co"/>
    <x v="2"/>
  </r>
  <r>
    <x v="1"/>
    <x v="3"/>
    <x v="38"/>
    <s v="Hallazgo 2: _x000a_El contrato TT-67-2022 a través del cual se contrató a la temporal de servicios S&amp;A Servicios y Asesorías S.A.S. con el objeto de “Contratar una empresa de servicios temporales para el suministro de trabajadores en misión (…), culminó su ejecución el 30-11-2023 y de acuerdo con la información reportada por el apoyo a la supervisión y la información que reposa en la plataforma SECOP II, el contrato a la fecha no se ha liquidado. _x000a__x000a_De acuerdo con lo establecido en el contrato y en el manual de supervisión v3, se pactó un término de 6 meses para la presentación del acta de liquidación. (Clausula trigésima primera: liquidación del contrato)."/>
    <x v="0"/>
    <x v="39"/>
    <x v="1"/>
    <d v="2025-04-07T00:00:00"/>
    <x v="14"/>
    <s v="https://drive.google.com/drive/u/0/folders/1beOW09lpzEoXKeWIVQCcFCAkzmorqjLg"/>
    <s v="Próximo a vencer_x000a__x000a_Anterior plazo"/>
    <x v="0"/>
    <s v=""/>
    <x v="0"/>
    <x v="0"/>
    <x v="0"/>
    <x v="0"/>
    <s v="linda.florez@terminaldetransporte.gov.co"/>
    <x v="3"/>
  </r>
  <r>
    <x v="1"/>
    <x v="3"/>
    <x v="39"/>
    <s v="Hallazgo 3:Se revisaron dos contratos de prestación de servicios en los que se evidenció un incumplimiento de afiliación a la Aseguradora de Riesgos Laborales durante su ejecución contractual:_x000a_Contrato TT-157-2024: Apoyo a la gestión jurídica de la subgerencia Jurídica._x000a_Fecha de inicio: 2 de julio de 2024_x000a_Fecha de finalización: 31 de diciembre de 2024. El 5 de diciembre de 2024, se evidenció que el certificado del contratista de la ARL Positiva se encuentra como “Inactivo”. Contrato TT-161-2024: Abogado para la representación judicial y asesoría jurídica de la Terminal de Transporte S.A. Fecha de inicio:2 de julio del año 2024 Fecha de finalización: 31 de diciembre de 2024. Para este último contrato, el día 19 de diciembre del año 2024, se recibe por parte de la subgerencia la certificación activa de la ARL, la afiliación pertenece a Axa Colpatria, sin embargo, esta no cumple con lo establecido por el Decreto 0723 de 2013, puesto que no corresponde a las actividades desempeñadas como contratista en la Terminal de Transporte S.A."/>
    <x v="0"/>
    <x v="40"/>
    <x v="2"/>
    <s v=" - "/>
    <x v="15"/>
    <s v="https://drive.google.com/drive/u/0/folders/154ZfShuA12JO2v2qUkk7JY9Zh1OUBGAn"/>
    <m/>
    <x v="0"/>
    <s v=""/>
    <x v="0"/>
    <x v="0"/>
    <x v="0"/>
    <x v="0"/>
    <m/>
    <x v="0"/>
  </r>
  <r>
    <x v="1"/>
    <x v="3"/>
    <x v="4"/>
    <s v="Hallazgo 4: _x000a_Al día 22 de diciembre del año 2024, se evidencia que no hay documentos en la plataforma SECOP II relacionados con la ejecución del contrato TT-166-2024. _x000a__x000a_Por lo que se presenta incumplimiento al Manual de Contratación y de Supervisión que ha adoptado el artículo 2.2.1.1.1.7.1 del Decreto Sectorial 1082 de 2015, el cual establece que las Entidades y/o organismos de carácter estatal están obligadas a publicar en el SECOP, los documentos del proceso y los actos administrativos, atendiendo con las obligaciones constitucionales y legales, en especial en sujeción al cumplimiento del principio de la publicidad en el ejercicio de la actividad contractual."/>
    <x v="0"/>
    <x v="41"/>
    <x v="5"/>
    <d v="2025-02-27T00:00:00"/>
    <x v="16"/>
    <s v="https://drive.google.com/drive/u/0/folders/1RBbzUA_Kx85Y-3N7RSuArZKtpt561GH8"/>
    <s v="Se realizó la inspección y actualización de los documentos pendientes del contrato TT-166-2024 en Secop II. Ya se encuentran cargadas las evidencias en la carpeta correspondiente"/>
    <x v="0"/>
    <s v=""/>
    <x v="0"/>
    <x v="0"/>
    <x v="0"/>
    <x v="0"/>
    <m/>
    <x v="0"/>
  </r>
  <r>
    <x v="1"/>
    <x v="3"/>
    <x v="4"/>
    <m/>
    <x v="0"/>
    <x v="42"/>
    <x v="5"/>
    <d v="2025-02-27T00:00:00"/>
    <x v="16"/>
    <s v="https://drive.google.com/drive/u/0/folders/1RBbzUA_Kx85Y-3N7RSuArZKtpt561GH8"/>
    <s v="Se generó el comunicado interno asignando al técnico 3 de la Dirección de Recursos Tecnológicos la responsabilidad de elaborar y cargar los informes en el SECOP II.22, con evidencias ya cargadas en la carpeta correspondiente."/>
    <x v="0"/>
    <s v=""/>
    <x v="0"/>
    <x v="0"/>
    <x v="0"/>
    <x v="0"/>
    <m/>
    <x v="0"/>
  </r>
  <r>
    <x v="1"/>
    <x v="3"/>
    <x v="4"/>
    <s v="Hallazgo 5: Dentro del ejercicio de prórroga de los contratos adelantados por La Terminal de Transporte a 31 de diciembre de 2024, se evidenció que el formato GAF-FT36 “Solicitud y autorización de CDP” Versión No. 7, no incluye el código del rubro presupuestal, ni el código del Centro de Costos, lo cual es un requisito para la aprobación por parte de la Subgerencia Corporativa."/>
    <x v="0"/>
    <x v="43"/>
    <x v="6"/>
    <d v="2026-01-01T00:00:00"/>
    <x v="17"/>
    <s v="https://drive.google.com/drive/u/0/folders/154ZfShuA12JO2v2qUkk7JY9Zh1OUBGAn"/>
    <m/>
    <x v="0"/>
    <s v=""/>
    <x v="0"/>
    <x v="0"/>
    <x v="0"/>
    <x v="0"/>
    <s v="oscar.garzon@terminaldetransporte.gov.co,eduardo.gonzalez@terminaldetransporte.gov.co,manuel.santamaria@terminaldetransporte.gov.co"/>
    <x v="4"/>
  </r>
  <r>
    <x v="2"/>
    <x v="4"/>
    <x v="40"/>
    <m/>
    <x v="0"/>
    <x v="44"/>
    <x v="4"/>
    <d v="2025-06-01T00:00:00"/>
    <x v="12"/>
    <s v="https://drive.google.com/drive/folders/1MwCByzWrA7Gwx57JLbAKL0QQ9SJPM_Qf"/>
    <s v="Se realiza seguimiento mediante el control de los indicadores operacionales que realiza la Dirección de gestión Humana"/>
    <x v="0"/>
    <s v=""/>
    <x v="0"/>
    <x v="0"/>
    <x v="0"/>
    <x v="0"/>
    <m/>
    <x v="5"/>
  </r>
  <r>
    <x v="2"/>
    <x v="4"/>
    <x v="41"/>
    <s v="Hallazgo 3: En el análisis del recaudo del primer trimestre de 2025 se identificó:_x000a__x000a_1. En la Terminal del Norte se identificó un sobrante de $71.394.700 en el servicio de baños, equivalente al 29,3 % sobre un total recaudado de $243.789.050. Adicionalmente, no se realiza seguimiento a las posibles causas de inconsistencias, especialmente en los baños ubicados en la zona de taquillas y conductores de la Terminal del Norte, debido a la ausencia de torniquetes con medidores que respalden los registros y faciliten su control._x000a__x000a_2. En servicios de excretas, ingreso de taxis y guarda equipaje, la información se remite a la Dirección de Gestión Financiera por medio de los formatos de cierre de caja, sin que exista un proceso formal de revisión que valide la información. (...)"/>
    <x v="1"/>
    <x v="45"/>
    <x v="7"/>
    <d v="2025-06-01T00:00:00"/>
    <x v="18"/>
    <s v="https://drive.google.com/drive/folders/1KSH1r2MJD4bmTXTG3PrI2aENYkM3uc-k"/>
    <s v="Se implementa el Procedimiento Recaudo de servicios Complementarios, el cual se encuentra disponible en el SIG"/>
    <x v="0"/>
    <s v=""/>
    <x v="0"/>
    <x v="0"/>
    <x v="0"/>
    <x v="0"/>
    <s v="manuel.cifuentes@terminaldetransporte.gov.co,edgar.ortiz@terminaldetransporte.gov.co"/>
    <x v="0"/>
  </r>
  <r>
    <x v="2"/>
    <x v="4"/>
    <x v="42"/>
    <s v="Hallazgo 4: Se evidenció que el Procedimiento Recaudo de Servicios Complementarios Código: GAD-PR05 Versión 1 de 2024, establece que el control del recaudo por uso de baños debe realizarse mediante cierres de turno programados a la 1:00 p.m., 9:00 p.m. y 5:00 a.m., en los cuales se verifica el número inicial y final de la registradora para determinar el total de entradas._x000a_Sin embargo, en los baños ubicados en las áreas de sabaneros y conductores de la Terminal del Norte, se presentan las siguientes situaciones. (...)"/>
    <x v="1"/>
    <x v="46"/>
    <x v="7"/>
    <d v="2025-06-01T00:00:00"/>
    <x v="18"/>
    <s v="https://drive.google.com/drive/folders/1mToKPsUHUNgmzuhBkxLkR5E4PSe77LMC"/>
    <s v="Se actualiza el procedimiento GAD-PR05, respecto al control del recaudo que se realiza cruzando las unidades de PH"/>
    <x v="0"/>
    <s v=""/>
    <x v="0"/>
    <x v="0"/>
    <x v="0"/>
    <x v="0"/>
    <m/>
    <x v="0"/>
  </r>
  <r>
    <x v="2"/>
    <x v="4"/>
    <x v="41"/>
    <m/>
    <x v="0"/>
    <x v="47"/>
    <x v="8"/>
    <d v="2025-06-01T00:00:00"/>
    <x v="19"/>
    <s v="https://drive.google.com/drive/folders/1A212ibOEMJw14M2QcPRNLu-WrNzcIsSQ"/>
    <s v="Tras el análisis de viabilidad financiera y las restricciones_x000a_presupuestales identificadas para la vigencia fiscal 2026, no fue posible_x000a_asegurar la asignación de recursos necesaria para la ejecución de_x000a_proyectos de inversión destinados a la modernización de controles en los_x000a_servicios mencionados. Por lo tanto se elimina el Plan de acción mediante la solicitud con numero de radicado 20265300015163"/>
    <x v="0"/>
    <s v=""/>
    <x v="0"/>
    <x v="0"/>
    <x v="0"/>
    <x v="0"/>
    <s v="manuel.cifuentes@terminaldetransporte.gov.co,edgar.ortiz@terminaldetransporte.gov.co,paola.copete@terminaldetransporte.gov.co,jenny.gomez@terminaldetransporte.gov.co,carolina.bueno@terminaldetransporte.gov.co"/>
    <x v="1"/>
  </r>
  <r>
    <x v="2"/>
    <x v="4"/>
    <x v="40"/>
    <m/>
    <x v="0"/>
    <x v="48"/>
    <x v="9"/>
    <d v="2025-06-01T00:00:00"/>
    <x v="20"/>
    <s v="https://drive.google.com/drive/folders/1PeG9LlWjLWE3gNzXDxf1vm4FlZbn7Wia"/>
    <s v="Se realiza proyección del presupuesto para los años 2024 y 2028 incluyendo en el objetivo estratégico 1 la meta que relaciona los servcios conexos"/>
    <x v="0"/>
    <s v=""/>
    <x v="0"/>
    <x v="0"/>
    <x v="0"/>
    <x v="0"/>
    <m/>
    <x v="0"/>
  </r>
  <r>
    <x v="2"/>
    <x v="4"/>
    <x v="43"/>
    <s v="Hallazgo 2: Durante la revisión del contrato TT-85-2024, suscrito por un valor de_x000a_$51.127.750 y cuyo objeto es el mantenimiento preventivo y correctivo_x000a_de los torniquetes y registradoras ubicados en las Terminales Salitre,_x000a_del Norte y del Sur, con plazo desde el 25 de abril de 2024 hasta el 25_x000a_de abril de 2025, se identificaron debilidades en la supervisión del_x000a_contrato, en detalle: Ver informe"/>
    <x v="1"/>
    <x v="49"/>
    <x v="5"/>
    <s v=" - "/>
    <x v="15"/>
    <s v="https://drive.google.com/drive/folders/1ms8IJ3vOjgODCx2w_oPi7vuohLhy95Y-"/>
    <s v="Se envían los documentos  el correo"/>
    <x v="0"/>
    <s v=""/>
    <x v="0"/>
    <x v="0"/>
    <x v="0"/>
    <x v="0"/>
    <s v="julio.mosquera@terminaldetransporte.gov.co"/>
    <x v="0"/>
  </r>
  <r>
    <x v="2"/>
    <x v="4"/>
    <x v="41"/>
    <m/>
    <x v="0"/>
    <x v="50"/>
    <x v="10"/>
    <d v="2025-06-01T00:00:00"/>
    <x v="21"/>
    <s v="https://drive.google.com/drive/folders/1KSH1r2MJD4bmTXTG3PrI2aENYkM3uc-k"/>
    <s v="Se envía docuemntos a Maryuri para su aprobación"/>
    <x v="0"/>
    <s v=""/>
    <x v="0"/>
    <x v="0"/>
    <x v="0"/>
    <x v="0"/>
    <s v="carolina.bueno@terminaldetransporte.gov.co,paola.copete@terminaldetransporte.gov.co"/>
    <x v="6"/>
  </r>
  <r>
    <x v="2"/>
    <x v="4"/>
    <x v="44"/>
    <s v="Hallazgo 5: Durante la inspección física realizada el 25 de abril de 2025 en laTerminal del Sur, se verificó el procedimiento operativo del Serviciode Guarda Equipaje, desde la solicitud del servicio hasta la devolución de los elementos custodiados. En la revisión física del área y del inventario más reciente (realizadoen febrero de 2025), se identificaron 28 elementos clasificados comoequipajes olvidados, los cuales superan los 90 días de permanencia._x000a_Adicionalmente, se evidenció que no se cuenta con información decontacto de los usuarios (como número telefónico, dirección física ocorreo electrónico) que permita gestionar el retiro de dichos bienes. (...)"/>
    <x v="1"/>
    <x v="51"/>
    <x v="10"/>
    <d v="2025-06-01T00:00:00"/>
    <x v="22"/>
    <s v="https://drive.google.com/drive/folders/1dy0oQE5XsYoA0ETzuiCYxHpwP0Ui6knO"/>
    <s v="Se evidencia gestión con la Dirección de Recursos Tecnológicos mediante la presentación formal de las necesidades funcionales del Servicio de Guarda Equipaje, en la cual se incluye la incorporación de datos de contacto y descripción del equipaje en el tiquete (Anexo de Seguridad) y en la base de datos del aplicativo. Adicionalmente, como medida de control temporal, se implementó un repositorio en Drive para registrar la información del usuario y de los elementos en custodia, lo que mitiga el riesgo identificado"/>
    <x v="0"/>
    <s v=""/>
    <x v="0"/>
    <x v="0"/>
    <x v="0"/>
    <x v="0"/>
    <m/>
    <x v="0"/>
  </r>
  <r>
    <x v="2"/>
    <x v="4"/>
    <x v="45"/>
    <s v="Hallazgo 6: El Procedimiento Código: SAC-PR07 – Servicio de Guarda Equipaje establece los lineamientos para la custodia de los elementos entregados por los usuarios. No obstante, se identificó la ausencia de mecanismos complementarios de seguridad física (como cámaras devideovigilancia) que refuercen la trazabilidad, supervisión y control del servicio. (...)"/>
    <x v="1"/>
    <x v="52"/>
    <x v="10"/>
    <d v="2025-06-01T00:00:00"/>
    <x v="22"/>
    <s v="https://drive.google.com/drive/folders/1VybHjunUUBWAaMv1PPQnzdPVPAXhpDHj"/>
    <s v="Se solicita la instalación de cámaras de seguridad a la Dirección de Seguridad mediante el oficio radicado 20250520002323, el cual se adjunta como soporte."/>
    <x v="0"/>
    <s v=""/>
    <x v="0"/>
    <x v="0"/>
    <x v="0"/>
    <x v="0"/>
    <m/>
    <x v="0"/>
  </r>
  <r>
    <x v="2"/>
    <x v="4"/>
    <x v="46"/>
    <s v="Hallazgo 7: Durante la inspección física al punto de Guarda Equipaje ubicado en la Terminal del Sur, se evidenció que el trabajador solicita a los usuarios datos personales como nombre completo y número de cédula para registrarlos en el sistema y generar un recibo. No obstante, se constató que no existe un aviso físico visible en el punto de atención que informe sobre la autorización del tratamiento de datos personales, ni tampoco se incluye dicha información en el recibo entregado al usuario. (...)"/>
    <x v="1"/>
    <x v="53"/>
    <x v="10"/>
    <d v="2025-06-01T00:00:00"/>
    <x v="23"/>
    <s v="https://drive.google.com/drive/folders/1v1SJX52Y9C9H4uoOjOmx1hbWI9_AAwsP"/>
    <s v="Se verifica que ya fue enviada la solicitud a la Oficina de Comunicaciones para la elaboración del aviso, en las medidas requeridas, con el fin de informar a los usuarios sobre el tratamiento de datos personales. Con dicha gestión, el plan de acción se da por cumplido._x000a_Sin embargo, se realizará seguimiento para asegurar la publicación e implementación formal del aviso por parte de la dependencia correspondiente."/>
    <x v="0"/>
    <s v=""/>
    <x v="0"/>
    <x v="0"/>
    <x v="0"/>
    <x v="0"/>
    <m/>
    <x v="0"/>
  </r>
  <r>
    <x v="2"/>
    <x v="4"/>
    <x v="47"/>
    <s v="Hallazgo 8: Durante la revisión del inventario descargado desde el módulo del sistema de Guarda Equipaje, se identificaron 315 elementos pendientes por facturar. Sin embargo, al cruzar esta información con el inventario físico levantado en la última verificación realizada en febrero de 2025 por el contratista William Ricardo Cristiano se encontró que únicamente hay 30 elementos en custodia dentro del área de Guarda Equipaje, esto representa una diferencia de 285 elementos que están registrados en el sistema, pero no se encuentran físicamente en el área de custodia. (...)"/>
    <x v="1"/>
    <x v="54"/>
    <x v="10"/>
    <d v="2025-06-01T00:00:00"/>
    <x v="24"/>
    <s v="https://drive.google.com/drive/folders/1QUXExF1vGK4OenO0tA1mLz305iYFtrjx"/>
    <s v="Se evidencia la creación de un repositorio en Drive en el cual se registra la información del usuario y de los elementos en custodia desde su ingreso hasta su salida, permitiendo el control por turno y la trazabilidad del inventario. Esta medida atiende la necesidad del control requerido por el hallazgo"/>
    <x v="0"/>
    <s v=""/>
    <x v="0"/>
    <x v="0"/>
    <x v="0"/>
    <x v="0"/>
    <m/>
    <x v="0"/>
  </r>
  <r>
    <x v="2"/>
    <x v="4"/>
    <x v="48"/>
    <s v="Hallazgo 9: La Terminal de Transporte cuenta con una zona exclusiva para el servicio de taxis, cuyo acceso está sujeto a una tarifa de recargo fija de $500. Aunque la Terminal no opera directamente el servicio de taxis, sí administra el ingreso de los vehículos a esta zona y gestiona el espacio desde el cual los usuarios acceden al servicio. Por lo tanto, los usuarios asocian su experiencia general con la Terminal, ya que es desde allí donde toman el taxi._x000a_En el primer trimestre de 2025 se registraron 191 quejas de usuarios, relacionadas con el servicio de taxis. Si bien esto representa una disminución del 19% frente al mismo periodo de 2024 (236 quejas), la alta proporción de inconformidades evidencia debilidades en la calidad del servicio ofrecido por los taxistas. (...)"/>
    <x v="1"/>
    <x v="55"/>
    <x v="10"/>
    <d v="2025-06-01T00:00:00"/>
    <x v="3"/>
    <s v="https://drive.google.com/drive/folders/1iy6UDLj3EChlzMQt-ee2DE_DAuMpwyZK"/>
    <s v="Ampliación 30 de junio de 2026 oficio 20260520006153_x000a__x000a_Anteriores fechas:_x000a_29/08/2025_x000a_26/02/2026_x000a__x000a_está en proceso de revisón por la abogada del Área. "/>
    <x v="1"/>
    <s v=""/>
    <x v="0"/>
    <x v="0"/>
    <x v="0"/>
    <x v="0"/>
    <s v="carolina.bueno@terminaldetransporte.gov.co,paola.copete@terminaldetransporte.gov.co,jenny.gomez@terminaldetransporte.gov.co"/>
    <x v="0"/>
  </r>
  <r>
    <x v="2"/>
    <x v="4"/>
    <x v="48"/>
    <m/>
    <x v="0"/>
    <x v="56"/>
    <x v="10"/>
    <d v="2025-06-01T00:00:00"/>
    <x v="3"/>
    <s v="https://drive.google.com/drive/folders/1iy6UDLj3EChlzMQt-ee2DE_DAuMpwyZK"/>
    <s v="Ampliación 30 de junio de 2026 oficio 20260520006153_x000a__x000a_Anteriores fechas:_x000a_29/08/2025_x000a_26/02/2026"/>
    <x v="1"/>
    <s v=""/>
    <x v="0"/>
    <x v="0"/>
    <x v="0"/>
    <x v="0"/>
    <s v="carolina.bueno@terminaldetransporte.gov.co,paola.copete@terminaldetransporte.gov.co,jenny.gomez@terminaldetransporte.gov.co"/>
    <x v="0"/>
  </r>
  <r>
    <x v="2"/>
    <x v="4"/>
    <x v="40"/>
    <m/>
    <x v="0"/>
    <x v="57"/>
    <x v="11"/>
    <d v="2025-06-01T00:00:00"/>
    <x v="25"/>
    <s v="https://drive.google.com/drive/folders/1y9K1jBpJBGxp3s23KAbJbo14snN5g_4K"/>
    <s v="Se adjunta la certificación que evidencia la aprobación del presupuesto, incluyendo los servicios conexos"/>
    <x v="0"/>
    <s v=""/>
    <x v="0"/>
    <x v="0"/>
    <x v="0"/>
    <x v="0"/>
    <m/>
    <x v="0"/>
  </r>
  <r>
    <x v="2"/>
    <x v="4"/>
    <x v="40"/>
    <s v="Hallazgo 1: El Plan Estratégico 2024–2028 de la Terminal de Transporte S.A. establece en su Objetivo Estratégico N.º 1 la meta de generar ingresos por $241.006 millones a través de sus líneas de negocio, con metas anuales definidas para cada una. Este objetivo cuenta con_x000a_planes de acción que incluyen las fuentes de ingresos principales identificadas por la empresa._x000a_Sin embargo, se evidenció que, aunque los Servicios Conexos (Baños, Excretas, ingreso de Taxis y Guarda equipaje) generaron ingresos por $749,516,533 en el primer trimestre de 2025, no están contemplados como plan de acción asociado a los Objetivos Estratégicos. (...)"/>
    <x v="1"/>
    <x v="58"/>
    <x v="12"/>
    <d v="2025-06-01T00:00:00"/>
    <x v="26"/>
    <s v="https://drive.google.com/drive/folders/1t416_BuyywLEoVdvLUOxZIXE0opJfmm3"/>
    <s v="Se carga la evidencia de la reunión realizada para validar la posibilidad de incluir los ingresos de servicios conexos en la meta del Objetivo 1 del Plan Estratégico."/>
    <x v="0"/>
    <s v=""/>
    <x v="0"/>
    <x v="0"/>
    <x v="0"/>
    <x v="0"/>
    <m/>
    <x v="0"/>
  </r>
  <r>
    <x v="2"/>
    <x v="4"/>
    <x v="40"/>
    <m/>
    <x v="0"/>
    <x v="59"/>
    <x v="12"/>
    <d v="2025-06-01T00:00:00"/>
    <x v="27"/>
    <s v="https://drive.google.com/drive/folders/1L_0R1gXS89_2Dr39fPwSkfTQdyBC-Ezf"/>
    <s v="No fue necesario aprobarlo en Junta dado que, ya está aprobado en el Pla Estratégico 2026; Revisar el Plan Estratégico 2026 para cerrar el Plan de acción."/>
    <x v="0"/>
    <s v=""/>
    <x v="0"/>
    <x v="0"/>
    <x v="0"/>
    <x v="0"/>
    <m/>
    <x v="7"/>
  </r>
  <r>
    <x v="2"/>
    <x v="4"/>
    <x v="40"/>
    <m/>
    <x v="0"/>
    <x v="60"/>
    <x v="12"/>
    <d v="2025-06-01T00:00:00"/>
    <x v="28"/>
    <s v="https://drive.google.com/drive/folders/1agZKepmZWdJXEvoi2eORxfBzSTFIwd8v"/>
    <s v="No fue necesario aprobarlo en Junta dado que, ya está aprobado en el Pla Estratégico 2026; Revisar el Plan Estratégico 2026 para cerrar el Plan de acción."/>
    <x v="0"/>
    <s v=""/>
    <x v="0"/>
    <x v="0"/>
    <x v="0"/>
    <x v="0"/>
    <m/>
    <x v="8"/>
  </r>
  <r>
    <x v="2"/>
    <x v="5"/>
    <x v="49"/>
    <s v="Hallazgo 1: Se pagaron 34 pruebas de alcoholimetría por $70.108 en la factura 334 sin soportes que acrediten la realización; no hubo evidencia documental ni seguimiento en las actas delComité. (…)"/>
    <x v="2"/>
    <x v="61"/>
    <x v="13"/>
    <d v="2025-09-22T00:00:00"/>
    <x v="29"/>
    <s v="https://drive.google.com/drive/u/0/folders/19_z_nLXkrrTQ8kSAtwg01Zg7seLB11iK"/>
    <s v="Se revisa el Acta No. 32 del 22 de septiembre de 2025 y se evidencia la presentación y revisión de la información relacionada con las pruebas de alcoholimetría, en cumplimiento de lo establecido en el plan de acción. En consecuencia, el compromiso se da por cumplido con la evidencia aportad"/>
    <x v="0"/>
    <s v=""/>
    <x v="0"/>
    <x v="0"/>
    <x v="0"/>
    <x v="0"/>
    <m/>
    <x v="0"/>
  </r>
  <r>
    <x v="2"/>
    <x v="5"/>
    <x v="49"/>
    <m/>
    <x v="0"/>
    <x v="62"/>
    <x v="0"/>
    <d v="2025-09-22T00:00:00"/>
    <x v="29"/>
    <s v="https://drive.google.com/drive/u/0/folders/19_z_nLXkrrTQ8kSAtwg01Zg7seLB11iK"/>
    <s v="Se verifican las conciliaciones realizadas sobre las cantidades de pruebas ejecutadas y pagadas, donde se identificó un mayor valor cancelado por los periodos de julio y agosto de 2025. Como resultado de dicho análisis, el proveedor emitió la Nota Crédito C-002-71 por $1.453.220, ajustando el valor pagado en exceso._x000a_Con la evidencia aportada, se da por cumplido el plan de acción."/>
    <x v="0"/>
    <s v=""/>
    <x v="0"/>
    <x v="0"/>
    <x v="0"/>
    <x v="0"/>
    <m/>
    <x v="0"/>
  </r>
  <r>
    <x v="2"/>
    <x v="5"/>
    <x v="50"/>
    <s v="Hallazgo 2: Cobertura de pruebas de alcoholimetría para conductores de rutas sabaneras, por debajo del 33%. (…)"/>
    <x v="1"/>
    <x v="63"/>
    <x v="5"/>
    <d v="2025-09-22T00:00:00"/>
    <x v="30"/>
    <s v="https://drive.google.com/drive/u/0/folders/1NOtwUMCTsbNz2JGzC24k4evbbAHDTiI0"/>
    <s v="El sistema se parametrizó para que todas las las rutas de influencia realicen la prueba de alcoholimetría, por lo tanto se eliminó la secuencia de 2 de cada 3 conductores. Verificar evidencia_x000a__x000a_Anterior fecha  31/10/2025"/>
    <x v="0"/>
    <s v=""/>
    <x v="0"/>
    <x v="0"/>
    <x v="0"/>
    <x v="0"/>
    <m/>
    <x v="0"/>
  </r>
  <r>
    <x v="2"/>
    <x v="5"/>
    <x v="51"/>
    <s v="Hallazgo 3: Debilidades en el control y seguimiento periódico frente al cumplimiento de las obligaciones de cobertura médica. (…)"/>
    <x v="1"/>
    <x v="64"/>
    <x v="0"/>
    <d v="2025-09-22T00:00:00"/>
    <x v="30"/>
    <s v="https://drive.google.com/drive/u/0/folders/1MfBCYKgwGJRqnIGDsGwhfqsHff8zR5Na"/>
    <s v="Se evidencian comunicados remitidos a las empresas transportadoras, mediante los cuales se les invita a garantizar que los conductores realicen los exámenes EMGAF en los periodos establecidos, en cumplimiento de la norma."/>
    <x v="0"/>
    <s v=""/>
    <x v="0"/>
    <x v="0"/>
    <x v="0"/>
    <x v="0"/>
    <m/>
    <x v="0"/>
  </r>
  <r>
    <x v="2"/>
    <x v="5"/>
    <x v="52"/>
    <s v="Hallazgo 4: Sistema Web (ADDIT ASOTRANS) limita descargas históricas de las pruebas de alcoholimetría y exámenes EMGAF. (…)"/>
    <x v="1"/>
    <x v="65"/>
    <x v="14"/>
    <d v="2025-09-22T00:00:00"/>
    <x v="31"/>
    <s v="https://drive.google.com/drive/u/0/folders/1M8MB2SqmhGYkp8L4y62qfwA15eFSaK_h"/>
    <s v="Se evidencia correo mediante el cual se remite propuesta para el desarrollo de tableros de consulta relacionados con el Programa de Seguridad Vial; no obstante, no se observa soporte que acredite la implementación efectiva de la actualización en el sistema web ADITT ASOTRANS que permita consultas y descargas históricas de los componentes del programa."/>
    <x v="0"/>
    <s v=""/>
    <x v="0"/>
    <x v="0"/>
    <x v="0"/>
    <x v="0"/>
    <s v="julio.mosquera@terminaldetransporte.gov.co,javier.veloza@terminaldetransporte.gov.co"/>
    <x v="9"/>
  </r>
  <r>
    <x v="2"/>
    <x v="5"/>
    <x v="53"/>
    <s v="Hallazgo 5: Desalineación normativa (Dec. 1079 de 2025 / Res 21 de 2023). (…)"/>
    <x v="3"/>
    <x v="66"/>
    <x v="15"/>
    <d v="2025-09-22T00:00:00"/>
    <x v="31"/>
    <s v="https://drive.google.com/drive/u/0/folders/10Z2WVtyeWwMYZFvYMN6Wnuvm4rOyn-Zx"/>
    <s v="Se actualiza la resolución 32 de 2025 donde se establece la frecuencia de las reuniones"/>
    <x v="0"/>
    <s v=""/>
    <x v="0"/>
    <x v="0"/>
    <x v="0"/>
    <x v="0"/>
    <m/>
    <x v="9"/>
  </r>
  <r>
    <x v="2"/>
    <x v="5"/>
    <x v="54"/>
    <s v="Hallazgo 6: Comité para el manejo de los recursos del PSV sin reuniones completas ni informes. (…)"/>
    <x v="3"/>
    <x v="67"/>
    <x v="13"/>
    <d v="2025-09-22T00:00:00"/>
    <x v="31"/>
    <s v="https://drive.google.com/drive/u/0/folders/1V-1CBJLrGBf9z0ePhvAoQ7N5yOIdVgkT"/>
    <s v="Se verificó la actualización de la Resolución que regula el Comité de Seguimiento del Programa de Seguridad Vial, en la cual se establecen responsables y periodicidad, evidenciándose que las citaciones se realizan conforme a lo allí dispuesto, dando cumplimiento al plan de acción."/>
    <x v="0"/>
    <s v=""/>
    <x v="0"/>
    <x v="0"/>
    <x v="0"/>
    <x v="0"/>
    <m/>
    <x v="9"/>
  </r>
  <r>
    <x v="2"/>
    <x v="5"/>
    <x v="54"/>
    <m/>
    <x v="0"/>
    <x v="68"/>
    <x v="13"/>
    <d v="2025-09-22T00:00:00"/>
    <x v="32"/>
    <s v="https://drive.google.com/drive/u/0/folders/1V-1CBJLrGBf9z0ePhvAoQ7N5yOIdVgkT"/>
    <s v="Se actualiza la resolución 32 de 2025 donde se establece la frecuencia de las reuniones"/>
    <x v="0"/>
    <s v=""/>
    <x v="0"/>
    <x v="0"/>
    <x v="0"/>
    <x v="0"/>
    <m/>
    <x v="0"/>
  </r>
  <r>
    <x v="2"/>
    <x v="5"/>
    <x v="55"/>
    <s v="Hallazgo 7: Falta cargue de otrosí 3 e informes de supervision en SECOP II. (…)"/>
    <x v="3"/>
    <x v="69"/>
    <x v="0"/>
    <d v="2025-09-22T00:00:00"/>
    <x v="30"/>
    <s v="https://drive.google.com/drive/u/0/folders/1m6YEBioUcoJd4GuQOHb47DBxmiOFDaIL"/>
    <s v="Se cargaron los documentos correspondientes al contrato TT-87-2022, en el secopll."/>
    <x v="0"/>
    <s v=""/>
    <x v="0"/>
    <x v="0"/>
    <x v="0"/>
    <x v="0"/>
    <s v="leonardo.vasquez@terminaldetransporte.gov.co,javier.veloza@terminaldetransporte.gov.co,andrea.lievano@terminaldetransporte.gov.cogerson.lugo@terminaldetransporte.gov.co"/>
    <x v="0"/>
  </r>
  <r>
    <x v="2"/>
    <x v="5"/>
    <x v="56"/>
    <s v="Hallazgo 8 - Oportunidad de Mejora: Saltos en consecutivos de registros de alcoholimetría (Sistema ADITT ASOTRANS), afectando la trazabilidad y confiabilidad de la información. (…)"/>
    <x v="3"/>
    <x v="70"/>
    <x v="14"/>
    <d v="2025-09-22T00:00:00"/>
    <x v="31"/>
    <s v="https://drive.google.com/drive/u/0/folders/1baBItG-6DuNNR0JX2edWnga8WckQEKcB"/>
    <s v="Se da por cerrada la actividad tras verificar la implementación técnica de consecutivos independientes en el sistema de alcoholimetría. La evidencia fotográfica confirma la segregación de series para las sedes de la Terminal de Bogotá (Salitre y Norte)"/>
    <x v="0"/>
    <s v=""/>
    <x v="0"/>
    <x v="0"/>
    <x v="0"/>
    <x v="0"/>
    <m/>
    <x v="9"/>
  </r>
  <r>
    <x v="2"/>
    <x v="5"/>
    <x v="57"/>
    <s v="Hallazgo 9 - Oportunidad de Mejora: Desactualización de la base de datos de conductores registrada en el sistema GOPETT por falta de reporte oportuno de novedades por parte de las empresas transportadoras. (…)"/>
    <x v="3"/>
    <x v="71"/>
    <x v="5"/>
    <d v="2025-09-22T00:00:00"/>
    <x v="33"/>
    <s v="https://drive.google.com/drive/u/0/folders/1NmQo8mPaw0u-IfKydjubnlyNLSJpJaDA"/>
    <s v="Se da cumplimiento a la actividad de reporte anual mediante la integración de la evidencia documental adjunta. El Listado de Conductores Activos (Corte Feb-2026), envío del Correo, la Solicitud de Actualización de Plataforma"/>
    <x v="0"/>
    <s v=""/>
    <x v="0"/>
    <x v="0"/>
    <x v="0"/>
    <x v="0"/>
    <m/>
    <x v="10"/>
  </r>
  <r>
    <x v="2"/>
    <x v="5"/>
    <x v="57"/>
    <m/>
    <x v="0"/>
    <x v="72"/>
    <x v="13"/>
    <d v="2025-09-22T00:00:00"/>
    <x v="31"/>
    <s v="https://drive.google.com/drive/u/0/folders/1NmQo8mPaw0u-IfKydjubnlyNLSJpJaDA"/>
    <s v="Se da por cumplida la actividad mediante la emisión y radicación de la comunicación oficial No. 20260530028171 con fecha del 17 de marzo de 2026. A través de este documento, La Terminal de Transporte S.A. formalizó el requerimiento de actualización de bases de datos y parque automotor a todas las empresas de transporte terrestre de pasajeros."/>
    <x v="0"/>
    <s v=""/>
    <x v="0"/>
    <x v="0"/>
    <x v="0"/>
    <x v="0"/>
    <m/>
    <x v="9"/>
  </r>
  <r>
    <x v="2"/>
    <x v="6"/>
    <x v="58"/>
    <s v="1. Oportunidad de mejora: Durante la revisión de la información publicada en el sitio web institucional, se evidenció que el “Manual de Identidad Corporativa” se encuentra disponible al público. https://www.terminaldetransporte.gov.co/laentidad/transparencia-y-acceso-a-la-informacionpublica/esquema-de-publicacion-de-la-informacion/ Si bien esta publicación cumple con los principios de la Ley 1712 de 2014 en cuanto a la divulgación de información pública, el contenido del manual contiene elementos sensibles como tipografías, logos, paletas de colores, usos permitidos y restringidos de la marca institucional, que podrían facilitar la suplantación o uso indebido de la imagen corporativa por parte de terceros"/>
    <x v="3"/>
    <x v="73"/>
    <x v="16"/>
    <d v="2025-11-27T00:00:00"/>
    <x v="34"/>
    <s v="https://drive.google.com/drive/u/0/folders/1rOnjh_WXTcIdwgEy2ESzycDqhCN9ERVS"/>
    <s v="El Manual de Imagen Corporativa será desmontado de la página web de acceso público._x000a__x000a_​A partir de la fecha, el manual se alojará en un espacio de almacenamiento privado (Google Drive) al que solo podrán acceder las personas previamente autorizadas tras realizar la solicitud correspondiente._x000a__x000a_Proceso de Solicitud y Autorización_x000a_​Si requieren acceder o utilizar nuestro Manual de Imagen, deben solicitarlo directamente a la Oficina Asesora de Comunicaciones a través del siguiente correo electrónico"/>
    <x v="0"/>
    <s v=""/>
    <x v="0"/>
    <x v="0"/>
    <x v="0"/>
    <x v="0"/>
    <m/>
    <x v="0"/>
  </r>
  <r>
    <x v="2"/>
    <x v="6"/>
    <x v="59"/>
    <s v="2. Oportunidad de mejora: Durante la verificación de los documentos publicados en los canales digitales oficiales, se identificó que algunos documentos aún no han sido actualizados conforme a los criterios de accesibilidad definidos en el Anexo 1 de la Resolución 1519 de 2020. En particular, se evidencian formatos no accesibles para personas con discapacidad, como archivos sin lenguaje de señas, ausencia de texto alternativo en imágenes, etc."/>
    <x v="3"/>
    <x v="74"/>
    <x v="16"/>
    <d v="2025-11-27T00:00:00"/>
    <x v="35"/>
    <s v="https://drive.google.com/drive/u/0/folders/1gaKNfmRjHWtMa_srRXD9i5k6JEL2yLvH"/>
    <s v="Ajustar Plan de Acción"/>
    <x v="1"/>
    <s v=""/>
    <x v="0"/>
    <x v="0"/>
    <x v="0"/>
    <x v="0"/>
    <s v="andres.panqueva@terminaldetransporte.gov.co,christian.pardo@terminaldetransporte.gov.co"/>
    <x v="0"/>
  </r>
  <r>
    <x v="2"/>
    <x v="6"/>
    <x v="60"/>
    <s v="3. Oportunidad de mejora: A continuación, se detalla la información incompleta y desactualizada que se evidenció en la Auditoría:_x000a_1. (1.2) Estructura orgánica – organigrama: Se presenta_x000a_error en el acceso:_x000a__x000a_Revisar informe"/>
    <x v="3"/>
    <x v="75"/>
    <x v="16"/>
    <d v="2025-11-27T00:00:00"/>
    <x v="20"/>
    <s v="https://drive.google.com/drive/u/0/folders/1XBpx28e8cg7NT_55LohMR7y5A1kxbhR-"/>
    <s v="Se actualiza la pagina WEB"/>
    <x v="0"/>
    <s v=""/>
    <x v="0"/>
    <x v="0"/>
    <x v="0"/>
    <x v="0"/>
    <m/>
    <x v="0"/>
  </r>
  <r>
    <x v="2"/>
    <x v="6"/>
    <x v="60"/>
    <m/>
    <x v="0"/>
    <x v="76"/>
    <x v="16"/>
    <d v="2025-11-27T00:00:00"/>
    <x v="36"/>
    <s v="https://drive.google.com/drive/u/0/folders/1XBpx28e8cg7NT_55LohMR7y5A1kxbhR-"/>
    <m/>
    <x v="1"/>
    <s v=""/>
    <x v="0"/>
    <x v="0"/>
    <x v="0"/>
    <x v="0"/>
    <s v="andres.panqueva@terminaldetransporte.gov.co,christian.pardo@terminaldetransporte.gov.co"/>
    <x v="0"/>
  </r>
  <r>
    <x v="2"/>
    <x v="6"/>
    <x v="60"/>
    <m/>
    <x v="0"/>
    <x v="77"/>
    <x v="12"/>
    <d v="2025-11-27T00:00:00"/>
    <x v="35"/>
    <s v="https://drive.google.com/drive/u/0/folders/1gaKNfmRjHWtMa_srRXD9i5k6JEL2yLvH"/>
    <s v="Se justifica la no inscripción ante el SUIT mediante Respuesta del Departamento Administrativo de la Función Pública - DAFP"/>
    <x v="0"/>
    <s v=""/>
    <x v="0"/>
    <x v="0"/>
    <x v="0"/>
    <x v="0"/>
    <s v="sandra.lesmes@terminaldetransporte.gov.co"/>
    <x v="11"/>
  </r>
  <r>
    <x v="2"/>
    <x v="6"/>
    <x v="60"/>
    <m/>
    <x v="0"/>
    <x v="78"/>
    <x v="12"/>
    <d v="2025-11-27T00:00:00"/>
    <x v="20"/>
    <s v="https://drive.google.com/drive/u/0/folders/1gaKNfmRjHWtMa_srRXD9i5k6JEL2yLvH"/>
    <s v="Se actualiza el enlace &quot;Menú participa&quot;"/>
    <x v="0"/>
    <s v=""/>
    <x v="0"/>
    <x v="0"/>
    <x v="0"/>
    <x v="0"/>
    <m/>
    <x v="0"/>
  </r>
  <r>
    <x v="2"/>
    <x v="7"/>
    <x v="61"/>
    <s v="Hallazgo No. 1: Ausencia de rotación del personal operativo en áreas sensibles:Durante la revisión de antecedentes laborales y la distribucióndel personal asignado al proceso de control externo, se identificó que un Técnico 1 del Grupo de Control Externo ha permanecido en el mismo cargo y funciones durante más de once (11) años continuos, sin evidencia de rotación o reasignación. (...)"/>
    <x v="2"/>
    <x v="79"/>
    <x v="13"/>
    <d v="2025-07-22T00:00:00"/>
    <x v="37"/>
    <s v="https://drive.google.com/drive/folders/19msNqPPz2rpBtyapAWaYMZVQ65PhVy2J"/>
    <m/>
    <x v="0"/>
    <s v=""/>
    <x v="0"/>
    <x v="0"/>
    <x v="0"/>
    <x v="0"/>
    <m/>
    <x v="0"/>
  </r>
  <r>
    <x v="2"/>
    <x v="7"/>
    <x v="62"/>
    <s v="Hallazgo No.2: Debilidades en la formalización de consecuencias frente a evasiones y elusiones de tasa de uso: En la verificación documental y entrevistas con el personalresponsable de los operativos de control externo, se identificó que, aunque se registraron casos de evasión y elusión de la tasa de uso en los operativos, no se encontró evidencia de seguimiento ni de la aplicación de medidas posteriores frente a estos hechos. Asimismo, se observó que, durante la vigencia auditada, no se evidenció la implementación de las consecuencias previstas en el instructivo “Manejo de novedades – Operativo Control Externo SOF-IN16” para los casos reportados, lo que impidió verificar el uso de las herramientas establecidas para la atención de estas situaciones."/>
    <x v="2"/>
    <x v="80"/>
    <x v="13"/>
    <d v="2025-07-22T00:00:00"/>
    <x v="30"/>
    <s v="https://drive.google.com/drive/folders/1IkjXdFn3TgwBjCLFrjCiMZ8Se_4yxnun"/>
    <s v="Se adjunta lista de asistencia, respecto a la socialización del procedimiento y formatos para la gestión de operativos de control externo con los responsables de hacerlos."/>
    <x v="0"/>
    <s v=""/>
    <x v="0"/>
    <x v="0"/>
    <x v="0"/>
    <x v="0"/>
    <m/>
    <x v="0"/>
  </r>
  <r>
    <x v="2"/>
    <x v="7"/>
    <x v="62"/>
    <m/>
    <x v="0"/>
    <x v="81"/>
    <x v="13"/>
    <d v="2025-07-22T00:00:00"/>
    <x v="30"/>
    <s v="https://drive.google.com/drive/folders/1IkjXdFn3TgwBjCLFrjCiMZ8Se_4yxnun"/>
    <s v="Se crea un procedimiento para formalizar las actividades de control externo."/>
    <x v="0"/>
    <s v=""/>
    <x v="0"/>
    <x v="0"/>
    <x v="0"/>
    <x v="0"/>
    <m/>
    <x v="0"/>
  </r>
  <r>
    <x v="2"/>
    <x v="7"/>
    <x v="63"/>
    <s v="Halazgo No. 3: Debilidades en la identificación y seguimiento de Peligros – Seguridad y Salud en el Trabajo: Se evidenció en la matriz de peligros de SST que el Técnico 1 no está relacionado con el Control de Tránsito de Vehículos, lo que genera una evaluación inadecuada en el cubrimiento de la Seguridad y Salud en el trabajo. De otra parte, la Dirección de Gestión Humana no tiene conocimiento formal de traslados de funciones de la Dirección de Seguridad Operacional hacia la Dirección de Transporte Intermunicipal, lo que dificulta el seguimiento a los riesgos definidos al personal operativo."/>
    <x v="1"/>
    <x v="82"/>
    <x v="13"/>
    <d v="2025-07-10T00:00:00"/>
    <x v="38"/>
    <s v="https://drive.google.com/drive/folders/1MKfS8dfrpzjNkWjdWIEev8dBHpmCeAys"/>
    <s v="Se evidenció la actualización de la matriz de peligros "/>
    <x v="0"/>
    <s v=""/>
    <x v="0"/>
    <x v="0"/>
    <x v="0"/>
    <x v="0"/>
    <m/>
    <x v="0"/>
  </r>
  <r>
    <x v="2"/>
    <x v="7"/>
    <x v="64"/>
    <s v="Hallazgo No. 4:El Procedimiento SOF-PR01 (abril 2023) “Operativos de Control_x000a_Externo” se encuentra desactualizado. (...)"/>
    <x v="1"/>
    <x v="83"/>
    <x v="13"/>
    <d v="2025-07-15T00:00:00"/>
    <x v="30"/>
    <s v="https://drive.google.com/drive/folders/11UH5cvdpuCe7Fuvl575d4-DyTBAiWLdj"/>
    <s v="Se crea un procedimiento para formalizar las actividades de control externo."/>
    <x v="0"/>
    <s v=""/>
    <x v="0"/>
    <x v="0"/>
    <x v="0"/>
    <x v="0"/>
    <m/>
    <x v="0"/>
  </r>
  <r>
    <x v="2"/>
    <x v="7"/>
    <x v="65"/>
    <s v="Hallazgo No. 5: Documentos asociados no publicados en el SIG: En el marco de la revisión documental realizada durante la auditoría,se evidenció que varios documentos referenciados en el proceso decontrol externo no se encuentran publicados en el Sistema Integrado de Gestión (SIG). Puntualmente, se identificó la ausencia de:_x000a_• Instructivo SAT-IN03, que describe el procedimiento detallado para la ejecución de los operativos._x000a_• Formato SAT-FT13, utilizado para el registro de hallazgos y actuaciones en campo._x000a_• Reglamento GTS-RG01, que contiene la normatividad interna aplicable al proceso."/>
    <x v="3"/>
    <x v="84"/>
    <x v="13"/>
    <d v="2025-07-22T00:00:00"/>
    <x v="38"/>
    <s v="https://drive.google.com/drive/folders/1zuIA1H_3mZsUJF2EMjih3D-HOIAx8WZo"/>
    <s v="Se actualizan documentos"/>
    <x v="0"/>
    <s v=""/>
    <x v="0"/>
    <x v="0"/>
    <x v="0"/>
    <x v="0"/>
    <m/>
    <x v="0"/>
  </r>
  <r>
    <x v="2"/>
    <x v="7"/>
    <x v="66"/>
    <s v="Hallazgo No. 6: Uso de formato operativo no incluido en el procedimiento Situación encontrada: Durante la prueba de recorrido realizada el 16 de abril de 2025, en el marco de un operativo de control externo, se evidenció que el equipo operativo utiliza de manera habitual el formato SAT-FT07 para registrar las infracciones de los buses detenidos. Sin embargo, al realizar la revisión documental, se identificó que: • El formato SAT-FT07 no está publicado en el Sistema Integrado de Gestión (SIG). Y tampoco se encuentra enunciado en el procedimiento SOF-PR01 (versión de abril de 2023) “Operativos de Control Externo” no incluye ninguna referencia a este formato como parte de los documentos aplicables al proceso"/>
    <x v="3"/>
    <x v="85"/>
    <x v="13"/>
    <d v="2025-07-22T00:00:00"/>
    <x v="30"/>
    <s v="https://drive.google.com/drive/folders/1GpaBFKsVzrCvygBAZ8dAsu6iYyANz_q9"/>
    <s v="Se crea un procedimiento para formalizar las actividades de control externo."/>
    <x v="0"/>
    <s v=""/>
    <x v="0"/>
    <x v="0"/>
    <x v="0"/>
    <x v="0"/>
    <m/>
    <x v="0"/>
  </r>
  <r>
    <x v="2"/>
    <x v="7"/>
    <x v="67"/>
    <s v="Hallazgo No. 7:  Revisión del uso efectivo del vehículo institucional: Se evidenció que la camioneta tipo Pick-Up (placas HSP-702), se utiliza exclusivamente para el transporte de personal operativo en el marco de las actividades de control externo. Sin embargo, dicho vehículo no se emplea para actividades de carga o transporte de equipos que justifiquen su tipo, configuración o especificaciones técnicas. Adicionalmente, se identificaron costos anuales asociados a este vehículo por un valor de $28.311.249, discriminados en consumo de combustible y mantenimiento"/>
    <x v="3"/>
    <x v="86"/>
    <x v="13"/>
    <d v="2025-07-31T00:00:00"/>
    <x v="39"/>
    <s v="https://drive.google.com/drive/folders/1ISJ99Ma_npLMCUzIIctwAAs1PY8LGVBi"/>
    <m/>
    <x v="0"/>
    <s v=""/>
    <x v="0"/>
    <x v="0"/>
    <x v="0"/>
    <x v="0"/>
    <m/>
    <x v="0"/>
  </r>
  <r>
    <x v="2"/>
    <x v="8"/>
    <x v="68"/>
    <s v="Hallazgo 1. Se identificó eliminación de 26 registros válidos en la depuración manual de la base del SDQS, sin trazabilidad ni validación, lo que pone en riesgo la integridad de la información y puede generar reportes inexactos a la Contraloría de Bogotá"/>
    <x v="2"/>
    <x v="87"/>
    <x v="10"/>
    <d v="2025-12-10T00:00:00"/>
    <x v="40"/>
    <s v="https://drive.google.com/drive/folders/1N0GmZbH5wBIffdE6-X9p9NLtGnhzOE-k"/>
    <s v="Se evidenció la revisión posterior al descargue mensual de la base PQRS, así como la validación y ajuste de inconsistencias, mediante soporte por correo electrónico remitido por la persona designada para dicha tarea, dando cumplimiento a lo establecido en el plan de acción"/>
    <x v="0"/>
    <s v=""/>
    <x v="0"/>
    <x v="0"/>
    <x v="0"/>
    <x v="0"/>
    <m/>
    <x v="12"/>
  </r>
  <r>
    <x v="2"/>
    <x v="8"/>
    <x v="69"/>
    <s v="Hallazgo 2: Disminución en la calidad de las respuestas a las peticiones ciudadanas (67% en el primer semestre de 2025 frente a 77% en 2024), pese a la implementación de acciones de mejora"/>
    <x v="1"/>
    <x v="88"/>
    <x v="10"/>
    <d v="2025-11-28T00:00:00"/>
    <x v="3"/>
    <s v="https://drive.google.com/drive/folders/1bGmDnZMyaeWb7y-OzxCClAvJjMxGnuzL"/>
    <s v="Se verificó la solicitud formal elevada a la Dirección de Recursos Tecnológicos para la mejora del sistema en relación con el campo de identificación del peticionario (no obligatorio en SDQS), cumpliendo con la acción definida en el plan. La implementación técnica corresponde a la Dirección de Recursos Tecnológicos._x000a__x000a_Anterior fecha 30/11/2025"/>
    <x v="0"/>
    <s v=""/>
    <x v="0"/>
    <x v="0"/>
    <x v="0"/>
    <x v="0"/>
    <m/>
    <x v="5"/>
  </r>
  <r>
    <x v="2"/>
    <x v="8"/>
    <x v="70"/>
    <s v="Hallazgo 3: No se formuló plan de acción para atender el resultado de la encuesta de satisfacciónrelacionado con la atención de los taquilleros y conductores, ni se evidenció seguimiento por parte de la Dirección de Servicio al Ciudadano y la Subgerencia de Planeación y Proyectos"/>
    <x v="1"/>
    <x v="89"/>
    <x v="17"/>
    <d v="2025-11-28T00:00:00"/>
    <x v="41"/>
    <s v="https://drive.google.com/drive/folders/1AaO5moNRfI5SUEm9dckFhktes7ONYou3"/>
    <s v="_x000a_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
    <x v="1"/>
    <s v=""/>
    <x v="0"/>
    <x v="0"/>
    <x v="0"/>
    <x v="0"/>
    <s v="carolina.bueno@terminaldetransporte.gov.co,paola.copete@terminaldetransporte.gov.co,paola.copete@terminaldetransporte.gov.co,maryuri.zabala@terminaldetransporte.gov.co,jenny.gomez@terminaldetransporte.gov.co,estefania.guzman@terminaldetransporte.gov.co"/>
    <x v="0"/>
  </r>
  <r>
    <x v="2"/>
    <x v="8"/>
    <x v="70"/>
    <m/>
    <x v="0"/>
    <x v="90"/>
    <x v="17"/>
    <d v="2025-11-28T00:00:00"/>
    <x v="42"/>
    <s v="https://drive.google.com/drive/folders/1AaO5moNRfI5SUEm9dckFhktes7ONYou3"/>
    <s v="Se adjunta matriz para el control de los planes de mejora correspondientes al segundo semestre de 2025."/>
    <x v="0"/>
    <s v=""/>
    <x v="0"/>
    <x v="0"/>
    <x v="0"/>
    <x v="0"/>
    <s v="carolina.bueno@terminaldetransporte.gov.co,paola.copete@terminaldetransporte.gov.co,paola.copete@terminaldetransporte.gov.co,maryuri.zabala@terminaldetransporte.gov.co,jenny.gomez@terminaldetransporte.gov.co,estefania.guzman@terminaldetransporte.gov.co"/>
    <x v="1"/>
  </r>
  <r>
    <x v="2"/>
    <x v="8"/>
    <x v="70"/>
    <m/>
    <x v="0"/>
    <x v="91"/>
    <x v="10"/>
    <d v="2025-11-28T00:00:00"/>
    <x v="42"/>
    <s v="https://drive.google.com/drive/folders/1AaO5moNRfI5SUEm9dckFhktes7ONYou3"/>
    <s v="Se evidenció la remisión de oficio a las empresas transportadoras, mediante el cual se socializaron los resultados de las encuestas de satisfacción y se recordó la necesidad de implementar acciones de mejora frente al servicio prestado por taquilleros y operarios, dando cumplimiento al plan de acción establecido"/>
    <x v="0"/>
    <s v=""/>
    <x v="0"/>
    <x v="0"/>
    <x v="0"/>
    <x v="0"/>
    <m/>
    <x v="13"/>
  </r>
  <r>
    <x v="2"/>
    <x v="8"/>
    <x v="71"/>
    <s v="Hallazgo 4: Seguimiento de peticiones centrado en tiempos de respuesta, sin incluir el análisis cualitativo de la información (causas de las peticiones) ni la articulación con las áreas responsables"/>
    <x v="1"/>
    <x v="92"/>
    <x v="10"/>
    <d v="2025-11-28T00:00:00"/>
    <x v="36"/>
    <s v="https://drive.google.com/drive/folders/1723UBFHGFJe5BwIwMXhZqU6J0LeAM4hu"/>
    <s v="Se adjunta evidencia de reuniones con los encargados de las áreas del seguimiento de PQRS, para verificar el estado de las PQRS."/>
    <x v="0"/>
    <s v=""/>
    <x v="0"/>
    <x v="0"/>
    <x v="0"/>
    <x v="0"/>
    <s v="carolina.bueno@terminaldetransporte.gov.co,paola.copete@terminaldetransporte.gov.co,paola.copete@terminaldetransporte.gov.co,jenny.gomez@terminaldetransporte.gov.co"/>
    <x v="1"/>
  </r>
  <r>
    <x v="2"/>
    <x v="8"/>
    <x v="72"/>
    <s v="Hallazgo 5: Se evidenció que los operarios de los Parqueaderos Fuera de Vía, vinculados mediante el contrato TT-214-2024, no cuentan con certificación como Primer Respondiente por la Secretaría Distrital de Salud, conforme al instructivo SAC- IN05"/>
    <x v="1"/>
    <x v="93"/>
    <x v="10"/>
    <d v="2025-11-28T00:00:00"/>
    <x v="31"/>
    <s v="https://drive.google.com/drive/folders/179a2kaq3t58xHR2_V4U418QGNC2FtL7i"/>
    <s v="Se actualiza el instructivo Acceso a Estaciones de Emergencia, Atención y Reporte de Emergencias Médicas"/>
    <x v="0"/>
    <s v=""/>
    <x v="0"/>
    <x v="0"/>
    <x v="0"/>
    <x v="0"/>
    <s v="carolina.bueno@terminaldetransporte.gov.co,paola.copete@terminaldetransporte.gov.co,paola.copete@terminaldetransporte.gov.co,jenny.gomez@terminaldetransporte.gov.co"/>
    <x v="1"/>
  </r>
  <r>
    <x v="2"/>
    <x v="8"/>
    <x v="73"/>
    <s v="Hallazgo 6: Durante las visitas de inspección realizadas en octubre de 2025, se identificaron elementos vencidos y ausencia de solución salina en algunos botiquines; además, el contrato TT-177-2024 finalizó sin continuidad del servicio"/>
    <x v="1"/>
    <x v="94"/>
    <x v="10"/>
    <d v="2025-11-28T00:00:00"/>
    <x v="25"/>
    <s v="https://drive.google.com/drive/folders/1nkH1t4cAtJjR0D6Y4MYtTuC3vArX0K25"/>
    <s v="se adjunta contrato TT-164-2025 cuyo objeto es &quot;Suministrar y realizar el mantenimiento de los elementos requeridos para la atención de las emergencias médicas en las sedes de la Terminal de Transporte y los establecimientos administrados por esta y dotación de bienes requeridos en los puntos de primeros auxilios de las sedes de la empresa&quot;, junto con el acta de inicio desde el 18 de diciembre de 2025 hasta el 17 de diciembre de 2026 "/>
    <x v="0"/>
    <s v=""/>
    <x v="0"/>
    <x v="0"/>
    <x v="0"/>
    <x v="0"/>
    <m/>
    <x v="0"/>
  </r>
  <r>
    <x v="2"/>
    <x v="8"/>
    <x v="74"/>
    <s v="Hallazgo 7: En la plataforma SECOP II no se encontraron cargados los informes de supervisión del Contrato TT-177-2024, pese a que se realizaron ocho pagos"/>
    <x v="3"/>
    <x v="95"/>
    <x v="10"/>
    <d v="2025-11-28T00:00:00"/>
    <x v="20"/>
    <s v="https://drive.google.com/drive/folders/1MdnCwTVhUHCav-skj6pOo_OSMyrwgpNt"/>
    <s v="Se cargaron los informes de supervisión del contrato, en el secop."/>
    <x v="0"/>
    <s v=""/>
    <x v="0"/>
    <x v="0"/>
    <x v="0"/>
    <x v="0"/>
    <m/>
    <x v="0"/>
  </r>
  <r>
    <x v="2"/>
    <x v="8"/>
    <x v="75"/>
    <s v="Hallazgo 8: Falta de trazabilidad de las evidencias de los controles(R35, R36 y R37), y debilidades en la formalización de las instrucciones de custodia en la Política de Gestión del Riesgo (GMC-PO01) por parte de la Subgerencia de Planeación y Proyectos"/>
    <x v="3"/>
    <x v="96"/>
    <x v="10"/>
    <d v="2025-11-28T00:00:00"/>
    <x v="31"/>
    <s v="https://drive.google.com/drive/folders/1azc2NFwUCOpLVnrhNWx_s-kLRmpPLDQ7"/>
    <s v="Se realiza capacitación en temas de riesgos el 24 de abril de 2026"/>
    <x v="0"/>
    <s v=""/>
    <x v="0"/>
    <x v="0"/>
    <x v="0"/>
    <x v="0"/>
    <s v="carolina.bueno@terminaldetransporte.gov.co,paola.copete@terminaldetransporte.gov.co,paola.copete@terminaldetransporte.gov.co,jenny.gomez@terminaldetransporte.gov.co"/>
    <x v="1"/>
  </r>
  <r>
    <x v="2"/>
    <x v="8"/>
    <x v="76"/>
    <s v="Hallazgo 9: Diseño débil de controles de capacitación (R34 y R36). Son ineficaces por falta de contenido específico y/o desconexión con causas operativas, manteniendo el Riesgo Residual Alto"/>
    <x v="3"/>
    <x v="96"/>
    <x v="10"/>
    <d v="2025-11-28T00:00:00"/>
    <x v="31"/>
    <s v="https://drive.google.com/drive/folders/101N3cndLGNSLHhr1MuLS9_KVxWGM_IMD"/>
    <s v="Se realiza capacitación en temas de riesgos el 24 de abril de 2026"/>
    <x v="0"/>
    <s v=""/>
    <x v="0"/>
    <x v="0"/>
    <x v="0"/>
    <x v="0"/>
    <s v="carolina.bueno@terminaldetransporte.gov.co,paola.copete@terminaldetransporte.gov.co,paola.copete@terminaldetransporte.gov.co,jenny.gomez@terminaldetransporte.gov.co"/>
    <x v="1"/>
  </r>
  <r>
    <x v="2"/>
    <x v="9"/>
    <x v="77"/>
    <s v="No Conformidad 1: Bienes reintegrados del contrato TT-99-2019 ingresaron al almacén sin soporte técnico del supervisor y sin lineamientos en el procedimiento de entrada al almacén"/>
    <x v="1"/>
    <x v="97"/>
    <x v="6"/>
    <d v="2025-12-29T00:00:00"/>
    <x v="43"/>
    <s v="https://drive.google.com/drive/u/0/folders/1xGZAWGLCxuk_KX3Z911GiScAe4_hqTRy"/>
    <s v="Se adjunta correo del 27 de mayo en el cual se envía a la Sub Gerencia de Planeación y Proyectos el Procedimiento GAD-PR02 Entradas de Almacén, para su aprobación y cargue en el SIG."/>
    <x v="0"/>
    <s v=""/>
    <x v="0"/>
    <x v="0"/>
    <x v="0"/>
    <x v="0"/>
    <s v="oscar.garzon@terminaldetransporte.gov.co,eduardo.gonzalez@terminaldetransporte.gov.co,manuel.santamaria@terminaldetransporte.gov.co"/>
    <x v="1"/>
  </r>
  <r>
    <x v="2"/>
    <x v="9"/>
    <x v="78"/>
    <s v="No Conformidad 2: Compra de 4 toldos plegables por caja menor no fue reportada ni registrada en el almacén, evidenciándose un bien sin placa ni control"/>
    <x v="1"/>
    <x v="98"/>
    <x v="0"/>
    <d v="2025-12-29T00:00:00"/>
    <x v="44"/>
    <s v="https://drive.google.com/drive/u/0/folders/1NCoq6j59tDmQD0dvnAmNtia7Df4ZOGKA"/>
    <s v="E adjunta correo enviado por el área de ZPP, donde se describe la trazabilidad de las carpas y el estado en que se encuentran , el área de Almacén no registrará las carpas ya que no están completas, sin embargo se darán de baja en el segundo semestre de 2026."/>
    <x v="0"/>
    <s v=""/>
    <x v="0"/>
    <x v="0"/>
    <x v="0"/>
    <x v="0"/>
    <s v="leonardo.vasquez@terminaldetransporte.gov.co,javier.veloza@terminaldetransporte.gov.co,andrea.lievano@terminaldetransporte.gov.co,gerson.lugo@terminaldetransporte.gov.co"/>
    <x v="1"/>
  </r>
  <r>
    <x v="2"/>
    <x v="9"/>
    <x v="78"/>
    <m/>
    <x v="0"/>
    <x v="99"/>
    <x v="6"/>
    <d v="2025-12-29T00:00:00"/>
    <x v="19"/>
    <s v="https://drive.google.com/drive/u/0/folders/104iUEjosT4F55Fv9qeOZBtjwKOBH0Aci"/>
    <m/>
    <x v="2"/>
    <n v="132"/>
    <x v="0"/>
    <x v="0"/>
    <x v="0"/>
    <x v="0"/>
    <s v="oscar.garzon@terminaldetransporte.gov.co,eduardo.gonzalez@terminaldetransporte.gov.co,manuel.santamaria@terminaldetransporte.gov.co"/>
    <x v="0"/>
  </r>
  <r>
    <x v="2"/>
    <x v="9"/>
    <x v="79"/>
    <s v="No Conformidad 3: Bienes entregados al contratista TT-26-2025 sin estar previstos en el contrato ni contar con solicitud formal por parte del supervisor"/>
    <x v="1"/>
    <x v="100"/>
    <x v="6"/>
    <d v="2025-12-29T00:00:00"/>
    <x v="45"/>
    <s v="https://drive.google.com/drive/u/0/folders/104iUEjosT4F55Fv9qeOZBtjwKOBH0Aci"/>
    <s v="Se solicita ampliación de plazo para el 31 de julio de 2026, mdiante oficio radicado numero 20265000017763._x000a__x000a_Fecha anterior:_x000a_31/05/2026_x000a_31/07/2026"/>
    <x v="2"/>
    <n v="40"/>
    <x v="0"/>
    <x v="0"/>
    <x v="0"/>
    <x v="0"/>
    <s v="oscar.garzon@terminaldetransporte.gov.co,eduardo.gonzalez@terminaldetransporte.gov.co,manuel.santamaria@terminaldetransporte.gov.co"/>
    <x v="0"/>
  </r>
  <r>
    <x v="2"/>
    <x v="9"/>
    <x v="79"/>
    <m/>
    <x v="0"/>
    <x v="101"/>
    <x v="2"/>
    <m/>
    <x v="46"/>
    <m/>
    <s v="Plan de acción sin definir"/>
    <x v="3"/>
    <s v=""/>
    <x v="0"/>
    <x v="0"/>
    <x v="0"/>
    <x v="0"/>
    <s v="juan.alviz@terminaldetransporte.gov.co,carlos.salcedo@terminaldetransporte.gov.co,omar.gamboa@terminaldetransporte.gov.co"/>
    <x v="0"/>
  </r>
  <r>
    <x v="2"/>
    <x v="9"/>
    <x v="80"/>
    <s v="No Conformidad 4: Celulares institucionales continúan asignados a personas que ya no tienen vínculo laboral, y no se observó el acta de devolución"/>
    <x v="1"/>
    <x v="102"/>
    <x v="18"/>
    <d v="2025-12-29T00:00:00"/>
    <x v="45"/>
    <s v="https://drive.google.com/drive/u/0/folders/1pak-yGsM7YD3nj2_5tOqdbWyAWLOsdgd"/>
    <s v="Se solicita ampliación de plazo para el 31 de julio de 2026, mdiante oficio radicado numero 20265000017763._x000a__x000a_Fecha anterior:_x000a_31/05/2026_x000a_31/07/2026"/>
    <x v="2"/>
    <n v="40"/>
    <x v="0"/>
    <x v="0"/>
    <x v="0"/>
    <x v="0"/>
    <s v="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x v="0"/>
  </r>
  <r>
    <x v="2"/>
    <x v="9"/>
    <x v="80"/>
    <m/>
    <x v="0"/>
    <x v="103"/>
    <x v="6"/>
    <d v="2025-12-29T00:00:00"/>
    <x v="45"/>
    <s v="https://drive.google.com/drive/u/0/folders/1pak-yGsM7YD3nj2_5tOqdbWyAWLOsdgd"/>
    <s v="Se solicita ampliación de plazo para el 31 de julio de 2026, mdiante oficio radicado numero 20265000017763._x000a__x000a_Fecha anterior:_x000a_31/05/2026_x000a_31/07/2026"/>
    <x v="2"/>
    <n v="40"/>
    <x v="0"/>
    <x v="0"/>
    <x v="0"/>
    <x v="0"/>
    <s v="oscar.garzon@terminaldetransporte.gov.co,eduardo.gonzalez@terminaldetransporte.gov.co,manuel.santamaria@terminaldetransporte.gov.co"/>
    <x v="0"/>
  </r>
  <r>
    <x v="2"/>
    <x v="9"/>
    <x v="81"/>
    <s v="Observación 5: Bienes de consumo controlado no están incluidos en el alcance del procedimiento de toma física de inventarios"/>
    <x v="3"/>
    <x v="104"/>
    <x v="6"/>
    <d v="2025-12-29T00:00:00"/>
    <x v="43"/>
    <s v="https://drive.google.com/drive/u/0/folders/1ycH8l-Qu3iRFCl4G6XlQIlH8MybQpZeQ"/>
    <s v="Se adjunta correo del 27 de mayo en el cual se envía a la Sub Gerencia de Planeación y Proyectos el Procedimiento Toma Física de Inventarios GAD-PR06, para su aprobación y cargue en el SIG."/>
    <x v="0"/>
    <s v=""/>
    <x v="0"/>
    <x v="0"/>
    <x v="0"/>
    <x v="0"/>
    <s v="oscar.garzon@terminaldetransporte.gov.co,eduardo.gonzalez@terminaldetransporte.gov.co,manuel.santamaria@terminaldetransporte.gov.co"/>
    <x v="1"/>
  </r>
  <r>
    <x v="2"/>
    <x v="10"/>
    <x v="82"/>
    <s v="Hallazgo 1: Se revisó el cumplimiento del Programa de Transparencia y Ética Pública (PTEP 2025) conforme a lo establecido en el Decreto 1122 de 2024 y el Anexo Técnico v1 (30.08.2024) de la Secretaría de Transparencia, verificando la ejecución de los componentes transversal y programático. (...)"/>
    <x v="1"/>
    <x v="105"/>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6"/>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7"/>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8"/>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9"/>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10"/>
    <x v="12"/>
    <d v="2025-12-01T00:00:00"/>
    <x v="47"/>
    <s v="https://drive.google.com/drive/u/0/folders/1_Y1Qq-J7-1PD82SzBiM-CtLDhfBaFiWz"/>
    <m/>
    <x v="1"/>
    <s v=""/>
    <x v="0"/>
    <x v="0"/>
    <x v="0"/>
    <x v="0"/>
    <s v="sandra.lesmes@terminaldetransporte.gov.co,estefania.guzman@terminaldetransporte.gov.co,maryuri.zabala@terminaldetransporte.gov.co"/>
    <x v="0"/>
  </r>
  <r>
    <x v="2"/>
    <x v="10"/>
    <x v="83"/>
    <s v="Hallazgo 2: _x000a_Se revisó el cumplimiento del procedimiento DES-PR03 &quot;Declaración de Conflicto de Intereses&quot;,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
    <x v="1"/>
    <x v="111"/>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2"/>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3"/>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4"/>
    <x v="19"/>
    <d v="2025-12-01T00:00:00"/>
    <x v="42"/>
    <s v="https://drive.google.com/drive/u/0/folders/1VhF8wPMaHy6ROGzSXGlcMyxb2BD0ki_t"/>
    <m/>
    <x v="1"/>
    <s v=""/>
    <x v="0"/>
    <x v="0"/>
    <x v="0"/>
    <x v="0"/>
    <s v="linda.florez@terminaldetransporte.gov.co,maryuri.zabala@terminaldetransporte.gov.co,jeimmy.torres@terminaldetransporte.gov.co"/>
    <x v="0"/>
  </r>
  <r>
    <x v="2"/>
    <x v="10"/>
    <x v="84"/>
    <s v="Hallazgo 3:  Incumplimiento en la gestión de las responsabilidades de los gestores de integridad_x000a_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
    <x v="1"/>
    <x v="115"/>
    <x v="1"/>
    <d v="2025-12-05T00:00:00"/>
    <x v="48"/>
    <s v="https://drive.google.com/drive/u/0/folders/1-wTHBAqsEvDtGobro6-Hp7NzPYFVnZTJ"/>
    <m/>
    <x v="2"/>
    <n v="131"/>
    <x v="0"/>
    <x v="0"/>
    <x v="0"/>
    <x v="0"/>
    <s v="linda.florez@terminaldetransporte.gov.co,jeimmy.torres@terminaldetransporte.gov.co"/>
    <x v="0"/>
  </r>
  <r>
    <x v="2"/>
    <x v="10"/>
    <x v="84"/>
    <m/>
    <x v="0"/>
    <x v="116"/>
    <x v="1"/>
    <d v="2025-12-05T00:00:00"/>
    <x v="48"/>
    <s v="https://drive.google.com/drive/u/0/folders/1-wTHBAqsEvDtGobro6-Hp7NzPYFVnZTJ"/>
    <m/>
    <x v="2"/>
    <n v="131"/>
    <x v="0"/>
    <x v="0"/>
    <x v="0"/>
    <x v="0"/>
    <s v="linda.florez@terminaldetransporte.gov.co,jeimmy.torres@terminaldetransporte.gov.co"/>
    <x v="0"/>
  </r>
  <r>
    <x v="2"/>
    <x v="10"/>
    <x v="84"/>
    <m/>
    <x v="0"/>
    <x v="117"/>
    <x v="1"/>
    <d v="2025-12-05T00:00:00"/>
    <x v="48"/>
    <s v="https://drive.google.com/drive/u/0/folders/1-wTHBAqsEvDtGobro6-Hp7NzPYFVnZTJ"/>
    <m/>
    <x v="2"/>
    <n v="131"/>
    <x v="0"/>
    <x v="0"/>
    <x v="0"/>
    <x v="0"/>
    <s v="linda.florez@terminaldetransporte.gov.co,jeimmy.torres@terminaldetransporte.gov.co"/>
    <x v="0"/>
  </r>
  <r>
    <x v="2"/>
    <x v="10"/>
    <x v="84"/>
    <m/>
    <x v="0"/>
    <x v="118"/>
    <x v="1"/>
    <d v="2025-12-05T00:00:00"/>
    <x v="48"/>
    <s v="https://drive.google.com/drive/u/0/folders/1-wTHBAqsEvDtGobro6-Hp7NzPYFVnZTJ"/>
    <m/>
    <x v="2"/>
    <n v="131"/>
    <x v="0"/>
    <x v="0"/>
    <x v="0"/>
    <x v="0"/>
    <s v="linda.florez@terminaldetransporte.gov.co,jeimmy.torres@terminaldetransporte.gov.co"/>
    <x v="0"/>
  </r>
  <r>
    <x v="2"/>
    <x v="10"/>
    <x v="84"/>
    <m/>
    <x v="0"/>
    <x v="119"/>
    <x v="1"/>
    <d v="2025-12-05T00:00:00"/>
    <x v="48"/>
    <s v="https://drive.google.com/drive/u/0/folders/1-wTHBAqsEvDtGobro6-Hp7NzPYFVnZTJ"/>
    <m/>
    <x v="2"/>
    <n v="131"/>
    <x v="0"/>
    <x v="0"/>
    <x v="0"/>
    <x v="0"/>
    <s v="linda.florez@terminaldetransporte.gov.co,jeimmy.torres@terminaldetransporte.gov.co"/>
    <x v="0"/>
  </r>
  <r>
    <x v="2"/>
    <x v="10"/>
    <x v="85"/>
    <s v="Hallazgo 4: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
    <x v="1"/>
    <x v="120"/>
    <x v="20"/>
    <d v="2025-12-01T00:00:00"/>
    <x v="41"/>
    <s v="https://drive.google.com/drive/u/0/folders/1U9cTDhrtKysQ5qa8J1fASSnvtIJNxoAN"/>
    <s v="--- Modificación el 26/07/2026 19:14 ---_x000a_• Nota: Prueba"/>
    <x v="1"/>
    <s v=""/>
    <x v="0"/>
    <x v="0"/>
    <x v="0"/>
    <x v="0"/>
    <s v="juan.alviz@terminaldetransporte.gov.co,sandra.lesmes@terminaldetransporte.gov.co,maryuri.zabala@terminaldetransporte.gov.coestefania.guzman@terminaldetransporte.gov.co"/>
    <x v="0"/>
  </r>
  <r>
    <x v="2"/>
    <x v="10"/>
    <x v="85"/>
    <m/>
    <x v="0"/>
    <x v="121"/>
    <x v="20"/>
    <d v="2025-12-01T00:00:00"/>
    <x v="42"/>
    <s v="https://drive.google.com/drive/u/0/folders/1U9cTDhrtKysQ5qa8J1fASSnvtIJNxoAN"/>
    <m/>
    <x v="1"/>
    <s v=""/>
    <x v="0"/>
    <x v="0"/>
    <x v="0"/>
    <x v="0"/>
    <s v="juan.alviz@terminaldetransporte.gov.co,sandra.lesmes@terminaldetransporte.gov.co,estefania.guzman@terminaldetransporte.gov.co"/>
    <x v="0"/>
  </r>
  <r>
    <x v="2"/>
    <x v="10"/>
    <x v="85"/>
    <m/>
    <x v="0"/>
    <x v="122"/>
    <x v="20"/>
    <d v="2025-12-01T00:00:00"/>
    <x v="42"/>
    <s v="https://drive.google.com/drive/u/0/folders/1U9cTDhrtKysQ5qa8J1fASSnvtIJNxoAN"/>
    <m/>
    <x v="1"/>
    <s v=""/>
    <x v="0"/>
    <x v="0"/>
    <x v="0"/>
    <x v="0"/>
    <s v="juan.alviz@terminaldetransporte.gov.co,sandra.lesmes@terminaldetransporte.gov.co,estefania.guzman@terminaldetransporte.gov.co"/>
    <x v="0"/>
  </r>
  <r>
    <x v="2"/>
    <x v="11"/>
    <x v="86"/>
    <s v="Hallazgo No. 1: Debilidades en la estructuración del estudio de mercado. Si bien, los estudios de mercado consideraron entre 5 a 9 cotizaciones por vigencia, se observó:_x000a_1. Debilidades en la remisión de las “invitaciones a cotizar” al no incluir algunos criterios específicos tales como: tipo de perfiles requeridos, tiempo y lugar para el desarrollo de las actividades, que podrían impactar en el valor de los servicios a cotizar._x000a_2. En las conclusiones del estudio de mercado, el AIU de referencia se calculó con media aritmética y otros con media geométrica, sin registro de la justificación técnica para alternar entre estas metodologías"/>
    <x v="2"/>
    <x v="28"/>
    <x v="6"/>
    <d v="2026-01-29T00:00:00"/>
    <x v="49"/>
    <s v="https://drive.google.com/drive/u/0/folders/1inuk8tfs9D8lcsOsSQKSJ3KvvdGewvdC"/>
    <m/>
    <x v="1"/>
    <s v=""/>
    <x v="0"/>
    <x v="0"/>
    <x v="0"/>
    <x v="0"/>
    <s v="oscar.garzon@terminaldetransporte.gov.co,eduardo.gonzalez@terminaldetransporte.gov.co,manuel.santamaria@terminaldetransporte.gov.co"/>
    <x v="0"/>
  </r>
  <r>
    <x v="2"/>
    <x v="11"/>
    <x v="87"/>
    <s v="Hallazgo No.2: Falta de pluralidad de oferentes habilitados_x000a_En las vigencias 2020, 2021, 2022 y 2024, solo un oferente resultó_x000a_habilitado para la adjudicación contractual, luego de la evaluación en_x000a_modalidad -cumple/no cumple- para los requisitos habilitantes,_x000a_combinada con un plazo de subsanación de tres (3) días hábiles, lo_x000a_cual limitó significativamente la participación efectiva de otros_x000a_proponentes"/>
    <x v="1"/>
    <x v="123"/>
    <x v="1"/>
    <d v="2025-02-09T00:00:00"/>
    <x v="50"/>
    <s v="https://drive.google.com/drive/u/0/folders/1SZOz7_bQnJfHSZOMUQ77rJ0rQ3vYcH3M"/>
    <m/>
    <x v="0"/>
    <s v=""/>
    <x v="0"/>
    <x v="0"/>
    <x v="0"/>
    <x v="0"/>
    <m/>
    <x v="0"/>
  </r>
  <r>
    <x v="2"/>
    <x v="11"/>
    <x v="88"/>
    <s v="Hallazgo No. 3: Aumento significativo del AIU contratado entre las vigencias 2021 y_x000a_2022 sin análisis técnico que lo justifique:_x000a_Se evidenció un incremento del AIU contratado del 6,00 % en 2021_x000a_al 12,70 % en 2022, lo que representa un aumento del 111,67 %_x000a_entre vigencias consecutivas. Este incremento no está sustentado_x000a_en un análisis técnico de costo-beneficio ni en una justificación_x000a_asociada a los factores económicos, operativos o contractuales que_x000a_expliquen tal variación"/>
    <x v="1"/>
    <x v="124"/>
    <x v="1"/>
    <d v="2025-02-09T00:00:00"/>
    <x v="50"/>
    <s v="https://drive.google.com/drive/u/0/folders/16pTt49d0wXAja-8yOHagdYlsSNB9zBf1"/>
    <m/>
    <x v="0"/>
    <s v=""/>
    <x v="0"/>
    <x v="0"/>
    <x v="0"/>
    <x v="0"/>
    <m/>
    <x v="0"/>
  </r>
  <r>
    <x v="2"/>
    <x v="11"/>
    <x v="89"/>
    <s v="Hallazgo No. 4: Falta de publicación del documento de estudios previos del proceso contractual de la vigencia 2021 en la plataforma_x000a_SECOP II: No se encontró cargado en la plataforma SECOP II el documento de estudios previos correspondiente al proceso de contratación adelantado en la vigencia 2021 para la selección de la empresa de servicios temporales"/>
    <x v="3"/>
    <x v="125"/>
    <x v="2"/>
    <d v="2026-04-06T00:00:00"/>
    <x v="51"/>
    <s v="https://drive.google.com/drive/u/0/folders/1PM6mLhlu2J8WvSE4TXf9rD7Sdzamj72v"/>
    <m/>
    <x v="0"/>
    <s v=""/>
    <x v="0"/>
    <x v="0"/>
    <x v="0"/>
    <x v="0"/>
    <m/>
    <x v="14"/>
  </r>
  <r>
    <x v="2"/>
    <x v="12"/>
    <x v="90"/>
    <s v="Hallazgo 1: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
    <x v="0"/>
    <x v="126"/>
    <x v="5"/>
    <d v="2026-01-22T00:00:00"/>
    <x v="52"/>
    <s v="https://drive.google.com/drive/folders/1Aalc93qFTu8ou5rg2A4V5o9Br1Bbctk8"/>
    <m/>
    <x v="2"/>
    <n v="38"/>
    <x v="0"/>
    <x v="0"/>
    <x v="0"/>
    <x v="0"/>
    <s v="julio.mosquera@terminaldetransporte.gov.co,Jesus.duarte@terminaldetransporte.gov.co,marcela.angarita@terminaldetransporte.gov.co"/>
    <x v="0"/>
  </r>
  <r>
    <x v="2"/>
    <x v="12"/>
    <x v="91"/>
    <s v="Hallazgo 2: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quot;Toma de Backup&quot; (FTI-MN05) incluye procedimientos y capturas de pantalla que hacen referencia explícita a Windows 2000, un sistema operativo con más de dos décadas de antigüedad y cuyo soporte finalizó en 2010._x000a__x000a_Adicionalmente, se identificó ausencia de un modelo de control de acceso basado en roles (RBAC), la asignación masiva e indiscriminada de privilegios excesivos a un gran número de usuarios y una documentada falta de supervisión y revisión periódica de dichos accesos._x000a__x000a_Los controles definidos en los procedimientos  presentan diferencias respecto a los documentados en las configuraciones y en la práctica operativa"/>
    <x v="0"/>
    <x v="127"/>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28"/>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29"/>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30"/>
    <x v="5"/>
    <d v="2026-01-22T00:00:00"/>
    <x v="54"/>
    <s v="https://drive.google.com/drive/folders/1rCSxB6vTAnnveo-Vo3MfMLSxbBj-y6hb"/>
    <m/>
    <x v="2"/>
    <n v="45"/>
    <x v="0"/>
    <x v="0"/>
    <x v="0"/>
    <x v="0"/>
    <s v="julio.mosquera@terminaldetransporte.gov.co,Jesus.duarte@terminaldetransporte.gov.co,marcela.angarita@terminaldetransporte.gov.co"/>
    <x v="0"/>
  </r>
  <r>
    <x v="2"/>
    <x v="13"/>
    <x v="86"/>
    <s v="Hallazgo 1: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
    <x v="1"/>
    <x v="131"/>
    <x v="6"/>
    <d v="2026-01-29T00:00:00"/>
    <x v="49"/>
    <s v="https://drive.google.com/drive/u/0/folders/1NwxAaYlMjnpU9jD-vgxTURXIcxk5KBKD"/>
    <m/>
    <x v="1"/>
    <s v=""/>
    <x v="0"/>
    <x v="0"/>
    <x v="0"/>
    <x v="0"/>
    <s v="oscar.garzon@terminaldetransporte.gov.co,eduardo.gonzalez@terminaldetransporte.gov.co,manuel.santamaria@terminaldetransporte.gov.co"/>
    <x v="0"/>
  </r>
  <r>
    <x v="2"/>
    <x v="13"/>
    <x v="86"/>
    <m/>
    <x v="0"/>
    <x v="132"/>
    <x v="6"/>
    <d v="2026-01-29T00:00:00"/>
    <x v="49"/>
    <s v="https://drive.google.com/drive/u/0/folders/1QAWC1xBK1MWu3buPGEfeN0Hadjl9cS0v"/>
    <m/>
    <x v="1"/>
    <s v=""/>
    <x v="0"/>
    <x v="0"/>
    <x v="0"/>
    <x v="0"/>
    <s v="oscar.garzon@terminaldetransporte.gov.co,eduardo.gonzalez@terminaldetransporte.gov.co,manuel.santamaria@terminaldetransporte.gov.co"/>
    <x v="0"/>
  </r>
  <r>
    <x v="2"/>
    <x v="13"/>
    <x v="92"/>
    <s v="Hallazgo 2: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
    <x v="1"/>
    <x v="133"/>
    <x v="2"/>
    <d v="2026-03-27T00:00:00"/>
    <x v="45"/>
    <s v="https://drive.google.com/drive/u/0/folders/1QAWC1xBK1MWu3buPGEfeN0Hadjl9cS0v"/>
    <m/>
    <x v="2"/>
    <n v="40"/>
    <x v="0"/>
    <x v="0"/>
    <x v="0"/>
    <x v="0"/>
    <s v="juan.alviz@terminaldetransporte.gov.co,carlos.salcedo@terminaldetransporte.gov.co,omar.gamboa@terminaldetransporte.gov.co"/>
    <x v="0"/>
  </r>
  <r>
    <x v="2"/>
    <x v="14"/>
    <x v="93"/>
    <s v="Hallazgo 1: la Terminal desconoció lo dispuesto por la Ley 1755 de 2015, artículo 13, la cual establece que las respuestas a los derechos de petición deben ser claras, precisas, congruentes y de fondo respecto de lo solicitado, pues La Terminal era competente para dar respuesta a la petición bajo estas condiciones. (...)"/>
    <x v="1"/>
    <x v="134"/>
    <x v="7"/>
    <d v="2025-10-17T00:00:00"/>
    <x v="28"/>
    <s v="https://drive.google.com/drive/u/0/folders/1Eb62iNMgDQ2KP1hyEc0MISvM2yX6YT7x"/>
    <m/>
    <x v="0"/>
    <s v=""/>
    <x v="0"/>
    <x v="0"/>
    <x v="0"/>
    <x v="0"/>
    <m/>
    <x v="8"/>
  </r>
  <r>
    <x v="2"/>
    <x v="14"/>
    <x v="94"/>
    <s v="Hallazgo 2: De acuerdo con el Procedimiento “Servicio Atención a Usuarios: Quejas, Reclamos, Sugerencias, Felicitaciones y Solicitud de Información” – Código SAC-PR04, cuando se requiera generar un traslado con otra dependencia, entidad o empresa transportadora, este_x000a_debe realizarse dentro de un término máximo de cinco (5) días hábiles._x000a_Sin embargo, se constató que el traslado efectuado por la Terminal se realizó en un lapso de doce (12) días hábiles, superando el plazo establecido.(...)"/>
    <x v="1"/>
    <x v="135"/>
    <x v="7"/>
    <d v="2025-10-17T00:00:00"/>
    <x v="28"/>
    <s v="https://drive.google.com/drive/u/0/folders/1tcvOo9S99q8p5l9ucOivESVwyDJEz92b"/>
    <m/>
    <x v="0"/>
    <s v=""/>
    <x v="0"/>
    <x v="0"/>
    <x v="0"/>
    <x v="0"/>
    <m/>
    <x v="8"/>
  </r>
  <r>
    <x v="2"/>
    <x v="15"/>
    <x v="95"/>
    <s v="No Conformidad 1: Se evidenció que un trabajador transportó y custodió recaudos por fuera de los puntos, tiempos y montos autorizados (hasta $2.000.000), incumpliendo el Procedimiento ZPP-PR05. Asimismo, el procedimiento y la matriz de riesgos definen montos máximos de custodia diferentes, generando debilidades en la aplicación del control del recaudo"/>
    <x v="2"/>
    <x v="136"/>
    <x v="0"/>
    <d v="2026-03-03T00:00:00"/>
    <x v="3"/>
    <s v="https://drive.google.com/drive/u/0/folders/1YmSRhVyp56zmP55tOajgB5DZnGHgQvIL"/>
    <s v="Se actualiza el Procedimiento RECAUDO DE DINERO, CONCILIACIÓN Y CIERRE Código: GPE-PR03"/>
    <x v="0"/>
    <s v=""/>
    <x v="0"/>
    <x v="0"/>
    <x v="0"/>
    <x v="0"/>
    <s v="leonardo.vasquez@terminaldetransporte.gov.co,javier.veloza@terminaldetransporte.gov.co,andrea.lievano@terminaldetransporte.gov.co,gerson.lugo@terminaldetransporte.gov.co"/>
    <x v="0"/>
  </r>
  <r>
    <x v="2"/>
    <x v="15"/>
    <x v="95"/>
    <m/>
    <x v="0"/>
    <x v="137"/>
    <x v="0"/>
    <d v="2026-03-03T00:00:00"/>
    <x v="3"/>
    <s v="https://drive.google.com/drive/u/0/folders/1YmSRhVyp56zmP55tOajgB5DZnGHgQvIL"/>
    <s v="Se actualiza el Procedimiento RECAUDO DE DINERO, CONCILIACIÓN Y CIERRE Código: GPE-PR03, el cúal fue socializado con la supervisora del contrato y los líderes de recaudo "/>
    <x v="0"/>
    <s v=""/>
    <x v="0"/>
    <x v="0"/>
    <x v="0"/>
    <x v="0"/>
    <s v="leonardo.vasquez@terminaldetransporte.gov.co,javier.veloza@terminaldetransporte.gov.co,andrea.lievano@terminaldetransporte.gov.co,gerson.lugo@terminaldetransporte.gov.co"/>
    <x v="0"/>
  </r>
  <r>
    <x v="2"/>
    <x v="15"/>
    <x v="96"/>
    <s v="No Conformidad 2: Se evidenció falta de precisión y definición expresa en las especificaciones técnicas del Contrato TT-164-2022 frente a la capacidad de carga y autonomía de los vehículos, dejando abierta su interpretación y limitando la verificación objetiva del cumplimiento"/>
    <x v="1"/>
    <x v="138"/>
    <x v="0"/>
    <d v="2026-03-03T00:00:00"/>
    <x v="45"/>
    <s v="https://drive.google.com/drive/u/0/folders/1IJU0YkqOggF1VAdcLlnBLnsK0D0UuQeb"/>
    <m/>
    <x v="2"/>
    <n v="40"/>
    <x v="0"/>
    <x v="0"/>
    <x v="0"/>
    <x v="0"/>
    <s v="leonardo.vasquez@terminaldetransporte.gov.co,javier.veloza@terminaldetransporte.gov.co,andrea.lievano@terminaldetransporte.gov.co,gerson.lugo@terminaldetransporte.gov.co"/>
    <x v="0"/>
  </r>
  <r>
    <x v="2"/>
    <x v="15"/>
    <x v="97"/>
    <s v="No Conformidad 3: Se evidenció el uso de recursos de caja menor para un gasto no operativo (celebración), contrario a la destinación establecida en la Resolución 12 de 2025, así como inconsistencias y uso de formatos no formalizados en la solicitud y legalización de recursos, generando debilidades en la estandarización y control documental del proceso"/>
    <x v="1"/>
    <x v="139"/>
    <x v="0"/>
    <d v="2026-03-03T00:00:00"/>
    <x v="3"/>
    <s v="https://drive.google.com/drive/u/0/folders/16qvkhydmiQkZAHbIfaOnAEAokJbfYTBo"/>
    <s v="Se adjunta la Resolución 07 de 2026 mediante la cual se establecen los linemaientos para el uso adecuado de la Caja Menor"/>
    <x v="0"/>
    <s v=""/>
    <x v="0"/>
    <x v="0"/>
    <x v="0"/>
    <x v="0"/>
    <s v="leonardo.vasquez@terminaldetransporte.gov.co,javier.veloza@terminaldetransporte.gov.co,andrea.lievano@terminaldetransporte.gov.co,gerson.lugo@terminaldetransporte.gov.co"/>
    <x v="0"/>
  </r>
  <r>
    <x v="2"/>
    <x v="15"/>
    <x v="97"/>
    <m/>
    <x v="0"/>
    <x v="140"/>
    <x v="0"/>
    <d v="2026-03-03T00:00:00"/>
    <x v="3"/>
    <s v="https://drive.google.com/drive/u/0/folders/16qvkhydmiQkZAHbIfaOnAEAokJbfYTBo"/>
    <s v="Se unifican los formartos para el manejo de la Caja menor, por lo tanto, se utilizan los formatos de la Dirección de Gestión Financiera"/>
    <x v="0"/>
    <s v=""/>
    <x v="0"/>
    <x v="0"/>
    <x v="0"/>
    <x v="0"/>
    <s v="leonardo.vasquez@terminaldetransporte.gov.co,javier.veloza@terminaldetransporte.gov.co,andrea.lievano@terminaldetransporte.gov.co,gerson.lugo@terminaldetransporte.gov.co"/>
    <x v="0"/>
  </r>
  <r>
    <x v="2"/>
    <x v="15"/>
    <x v="98"/>
    <s v="No Conformidad 4: Se evidenció que los procedimientos ZPP-PR06 y ZPP- PR05 no reflejan la operación actual, manteniendo ubicaciones, de cajas fuertes y roles operativos que ya fueron modificados"/>
    <x v="3"/>
    <x v="141"/>
    <x v="0"/>
    <d v="2026-03-03T00:00:00"/>
    <x v="3"/>
    <s v="https://drive.google.com/drive/u/0/folders/1jkppab-HKEWxhEH7khu-BbiMW3UulEz_"/>
    <m/>
    <x v="1"/>
    <s v=""/>
    <x v="0"/>
    <x v="0"/>
    <x v="0"/>
    <x v="0"/>
    <s v="leonardo.vasquez@terminaldetransporte.gov.co,javier.veloza@terminaldetransporte.gov.co,andrea.lievano@terminaldetransporte.gov.co,gerson.lugo@terminaldetransporte.gov.co"/>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E36146B-1088-4FD5-91BD-7AA8EC373067}" name="TablaPrincipalDetalle" cacheId="2" applyNumberFormats="0" applyBorderFormats="0" applyFontFormats="0" applyPatternFormats="0" applyAlignmentFormats="0" applyWidthHeightFormats="1" dataCaption="Valores" updatedVersion="8" minRefreshableVersion="3" showDrill="0" itemPrintTitles="1" createdVersion="8" indent="0" compact="0" compactData="0" multipleFieldFilters="0">
  <location ref="A4:P151" firstHeaderRow="1" firstDataRow="1" firstDataCol="16"/>
  <pivotFields count="22">
    <pivotField axis="axisRow" compact="0" outline="0" showAll="0" defaultSubtotal="0">
      <items count="3">
        <item x="0"/>
        <item x="1"/>
        <item x="2"/>
      </items>
    </pivotField>
    <pivotField axis="axisRow" compact="0" outline="0" showAll="0" defaultSubtotal="0">
      <items count="16">
        <item x="6"/>
        <item x="13"/>
        <item x="11"/>
        <item x="9"/>
        <item x="5"/>
        <item x="3"/>
        <item x="12"/>
        <item x="2"/>
        <item x="10"/>
        <item x="1"/>
        <item x="4"/>
        <item x="15"/>
        <item x="7"/>
        <item x="0"/>
        <item x="14"/>
        <item x="8"/>
      </items>
    </pivotField>
    <pivotField axis="axisRow" compact="0" outline="0" showAll="0" defaultSubtotal="0">
      <items count="99">
        <item x="0"/>
        <item x="11"/>
        <item x="12"/>
        <item x="13"/>
        <item x="14"/>
        <item x="15"/>
        <item x="16"/>
        <item x="17"/>
        <item x="18"/>
        <item x="19"/>
        <item x="1"/>
        <item x="20"/>
        <item x="21"/>
        <item x="22"/>
        <item x="23"/>
        <item x="24"/>
        <item x="2"/>
        <item x="3"/>
        <item x="5"/>
        <item x="6"/>
        <item x="7"/>
        <item x="8"/>
        <item x="9"/>
        <item x="10"/>
        <item x="48"/>
        <item x="93"/>
        <item x="65"/>
        <item x="61"/>
        <item x="82"/>
        <item x="85"/>
        <item x="78"/>
        <item x="50"/>
        <item x="36"/>
        <item x="95"/>
        <item x="41"/>
        <item x="54"/>
        <item x="51"/>
        <item x="62"/>
        <item x="86"/>
        <item x="44"/>
        <item x="63"/>
        <item x="43"/>
        <item x="75"/>
        <item x="96"/>
        <item x="45"/>
        <item x="83"/>
        <item x="73"/>
        <item x="33"/>
        <item x="57"/>
        <item x="29"/>
        <item x="53"/>
        <item x="76"/>
        <item x="69"/>
        <item x="68"/>
        <item x="28"/>
        <item x="79"/>
        <item x="80"/>
        <item x="89"/>
        <item x="71"/>
        <item x="88"/>
        <item x="81"/>
        <item x="70"/>
        <item x="87"/>
        <item x="74"/>
        <item x="97"/>
        <item x="34"/>
        <item x="27"/>
        <item x="98"/>
        <item x="47"/>
        <item x="59"/>
        <item x="31"/>
        <item x="38"/>
        <item x="94"/>
        <item x="32"/>
        <item x="42"/>
        <item x="39"/>
        <item x="37"/>
        <item x="46"/>
        <item x="84"/>
        <item x="35"/>
        <item x="60"/>
        <item x="77"/>
        <item x="30"/>
        <item x="25"/>
        <item x="52"/>
        <item x="91"/>
        <item x="40"/>
        <item x="72"/>
        <item x="49"/>
        <item x="64"/>
        <item x="58"/>
        <item x="56"/>
        <item x="26"/>
        <item x="66"/>
        <item x="67"/>
        <item x="92"/>
        <item x="90"/>
        <item x="4"/>
        <item x="55"/>
      </items>
    </pivotField>
    <pivotField compact="0" outline="0" showAll="0" defaultSubtotal="0"/>
    <pivotField axis="axisRow" compact="0" outline="0" showAll="0" defaultSubtotal="0">
      <items count="4">
        <item x="2"/>
        <item x="3"/>
        <item x="1"/>
        <item x="0"/>
      </items>
    </pivotField>
    <pivotField axis="axisRow" compact="0" outline="0" showAll="0" defaultSubtotal="0">
      <items count="143">
        <item x="111"/>
        <item x="136"/>
        <item x="89"/>
        <item x="45"/>
        <item x="131"/>
        <item x="105"/>
        <item x="61"/>
        <item x="25"/>
        <item x="41"/>
        <item x="24"/>
        <item x="9"/>
        <item x="100"/>
        <item x="80"/>
        <item x="30"/>
        <item x="67"/>
        <item x="92"/>
        <item x="58"/>
        <item x="38"/>
        <item x="127"/>
        <item x="98"/>
        <item x="64"/>
        <item x="71"/>
        <item x="115"/>
        <item x="75"/>
        <item x="120"/>
        <item x="139"/>
        <item x="123"/>
        <item x="124"/>
        <item x="88"/>
        <item x="102"/>
        <item x="81"/>
        <item x="140"/>
        <item x="50"/>
        <item x="48"/>
        <item x="99"/>
        <item x="42"/>
        <item x="132"/>
        <item x="62"/>
        <item x="68"/>
        <item x="72"/>
        <item x="31"/>
        <item x="106"/>
        <item x="90"/>
        <item x="137"/>
        <item x="112"/>
        <item x="121"/>
        <item x="128"/>
        <item x="76"/>
        <item x="56"/>
        <item x="116"/>
        <item x="103"/>
        <item x="4"/>
        <item x="113"/>
        <item x="57"/>
        <item x="117"/>
        <item x="107"/>
        <item x="47"/>
        <item x="129"/>
        <item x="91"/>
        <item x="122"/>
        <item x="77"/>
        <item x="59"/>
        <item x="108"/>
        <item x="114"/>
        <item x="130"/>
        <item x="118"/>
        <item x="78"/>
        <item x="119"/>
        <item x="109"/>
        <item x="60"/>
        <item x="44"/>
        <item x="110"/>
        <item x="16"/>
        <item x="46"/>
        <item x="15"/>
        <item x="83"/>
        <item x="141"/>
        <item x="126"/>
        <item x="32"/>
        <item x="36"/>
        <item x="69"/>
        <item x="33"/>
        <item x="0"/>
        <item x="29"/>
        <item x="21"/>
        <item x="54"/>
        <item x="34"/>
        <item x="19"/>
        <item x="134"/>
        <item x="135"/>
        <item x="23"/>
        <item x="86"/>
        <item x="13"/>
        <item x="73"/>
        <item x="2"/>
        <item x="18"/>
        <item x="28"/>
        <item x="63"/>
        <item x="6"/>
        <item x="1"/>
        <item x="22"/>
        <item x="14"/>
        <item x="7"/>
        <item x="138"/>
        <item x="94"/>
        <item x="96"/>
        <item x="65"/>
        <item x="55"/>
        <item x="70"/>
        <item x="12"/>
        <item x="39"/>
        <item x="85"/>
        <item x="17"/>
        <item x="3"/>
        <item x="93"/>
        <item x="97"/>
        <item x="104"/>
        <item x="20"/>
        <item x="43"/>
        <item x="11"/>
        <item x="95"/>
        <item x="84"/>
        <item x="37"/>
        <item x="52"/>
        <item x="51"/>
        <item x="8"/>
        <item x="74"/>
        <item x="5"/>
        <item x="87"/>
        <item x="79"/>
        <item x="27"/>
        <item m="1" x="142"/>
        <item x="26"/>
        <item x="10"/>
        <item x="35"/>
        <item x="53"/>
        <item x="82"/>
        <item x="66"/>
        <item x="101"/>
        <item x="40"/>
        <item x="49"/>
        <item x="125"/>
        <item x="133"/>
      </items>
    </pivotField>
    <pivotField axis="axisRow" compact="0" outline="0" showAll="0" defaultSubtotal="0">
      <items count="21">
        <item x="4"/>
        <item x="1"/>
        <item x="3"/>
        <item x="7"/>
        <item x="8"/>
        <item x="9"/>
        <item x="5"/>
        <item x="10"/>
        <item x="17"/>
        <item x="13"/>
        <item x="19"/>
        <item x="16"/>
        <item x="6"/>
        <item x="11"/>
        <item x="12"/>
        <item x="0"/>
        <item x="14"/>
        <item x="15"/>
        <item x="2"/>
        <item x="20"/>
        <item x="18"/>
      </items>
    </pivotField>
    <pivotField compact="0" outline="0" showAll="0" defaultSubtotal="0"/>
    <pivotField axis="axisRow" compact="0" outline="0" showAll="0" defaultSubtotal="0">
      <items count="57">
        <item x="15"/>
        <item x="8"/>
        <item x="0"/>
        <item x="5"/>
        <item x="1"/>
        <item x="6"/>
        <item x="4"/>
        <item x="2"/>
        <item x="9"/>
        <item x="7"/>
        <item x="13"/>
        <item x="50"/>
        <item x="16"/>
        <item x="10"/>
        <item x="11"/>
        <item x="26"/>
        <item x="22"/>
        <item x="23"/>
        <item x="37"/>
        <item x="38"/>
        <item x="18"/>
        <item x="24"/>
        <item x="29"/>
        <item x="34"/>
        <item x="32"/>
        <item x="20"/>
        <item x="39"/>
        <item x="25"/>
        <item m="1" x="56"/>
        <item x="30"/>
        <item x="17"/>
        <item x="33"/>
        <item x="27"/>
        <item x="28"/>
        <item x="31"/>
        <item x="40"/>
        <item x="21"/>
        <item x="14"/>
        <item x="12"/>
        <item x="44"/>
        <item x="36"/>
        <item x="35"/>
        <item x="42"/>
        <item x="49"/>
        <item x="43"/>
        <item x="3"/>
        <item x="47"/>
        <item x="52"/>
        <item x="45"/>
        <item x="53"/>
        <item x="48"/>
        <item x="19"/>
        <item x="46"/>
        <item x="51"/>
        <item x="54"/>
        <item m="1" x="55"/>
        <item x="41"/>
      </items>
    </pivotField>
    <pivotField compact="0" outline="0" showAll="0" defaultSubtotal="0"/>
    <pivotField compact="0" outline="0" showAll="0" defaultSubtotal="0"/>
    <pivotField axis="axisRow" compact="0" outline="0" showAll="0" defaultSubtotal="0">
      <items count="4">
        <item x="2"/>
        <item sd="0" x="0"/>
        <item x="3"/>
        <item x="1"/>
      </items>
    </pivotField>
    <pivotField compact="0" outline="0" showAll="0" defaultSubtotal="0"/>
    <pivotField axis="axisRow" compact="0" outline="0" showAll="0" defaultSubtotal="0">
      <items count="2">
        <item x="0"/>
        <item m="1" x="1"/>
      </items>
    </pivotField>
    <pivotField axis="axisRow" compact="0" outline="0" showAll="0" defaultSubtotal="0">
      <items count="2">
        <item x="0"/>
        <item m="1" x="1"/>
      </items>
    </pivotField>
    <pivotField axis="axisRow" compact="0" outline="0" showAll="0" defaultSubtotal="0">
      <items count="2">
        <item x="0"/>
        <item m="1" x="1"/>
      </items>
    </pivotField>
    <pivotField axis="axisRow" compact="0" outline="0" subtotalTop="0" showAll="0" defaultSubtotal="0">
      <items count="2">
        <item x="0"/>
        <item m="1" x="1"/>
      </items>
    </pivotField>
    <pivotField compact="0" outline="0" subtotalTop="0" showAll="0" defaultSubtotal="0"/>
    <pivotField axis="axisRow" compact="0" outline="0" subtotalTop="0" showAll="0" defaultSubtotal="0">
      <items count="15">
        <item x="4"/>
        <item x="10"/>
        <item x="7"/>
        <item x="8"/>
        <item x="9"/>
        <item x="12"/>
        <item x="6"/>
        <item x="3"/>
        <item x="5"/>
        <item x="14"/>
        <item x="11"/>
        <item x="13"/>
        <item x="0"/>
        <item x="2"/>
        <item x="1"/>
      </items>
    </pivotField>
    <pivotField axis="axisRow" compact="0" outline="0" subtotalTop="0" showAll="0" defaultSubtotal="0">
      <items count="22">
        <item x="2"/>
        <item x="16"/>
        <item x="17"/>
        <item x="0"/>
        <item x="4"/>
        <item x="1"/>
        <item x="8"/>
        <item x="6"/>
        <item x="5"/>
        <item x="12"/>
        <item x="7"/>
        <item x="10"/>
        <item x="13"/>
        <item x="15"/>
        <item x="14"/>
        <item x="11"/>
        <item x="3"/>
        <item x="9"/>
        <item x="18"/>
        <item x="19"/>
        <item x="20"/>
        <item x="21"/>
      </items>
    </pivotField>
    <pivotField axis="axisRow" compact="0" outline="0" subtotalTop="0"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367"/>
      </items>
    </pivotField>
    <pivotField axis="axisRow" compact="0" outline="0" subtotalTop="0" showAll="0" defaultSubtotal="0">
      <items count="14">
        <item sd="0" x="0"/>
        <item sd="0" x="1"/>
        <item sd="0" x="2"/>
        <item sd="0" x="3"/>
        <item sd="0" x="4"/>
        <item sd="0" x="5"/>
        <item sd="0" x="6"/>
        <item sd="0" x="7"/>
        <item sd="0" x="8"/>
        <item sd="0" x="9"/>
        <item sd="0" x="10"/>
        <item sd="0" x="11"/>
        <item sd="0" x="12"/>
        <item sd="0" x="13"/>
      </items>
    </pivotField>
  </pivotFields>
  <rowFields count="16">
    <field x="0"/>
    <field x="1"/>
    <field x="2"/>
    <field x="4"/>
    <field x="5"/>
    <field x="6"/>
    <field x="19"/>
    <field x="8"/>
    <field x="11"/>
    <field x="16"/>
    <field x="13"/>
    <field x="14"/>
    <field x="15"/>
    <field x="21"/>
    <field x="20"/>
    <field x="18"/>
  </rowFields>
  <rowItems count="147">
    <i>
      <x/>
      <x v="13"/>
      <x/>
      <x v="3"/>
      <x v="82"/>
      <x v="15"/>
      <x v="2"/>
      <x v="2"/>
      <x v="1"/>
    </i>
    <i r="2">
      <x v="1"/>
      <x v="3"/>
      <x v="119"/>
      <x v="15"/>
      <x v="2"/>
      <x v="7"/>
      <x v="1"/>
    </i>
    <i r="2">
      <x v="2"/>
      <x v="3"/>
      <x v="109"/>
      <x v="15"/>
      <x v="2"/>
      <x v="7"/>
      <x v="1"/>
    </i>
    <i r="2">
      <x v="3"/>
      <x v="3"/>
      <x v="92"/>
      <x v="15"/>
      <x v="2"/>
      <x v="7"/>
      <x v="1"/>
    </i>
    <i r="2">
      <x v="4"/>
      <x v="3"/>
      <x v="101"/>
      <x v="15"/>
      <x v="2"/>
      <x v="3"/>
      <x v="1"/>
    </i>
    <i r="2">
      <x v="5"/>
      <x v="3"/>
      <x v="74"/>
      <x v="15"/>
      <x v="2"/>
      <x v="3"/>
      <x v="1"/>
    </i>
    <i r="2">
      <x v="6"/>
      <x v="3"/>
      <x v="72"/>
      <x v="15"/>
      <x v="2"/>
      <x v="7"/>
      <x v="1"/>
    </i>
    <i r="2">
      <x v="7"/>
      <x v="3"/>
      <x v="112"/>
      <x v="15"/>
      <x v="2"/>
      <x v="7"/>
      <x v="1"/>
    </i>
    <i r="2">
      <x v="8"/>
      <x v="3"/>
      <x v="95"/>
      <x v="15"/>
      <x v="2"/>
      <x v="7"/>
      <x v="1"/>
    </i>
    <i r="2">
      <x v="9"/>
      <x v="3"/>
      <x v="87"/>
      <x v="15"/>
      <x v="2"/>
      <x v="7"/>
      <x v="1"/>
    </i>
    <i r="2">
      <x v="10"/>
      <x v="3"/>
      <x v="99"/>
      <x v="15"/>
      <x v="2"/>
      <x v="4"/>
      <x v="1"/>
    </i>
    <i r="2">
      <x v="11"/>
      <x v="3"/>
      <x v="117"/>
      <x v="15"/>
      <x v="2"/>
      <x v="4"/>
      <x v="1"/>
    </i>
    <i r="2">
      <x v="12"/>
      <x v="3"/>
      <x v="84"/>
      <x v="15"/>
      <x v="2"/>
      <x v="6"/>
      <x v="1"/>
    </i>
    <i r="2">
      <x v="13"/>
      <x v="3"/>
      <x v="100"/>
      <x v="15"/>
      <x v="2"/>
      <x v="5"/>
      <x v="1"/>
    </i>
    <i r="2">
      <x v="14"/>
      <x v="3"/>
      <x v="90"/>
      <x v="15"/>
      <x v="2"/>
      <x v="7"/>
      <x v="1"/>
    </i>
    <i r="2">
      <x v="15"/>
      <x v="3"/>
      <x v="9"/>
      <x v="15"/>
      <x v="2"/>
      <x v="3"/>
      <x v="1"/>
    </i>
    <i r="2">
      <x v="16"/>
      <x v="3"/>
      <x v="94"/>
      <x v="15"/>
      <x v="2"/>
      <x v="7"/>
      <x v="1"/>
    </i>
    <i r="2">
      <x v="17"/>
      <x v="3"/>
      <x v="113"/>
      <x v="15"/>
      <x v="2"/>
      <x v="45"/>
      <x v="1"/>
    </i>
    <i r="2">
      <x v="18"/>
      <x v="3"/>
      <x v="127"/>
      <x v="15"/>
      <x v="2"/>
      <x v="7"/>
      <x v="1"/>
    </i>
    <i r="2">
      <x v="19"/>
      <x v="3"/>
      <x v="98"/>
      <x v="15"/>
      <x v="2"/>
      <x v="4"/>
      <x v="1"/>
    </i>
    <i r="2">
      <x v="20"/>
      <x v="3"/>
      <x v="102"/>
      <x v="15"/>
      <x v="2"/>
      <x v="6"/>
      <x v="1"/>
    </i>
    <i r="2">
      <x v="21"/>
      <x v="3"/>
      <x v="125"/>
      <x v="15"/>
      <x v="2"/>
      <x v="4"/>
      <x v="1"/>
    </i>
    <i r="2">
      <x v="22"/>
      <x v="3"/>
      <x v="10"/>
      <x v="15"/>
      <x v="2"/>
      <x v="4"/>
      <x v="1"/>
    </i>
    <i r="2">
      <x v="23"/>
      <x v="3"/>
      <x v="133"/>
      <x v="15"/>
      <x v="2"/>
      <x v="7"/>
      <x v="1"/>
    </i>
    <i r="2">
      <x v="83"/>
      <x v="3"/>
      <x v="7"/>
      <x v="15"/>
      <x v="2"/>
      <x v="7"/>
      <x v="1"/>
    </i>
    <i r="2">
      <x v="97"/>
      <x v="3"/>
      <x v="51"/>
      <x v="15"/>
      <x v="2"/>
      <x v="45"/>
      <x v="3"/>
      <x/>
      <x/>
      <x/>
      <x/>
      <x/>
    </i>
    <i>
      <x v="1"/>
      <x v="5"/>
      <x v="71"/>
      <x v="3"/>
      <x v="110"/>
      <x v="1"/>
      <x v="5"/>
      <x v="37"/>
      <x v="1"/>
    </i>
    <i r="2">
      <x v="75"/>
      <x v="3"/>
      <x v="139"/>
      <x v="18"/>
      <x/>
      <x/>
      <x v="1"/>
    </i>
    <i r="2">
      <x v="76"/>
      <x v="3"/>
      <x v="17"/>
      <x v="1"/>
      <x v="5"/>
      <x v="37"/>
      <x v="1"/>
    </i>
    <i r="2">
      <x v="97"/>
      <x v="3"/>
      <x v="8"/>
      <x v="6"/>
      <x v="2"/>
      <x v="12"/>
      <x v="1"/>
    </i>
    <i r="4">
      <x v="35"/>
      <x v="6"/>
      <x v="2"/>
      <x v="12"/>
      <x v="1"/>
    </i>
    <i r="4">
      <x v="118"/>
      <x v="12"/>
      <x v="2"/>
      <x v="30"/>
      <x v="1"/>
    </i>
    <i r="1">
      <x v="7"/>
      <x v="32"/>
      <x v="3"/>
      <x v="134"/>
      <x v="6"/>
      <x v="2"/>
      <x v="10"/>
      <x v="1"/>
    </i>
    <i r="2">
      <x v="47"/>
      <x v="3"/>
      <x v="86"/>
      <x/>
      <x v="2"/>
      <x v="38"/>
      <x v="1"/>
    </i>
    <i r="2">
      <x v="65"/>
      <x v="3"/>
      <x v="86"/>
      <x/>
      <x v="2"/>
      <x v="38"/>
      <x v="1"/>
    </i>
    <i r="2">
      <x v="79"/>
      <x v="3"/>
      <x v="86"/>
      <x/>
      <x v="2"/>
      <x v="38"/>
      <x v="1"/>
    </i>
    <i r="2">
      <x v="97"/>
      <x v="3"/>
      <x v="79"/>
      <x v="6"/>
      <x v="2"/>
      <x v="10"/>
      <x v="1"/>
    </i>
    <i r="4">
      <x v="122"/>
      <x v="6"/>
      <x v="2"/>
      <x v="10"/>
      <x v="1"/>
    </i>
    <i r="1">
      <x v="9"/>
      <x v="49"/>
      <x v="3"/>
      <x v="83"/>
      <x v="2"/>
      <x v="2"/>
      <x v="8"/>
      <x v="1"/>
    </i>
    <i r="2">
      <x v="54"/>
      <x v="3"/>
      <x v="96"/>
      <x v="18"/>
      <x v="2"/>
      <x v="45"/>
      <x v="3"/>
      <x/>
      <x/>
      <x/>
      <x/>
      <x/>
    </i>
    <i r="2">
      <x v="66"/>
      <x v="3"/>
      <x v="130"/>
      <x v="18"/>
      <x v="1"/>
      <x v="1"/>
      <x v="1"/>
    </i>
    <i r="2">
      <x v="70"/>
      <x v="3"/>
      <x v="78"/>
      <x v="1"/>
      <x v="2"/>
      <x v="13"/>
      <x v="1"/>
    </i>
    <i r="2">
      <x v="73"/>
      <x v="3"/>
      <x v="81"/>
      <x v="2"/>
      <x v="2"/>
      <x v="8"/>
      <x v="1"/>
    </i>
    <i r="2">
      <x v="82"/>
      <x v="3"/>
      <x v="13"/>
      <x v="18"/>
      <x v="2"/>
      <x v="13"/>
      <x v="1"/>
    </i>
    <i r="2">
      <x v="92"/>
      <x v="3"/>
      <x v="132"/>
      <x v="1"/>
      <x v="2"/>
      <x v="9"/>
      <x v="1"/>
    </i>
    <i r="2">
      <x v="97"/>
      <x v="3"/>
      <x v="40"/>
      <x v="2"/>
      <x v="2"/>
      <x v="14"/>
      <x v="1"/>
    </i>
    <i>
      <x v="2"/>
      <x/>
      <x v="69"/>
      <x v="1"/>
      <x v="126"/>
      <x v="11"/>
      <x v="8"/>
      <x v="41"/>
      <x v="3"/>
      <x/>
      <x/>
      <x/>
      <x/>
      <x/>
    </i>
    <i r="2">
      <x v="80"/>
      <x v="1"/>
      <x v="23"/>
      <x v="11"/>
      <x v="2"/>
      <x v="25"/>
      <x v="1"/>
    </i>
    <i r="3">
      <x v="3"/>
      <x v="47"/>
      <x v="11"/>
      <x v="7"/>
      <x v="40"/>
      <x v="3"/>
      <x/>
      <x/>
      <x/>
      <x/>
      <x/>
    </i>
    <i r="4">
      <x v="60"/>
      <x v="14"/>
      <x v="8"/>
      <x v="41"/>
      <x v="1"/>
    </i>
    <i r="4">
      <x v="66"/>
      <x v="14"/>
      <x v="2"/>
      <x v="25"/>
      <x v="1"/>
    </i>
    <i r="2">
      <x v="90"/>
      <x v="1"/>
      <x v="93"/>
      <x v="11"/>
      <x v="2"/>
      <x v="23"/>
      <x v="1"/>
    </i>
    <i r="1">
      <x v="1"/>
      <x v="38"/>
      <x v="2"/>
      <x v="4"/>
      <x v="12"/>
      <x v="9"/>
      <x v="43"/>
      <x v="3"/>
      <x/>
      <x/>
      <x/>
      <x/>
      <x/>
    </i>
    <i r="3">
      <x v="3"/>
      <x v="36"/>
      <x v="12"/>
      <x v="9"/>
      <x v="43"/>
      <x v="3"/>
      <x/>
      <x/>
      <x/>
      <x/>
      <x/>
    </i>
    <i r="2">
      <x v="95"/>
      <x v="2"/>
      <x v="142"/>
      <x v="18"/>
      <x v="13"/>
      <x v="48"/>
      <x/>
      <x/>
      <x/>
      <x/>
      <x/>
      <x/>
    </i>
    <i r="1">
      <x v="2"/>
      <x v="38"/>
      <x/>
      <x v="96"/>
      <x v="12"/>
      <x v="9"/>
      <x v="43"/>
      <x v="3"/>
      <x/>
      <x/>
      <x/>
      <x/>
      <x/>
    </i>
    <i r="2">
      <x v="57"/>
      <x v="1"/>
      <x v="141"/>
      <x v="18"/>
      <x v="18"/>
      <x v="53"/>
      <x v="1"/>
    </i>
    <i r="2">
      <x v="59"/>
      <x v="2"/>
      <x v="27"/>
      <x v="1"/>
      <x v="2"/>
      <x v="11"/>
      <x v="1"/>
    </i>
    <i r="2">
      <x v="62"/>
      <x v="2"/>
      <x v="26"/>
      <x v="1"/>
      <x v="2"/>
      <x v="11"/>
      <x v="1"/>
    </i>
    <i r="1">
      <x v="3"/>
      <x v="30"/>
      <x v="2"/>
      <x v="19"/>
      <x v="15"/>
      <x v="6"/>
      <x v="39"/>
      <x v="1"/>
    </i>
    <i r="3">
      <x v="3"/>
      <x v="34"/>
      <x v="12"/>
      <x v="16"/>
      <x v="51"/>
      <x/>
      <x/>
      <x/>
      <x/>
      <x/>
      <x/>
    </i>
    <i r="2">
      <x v="55"/>
      <x v="2"/>
      <x v="11"/>
      <x v="12"/>
      <x v="13"/>
      <x v="48"/>
      <x/>
      <x/>
      <x/>
      <x/>
      <x/>
      <x/>
    </i>
    <i r="3">
      <x v="3"/>
      <x v="138"/>
      <x v="18"/>
      <x v="17"/>
      <x v="52"/>
      <x v="2"/>
      <x/>
      <x/>
      <x/>
      <x/>
      <x/>
    </i>
    <i r="2">
      <x v="56"/>
      <x v="2"/>
      <x v="29"/>
      <x v="20"/>
      <x v="13"/>
      <x v="48"/>
      <x/>
      <x/>
      <x/>
      <x/>
      <x/>
      <x/>
    </i>
    <i r="3">
      <x v="3"/>
      <x v="50"/>
      <x v="12"/>
      <x v="13"/>
      <x v="48"/>
      <x/>
      <x/>
      <x/>
      <x/>
      <x/>
      <x/>
    </i>
    <i r="2">
      <x v="60"/>
      <x v="1"/>
      <x v="116"/>
      <x v="12"/>
      <x v="10"/>
      <x v="44"/>
      <x v="1"/>
    </i>
    <i r="2">
      <x v="81"/>
      <x v="2"/>
      <x v="115"/>
      <x v="12"/>
      <x v="10"/>
      <x v="44"/>
      <x v="1"/>
    </i>
    <i r="1">
      <x v="4"/>
      <x v="31"/>
      <x v="2"/>
      <x v="97"/>
      <x v="6"/>
      <x v="2"/>
      <x v="29"/>
      <x v="1"/>
    </i>
    <i r="2">
      <x v="35"/>
      <x v="1"/>
      <x v="14"/>
      <x v="9"/>
      <x v="2"/>
      <x v="34"/>
      <x v="1"/>
    </i>
    <i r="3">
      <x v="3"/>
      <x v="38"/>
      <x v="9"/>
      <x v="2"/>
      <x v="24"/>
      <x v="1"/>
    </i>
    <i r="2">
      <x v="36"/>
      <x v="2"/>
      <x v="20"/>
      <x v="15"/>
      <x v="2"/>
      <x v="29"/>
      <x v="1"/>
    </i>
    <i r="2">
      <x v="48"/>
      <x v="1"/>
      <x v="21"/>
      <x v="6"/>
      <x v="2"/>
      <x v="31"/>
      <x v="1"/>
    </i>
    <i r="3">
      <x v="3"/>
      <x v="39"/>
      <x v="9"/>
      <x v="2"/>
      <x v="34"/>
      <x v="1"/>
    </i>
    <i r="2">
      <x v="50"/>
      <x v="1"/>
      <x v="137"/>
      <x v="17"/>
      <x v="2"/>
      <x v="34"/>
      <x v="1"/>
    </i>
    <i r="2">
      <x v="84"/>
      <x v="2"/>
      <x v="106"/>
      <x v="16"/>
      <x v="2"/>
      <x v="34"/>
      <x v="1"/>
    </i>
    <i r="2">
      <x v="88"/>
      <x/>
      <x v="6"/>
      <x v="9"/>
      <x v="2"/>
      <x v="22"/>
      <x v="1"/>
    </i>
    <i r="3">
      <x v="3"/>
      <x v="37"/>
      <x v="15"/>
      <x v="2"/>
      <x v="22"/>
      <x v="1"/>
    </i>
    <i r="2">
      <x v="91"/>
      <x v="1"/>
      <x v="108"/>
      <x v="16"/>
      <x v="2"/>
      <x v="34"/>
      <x v="1"/>
    </i>
    <i r="2">
      <x v="98"/>
      <x v="1"/>
      <x v="80"/>
      <x v="15"/>
      <x v="2"/>
      <x v="29"/>
      <x v="1"/>
    </i>
    <i r="1">
      <x v="6"/>
      <x v="85"/>
      <x v="3"/>
      <x v="18"/>
      <x v="6"/>
      <x v="14"/>
      <x v="49"/>
      <x/>
      <x/>
      <x/>
      <x/>
      <x/>
      <x/>
    </i>
    <i r="4">
      <x v="46"/>
      <x v="6"/>
      <x v="14"/>
      <x v="49"/>
      <x/>
      <x/>
      <x/>
      <x/>
      <x/>
      <x/>
    </i>
    <i r="4">
      <x v="57"/>
      <x v="6"/>
      <x v="14"/>
      <x v="49"/>
      <x/>
      <x/>
      <x/>
      <x/>
      <x/>
      <x/>
    </i>
    <i r="4">
      <x v="64"/>
      <x v="6"/>
      <x v="19"/>
      <x v="54"/>
      <x/>
      <x/>
      <x/>
      <x/>
      <x/>
      <x/>
    </i>
    <i r="2">
      <x v="96"/>
      <x v="3"/>
      <x v="77"/>
      <x v="6"/>
      <x v="12"/>
      <x v="47"/>
      <x/>
      <x/>
      <x/>
      <x/>
      <x/>
      <x/>
    </i>
    <i r="1">
      <x v="8"/>
      <x v="28"/>
      <x v="2"/>
      <x v="5"/>
      <x v="14"/>
      <x v="11"/>
      <x v="46"/>
      <x v="3"/>
      <x/>
      <x/>
      <x/>
      <x/>
      <x/>
    </i>
    <i r="3">
      <x v="3"/>
      <x v="41"/>
      <x v="14"/>
      <x v="11"/>
      <x v="46"/>
      <x v="3"/>
      <x/>
      <x/>
      <x/>
      <x/>
      <x/>
    </i>
    <i r="4">
      <x v="55"/>
      <x v="14"/>
      <x v="11"/>
      <x v="46"/>
      <x v="3"/>
      <x/>
      <x/>
      <x/>
      <x/>
      <x/>
    </i>
    <i r="4">
      <x v="62"/>
      <x v="14"/>
      <x v="11"/>
      <x v="46"/>
      <x v="3"/>
      <x/>
      <x/>
      <x/>
      <x/>
      <x/>
    </i>
    <i r="4">
      <x v="68"/>
      <x v="14"/>
      <x v="11"/>
      <x v="46"/>
      <x v="3"/>
      <x/>
      <x/>
      <x/>
      <x/>
      <x/>
    </i>
    <i r="4">
      <x v="71"/>
      <x v="14"/>
      <x v="11"/>
      <x v="46"/>
      <x v="3"/>
      <x/>
      <x/>
      <x/>
      <x/>
      <x/>
    </i>
    <i r="2">
      <x v="29"/>
      <x v="2"/>
      <x v="24"/>
      <x v="19"/>
      <x v="21"/>
      <x v="56"/>
      <x v="3"/>
      <x/>
      <x/>
      <x/>
      <x/>
      <x/>
    </i>
    <i r="3">
      <x v="3"/>
      <x v="45"/>
      <x v="19"/>
      <x v="2"/>
      <x v="42"/>
      <x v="3"/>
      <x/>
      <x/>
      <x/>
      <x/>
      <x/>
    </i>
    <i r="4">
      <x v="59"/>
      <x v="19"/>
      <x v="2"/>
      <x v="42"/>
      <x v="3"/>
      <x/>
      <x/>
      <x/>
      <x/>
      <x/>
    </i>
    <i r="2">
      <x v="45"/>
      <x v="2"/>
      <x/>
      <x v="10"/>
      <x v="2"/>
      <x v="42"/>
      <x v="3"/>
      <x/>
      <x/>
      <x/>
      <x/>
      <x/>
    </i>
    <i r="3">
      <x v="3"/>
      <x v="44"/>
      <x v="10"/>
      <x v="2"/>
      <x v="42"/>
      <x v="3"/>
      <x/>
      <x/>
      <x/>
      <x/>
      <x/>
    </i>
    <i r="4">
      <x v="52"/>
      <x v="10"/>
      <x v="2"/>
      <x v="42"/>
      <x v="3"/>
      <x/>
      <x/>
      <x/>
      <x/>
      <x/>
    </i>
    <i r="4">
      <x v="63"/>
      <x v="10"/>
      <x v="2"/>
      <x v="42"/>
      <x v="3"/>
      <x/>
      <x/>
      <x/>
      <x/>
      <x/>
    </i>
    <i r="2">
      <x v="78"/>
      <x v="2"/>
      <x v="22"/>
      <x v="1"/>
      <x v="15"/>
      <x v="50"/>
      <x/>
      <x/>
      <x/>
      <x/>
      <x/>
      <x/>
    </i>
    <i r="3">
      <x v="3"/>
      <x v="49"/>
      <x v="1"/>
      <x v="15"/>
      <x v="50"/>
      <x/>
      <x/>
      <x/>
      <x/>
      <x/>
      <x/>
    </i>
    <i r="4">
      <x v="54"/>
      <x v="1"/>
      <x v="15"/>
      <x v="50"/>
      <x/>
      <x/>
      <x/>
      <x/>
      <x/>
      <x/>
    </i>
    <i r="4">
      <x v="65"/>
      <x v="1"/>
      <x v="15"/>
      <x v="50"/>
      <x/>
      <x/>
      <x/>
      <x/>
      <x/>
      <x/>
    </i>
    <i r="4">
      <x v="67"/>
      <x v="1"/>
      <x v="15"/>
      <x v="50"/>
      <x/>
      <x/>
      <x/>
      <x/>
      <x/>
      <x/>
    </i>
    <i r="1">
      <x v="10"/>
      <x v="24"/>
      <x v="2"/>
      <x v="107"/>
      <x v="7"/>
      <x v="2"/>
      <x v="45"/>
      <x v="3"/>
      <x/>
      <x/>
      <x/>
      <x/>
      <x/>
    </i>
    <i r="3">
      <x v="3"/>
      <x v="48"/>
      <x v="7"/>
      <x v="2"/>
      <x v="45"/>
      <x v="3"/>
      <x/>
      <x/>
      <x/>
      <x/>
      <x/>
    </i>
    <i r="2">
      <x v="34"/>
      <x v="2"/>
      <x v="3"/>
      <x v="3"/>
      <x v="2"/>
      <x v="20"/>
      <x v="1"/>
    </i>
    <i r="3">
      <x v="3"/>
      <x v="32"/>
      <x v="7"/>
      <x v="4"/>
      <x v="36"/>
      <x v="1"/>
    </i>
    <i r="4">
      <x v="56"/>
      <x v="4"/>
      <x v="16"/>
      <x v="51"/>
      <x v="1"/>
    </i>
    <i r="2">
      <x v="39"/>
      <x v="2"/>
      <x v="124"/>
      <x v="7"/>
      <x v="2"/>
      <x v="16"/>
      <x v="1"/>
    </i>
    <i r="2">
      <x v="41"/>
      <x v="2"/>
      <x v="140"/>
      <x v="6"/>
      <x/>
      <x/>
      <x v="1"/>
    </i>
    <i r="2">
      <x v="44"/>
      <x v="2"/>
      <x v="123"/>
      <x v="7"/>
      <x v="2"/>
      <x v="16"/>
      <x v="1"/>
    </i>
    <i r="2">
      <x v="68"/>
      <x v="2"/>
      <x v="85"/>
      <x v="7"/>
      <x v="2"/>
      <x v="21"/>
      <x v="1"/>
    </i>
    <i r="2">
      <x v="74"/>
      <x v="2"/>
      <x v="73"/>
      <x v="3"/>
      <x v="2"/>
      <x v="20"/>
      <x v="1"/>
    </i>
    <i r="2">
      <x v="77"/>
      <x v="2"/>
      <x v="135"/>
      <x v="7"/>
      <x v="2"/>
      <x v="17"/>
      <x v="1"/>
    </i>
    <i r="2">
      <x v="86"/>
      <x v="2"/>
      <x v="16"/>
      <x v="14"/>
      <x v="2"/>
      <x v="15"/>
      <x v="1"/>
    </i>
    <i r="3">
      <x v="3"/>
      <x v="33"/>
      <x v="5"/>
      <x v="2"/>
      <x v="25"/>
      <x v="1"/>
    </i>
    <i r="4">
      <x v="53"/>
      <x v="13"/>
      <x v="2"/>
      <x v="27"/>
      <x v="1"/>
    </i>
    <i r="4">
      <x v="61"/>
      <x v="14"/>
      <x v="2"/>
      <x v="32"/>
      <x v="1"/>
    </i>
    <i r="4">
      <x v="69"/>
      <x v="14"/>
      <x v="2"/>
      <x v="33"/>
      <x v="1"/>
    </i>
    <i r="4">
      <x v="70"/>
      <x/>
      <x v="2"/>
      <x v="38"/>
      <x v="1"/>
    </i>
    <i r="1">
      <x v="11"/>
      <x v="33"/>
      <x/>
      <x v="1"/>
      <x v="15"/>
      <x v="2"/>
      <x v="45"/>
      <x v="1"/>
    </i>
    <i r="3">
      <x v="3"/>
      <x v="43"/>
      <x v="15"/>
      <x v="2"/>
      <x v="45"/>
      <x v="1"/>
    </i>
    <i r="2">
      <x v="43"/>
      <x v="2"/>
      <x v="103"/>
      <x v="15"/>
      <x v="13"/>
      <x v="48"/>
      <x/>
      <x/>
      <x/>
      <x/>
      <x/>
      <x/>
    </i>
    <i r="2">
      <x v="64"/>
      <x v="2"/>
      <x v="25"/>
      <x v="15"/>
      <x v="2"/>
      <x v="45"/>
      <x v="1"/>
    </i>
    <i r="3">
      <x v="3"/>
      <x v="31"/>
      <x v="15"/>
      <x v="2"/>
      <x v="45"/>
      <x v="1"/>
    </i>
    <i r="2">
      <x v="67"/>
      <x v="1"/>
      <x v="76"/>
      <x v="15"/>
      <x v="2"/>
      <x v="45"/>
      <x v="3"/>
      <x/>
      <x/>
      <x/>
      <x/>
      <x/>
    </i>
    <i r="1">
      <x v="12"/>
      <x v="26"/>
      <x v="1"/>
      <x v="121"/>
      <x v="9"/>
      <x v="2"/>
      <x v="19"/>
      <x v="1"/>
    </i>
    <i r="2">
      <x v="27"/>
      <x/>
      <x v="129"/>
      <x v="9"/>
      <x v="2"/>
      <x v="18"/>
      <x v="1"/>
    </i>
    <i r="2">
      <x v="37"/>
      <x/>
      <x v="12"/>
      <x v="9"/>
      <x v="2"/>
      <x v="29"/>
      <x v="1"/>
    </i>
    <i r="3">
      <x v="3"/>
      <x v="30"/>
      <x v="9"/>
      <x v="2"/>
      <x v="29"/>
      <x v="1"/>
    </i>
    <i r="2">
      <x v="40"/>
      <x v="2"/>
      <x v="136"/>
      <x v="9"/>
      <x v="2"/>
      <x v="19"/>
      <x v="1"/>
    </i>
    <i r="2">
      <x v="89"/>
      <x v="2"/>
      <x v="75"/>
      <x v="9"/>
      <x v="2"/>
      <x v="29"/>
      <x v="1"/>
    </i>
    <i r="2">
      <x v="93"/>
      <x v="1"/>
      <x v="111"/>
      <x v="9"/>
      <x v="2"/>
      <x v="29"/>
      <x v="1"/>
    </i>
    <i r="2">
      <x v="94"/>
      <x v="1"/>
      <x v="91"/>
      <x v="9"/>
      <x v="2"/>
      <x v="26"/>
      <x v="1"/>
    </i>
    <i r="1">
      <x v="14"/>
      <x v="25"/>
      <x v="2"/>
      <x v="88"/>
      <x v="3"/>
      <x v="2"/>
      <x v="33"/>
      <x v="1"/>
    </i>
    <i r="2">
      <x v="72"/>
      <x v="2"/>
      <x v="89"/>
      <x v="3"/>
      <x v="2"/>
      <x v="33"/>
      <x v="1"/>
    </i>
    <i r="1">
      <x v="15"/>
      <x v="42"/>
      <x v="1"/>
      <x v="105"/>
      <x v="7"/>
      <x v="2"/>
      <x v="34"/>
      <x v="1"/>
    </i>
    <i r="2">
      <x v="46"/>
      <x v="2"/>
      <x v="104"/>
      <x v="7"/>
      <x v="2"/>
      <x v="27"/>
      <x v="1"/>
    </i>
    <i r="2">
      <x v="51"/>
      <x v="1"/>
      <x v="105"/>
      <x v="7"/>
      <x v="2"/>
      <x v="34"/>
      <x v="1"/>
    </i>
    <i r="2">
      <x v="52"/>
      <x v="2"/>
      <x v="28"/>
      <x v="7"/>
      <x v="2"/>
      <x v="45"/>
      <x v="1"/>
    </i>
    <i r="2">
      <x v="53"/>
      <x/>
      <x v="128"/>
      <x v="7"/>
      <x v="2"/>
      <x v="35"/>
      <x v="1"/>
    </i>
    <i r="2">
      <x v="58"/>
      <x v="2"/>
      <x v="15"/>
      <x v="7"/>
      <x v="7"/>
      <x v="40"/>
      <x v="1"/>
    </i>
    <i r="2">
      <x v="61"/>
      <x v="2"/>
      <x v="2"/>
      <x v="8"/>
      <x v="21"/>
      <x v="56"/>
      <x v="3"/>
      <x/>
      <x/>
      <x/>
      <x/>
      <x/>
    </i>
    <i r="3">
      <x v="3"/>
      <x v="42"/>
      <x v="8"/>
      <x v="2"/>
      <x v="42"/>
      <x v="1"/>
    </i>
    <i r="4">
      <x v="58"/>
      <x v="7"/>
      <x v="2"/>
      <x v="42"/>
      <x v="1"/>
    </i>
    <i r="2">
      <x v="63"/>
      <x v="1"/>
      <x v="120"/>
      <x v="7"/>
      <x v="2"/>
      <x v="25"/>
      <x v="1"/>
    </i>
    <i r="2">
      <x v="87"/>
      <x v="2"/>
      <x v="114"/>
      <x v="7"/>
      <x v="2"/>
      <x v="34"/>
      <x v="1"/>
    </i>
    <i t="grand">
      <x/>
    </i>
  </rowItems>
  <colItems count="1">
    <i/>
  </colItems>
  <formats count="865">
    <format dxfId="947">
      <pivotArea dataOnly="0" labelOnly="1" outline="0" fieldPosition="0">
        <references count="1">
          <reference field="0" count="0"/>
        </references>
      </pivotArea>
    </format>
    <format dxfId="946">
      <pivotArea dataOnly="0" labelOnly="1" outline="0" fieldPosition="0">
        <references count="1">
          <reference field="0" count="0"/>
        </references>
      </pivotArea>
    </format>
    <format dxfId="945">
      <pivotArea dataOnly="0" labelOnly="1" outline="0" fieldPosition="0">
        <references count="1">
          <reference field="1" count="0"/>
        </references>
      </pivotArea>
    </format>
    <format dxfId="944">
      <pivotArea dataOnly="0" labelOnly="1" outline="0" fieldPosition="0">
        <references count="1">
          <reference field="1" count="0"/>
        </references>
      </pivotArea>
    </format>
    <format dxfId="943">
      <pivotArea dataOnly="0" labelOnly="1" outline="0" fieldPosition="0">
        <references count="1">
          <reference field="1" count="0"/>
        </references>
      </pivotArea>
    </format>
    <format dxfId="942">
      <pivotArea dataOnly="0" labelOnly="1" outline="0" fieldPosition="0">
        <references count="1">
          <reference field="2" count="0"/>
        </references>
      </pivotArea>
    </format>
    <format dxfId="941">
      <pivotArea dataOnly="0" labelOnly="1" outline="0" fieldPosition="0">
        <references count="1">
          <reference field="2" count="0"/>
        </references>
      </pivotArea>
    </format>
    <format dxfId="940">
      <pivotArea dataOnly="0" labelOnly="1" outline="0" fieldPosition="0">
        <references count="1">
          <reference field="2" count="0"/>
        </references>
      </pivotArea>
    </format>
    <format dxfId="939">
      <pivotArea dataOnly="0" labelOnly="1" outline="0" fieldPosition="0">
        <references count="1">
          <reference field="4" count="0"/>
        </references>
      </pivotArea>
    </format>
    <format dxfId="938">
      <pivotArea dataOnly="0" labelOnly="1" outline="0" fieldPosition="0">
        <references count="1">
          <reference field="4" count="0"/>
        </references>
      </pivotArea>
    </format>
    <format dxfId="937">
      <pivotArea dataOnly="0" labelOnly="1" outline="0" fieldPosition="0">
        <references count="1">
          <reference field="5" count="0"/>
        </references>
      </pivotArea>
    </format>
    <format dxfId="936">
      <pivotArea dataOnly="0" labelOnly="1" outline="0" fieldPosition="0">
        <references count="1">
          <reference field="5" count="0"/>
        </references>
      </pivotArea>
    </format>
    <format dxfId="935">
      <pivotArea dataOnly="0" labelOnly="1" outline="0" fieldPosition="0">
        <references count="1">
          <reference field="5" count="0"/>
        </references>
      </pivotArea>
    </format>
    <format dxfId="934">
      <pivotArea dataOnly="0" labelOnly="1" outline="0" fieldPosition="0">
        <references count="1">
          <reference field="6" count="0"/>
        </references>
      </pivotArea>
    </format>
    <format dxfId="933">
      <pivotArea dataOnly="0" labelOnly="1" outline="0" fieldPosition="0">
        <references count="1">
          <reference field="6" count="0"/>
        </references>
      </pivotArea>
    </format>
    <format dxfId="932">
      <pivotArea dataOnly="0" labelOnly="1" outline="0" fieldPosition="0">
        <references count="1">
          <reference field="6" count="0"/>
        </references>
      </pivotArea>
    </format>
    <format dxfId="931">
      <pivotArea dataOnly="0" labelOnly="1" outline="0" fieldPosition="0">
        <references count="1">
          <reference field="8" count="0"/>
        </references>
      </pivotArea>
    </format>
    <format dxfId="930">
      <pivotArea dataOnly="0" labelOnly="1" outline="0" fieldPosition="0">
        <references count="1">
          <reference field="8" count="0"/>
        </references>
      </pivotArea>
    </format>
    <format dxfId="929">
      <pivotArea dataOnly="0" labelOnly="1" outline="0" fieldPosition="0">
        <references count="1">
          <reference field="8" count="0"/>
        </references>
      </pivotArea>
    </format>
    <format dxfId="928">
      <pivotArea dataOnly="0" labelOnly="1" outline="0" fieldPosition="0">
        <references count="1">
          <reference field="11" count="0"/>
        </references>
      </pivotArea>
    </format>
    <format dxfId="927">
      <pivotArea dataOnly="0" labelOnly="1" outline="0" fieldPosition="0">
        <references count="1">
          <reference field="11" count="0"/>
        </references>
      </pivotArea>
    </format>
    <format dxfId="926">
      <pivotArea dataOnly="0" labelOnly="1" outline="0" fieldPosition="0">
        <references count="1">
          <reference field="11" count="0"/>
        </references>
      </pivotArea>
    </format>
    <format dxfId="925">
      <pivotArea dataOnly="0" labelOnly="1" outline="0" fieldPosition="0">
        <references count="1">
          <reference field="0" count="0"/>
        </references>
      </pivotArea>
    </format>
    <format dxfId="924">
      <pivotArea field="0" type="button" dataOnly="0" labelOnly="1" outline="0" axis="axisRow" fieldPosition="0"/>
    </format>
    <format dxfId="923">
      <pivotArea field="1" type="button" dataOnly="0" labelOnly="1" outline="0" axis="axisRow" fieldPosition="1"/>
    </format>
    <format dxfId="922">
      <pivotArea field="2" type="button" dataOnly="0" labelOnly="1" outline="0" axis="axisRow" fieldPosition="2"/>
    </format>
    <format dxfId="921">
      <pivotArea field="4" type="button" dataOnly="0" labelOnly="1" outline="0" axis="axisRow" fieldPosition="3"/>
    </format>
    <format dxfId="920">
      <pivotArea field="5" type="button" dataOnly="0" labelOnly="1" outline="0" axis="axisRow" fieldPosition="4"/>
    </format>
    <format dxfId="919">
      <pivotArea field="6" type="button" dataOnly="0" labelOnly="1" outline="0" axis="axisRow" fieldPosition="5"/>
    </format>
    <format dxfId="918">
      <pivotArea field="8" type="button" dataOnly="0" labelOnly="1" outline="0" axis="axisRow" fieldPosition="7"/>
    </format>
    <format dxfId="917">
      <pivotArea field="11" type="button" dataOnly="0" labelOnly="1" outline="0" axis="axisRow" fieldPosition="8"/>
    </format>
    <format dxfId="916">
      <pivotArea field="13" type="button" dataOnly="0" labelOnly="1" outline="0" axis="axisRow" fieldPosition="10"/>
    </format>
    <format dxfId="915">
      <pivotArea field="14" type="button" dataOnly="0" labelOnly="1" outline="0" axis="axisRow" fieldPosition="11"/>
    </format>
    <format dxfId="914">
      <pivotArea field="15" type="button" dataOnly="0" labelOnly="1" outline="0" axis="axisRow" fieldPosition="12"/>
    </format>
    <format dxfId="913">
      <pivotArea outline="0" collapsedLevelsAreSubtotals="1" fieldPosition="0"/>
    </format>
    <format dxfId="912">
      <pivotArea dataOnly="0" labelOnly="1" outline="0" axis="axisValues" fieldPosition="0"/>
    </format>
    <format dxfId="911">
      <pivotArea type="all" dataOnly="0" outline="0" fieldPosition="0"/>
    </format>
    <format dxfId="910">
      <pivotArea outline="0" collapsedLevelsAreSubtotals="1" fieldPosition="0"/>
    </format>
    <format dxfId="909">
      <pivotArea field="0" type="button" dataOnly="0" labelOnly="1" outline="0" axis="axisRow" fieldPosition="0"/>
    </format>
    <format dxfId="908">
      <pivotArea field="1" type="button" dataOnly="0" labelOnly="1" outline="0" axis="axisRow" fieldPosition="1"/>
    </format>
    <format dxfId="907">
      <pivotArea field="2" type="button" dataOnly="0" labelOnly="1" outline="0" axis="axisRow" fieldPosition="2"/>
    </format>
    <format dxfId="906">
      <pivotArea field="4" type="button" dataOnly="0" labelOnly="1" outline="0" axis="axisRow" fieldPosition="3"/>
    </format>
    <format dxfId="905">
      <pivotArea field="5" type="button" dataOnly="0" labelOnly="1" outline="0" axis="axisRow" fieldPosition="4"/>
    </format>
    <format dxfId="904">
      <pivotArea field="6" type="button" dataOnly="0" labelOnly="1" outline="0" axis="axisRow" fieldPosition="5"/>
    </format>
    <format dxfId="903">
      <pivotArea field="8" type="button" dataOnly="0" labelOnly="1" outline="0" axis="axisRow" fieldPosition="7"/>
    </format>
    <format dxfId="902">
      <pivotArea field="11" type="button" dataOnly="0" labelOnly="1" outline="0" axis="axisRow" fieldPosition="8"/>
    </format>
    <format dxfId="901">
      <pivotArea field="13" type="button" dataOnly="0" labelOnly="1" outline="0" axis="axisRow" fieldPosition="10"/>
    </format>
    <format dxfId="900">
      <pivotArea field="14" type="button" dataOnly="0" labelOnly="1" outline="0" axis="axisRow" fieldPosition="11"/>
    </format>
    <format dxfId="899">
      <pivotArea field="15" type="button" dataOnly="0" labelOnly="1" outline="0" axis="axisRow" fieldPosition="12"/>
    </format>
    <format dxfId="898">
      <pivotArea dataOnly="0" labelOnly="1" outline="0" fieldPosition="0">
        <references count="1">
          <reference field="0" count="0"/>
        </references>
      </pivotArea>
    </format>
    <format dxfId="897">
      <pivotArea dataOnly="0" labelOnly="1" grandRow="1" outline="0" fieldPosition="0"/>
    </format>
    <format dxfId="896">
      <pivotArea dataOnly="0" labelOnly="1" outline="0" fieldPosition="0">
        <references count="2">
          <reference field="0" count="1" selected="0">
            <x v="0"/>
          </reference>
          <reference field="1" count="1">
            <x v="13"/>
          </reference>
        </references>
      </pivotArea>
    </format>
    <format dxfId="895">
      <pivotArea dataOnly="0" labelOnly="1" outline="0" fieldPosition="0">
        <references count="2">
          <reference field="0" count="1" selected="0">
            <x v="1"/>
          </reference>
          <reference field="1" count="3">
            <x v="5"/>
            <x v="7"/>
            <x v="9"/>
          </reference>
        </references>
      </pivotArea>
    </format>
    <format dxfId="894">
      <pivotArea dataOnly="0" labelOnly="1" outline="0" fieldPosition="0">
        <references count="2">
          <reference field="0" count="1" selected="0">
            <x v="2"/>
          </reference>
          <reference field="1" count="12">
            <x v="0"/>
            <x v="1"/>
            <x v="2"/>
            <x v="3"/>
            <x v="4"/>
            <x v="6"/>
            <x v="8"/>
            <x v="10"/>
            <x v="11"/>
            <x v="12"/>
            <x v="14"/>
            <x v="15"/>
          </reference>
        </references>
      </pivotArea>
    </format>
    <format dxfId="893">
      <pivotArea dataOnly="0" labelOnly="1" outline="0" fieldPosition="0">
        <references count="3">
          <reference field="0" count="1" selected="0">
            <x v="0"/>
          </reference>
          <reference field="1" count="1" selected="0">
            <x v="13"/>
          </reference>
          <reference field="2" count="26">
            <x v="0"/>
            <x v="1"/>
            <x v="2"/>
            <x v="3"/>
            <x v="4"/>
            <x v="5"/>
            <x v="6"/>
            <x v="7"/>
            <x v="8"/>
            <x v="9"/>
            <x v="10"/>
            <x v="11"/>
            <x v="12"/>
            <x v="13"/>
            <x v="14"/>
            <x v="15"/>
            <x v="16"/>
            <x v="17"/>
            <x v="18"/>
            <x v="19"/>
            <x v="20"/>
            <x v="21"/>
            <x v="22"/>
            <x v="23"/>
            <x v="83"/>
            <x v="97"/>
          </reference>
        </references>
      </pivotArea>
    </format>
    <format dxfId="892">
      <pivotArea dataOnly="0" labelOnly="1" outline="0" fieldPosition="0">
        <references count="3">
          <reference field="0" count="1" selected="0">
            <x v="1"/>
          </reference>
          <reference field="1" count="1" selected="0">
            <x v="5"/>
          </reference>
          <reference field="2" count="4">
            <x v="71"/>
            <x v="75"/>
            <x v="76"/>
            <x v="97"/>
          </reference>
        </references>
      </pivotArea>
    </format>
    <format dxfId="891">
      <pivotArea dataOnly="0" labelOnly="1" outline="0" fieldPosition="0">
        <references count="3">
          <reference field="0" count="1" selected="0">
            <x v="1"/>
          </reference>
          <reference field="1" count="1" selected="0">
            <x v="7"/>
          </reference>
          <reference field="2" count="5">
            <x v="32"/>
            <x v="47"/>
            <x v="65"/>
            <x v="79"/>
            <x v="97"/>
          </reference>
        </references>
      </pivotArea>
    </format>
    <format dxfId="890">
      <pivotArea dataOnly="0" labelOnly="1" outline="0" fieldPosition="0">
        <references count="3">
          <reference field="0" count="1" selected="0">
            <x v="1"/>
          </reference>
          <reference field="1" count="1" selected="0">
            <x v="9"/>
          </reference>
          <reference field="2" count="8">
            <x v="49"/>
            <x v="54"/>
            <x v="66"/>
            <x v="70"/>
            <x v="73"/>
            <x v="82"/>
            <x v="92"/>
            <x v="97"/>
          </reference>
        </references>
      </pivotArea>
    </format>
    <format dxfId="889">
      <pivotArea dataOnly="0" labelOnly="1" outline="0" fieldPosition="0">
        <references count="3">
          <reference field="0" count="1" selected="0">
            <x v="2"/>
          </reference>
          <reference field="1" count="1" selected="0">
            <x v="0"/>
          </reference>
          <reference field="2" count="3">
            <x v="69"/>
            <x v="80"/>
            <x v="90"/>
          </reference>
        </references>
      </pivotArea>
    </format>
    <format dxfId="888">
      <pivotArea dataOnly="0" labelOnly="1" outline="0" fieldPosition="0">
        <references count="3">
          <reference field="0" count="1" selected="0">
            <x v="2"/>
          </reference>
          <reference field="1" count="1" selected="0">
            <x v="1"/>
          </reference>
          <reference field="2" count="2">
            <x v="38"/>
            <x v="95"/>
          </reference>
        </references>
      </pivotArea>
    </format>
    <format dxfId="887">
      <pivotArea dataOnly="0" labelOnly="1" outline="0" fieldPosition="0">
        <references count="3">
          <reference field="0" count="1" selected="0">
            <x v="2"/>
          </reference>
          <reference field="1" count="1" selected="0">
            <x v="2"/>
          </reference>
          <reference field="2" count="4">
            <x v="38"/>
            <x v="57"/>
            <x v="59"/>
            <x v="62"/>
          </reference>
        </references>
      </pivotArea>
    </format>
    <format dxfId="886">
      <pivotArea dataOnly="0" labelOnly="1" outline="0" fieldPosition="0">
        <references count="3">
          <reference field="0" count="1" selected="0">
            <x v="2"/>
          </reference>
          <reference field="1" count="1" selected="0">
            <x v="3"/>
          </reference>
          <reference field="2" count="5">
            <x v="30"/>
            <x v="55"/>
            <x v="56"/>
            <x v="60"/>
            <x v="81"/>
          </reference>
        </references>
      </pivotArea>
    </format>
    <format dxfId="885">
      <pivotArea dataOnly="0" labelOnly="1" outline="0" fieldPosition="0">
        <references count="3">
          <reference field="0" count="1" selected="0">
            <x v="2"/>
          </reference>
          <reference field="1" count="1" selected="0">
            <x v="4"/>
          </reference>
          <reference field="2" count="8">
            <x v="31"/>
            <x v="35"/>
            <x v="36"/>
            <x v="48"/>
            <x v="50"/>
            <x v="84"/>
            <x v="88"/>
            <x v="91"/>
          </reference>
        </references>
      </pivotArea>
    </format>
    <format dxfId="884">
      <pivotArea dataOnly="0" labelOnly="1" outline="0" fieldPosition="0">
        <references count="3">
          <reference field="0" count="1" selected="0">
            <x v="2"/>
          </reference>
          <reference field="1" count="1" selected="0">
            <x v="6"/>
          </reference>
          <reference field="2" count="2">
            <x v="85"/>
            <x v="96"/>
          </reference>
        </references>
      </pivotArea>
    </format>
    <format dxfId="883">
      <pivotArea dataOnly="0" labelOnly="1" outline="0" fieldPosition="0">
        <references count="3">
          <reference field="0" count="1" selected="0">
            <x v="2"/>
          </reference>
          <reference field="1" count="1" selected="0">
            <x v="8"/>
          </reference>
          <reference field="2" count="4">
            <x v="28"/>
            <x v="29"/>
            <x v="45"/>
            <x v="78"/>
          </reference>
        </references>
      </pivotArea>
    </format>
    <format dxfId="882">
      <pivotArea dataOnly="0" labelOnly="1" outline="0" fieldPosition="0">
        <references count="3">
          <reference field="0" count="1" selected="0">
            <x v="2"/>
          </reference>
          <reference field="1" count="1" selected="0">
            <x v="10"/>
          </reference>
          <reference field="2" count="9">
            <x v="24"/>
            <x v="34"/>
            <x v="39"/>
            <x v="41"/>
            <x v="44"/>
            <x v="68"/>
            <x v="74"/>
            <x v="77"/>
            <x v="86"/>
          </reference>
        </references>
      </pivotArea>
    </format>
    <format dxfId="881">
      <pivotArea dataOnly="0" labelOnly="1" outline="0" fieldPosition="0">
        <references count="3">
          <reference field="0" count="1" selected="0">
            <x v="2"/>
          </reference>
          <reference field="1" count="1" selected="0">
            <x v="11"/>
          </reference>
          <reference field="2" count="4">
            <x v="33"/>
            <x v="43"/>
            <x v="64"/>
            <x v="67"/>
          </reference>
        </references>
      </pivotArea>
    </format>
    <format dxfId="880">
      <pivotArea dataOnly="0" labelOnly="1" outline="0" fieldPosition="0">
        <references count="3">
          <reference field="0" count="1" selected="0">
            <x v="2"/>
          </reference>
          <reference field="1" count="1" selected="0">
            <x v="12"/>
          </reference>
          <reference field="2" count="7">
            <x v="26"/>
            <x v="27"/>
            <x v="37"/>
            <x v="40"/>
            <x v="89"/>
            <x v="93"/>
            <x v="94"/>
          </reference>
        </references>
      </pivotArea>
    </format>
    <format dxfId="879">
      <pivotArea dataOnly="0" labelOnly="1" outline="0" fieldPosition="0">
        <references count="3">
          <reference field="0" count="1" selected="0">
            <x v="2"/>
          </reference>
          <reference field="1" count="1" selected="0">
            <x v="14"/>
          </reference>
          <reference field="2" count="2">
            <x v="25"/>
            <x v="72"/>
          </reference>
        </references>
      </pivotArea>
    </format>
    <format dxfId="878">
      <pivotArea dataOnly="0" labelOnly="1" outline="0" fieldPosition="0">
        <references count="3">
          <reference field="0" count="1" selected="0">
            <x v="2"/>
          </reference>
          <reference field="1" count="1" selected="0">
            <x v="15"/>
          </reference>
          <reference field="2" count="9">
            <x v="42"/>
            <x v="46"/>
            <x v="51"/>
            <x v="52"/>
            <x v="53"/>
            <x v="58"/>
            <x v="61"/>
            <x v="63"/>
            <x v="87"/>
          </reference>
        </references>
      </pivotArea>
    </format>
    <format dxfId="877">
      <pivotArea dataOnly="0" labelOnly="1" outline="0" fieldPosition="0">
        <references count="4">
          <reference field="0" count="1" selected="0">
            <x v="0"/>
          </reference>
          <reference field="1" count="1" selected="0">
            <x v="13"/>
          </reference>
          <reference field="2" count="1" selected="0">
            <x v="0"/>
          </reference>
          <reference field="4" count="1">
            <x v="3"/>
          </reference>
        </references>
      </pivotArea>
    </format>
    <format dxfId="876">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875">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874">
      <pivotArea dataOnly="0" labelOnly="1" outline="0" fieldPosition="0">
        <references count="4">
          <reference field="0" count="1" selected="0">
            <x v="2"/>
          </reference>
          <reference field="1" count="1" selected="0">
            <x v="0"/>
          </reference>
          <reference field="2" count="1" selected="0">
            <x v="90"/>
          </reference>
          <reference field="4" count="1">
            <x v="1"/>
          </reference>
        </references>
      </pivotArea>
    </format>
    <format dxfId="873">
      <pivotArea dataOnly="0" labelOnly="1" outline="0" fieldPosition="0">
        <references count="4">
          <reference field="0" count="1" selected="0">
            <x v="2"/>
          </reference>
          <reference field="1" count="1" selected="0">
            <x v="1"/>
          </reference>
          <reference field="2" count="1" selected="0">
            <x v="38"/>
          </reference>
          <reference field="4" count="2">
            <x v="2"/>
            <x v="3"/>
          </reference>
        </references>
      </pivotArea>
    </format>
    <format dxfId="872">
      <pivotArea dataOnly="0" labelOnly="1" outline="0" fieldPosition="0">
        <references count="4">
          <reference field="0" count="1" selected="0">
            <x v="2"/>
          </reference>
          <reference field="1" count="1" selected="0">
            <x v="1"/>
          </reference>
          <reference field="2" count="1" selected="0">
            <x v="95"/>
          </reference>
          <reference field="4" count="1">
            <x v="2"/>
          </reference>
        </references>
      </pivotArea>
    </format>
    <format dxfId="871">
      <pivotArea dataOnly="0" labelOnly="1" outline="0" fieldPosition="0">
        <references count="4">
          <reference field="0" count="1" selected="0">
            <x v="2"/>
          </reference>
          <reference field="1" count="1" selected="0">
            <x v="2"/>
          </reference>
          <reference field="2" count="1" selected="0">
            <x v="38"/>
          </reference>
          <reference field="4" count="1">
            <x v="0"/>
          </reference>
        </references>
      </pivotArea>
    </format>
    <format dxfId="870">
      <pivotArea dataOnly="0" labelOnly="1" outline="0" fieldPosition="0">
        <references count="4">
          <reference field="0" count="1" selected="0">
            <x v="2"/>
          </reference>
          <reference field="1" count="1" selected="0">
            <x v="2"/>
          </reference>
          <reference field="2" count="1" selected="0">
            <x v="57"/>
          </reference>
          <reference field="4" count="1">
            <x v="1"/>
          </reference>
        </references>
      </pivotArea>
    </format>
    <format dxfId="869">
      <pivotArea dataOnly="0" labelOnly="1" outline="0" fieldPosition="0">
        <references count="4">
          <reference field="0" count="1" selected="0">
            <x v="2"/>
          </reference>
          <reference field="1" count="1" selected="0">
            <x v="2"/>
          </reference>
          <reference field="2" count="1" selected="0">
            <x v="59"/>
          </reference>
          <reference field="4" count="1">
            <x v="2"/>
          </reference>
        </references>
      </pivotArea>
    </format>
    <format dxfId="868">
      <pivotArea dataOnly="0" labelOnly="1" outline="0" fieldPosition="0">
        <references count="4">
          <reference field="0" count="1" selected="0">
            <x v="2"/>
          </reference>
          <reference field="1" count="1" selected="0">
            <x v="3"/>
          </reference>
          <reference field="2" count="1" selected="0">
            <x v="30"/>
          </reference>
          <reference field="4" count="1">
            <x v="3"/>
          </reference>
        </references>
      </pivotArea>
    </format>
    <format dxfId="867">
      <pivotArea dataOnly="0" labelOnly="1" outline="0" fieldPosition="0">
        <references count="4">
          <reference field="0" count="1" selected="0">
            <x v="2"/>
          </reference>
          <reference field="1" count="1" selected="0">
            <x v="3"/>
          </reference>
          <reference field="2" count="1" selected="0">
            <x v="55"/>
          </reference>
          <reference field="4" count="2">
            <x v="2"/>
            <x v="3"/>
          </reference>
        </references>
      </pivotArea>
    </format>
    <format dxfId="866">
      <pivotArea dataOnly="0" labelOnly="1" outline="0" fieldPosition="0">
        <references count="4">
          <reference field="0" count="1" selected="0">
            <x v="2"/>
          </reference>
          <reference field="1" count="1" selected="0">
            <x v="3"/>
          </reference>
          <reference field="2" count="1" selected="0">
            <x v="56"/>
          </reference>
          <reference field="4" count="2">
            <x v="2"/>
            <x v="3"/>
          </reference>
        </references>
      </pivotArea>
    </format>
    <format dxfId="865">
      <pivotArea dataOnly="0" labelOnly="1" outline="0" fieldPosition="0">
        <references count="4">
          <reference field="0" count="1" selected="0">
            <x v="2"/>
          </reference>
          <reference field="1" count="1" selected="0">
            <x v="3"/>
          </reference>
          <reference field="2" count="1" selected="0">
            <x v="60"/>
          </reference>
          <reference field="4" count="1">
            <x v="1"/>
          </reference>
        </references>
      </pivotArea>
    </format>
    <format dxfId="864">
      <pivotArea dataOnly="0" labelOnly="1" outline="0" fieldPosition="0">
        <references count="4">
          <reference field="0" count="1" selected="0">
            <x v="2"/>
          </reference>
          <reference field="1" count="1" selected="0">
            <x v="3"/>
          </reference>
          <reference field="2" count="1" selected="0">
            <x v="81"/>
          </reference>
          <reference field="4" count="1">
            <x v="2"/>
          </reference>
        </references>
      </pivotArea>
    </format>
    <format dxfId="863">
      <pivotArea dataOnly="0" labelOnly="1" outline="0" fieldPosition="0">
        <references count="4">
          <reference field="0" count="1" selected="0">
            <x v="2"/>
          </reference>
          <reference field="1" count="1" selected="0">
            <x v="4"/>
          </reference>
          <reference field="2" count="1" selected="0">
            <x v="35"/>
          </reference>
          <reference field="4" count="2">
            <x v="1"/>
            <x v="3"/>
          </reference>
        </references>
      </pivotArea>
    </format>
    <format dxfId="862">
      <pivotArea dataOnly="0" labelOnly="1" outline="0" fieldPosition="0">
        <references count="4">
          <reference field="0" count="1" selected="0">
            <x v="2"/>
          </reference>
          <reference field="1" count="1" selected="0">
            <x v="4"/>
          </reference>
          <reference field="2" count="1" selected="0">
            <x v="36"/>
          </reference>
          <reference field="4" count="1">
            <x v="2"/>
          </reference>
        </references>
      </pivotArea>
    </format>
    <format dxfId="861">
      <pivotArea dataOnly="0" labelOnly="1" outline="0" fieldPosition="0">
        <references count="4">
          <reference field="0" count="1" selected="0">
            <x v="2"/>
          </reference>
          <reference field="1" count="1" selected="0">
            <x v="4"/>
          </reference>
          <reference field="2" count="1" selected="0">
            <x v="48"/>
          </reference>
          <reference field="4" count="2">
            <x v="1"/>
            <x v="3"/>
          </reference>
        </references>
      </pivotArea>
    </format>
    <format dxfId="860">
      <pivotArea dataOnly="0" labelOnly="1" outline="0" fieldPosition="0">
        <references count="4">
          <reference field="0" count="1" selected="0">
            <x v="2"/>
          </reference>
          <reference field="1" count="1" selected="0">
            <x v="4"/>
          </reference>
          <reference field="2" count="1" selected="0">
            <x v="50"/>
          </reference>
          <reference field="4" count="1">
            <x v="1"/>
          </reference>
        </references>
      </pivotArea>
    </format>
    <format dxfId="859">
      <pivotArea dataOnly="0" labelOnly="1" outline="0" fieldPosition="0">
        <references count="4">
          <reference field="0" count="1" selected="0">
            <x v="2"/>
          </reference>
          <reference field="1" count="1" selected="0">
            <x v="4"/>
          </reference>
          <reference field="2" count="1" selected="0">
            <x v="84"/>
          </reference>
          <reference field="4" count="1">
            <x v="2"/>
          </reference>
        </references>
      </pivotArea>
    </format>
    <format dxfId="858">
      <pivotArea dataOnly="0" labelOnly="1" outline="0" fieldPosition="0">
        <references count="4">
          <reference field="0" count="1" selected="0">
            <x v="2"/>
          </reference>
          <reference field="1" count="1" selected="0">
            <x v="4"/>
          </reference>
          <reference field="2" count="1" selected="0">
            <x v="88"/>
          </reference>
          <reference field="4" count="2">
            <x v="0"/>
            <x v="3"/>
          </reference>
        </references>
      </pivotArea>
    </format>
    <format dxfId="857">
      <pivotArea dataOnly="0" labelOnly="1" outline="0" fieldPosition="0">
        <references count="4">
          <reference field="0" count="1" selected="0">
            <x v="2"/>
          </reference>
          <reference field="1" count="1" selected="0">
            <x v="4"/>
          </reference>
          <reference field="2" count="1" selected="0">
            <x v="91"/>
          </reference>
          <reference field="4" count="1">
            <x v="1"/>
          </reference>
        </references>
      </pivotArea>
    </format>
    <format dxfId="856">
      <pivotArea dataOnly="0" labelOnly="1" outline="0" fieldPosition="0">
        <references count="4">
          <reference field="0" count="1" selected="0">
            <x v="2"/>
          </reference>
          <reference field="1" count="1" selected="0">
            <x v="6"/>
          </reference>
          <reference field="2" count="1" selected="0">
            <x v="85"/>
          </reference>
          <reference field="4" count="1">
            <x v="3"/>
          </reference>
        </references>
      </pivotArea>
    </format>
    <format dxfId="855">
      <pivotArea dataOnly="0" labelOnly="1" outline="0" fieldPosition="0">
        <references count="4">
          <reference field="0" count="1" selected="0">
            <x v="2"/>
          </reference>
          <reference field="1" count="1" selected="0">
            <x v="8"/>
          </reference>
          <reference field="2" count="1" selected="0">
            <x v="28"/>
          </reference>
          <reference field="4" count="2">
            <x v="2"/>
            <x v="3"/>
          </reference>
        </references>
      </pivotArea>
    </format>
    <format dxfId="854">
      <pivotArea dataOnly="0" labelOnly="1" outline="0" fieldPosition="0">
        <references count="4">
          <reference field="0" count="1" selected="0">
            <x v="2"/>
          </reference>
          <reference field="1" count="1" selected="0">
            <x v="8"/>
          </reference>
          <reference field="2" count="1" selected="0">
            <x v="29"/>
          </reference>
          <reference field="4" count="2">
            <x v="2"/>
            <x v="3"/>
          </reference>
        </references>
      </pivotArea>
    </format>
    <format dxfId="853">
      <pivotArea dataOnly="0" labelOnly="1" outline="0" fieldPosition="0">
        <references count="4">
          <reference field="0" count="1" selected="0">
            <x v="2"/>
          </reference>
          <reference field="1" count="1" selected="0">
            <x v="8"/>
          </reference>
          <reference field="2" count="1" selected="0">
            <x v="45"/>
          </reference>
          <reference field="4" count="2">
            <x v="2"/>
            <x v="3"/>
          </reference>
        </references>
      </pivotArea>
    </format>
    <format dxfId="852">
      <pivotArea dataOnly="0" labelOnly="1" outline="0" fieldPosition="0">
        <references count="4">
          <reference field="0" count="1" selected="0">
            <x v="2"/>
          </reference>
          <reference field="1" count="1" selected="0">
            <x v="8"/>
          </reference>
          <reference field="2" count="1" selected="0">
            <x v="78"/>
          </reference>
          <reference field="4" count="2">
            <x v="2"/>
            <x v="3"/>
          </reference>
        </references>
      </pivotArea>
    </format>
    <format dxfId="851">
      <pivotArea dataOnly="0" labelOnly="1" outline="0" fieldPosition="0">
        <references count="4">
          <reference field="0" count="1" selected="0">
            <x v="2"/>
          </reference>
          <reference field="1" count="1" selected="0">
            <x v="10"/>
          </reference>
          <reference field="2" count="1" selected="0">
            <x v="24"/>
          </reference>
          <reference field="4" count="2">
            <x v="2"/>
            <x v="3"/>
          </reference>
        </references>
      </pivotArea>
    </format>
    <format dxfId="850">
      <pivotArea dataOnly="0" labelOnly="1" outline="0" fieldPosition="0">
        <references count="4">
          <reference field="0" count="1" selected="0">
            <x v="2"/>
          </reference>
          <reference field="1" count="1" selected="0">
            <x v="10"/>
          </reference>
          <reference field="2" count="1" selected="0">
            <x v="34"/>
          </reference>
          <reference field="4" count="2">
            <x v="2"/>
            <x v="3"/>
          </reference>
        </references>
      </pivotArea>
    </format>
    <format dxfId="849">
      <pivotArea dataOnly="0" labelOnly="1" outline="0" fieldPosition="0">
        <references count="4">
          <reference field="0" count="1" selected="0">
            <x v="2"/>
          </reference>
          <reference field="1" count="1" selected="0">
            <x v="10"/>
          </reference>
          <reference field="2" count="1" selected="0">
            <x v="39"/>
          </reference>
          <reference field="4" count="1">
            <x v="2"/>
          </reference>
        </references>
      </pivotArea>
    </format>
    <format dxfId="848">
      <pivotArea dataOnly="0" labelOnly="1" outline="0" fieldPosition="0">
        <references count="4">
          <reference field="0" count="1" selected="0">
            <x v="2"/>
          </reference>
          <reference field="1" count="1" selected="0">
            <x v="10"/>
          </reference>
          <reference field="2" count="1" selected="0">
            <x v="86"/>
          </reference>
          <reference field="4" count="1">
            <x v="3"/>
          </reference>
        </references>
      </pivotArea>
    </format>
    <format dxfId="847">
      <pivotArea dataOnly="0" labelOnly="1" outline="0" fieldPosition="0">
        <references count="4">
          <reference field="0" count="1" selected="0">
            <x v="2"/>
          </reference>
          <reference field="1" count="1" selected="0">
            <x v="11"/>
          </reference>
          <reference field="2" count="1" selected="0">
            <x v="33"/>
          </reference>
          <reference field="4" count="2">
            <x v="0"/>
            <x v="3"/>
          </reference>
        </references>
      </pivotArea>
    </format>
    <format dxfId="846">
      <pivotArea dataOnly="0" labelOnly="1" outline="0" fieldPosition="0">
        <references count="4">
          <reference field="0" count="1" selected="0">
            <x v="2"/>
          </reference>
          <reference field="1" count="1" selected="0">
            <x v="11"/>
          </reference>
          <reference field="2" count="1" selected="0">
            <x v="43"/>
          </reference>
          <reference field="4" count="1">
            <x v="2"/>
          </reference>
        </references>
      </pivotArea>
    </format>
    <format dxfId="845">
      <pivotArea dataOnly="0" labelOnly="1" outline="0" fieldPosition="0">
        <references count="4">
          <reference field="0" count="1" selected="0">
            <x v="2"/>
          </reference>
          <reference field="1" count="1" selected="0">
            <x v="11"/>
          </reference>
          <reference field="2" count="1" selected="0">
            <x v="64"/>
          </reference>
          <reference field="4" count="1">
            <x v="3"/>
          </reference>
        </references>
      </pivotArea>
    </format>
    <format dxfId="844">
      <pivotArea dataOnly="0" labelOnly="1" outline="0" fieldPosition="0">
        <references count="4">
          <reference field="0" count="1" selected="0">
            <x v="2"/>
          </reference>
          <reference field="1" count="1" selected="0">
            <x v="11"/>
          </reference>
          <reference field="2" count="1" selected="0">
            <x v="67"/>
          </reference>
          <reference field="4" count="1">
            <x v="1"/>
          </reference>
        </references>
      </pivotArea>
    </format>
    <format dxfId="843">
      <pivotArea dataOnly="0" labelOnly="1" outline="0" fieldPosition="0">
        <references count="4">
          <reference field="0" count="1" selected="0">
            <x v="2"/>
          </reference>
          <reference field="1" count="1" selected="0">
            <x v="12"/>
          </reference>
          <reference field="2" count="1" selected="0">
            <x v="27"/>
          </reference>
          <reference field="4" count="1">
            <x v="0"/>
          </reference>
        </references>
      </pivotArea>
    </format>
    <format dxfId="842">
      <pivotArea dataOnly="0" labelOnly="1" outline="0" fieldPosition="0">
        <references count="4">
          <reference field="0" count="1" selected="0">
            <x v="2"/>
          </reference>
          <reference field="1" count="1" selected="0">
            <x v="12"/>
          </reference>
          <reference field="2" count="1" selected="0">
            <x v="37"/>
          </reference>
          <reference field="4" count="1">
            <x v="3"/>
          </reference>
        </references>
      </pivotArea>
    </format>
    <format dxfId="841">
      <pivotArea dataOnly="0" labelOnly="1" outline="0" fieldPosition="0">
        <references count="4">
          <reference field="0" count="1" selected="0">
            <x v="2"/>
          </reference>
          <reference field="1" count="1" selected="0">
            <x v="12"/>
          </reference>
          <reference field="2" count="1" selected="0">
            <x v="40"/>
          </reference>
          <reference field="4" count="1">
            <x v="2"/>
          </reference>
        </references>
      </pivotArea>
    </format>
    <format dxfId="840">
      <pivotArea dataOnly="0" labelOnly="1" outline="0" fieldPosition="0">
        <references count="4">
          <reference field="0" count="1" selected="0">
            <x v="2"/>
          </reference>
          <reference field="1" count="1" selected="0">
            <x v="12"/>
          </reference>
          <reference field="2" count="1" selected="0">
            <x v="93"/>
          </reference>
          <reference field="4" count="1">
            <x v="1"/>
          </reference>
        </references>
      </pivotArea>
    </format>
    <format dxfId="839">
      <pivotArea dataOnly="0" labelOnly="1" outline="0" fieldPosition="0">
        <references count="4">
          <reference field="0" count="1" selected="0">
            <x v="2"/>
          </reference>
          <reference field="1" count="1" selected="0">
            <x v="14"/>
          </reference>
          <reference field="2" count="1" selected="0">
            <x v="25"/>
          </reference>
          <reference field="4" count="1">
            <x v="2"/>
          </reference>
        </references>
      </pivotArea>
    </format>
    <format dxfId="838">
      <pivotArea dataOnly="0" labelOnly="1" outline="0" fieldPosition="0">
        <references count="4">
          <reference field="0" count="1" selected="0">
            <x v="2"/>
          </reference>
          <reference field="1" count="1" selected="0">
            <x v="15"/>
          </reference>
          <reference field="2" count="1" selected="0">
            <x v="42"/>
          </reference>
          <reference field="4" count="1">
            <x v="1"/>
          </reference>
        </references>
      </pivotArea>
    </format>
    <format dxfId="837">
      <pivotArea dataOnly="0" labelOnly="1" outline="0" fieldPosition="0">
        <references count="4">
          <reference field="0" count="1" selected="0">
            <x v="2"/>
          </reference>
          <reference field="1" count="1" selected="0">
            <x v="15"/>
          </reference>
          <reference field="2" count="1" selected="0">
            <x v="46"/>
          </reference>
          <reference field="4" count="1">
            <x v="2"/>
          </reference>
        </references>
      </pivotArea>
    </format>
    <format dxfId="836">
      <pivotArea dataOnly="0" labelOnly="1" outline="0" fieldPosition="0">
        <references count="4">
          <reference field="0" count="1" selected="0">
            <x v="2"/>
          </reference>
          <reference field="1" count="1" selected="0">
            <x v="15"/>
          </reference>
          <reference field="2" count="1" selected="0">
            <x v="51"/>
          </reference>
          <reference field="4" count="1">
            <x v="1"/>
          </reference>
        </references>
      </pivotArea>
    </format>
    <format dxfId="835">
      <pivotArea dataOnly="0" labelOnly="1" outline="0" fieldPosition="0">
        <references count="4">
          <reference field="0" count="1" selected="0">
            <x v="2"/>
          </reference>
          <reference field="1" count="1" selected="0">
            <x v="15"/>
          </reference>
          <reference field="2" count="1" selected="0">
            <x v="52"/>
          </reference>
          <reference field="4" count="1">
            <x v="2"/>
          </reference>
        </references>
      </pivotArea>
    </format>
    <format dxfId="834">
      <pivotArea dataOnly="0" labelOnly="1" outline="0" fieldPosition="0">
        <references count="4">
          <reference field="0" count="1" selected="0">
            <x v="2"/>
          </reference>
          <reference field="1" count="1" selected="0">
            <x v="15"/>
          </reference>
          <reference field="2" count="1" selected="0">
            <x v="53"/>
          </reference>
          <reference field="4" count="1">
            <x v="0"/>
          </reference>
        </references>
      </pivotArea>
    </format>
    <format dxfId="833">
      <pivotArea dataOnly="0" labelOnly="1" outline="0" fieldPosition="0">
        <references count="4">
          <reference field="0" count="1" selected="0">
            <x v="2"/>
          </reference>
          <reference field="1" count="1" selected="0">
            <x v="15"/>
          </reference>
          <reference field="2" count="1" selected="0">
            <x v="58"/>
          </reference>
          <reference field="4" count="1">
            <x v="2"/>
          </reference>
        </references>
      </pivotArea>
    </format>
    <format dxfId="832">
      <pivotArea dataOnly="0" labelOnly="1" outline="0" fieldPosition="0">
        <references count="4">
          <reference field="0" count="1" selected="0">
            <x v="2"/>
          </reference>
          <reference field="1" count="1" selected="0">
            <x v="15"/>
          </reference>
          <reference field="2" count="1" selected="0">
            <x v="61"/>
          </reference>
          <reference field="4" count="1">
            <x v="3"/>
          </reference>
        </references>
      </pivotArea>
    </format>
    <format dxfId="831">
      <pivotArea dataOnly="0" labelOnly="1" outline="0" fieldPosition="0">
        <references count="4">
          <reference field="0" count="1" selected="0">
            <x v="2"/>
          </reference>
          <reference field="1" count="1" selected="0">
            <x v="15"/>
          </reference>
          <reference field="2" count="1" selected="0">
            <x v="63"/>
          </reference>
          <reference field="4" count="1">
            <x v="1"/>
          </reference>
        </references>
      </pivotArea>
    </format>
    <format dxfId="830">
      <pivotArea dataOnly="0" labelOnly="1" outline="0" fieldPosition="0">
        <references count="4">
          <reference field="0" count="1" selected="0">
            <x v="2"/>
          </reference>
          <reference field="1" count="1" selected="0">
            <x v="15"/>
          </reference>
          <reference field="2" count="1" selected="0">
            <x v="87"/>
          </reference>
          <reference field="4" count="1">
            <x v="2"/>
          </reference>
        </references>
      </pivotArea>
    </format>
    <format dxfId="829">
      <pivotArea dataOnly="0" labelOnly="1" outline="0" fieldPosition="0">
        <references count="5">
          <reference field="0" count="1" selected="0">
            <x v="0"/>
          </reference>
          <reference field="1" count="1" selected="0">
            <x v="13"/>
          </reference>
          <reference field="2" count="1" selected="0">
            <x v="0"/>
          </reference>
          <reference field="4" count="1" selected="0">
            <x v="3"/>
          </reference>
          <reference field="5" count="1">
            <x v="82"/>
          </reference>
        </references>
      </pivotArea>
    </format>
    <format dxfId="828">
      <pivotArea dataOnly="0" labelOnly="1" outline="0" fieldPosition="0">
        <references count="5">
          <reference field="0" count="1" selected="0">
            <x v="0"/>
          </reference>
          <reference field="1" count="1" selected="0">
            <x v="13"/>
          </reference>
          <reference field="2" count="1" selected="0">
            <x v="1"/>
          </reference>
          <reference field="4" count="1" selected="0">
            <x v="3"/>
          </reference>
          <reference field="5" count="1">
            <x v="119"/>
          </reference>
        </references>
      </pivotArea>
    </format>
    <format dxfId="827">
      <pivotArea dataOnly="0" labelOnly="1" outline="0" fieldPosition="0">
        <references count="5">
          <reference field="0" count="1" selected="0">
            <x v="0"/>
          </reference>
          <reference field="1" count="1" selected="0">
            <x v="13"/>
          </reference>
          <reference field="2" count="1" selected="0">
            <x v="2"/>
          </reference>
          <reference field="4" count="1" selected="0">
            <x v="3"/>
          </reference>
          <reference field="5" count="1">
            <x v="109"/>
          </reference>
        </references>
      </pivotArea>
    </format>
    <format dxfId="826">
      <pivotArea dataOnly="0" labelOnly="1" outline="0" fieldPosition="0">
        <references count="5">
          <reference field="0" count="1" selected="0">
            <x v="0"/>
          </reference>
          <reference field="1" count="1" selected="0">
            <x v="13"/>
          </reference>
          <reference field="2" count="1" selected="0">
            <x v="3"/>
          </reference>
          <reference field="4" count="1" selected="0">
            <x v="3"/>
          </reference>
          <reference field="5" count="1">
            <x v="92"/>
          </reference>
        </references>
      </pivotArea>
    </format>
    <format dxfId="825">
      <pivotArea dataOnly="0" labelOnly="1" outline="0" fieldPosition="0">
        <references count="5">
          <reference field="0" count="1" selected="0">
            <x v="0"/>
          </reference>
          <reference field="1" count="1" selected="0">
            <x v="13"/>
          </reference>
          <reference field="2" count="1" selected="0">
            <x v="4"/>
          </reference>
          <reference field="4" count="1" selected="0">
            <x v="3"/>
          </reference>
          <reference field="5" count="1">
            <x v="101"/>
          </reference>
        </references>
      </pivotArea>
    </format>
    <format dxfId="824">
      <pivotArea dataOnly="0" labelOnly="1" outline="0" fieldPosition="0">
        <references count="5">
          <reference field="0" count="1" selected="0">
            <x v="0"/>
          </reference>
          <reference field="1" count="1" selected="0">
            <x v="13"/>
          </reference>
          <reference field="2" count="1" selected="0">
            <x v="5"/>
          </reference>
          <reference field="4" count="1" selected="0">
            <x v="3"/>
          </reference>
          <reference field="5" count="1">
            <x v="74"/>
          </reference>
        </references>
      </pivotArea>
    </format>
    <format dxfId="823">
      <pivotArea dataOnly="0" labelOnly="1" outline="0" fieldPosition="0">
        <references count="5">
          <reference field="0" count="1" selected="0">
            <x v="0"/>
          </reference>
          <reference field="1" count="1" selected="0">
            <x v="13"/>
          </reference>
          <reference field="2" count="1" selected="0">
            <x v="6"/>
          </reference>
          <reference field="4" count="1" selected="0">
            <x v="3"/>
          </reference>
          <reference field="5" count="1">
            <x v="72"/>
          </reference>
        </references>
      </pivotArea>
    </format>
    <format dxfId="822">
      <pivotArea dataOnly="0" labelOnly="1" outline="0" fieldPosition="0">
        <references count="5">
          <reference field="0" count="1" selected="0">
            <x v="0"/>
          </reference>
          <reference field="1" count="1" selected="0">
            <x v="13"/>
          </reference>
          <reference field="2" count="1" selected="0">
            <x v="7"/>
          </reference>
          <reference field="4" count="1" selected="0">
            <x v="3"/>
          </reference>
          <reference field="5" count="1">
            <x v="112"/>
          </reference>
        </references>
      </pivotArea>
    </format>
    <format dxfId="821">
      <pivotArea dataOnly="0" labelOnly="1" outline="0" fieldPosition="0">
        <references count="5">
          <reference field="0" count="1" selected="0">
            <x v="0"/>
          </reference>
          <reference field="1" count="1" selected="0">
            <x v="13"/>
          </reference>
          <reference field="2" count="1" selected="0">
            <x v="8"/>
          </reference>
          <reference field="4" count="1" selected="0">
            <x v="3"/>
          </reference>
          <reference field="5" count="1">
            <x v="95"/>
          </reference>
        </references>
      </pivotArea>
    </format>
    <format dxfId="820">
      <pivotArea dataOnly="0" labelOnly="1" outline="0" fieldPosition="0">
        <references count="5">
          <reference field="0" count="1" selected="0">
            <x v="0"/>
          </reference>
          <reference field="1" count="1" selected="0">
            <x v="13"/>
          </reference>
          <reference field="2" count="1" selected="0">
            <x v="9"/>
          </reference>
          <reference field="4" count="1" selected="0">
            <x v="3"/>
          </reference>
          <reference field="5" count="1">
            <x v="87"/>
          </reference>
        </references>
      </pivotArea>
    </format>
    <format dxfId="819">
      <pivotArea dataOnly="0" labelOnly="1" outline="0" fieldPosition="0">
        <references count="5">
          <reference field="0" count="1" selected="0">
            <x v="0"/>
          </reference>
          <reference field="1" count="1" selected="0">
            <x v="13"/>
          </reference>
          <reference field="2" count="1" selected="0">
            <x v="10"/>
          </reference>
          <reference field="4" count="1" selected="0">
            <x v="3"/>
          </reference>
          <reference field="5" count="1">
            <x v="99"/>
          </reference>
        </references>
      </pivotArea>
    </format>
    <format dxfId="818">
      <pivotArea dataOnly="0" labelOnly="1" outline="0" fieldPosition="0">
        <references count="5">
          <reference field="0" count="1" selected="0">
            <x v="0"/>
          </reference>
          <reference field="1" count="1" selected="0">
            <x v="13"/>
          </reference>
          <reference field="2" count="1" selected="0">
            <x v="11"/>
          </reference>
          <reference field="4" count="1" selected="0">
            <x v="3"/>
          </reference>
          <reference field="5" count="1">
            <x v="117"/>
          </reference>
        </references>
      </pivotArea>
    </format>
    <format dxfId="817">
      <pivotArea dataOnly="0" labelOnly="1" outline="0" fieldPosition="0">
        <references count="5">
          <reference field="0" count="1" selected="0">
            <x v="0"/>
          </reference>
          <reference field="1" count="1" selected="0">
            <x v="13"/>
          </reference>
          <reference field="2" count="1" selected="0">
            <x v="12"/>
          </reference>
          <reference field="4" count="1" selected="0">
            <x v="3"/>
          </reference>
          <reference field="5" count="1">
            <x v="84"/>
          </reference>
        </references>
      </pivotArea>
    </format>
    <format dxfId="816">
      <pivotArea dataOnly="0" labelOnly="1" outline="0" fieldPosition="0">
        <references count="5">
          <reference field="0" count="1" selected="0">
            <x v="0"/>
          </reference>
          <reference field="1" count="1" selected="0">
            <x v="13"/>
          </reference>
          <reference field="2" count="1" selected="0">
            <x v="13"/>
          </reference>
          <reference field="4" count="1" selected="0">
            <x v="3"/>
          </reference>
          <reference field="5" count="1">
            <x v="100"/>
          </reference>
        </references>
      </pivotArea>
    </format>
    <format dxfId="815">
      <pivotArea dataOnly="0" labelOnly="1" outline="0" fieldPosition="0">
        <references count="5">
          <reference field="0" count="1" selected="0">
            <x v="0"/>
          </reference>
          <reference field="1" count="1" selected="0">
            <x v="13"/>
          </reference>
          <reference field="2" count="1" selected="0">
            <x v="14"/>
          </reference>
          <reference field="4" count="1" selected="0">
            <x v="3"/>
          </reference>
          <reference field="5" count="1">
            <x v="90"/>
          </reference>
        </references>
      </pivotArea>
    </format>
    <format dxfId="814">
      <pivotArea dataOnly="0" labelOnly="1" outline="0" fieldPosition="0">
        <references count="5">
          <reference field="0" count="1" selected="0">
            <x v="0"/>
          </reference>
          <reference field="1" count="1" selected="0">
            <x v="13"/>
          </reference>
          <reference field="2" count="1" selected="0">
            <x v="15"/>
          </reference>
          <reference field="4" count="1" selected="0">
            <x v="3"/>
          </reference>
          <reference field="5" count="1">
            <x v="9"/>
          </reference>
        </references>
      </pivotArea>
    </format>
    <format dxfId="813">
      <pivotArea dataOnly="0" labelOnly="1" outline="0" fieldPosition="0">
        <references count="5">
          <reference field="0" count="1" selected="0">
            <x v="0"/>
          </reference>
          <reference field="1" count="1" selected="0">
            <x v="13"/>
          </reference>
          <reference field="2" count="1" selected="0">
            <x v="16"/>
          </reference>
          <reference field="4" count="1" selected="0">
            <x v="3"/>
          </reference>
          <reference field="5" count="1">
            <x v="94"/>
          </reference>
        </references>
      </pivotArea>
    </format>
    <format dxfId="812">
      <pivotArea dataOnly="0" labelOnly="1" outline="0" fieldPosition="0">
        <references count="5">
          <reference field="0" count="1" selected="0">
            <x v="0"/>
          </reference>
          <reference field="1" count="1" selected="0">
            <x v="13"/>
          </reference>
          <reference field="2" count="1" selected="0">
            <x v="17"/>
          </reference>
          <reference field="4" count="1" selected="0">
            <x v="3"/>
          </reference>
          <reference field="5" count="1">
            <x v="113"/>
          </reference>
        </references>
      </pivotArea>
    </format>
    <format dxfId="811">
      <pivotArea dataOnly="0" labelOnly="1" outline="0" fieldPosition="0">
        <references count="5">
          <reference field="0" count="1" selected="0">
            <x v="0"/>
          </reference>
          <reference field="1" count="1" selected="0">
            <x v="13"/>
          </reference>
          <reference field="2" count="1" selected="0">
            <x v="18"/>
          </reference>
          <reference field="4" count="1" selected="0">
            <x v="3"/>
          </reference>
          <reference field="5" count="1">
            <x v="127"/>
          </reference>
        </references>
      </pivotArea>
    </format>
    <format dxfId="810">
      <pivotArea dataOnly="0" labelOnly="1" outline="0" fieldPosition="0">
        <references count="5">
          <reference field="0" count="1" selected="0">
            <x v="0"/>
          </reference>
          <reference field="1" count="1" selected="0">
            <x v="13"/>
          </reference>
          <reference field="2" count="1" selected="0">
            <x v="19"/>
          </reference>
          <reference field="4" count="1" selected="0">
            <x v="3"/>
          </reference>
          <reference field="5" count="1">
            <x v="98"/>
          </reference>
        </references>
      </pivotArea>
    </format>
    <format dxfId="809">
      <pivotArea dataOnly="0" labelOnly="1" outline="0" fieldPosition="0">
        <references count="5">
          <reference field="0" count="1" selected="0">
            <x v="0"/>
          </reference>
          <reference field="1" count="1" selected="0">
            <x v="13"/>
          </reference>
          <reference field="2" count="1" selected="0">
            <x v="20"/>
          </reference>
          <reference field="4" count="1" selected="0">
            <x v="3"/>
          </reference>
          <reference field="5" count="1">
            <x v="102"/>
          </reference>
        </references>
      </pivotArea>
    </format>
    <format dxfId="808">
      <pivotArea dataOnly="0" labelOnly="1" outline="0" fieldPosition="0">
        <references count="5">
          <reference field="0" count="1" selected="0">
            <x v="0"/>
          </reference>
          <reference field="1" count="1" selected="0">
            <x v="13"/>
          </reference>
          <reference field="2" count="1" selected="0">
            <x v="21"/>
          </reference>
          <reference field="4" count="1" selected="0">
            <x v="3"/>
          </reference>
          <reference field="5" count="1">
            <x v="125"/>
          </reference>
        </references>
      </pivotArea>
    </format>
    <format dxfId="807">
      <pivotArea dataOnly="0" labelOnly="1" outline="0" fieldPosition="0">
        <references count="5">
          <reference field="0" count="1" selected="0">
            <x v="0"/>
          </reference>
          <reference field="1" count="1" selected="0">
            <x v="13"/>
          </reference>
          <reference field="2" count="1" selected="0">
            <x v="22"/>
          </reference>
          <reference field="4" count="1" selected="0">
            <x v="3"/>
          </reference>
          <reference field="5" count="1">
            <x v="10"/>
          </reference>
        </references>
      </pivotArea>
    </format>
    <format dxfId="806">
      <pivotArea dataOnly="0" labelOnly="1" outline="0" fieldPosition="0">
        <references count="5">
          <reference field="0" count="1" selected="0">
            <x v="0"/>
          </reference>
          <reference field="1" count="1" selected="0">
            <x v="13"/>
          </reference>
          <reference field="2" count="1" selected="0">
            <x v="23"/>
          </reference>
          <reference field="4" count="1" selected="0">
            <x v="3"/>
          </reference>
          <reference field="5" count="1">
            <x v="133"/>
          </reference>
        </references>
      </pivotArea>
    </format>
    <format dxfId="805">
      <pivotArea dataOnly="0" labelOnly="1" outline="0" fieldPosition="0">
        <references count="5">
          <reference field="0" count="1" selected="0">
            <x v="0"/>
          </reference>
          <reference field="1" count="1" selected="0">
            <x v="13"/>
          </reference>
          <reference field="2" count="1" selected="0">
            <x v="83"/>
          </reference>
          <reference field="4" count="1" selected="0">
            <x v="3"/>
          </reference>
          <reference field="5" count="1">
            <x v="7"/>
          </reference>
        </references>
      </pivotArea>
    </format>
    <format dxfId="804">
      <pivotArea dataOnly="0" labelOnly="1" outline="0" fieldPosition="0">
        <references count="5">
          <reference field="0" count="1" selected="0">
            <x v="0"/>
          </reference>
          <reference field="1" count="1" selected="0">
            <x v="13"/>
          </reference>
          <reference field="2" count="1" selected="0">
            <x v="97"/>
          </reference>
          <reference field="4" count="1" selected="0">
            <x v="3"/>
          </reference>
          <reference field="5" count="1">
            <x v="51"/>
          </reference>
        </references>
      </pivotArea>
    </format>
    <format dxfId="803">
      <pivotArea dataOnly="0" labelOnly="1" outline="0" fieldPosition="0">
        <references count="5">
          <reference field="0" count="1" selected="0">
            <x v="1"/>
          </reference>
          <reference field="1" count="1" selected="0">
            <x v="5"/>
          </reference>
          <reference field="2" count="1" selected="0">
            <x v="71"/>
          </reference>
          <reference field="4" count="1" selected="0">
            <x v="3"/>
          </reference>
          <reference field="5" count="1">
            <x v="110"/>
          </reference>
        </references>
      </pivotArea>
    </format>
    <format dxfId="802">
      <pivotArea dataOnly="0" labelOnly="1" outline="0" fieldPosition="0">
        <references count="5">
          <reference field="0" count="1" selected="0">
            <x v="1"/>
          </reference>
          <reference field="1" count="1" selected="0">
            <x v="5"/>
          </reference>
          <reference field="2" count="1" selected="0">
            <x v="76"/>
          </reference>
          <reference field="4" count="1" selected="0">
            <x v="3"/>
          </reference>
          <reference field="5" count="1">
            <x v="17"/>
          </reference>
        </references>
      </pivotArea>
    </format>
    <format dxfId="801">
      <pivotArea dataOnly="0" labelOnly="1" outline="0" fieldPosition="0">
        <references count="5">
          <reference field="0" count="1" selected="0">
            <x v="1"/>
          </reference>
          <reference field="1" count="1" selected="0">
            <x v="5"/>
          </reference>
          <reference field="2" count="1" selected="0">
            <x v="97"/>
          </reference>
          <reference field="4" count="1" selected="0">
            <x v="3"/>
          </reference>
          <reference field="5" count="3">
            <x v="8"/>
            <x v="35"/>
            <x v="118"/>
          </reference>
        </references>
      </pivotArea>
    </format>
    <format dxfId="800">
      <pivotArea dataOnly="0" labelOnly="1" outline="0" fieldPosition="0">
        <references count="5">
          <reference field="0" count="1" selected="0">
            <x v="1"/>
          </reference>
          <reference field="1" count="1" selected="0">
            <x v="7"/>
          </reference>
          <reference field="2" count="1" selected="0">
            <x v="32"/>
          </reference>
          <reference field="4" count="1" selected="0">
            <x v="3"/>
          </reference>
          <reference field="5" count="1">
            <x v="134"/>
          </reference>
        </references>
      </pivotArea>
    </format>
    <format dxfId="799">
      <pivotArea dataOnly="0" labelOnly="1" outline="0" fieldPosition="0">
        <references count="5">
          <reference field="0" count="1" selected="0">
            <x v="1"/>
          </reference>
          <reference field="1" count="1" selected="0">
            <x v="7"/>
          </reference>
          <reference field="2" count="1" selected="0">
            <x v="47"/>
          </reference>
          <reference field="4" count="1" selected="0">
            <x v="3"/>
          </reference>
          <reference field="5" count="1">
            <x v="86"/>
          </reference>
        </references>
      </pivotArea>
    </format>
    <format dxfId="798">
      <pivotArea dataOnly="0" labelOnly="1" outline="0" fieldPosition="0">
        <references count="5">
          <reference field="0" count="1" selected="0">
            <x v="1"/>
          </reference>
          <reference field="1" count="1" selected="0">
            <x v="7"/>
          </reference>
          <reference field="2" count="1" selected="0">
            <x v="97"/>
          </reference>
          <reference field="4" count="1" selected="0">
            <x v="3"/>
          </reference>
          <reference field="5" count="2">
            <x v="79"/>
            <x v="122"/>
          </reference>
        </references>
      </pivotArea>
    </format>
    <format dxfId="797">
      <pivotArea dataOnly="0" labelOnly="1" outline="0" fieldPosition="0">
        <references count="5">
          <reference field="0" count="1" selected="0">
            <x v="1"/>
          </reference>
          <reference field="1" count="1" selected="0">
            <x v="9"/>
          </reference>
          <reference field="2" count="1" selected="0">
            <x v="49"/>
          </reference>
          <reference field="4" count="1" selected="0">
            <x v="3"/>
          </reference>
          <reference field="5" count="1">
            <x v="83"/>
          </reference>
        </references>
      </pivotArea>
    </format>
    <format dxfId="796">
      <pivotArea dataOnly="0" labelOnly="1" outline="0" fieldPosition="0">
        <references count="5">
          <reference field="0" count="1" selected="0">
            <x v="1"/>
          </reference>
          <reference field="1" count="1" selected="0">
            <x v="9"/>
          </reference>
          <reference field="2" count="1" selected="0">
            <x v="54"/>
          </reference>
          <reference field="4" count="1" selected="0">
            <x v="3"/>
          </reference>
          <reference field="5" count="1">
            <x v="131"/>
          </reference>
        </references>
      </pivotArea>
    </format>
    <format dxfId="795">
      <pivotArea dataOnly="0" labelOnly="1" outline="0" fieldPosition="0">
        <references count="5">
          <reference field="0" count="1" selected="0">
            <x v="1"/>
          </reference>
          <reference field="1" count="1" selected="0">
            <x v="9"/>
          </reference>
          <reference field="2" count="1" selected="0">
            <x v="66"/>
          </reference>
          <reference field="4" count="1" selected="0">
            <x v="3"/>
          </reference>
          <reference field="5" count="1">
            <x v="130"/>
          </reference>
        </references>
      </pivotArea>
    </format>
    <format dxfId="794">
      <pivotArea dataOnly="0" labelOnly="1" outline="0" fieldPosition="0">
        <references count="5">
          <reference field="0" count="1" selected="0">
            <x v="1"/>
          </reference>
          <reference field="1" count="1" selected="0">
            <x v="9"/>
          </reference>
          <reference field="2" count="1" selected="0">
            <x v="70"/>
          </reference>
          <reference field="4" count="1" selected="0">
            <x v="3"/>
          </reference>
          <reference field="5" count="1">
            <x v="78"/>
          </reference>
        </references>
      </pivotArea>
    </format>
    <format dxfId="793">
      <pivotArea dataOnly="0" labelOnly="1" outline="0" fieldPosition="0">
        <references count="5">
          <reference field="0" count="1" selected="0">
            <x v="1"/>
          </reference>
          <reference field="1" count="1" selected="0">
            <x v="9"/>
          </reference>
          <reference field="2" count="1" selected="0">
            <x v="73"/>
          </reference>
          <reference field="4" count="1" selected="0">
            <x v="3"/>
          </reference>
          <reference field="5" count="1">
            <x v="81"/>
          </reference>
        </references>
      </pivotArea>
    </format>
    <format dxfId="792">
      <pivotArea dataOnly="0" labelOnly="1" outline="0" fieldPosition="0">
        <references count="5">
          <reference field="0" count="1" selected="0">
            <x v="1"/>
          </reference>
          <reference field="1" count="1" selected="0">
            <x v="9"/>
          </reference>
          <reference field="2" count="1" selected="0">
            <x v="82"/>
          </reference>
          <reference field="4" count="1" selected="0">
            <x v="3"/>
          </reference>
          <reference field="5" count="1">
            <x v="13"/>
          </reference>
        </references>
      </pivotArea>
    </format>
    <format dxfId="791">
      <pivotArea dataOnly="0" labelOnly="1" outline="0" fieldPosition="0">
        <references count="5">
          <reference field="0" count="1" selected="0">
            <x v="1"/>
          </reference>
          <reference field="1" count="1" selected="0">
            <x v="9"/>
          </reference>
          <reference field="2" count="1" selected="0">
            <x v="92"/>
          </reference>
          <reference field="4" count="1" selected="0">
            <x v="3"/>
          </reference>
          <reference field="5" count="1">
            <x v="132"/>
          </reference>
        </references>
      </pivotArea>
    </format>
    <format dxfId="790">
      <pivotArea dataOnly="0" labelOnly="1" outline="0" fieldPosition="0">
        <references count="5">
          <reference field="0" count="1" selected="0">
            <x v="1"/>
          </reference>
          <reference field="1" count="1" selected="0">
            <x v="9"/>
          </reference>
          <reference field="2" count="1" selected="0">
            <x v="97"/>
          </reference>
          <reference field="4" count="1" selected="0">
            <x v="3"/>
          </reference>
          <reference field="5" count="1">
            <x v="40"/>
          </reference>
        </references>
      </pivotArea>
    </format>
    <format dxfId="789">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788">
      <pivotArea dataOnly="0" labelOnly="1" outline="0" fieldPosition="0">
        <references count="5">
          <reference field="0" count="1" selected="0">
            <x v="2"/>
          </reference>
          <reference field="1" count="1" selected="0">
            <x v="0"/>
          </reference>
          <reference field="2" count="1" selected="0">
            <x v="80"/>
          </reference>
          <reference field="4" count="1" selected="0">
            <x v="1"/>
          </reference>
          <reference field="5" count="1">
            <x v="23"/>
          </reference>
        </references>
      </pivotArea>
    </format>
    <format dxfId="787">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3">
            <x v="47"/>
            <x v="60"/>
            <x v="66"/>
          </reference>
        </references>
      </pivotArea>
    </format>
    <format dxfId="786">
      <pivotArea dataOnly="0" labelOnly="1" outline="0" fieldPosition="0">
        <references count="5">
          <reference field="0" count="1" selected="0">
            <x v="2"/>
          </reference>
          <reference field="1" count="1" selected="0">
            <x v="0"/>
          </reference>
          <reference field="2" count="1" selected="0">
            <x v="90"/>
          </reference>
          <reference field="4" count="1" selected="0">
            <x v="1"/>
          </reference>
          <reference field="5" count="1">
            <x v="93"/>
          </reference>
        </references>
      </pivotArea>
    </format>
    <format dxfId="785">
      <pivotArea dataOnly="0" labelOnly="1" outline="0" fieldPosition="0">
        <references count="5">
          <reference field="0" count="1" selected="0">
            <x v="2"/>
          </reference>
          <reference field="1" count="1" selected="0">
            <x v="1"/>
          </reference>
          <reference field="2" count="1" selected="0">
            <x v="38"/>
          </reference>
          <reference field="4" count="1" selected="0">
            <x v="2"/>
          </reference>
          <reference field="5" count="1">
            <x v="4"/>
          </reference>
        </references>
      </pivotArea>
    </format>
    <format dxfId="784">
      <pivotArea dataOnly="0" labelOnly="1" outline="0" fieldPosition="0">
        <references count="5">
          <reference field="0" count="1" selected="0">
            <x v="2"/>
          </reference>
          <reference field="1" count="1" selected="0">
            <x v="1"/>
          </reference>
          <reference field="2" count="1" selected="0">
            <x v="38"/>
          </reference>
          <reference field="4" count="1" selected="0">
            <x v="3"/>
          </reference>
          <reference field="5" count="1">
            <x v="36"/>
          </reference>
        </references>
      </pivotArea>
    </format>
    <format dxfId="783">
      <pivotArea dataOnly="0" labelOnly="1" outline="0" fieldPosition="0">
        <references count="5">
          <reference field="0" count="1" selected="0">
            <x v="2"/>
          </reference>
          <reference field="1" count="1" selected="0">
            <x v="2"/>
          </reference>
          <reference field="2" count="1" selected="0">
            <x v="38"/>
          </reference>
          <reference field="4" count="1" selected="0">
            <x v="0"/>
          </reference>
          <reference field="5" count="1">
            <x v="96"/>
          </reference>
        </references>
      </pivotArea>
    </format>
    <format dxfId="782">
      <pivotArea dataOnly="0" labelOnly="1" outline="0" fieldPosition="0">
        <references count="5">
          <reference field="0" count="1" selected="0">
            <x v="2"/>
          </reference>
          <reference field="1" count="1" selected="0">
            <x v="2"/>
          </reference>
          <reference field="2" count="1" selected="0">
            <x v="59"/>
          </reference>
          <reference field="4" count="1" selected="0">
            <x v="2"/>
          </reference>
          <reference field="5" count="1">
            <x v="27"/>
          </reference>
        </references>
      </pivotArea>
    </format>
    <format dxfId="781">
      <pivotArea dataOnly="0" labelOnly="1" outline="0" fieldPosition="0">
        <references count="5">
          <reference field="0" count="1" selected="0">
            <x v="2"/>
          </reference>
          <reference field="1" count="1" selected="0">
            <x v="2"/>
          </reference>
          <reference field="2" count="1" selected="0">
            <x v="62"/>
          </reference>
          <reference field="4" count="1" selected="0">
            <x v="2"/>
          </reference>
          <reference field="5" count="1">
            <x v="26"/>
          </reference>
        </references>
      </pivotArea>
    </format>
    <format dxfId="780">
      <pivotArea dataOnly="0" labelOnly="1" outline="0" fieldPosition="0">
        <references count="5">
          <reference field="0" count="1" selected="0">
            <x v="2"/>
          </reference>
          <reference field="1" count="1" selected="0">
            <x v="3"/>
          </reference>
          <reference field="2" count="1" selected="0">
            <x v="30"/>
          </reference>
          <reference field="4" count="1" selected="0">
            <x v="2"/>
          </reference>
          <reference field="5" count="1">
            <x v="19"/>
          </reference>
        </references>
      </pivotArea>
    </format>
    <format dxfId="779">
      <pivotArea dataOnly="0" labelOnly="1" outline="0" fieldPosition="0">
        <references count="5">
          <reference field="0" count="1" selected="0">
            <x v="2"/>
          </reference>
          <reference field="1" count="1" selected="0">
            <x v="3"/>
          </reference>
          <reference field="2" count="1" selected="0">
            <x v="30"/>
          </reference>
          <reference field="4" count="1" selected="0">
            <x v="3"/>
          </reference>
          <reference field="5" count="1">
            <x v="34"/>
          </reference>
        </references>
      </pivotArea>
    </format>
    <format dxfId="778">
      <pivotArea dataOnly="0" labelOnly="1" outline="0" fieldPosition="0">
        <references count="5">
          <reference field="0" count="1" selected="0">
            <x v="2"/>
          </reference>
          <reference field="1" count="1" selected="0">
            <x v="3"/>
          </reference>
          <reference field="2" count="1" selected="0">
            <x v="55"/>
          </reference>
          <reference field="4" count="1" selected="0">
            <x v="2"/>
          </reference>
          <reference field="5" count="1">
            <x v="11"/>
          </reference>
        </references>
      </pivotArea>
    </format>
    <format dxfId="777">
      <pivotArea dataOnly="0" labelOnly="1" outline="0" fieldPosition="0">
        <references count="5">
          <reference field="0" count="1" selected="0">
            <x v="2"/>
          </reference>
          <reference field="1" count="1" selected="0">
            <x v="3"/>
          </reference>
          <reference field="2" count="1" selected="0">
            <x v="56"/>
          </reference>
          <reference field="4" count="1" selected="0">
            <x v="2"/>
          </reference>
          <reference field="5" count="1">
            <x v="29"/>
          </reference>
        </references>
      </pivotArea>
    </format>
    <format dxfId="776">
      <pivotArea dataOnly="0" labelOnly="1" outline="0" fieldPosition="0">
        <references count="5">
          <reference field="0" count="1" selected="0">
            <x v="2"/>
          </reference>
          <reference field="1" count="1" selected="0">
            <x v="3"/>
          </reference>
          <reference field="2" count="1" selected="0">
            <x v="56"/>
          </reference>
          <reference field="4" count="1" selected="0">
            <x v="3"/>
          </reference>
          <reference field="5" count="1">
            <x v="50"/>
          </reference>
        </references>
      </pivotArea>
    </format>
    <format dxfId="775">
      <pivotArea dataOnly="0" labelOnly="1" outline="0" fieldPosition="0">
        <references count="5">
          <reference field="0" count="1" selected="0">
            <x v="2"/>
          </reference>
          <reference field="1" count="1" selected="0">
            <x v="3"/>
          </reference>
          <reference field="2" count="1" selected="0">
            <x v="60"/>
          </reference>
          <reference field="4" count="1" selected="0">
            <x v="1"/>
          </reference>
          <reference field="5" count="1">
            <x v="116"/>
          </reference>
        </references>
      </pivotArea>
    </format>
    <format dxfId="774">
      <pivotArea dataOnly="0" labelOnly="1" outline="0" fieldPosition="0">
        <references count="5">
          <reference field="0" count="1" selected="0">
            <x v="2"/>
          </reference>
          <reference field="1" count="1" selected="0">
            <x v="3"/>
          </reference>
          <reference field="2" count="1" selected="0">
            <x v="81"/>
          </reference>
          <reference field="4" count="1" selected="0">
            <x v="2"/>
          </reference>
          <reference field="5" count="1">
            <x v="115"/>
          </reference>
        </references>
      </pivotArea>
    </format>
    <format dxfId="773">
      <pivotArea dataOnly="0" labelOnly="1" outline="0" fieldPosition="0">
        <references count="5">
          <reference field="0" count="1" selected="0">
            <x v="2"/>
          </reference>
          <reference field="1" count="1" selected="0">
            <x v="4"/>
          </reference>
          <reference field="2" count="1" selected="0">
            <x v="31"/>
          </reference>
          <reference field="4" count="1" selected="0">
            <x v="2"/>
          </reference>
          <reference field="5" count="1">
            <x v="97"/>
          </reference>
        </references>
      </pivotArea>
    </format>
    <format dxfId="772">
      <pivotArea dataOnly="0" labelOnly="1" outline="0" fieldPosition="0">
        <references count="5">
          <reference field="0" count="1" selected="0">
            <x v="2"/>
          </reference>
          <reference field="1" count="1" selected="0">
            <x v="4"/>
          </reference>
          <reference field="2" count="1" selected="0">
            <x v="35"/>
          </reference>
          <reference field="4" count="1" selected="0">
            <x v="1"/>
          </reference>
          <reference field="5" count="1">
            <x v="14"/>
          </reference>
        </references>
      </pivotArea>
    </format>
    <format dxfId="771">
      <pivotArea dataOnly="0" labelOnly="1" outline="0" fieldPosition="0">
        <references count="5">
          <reference field="0" count="1" selected="0">
            <x v="2"/>
          </reference>
          <reference field="1" count="1" selected="0">
            <x v="4"/>
          </reference>
          <reference field="2" count="1" selected="0">
            <x v="35"/>
          </reference>
          <reference field="4" count="1" selected="0">
            <x v="3"/>
          </reference>
          <reference field="5" count="1">
            <x v="38"/>
          </reference>
        </references>
      </pivotArea>
    </format>
    <format dxfId="770">
      <pivotArea dataOnly="0" labelOnly="1" outline="0" fieldPosition="0">
        <references count="5">
          <reference field="0" count="1" selected="0">
            <x v="2"/>
          </reference>
          <reference field="1" count="1" selected="0">
            <x v="4"/>
          </reference>
          <reference field="2" count="1" selected="0">
            <x v="36"/>
          </reference>
          <reference field="4" count="1" selected="0">
            <x v="2"/>
          </reference>
          <reference field="5" count="1">
            <x v="20"/>
          </reference>
        </references>
      </pivotArea>
    </format>
    <format dxfId="769">
      <pivotArea dataOnly="0" labelOnly="1" outline="0" fieldPosition="0">
        <references count="5">
          <reference field="0" count="1" selected="0">
            <x v="2"/>
          </reference>
          <reference field="1" count="1" selected="0">
            <x v="4"/>
          </reference>
          <reference field="2" count="1" selected="0">
            <x v="48"/>
          </reference>
          <reference field="4" count="1" selected="0">
            <x v="1"/>
          </reference>
          <reference field="5" count="1">
            <x v="21"/>
          </reference>
        </references>
      </pivotArea>
    </format>
    <format dxfId="768">
      <pivotArea dataOnly="0" labelOnly="1" outline="0" fieldPosition="0">
        <references count="5">
          <reference field="0" count="1" selected="0">
            <x v="2"/>
          </reference>
          <reference field="1" count="1" selected="0">
            <x v="4"/>
          </reference>
          <reference field="2" count="1" selected="0">
            <x v="48"/>
          </reference>
          <reference field="4" count="1" selected="0">
            <x v="3"/>
          </reference>
          <reference field="5" count="1">
            <x v="39"/>
          </reference>
        </references>
      </pivotArea>
    </format>
    <format dxfId="767">
      <pivotArea dataOnly="0" labelOnly="1" outline="0" fieldPosition="0">
        <references count="5">
          <reference field="0" count="1" selected="0">
            <x v="2"/>
          </reference>
          <reference field="1" count="1" selected="0">
            <x v="4"/>
          </reference>
          <reference field="2" count="1" selected="0">
            <x v="50"/>
          </reference>
          <reference field="4" count="1" selected="0">
            <x v="1"/>
          </reference>
          <reference field="5" count="1">
            <x v="137"/>
          </reference>
        </references>
      </pivotArea>
    </format>
    <format dxfId="766">
      <pivotArea dataOnly="0" labelOnly="1" outline="0" fieldPosition="0">
        <references count="5">
          <reference field="0" count="1" selected="0">
            <x v="2"/>
          </reference>
          <reference field="1" count="1" selected="0">
            <x v="4"/>
          </reference>
          <reference field="2" count="1" selected="0">
            <x v="84"/>
          </reference>
          <reference field="4" count="1" selected="0">
            <x v="2"/>
          </reference>
          <reference field="5" count="1">
            <x v="106"/>
          </reference>
        </references>
      </pivotArea>
    </format>
    <format dxfId="765">
      <pivotArea dataOnly="0" labelOnly="1" outline="0" fieldPosition="0">
        <references count="5">
          <reference field="0" count="1" selected="0">
            <x v="2"/>
          </reference>
          <reference field="1" count="1" selected="0">
            <x v="4"/>
          </reference>
          <reference field="2" count="1" selected="0">
            <x v="88"/>
          </reference>
          <reference field="4" count="1" selected="0">
            <x v="0"/>
          </reference>
          <reference field="5" count="1">
            <x v="6"/>
          </reference>
        </references>
      </pivotArea>
    </format>
    <format dxfId="764">
      <pivotArea dataOnly="0" labelOnly="1" outline="0" fieldPosition="0">
        <references count="5">
          <reference field="0" count="1" selected="0">
            <x v="2"/>
          </reference>
          <reference field="1" count="1" selected="0">
            <x v="4"/>
          </reference>
          <reference field="2" count="1" selected="0">
            <x v="88"/>
          </reference>
          <reference field="4" count="1" selected="0">
            <x v="3"/>
          </reference>
          <reference field="5" count="1">
            <x v="37"/>
          </reference>
        </references>
      </pivotArea>
    </format>
    <format dxfId="763">
      <pivotArea dataOnly="0" labelOnly="1" outline="0" fieldPosition="0">
        <references count="5">
          <reference field="0" count="1" selected="0">
            <x v="2"/>
          </reference>
          <reference field="1" count="1" selected="0">
            <x v="4"/>
          </reference>
          <reference field="2" count="1" selected="0">
            <x v="91"/>
          </reference>
          <reference field="4" count="1" selected="0">
            <x v="1"/>
          </reference>
          <reference field="5" count="1">
            <x v="108"/>
          </reference>
        </references>
      </pivotArea>
    </format>
    <format dxfId="762">
      <pivotArea dataOnly="0" labelOnly="1" outline="0" fieldPosition="0">
        <references count="5">
          <reference field="0" count="1" selected="0">
            <x v="2"/>
          </reference>
          <reference field="1" count="1" selected="0">
            <x v="6"/>
          </reference>
          <reference field="2" count="1" selected="0">
            <x v="85"/>
          </reference>
          <reference field="4" count="1" selected="0">
            <x v="3"/>
          </reference>
          <reference field="5" count="4">
            <x v="18"/>
            <x v="46"/>
            <x v="57"/>
            <x v="64"/>
          </reference>
        </references>
      </pivotArea>
    </format>
    <format dxfId="761">
      <pivotArea dataOnly="0" labelOnly="1" outline="0" fieldPosition="0">
        <references count="5">
          <reference field="0" count="1" selected="0">
            <x v="2"/>
          </reference>
          <reference field="1" count="1" selected="0">
            <x v="6"/>
          </reference>
          <reference field="2" count="1" selected="0">
            <x v="96"/>
          </reference>
          <reference field="4" count="1" selected="0">
            <x v="3"/>
          </reference>
          <reference field="5" count="1">
            <x v="77"/>
          </reference>
        </references>
      </pivotArea>
    </format>
    <format dxfId="760">
      <pivotArea dataOnly="0" labelOnly="1" outline="0" fieldPosition="0">
        <references count="5">
          <reference field="0" count="1" selected="0">
            <x v="2"/>
          </reference>
          <reference field="1" count="1" selected="0">
            <x v="8"/>
          </reference>
          <reference field="2" count="1" selected="0">
            <x v="28"/>
          </reference>
          <reference field="4" count="1" selected="0">
            <x v="2"/>
          </reference>
          <reference field="5" count="1">
            <x v="5"/>
          </reference>
        </references>
      </pivotArea>
    </format>
    <format dxfId="759">
      <pivotArea dataOnly="0" labelOnly="1" outline="0" fieldPosition="0">
        <references count="5">
          <reference field="0" count="1" selected="0">
            <x v="2"/>
          </reference>
          <reference field="1" count="1" selected="0">
            <x v="8"/>
          </reference>
          <reference field="2" count="1" selected="0">
            <x v="28"/>
          </reference>
          <reference field="4" count="1" selected="0">
            <x v="3"/>
          </reference>
          <reference field="5" count="5">
            <x v="41"/>
            <x v="55"/>
            <x v="62"/>
            <x v="68"/>
            <x v="71"/>
          </reference>
        </references>
      </pivotArea>
    </format>
    <format dxfId="758">
      <pivotArea dataOnly="0" labelOnly="1" outline="0" fieldPosition="0">
        <references count="5">
          <reference field="0" count="1" selected="0">
            <x v="2"/>
          </reference>
          <reference field="1" count="1" selected="0">
            <x v="8"/>
          </reference>
          <reference field="2" count="1" selected="0">
            <x v="29"/>
          </reference>
          <reference field="4" count="1" selected="0">
            <x v="2"/>
          </reference>
          <reference field="5" count="1">
            <x v="24"/>
          </reference>
        </references>
      </pivotArea>
    </format>
    <format dxfId="757">
      <pivotArea dataOnly="0" labelOnly="1" outline="0" fieldPosition="0">
        <references count="5">
          <reference field="0" count="1" selected="0">
            <x v="2"/>
          </reference>
          <reference field="1" count="1" selected="0">
            <x v="8"/>
          </reference>
          <reference field="2" count="1" selected="0">
            <x v="29"/>
          </reference>
          <reference field="4" count="1" selected="0">
            <x v="3"/>
          </reference>
          <reference field="5" count="2">
            <x v="45"/>
            <x v="59"/>
          </reference>
        </references>
      </pivotArea>
    </format>
    <format dxfId="756">
      <pivotArea dataOnly="0" labelOnly="1" outline="0" fieldPosition="0">
        <references count="5">
          <reference field="0" count="1" selected="0">
            <x v="2"/>
          </reference>
          <reference field="1" count="1" selected="0">
            <x v="8"/>
          </reference>
          <reference field="2" count="1" selected="0">
            <x v="45"/>
          </reference>
          <reference field="4" count="1" selected="0">
            <x v="2"/>
          </reference>
          <reference field="5" count="1">
            <x v="0"/>
          </reference>
        </references>
      </pivotArea>
    </format>
    <format dxfId="755">
      <pivotArea dataOnly="0" labelOnly="1" outline="0" fieldPosition="0">
        <references count="5">
          <reference field="0" count="1" selected="0">
            <x v="2"/>
          </reference>
          <reference field="1" count="1" selected="0">
            <x v="8"/>
          </reference>
          <reference field="2" count="1" selected="0">
            <x v="45"/>
          </reference>
          <reference field="4" count="1" selected="0">
            <x v="3"/>
          </reference>
          <reference field="5" count="3">
            <x v="44"/>
            <x v="52"/>
            <x v="63"/>
          </reference>
        </references>
      </pivotArea>
    </format>
    <format dxfId="754">
      <pivotArea dataOnly="0" labelOnly="1" outline="0" fieldPosition="0">
        <references count="5">
          <reference field="0" count="1" selected="0">
            <x v="2"/>
          </reference>
          <reference field="1" count="1" selected="0">
            <x v="8"/>
          </reference>
          <reference field="2" count="1" selected="0">
            <x v="78"/>
          </reference>
          <reference field="4" count="1" selected="0">
            <x v="2"/>
          </reference>
          <reference field="5" count="1">
            <x v="22"/>
          </reference>
        </references>
      </pivotArea>
    </format>
    <format dxfId="753">
      <pivotArea dataOnly="0" labelOnly="1" outline="0" fieldPosition="0">
        <references count="5">
          <reference field="0" count="1" selected="0">
            <x v="2"/>
          </reference>
          <reference field="1" count="1" selected="0">
            <x v="8"/>
          </reference>
          <reference field="2" count="1" selected="0">
            <x v="78"/>
          </reference>
          <reference field="4" count="1" selected="0">
            <x v="3"/>
          </reference>
          <reference field="5" count="4">
            <x v="49"/>
            <x v="54"/>
            <x v="65"/>
            <x v="67"/>
          </reference>
        </references>
      </pivotArea>
    </format>
    <format dxfId="752">
      <pivotArea dataOnly="0" labelOnly="1" outline="0" fieldPosition="0">
        <references count="5">
          <reference field="0" count="1" selected="0">
            <x v="2"/>
          </reference>
          <reference field="1" count="1" selected="0">
            <x v="10"/>
          </reference>
          <reference field="2" count="1" selected="0">
            <x v="24"/>
          </reference>
          <reference field="4" count="1" selected="0">
            <x v="2"/>
          </reference>
          <reference field="5" count="1">
            <x v="107"/>
          </reference>
        </references>
      </pivotArea>
    </format>
    <format dxfId="751">
      <pivotArea dataOnly="0" labelOnly="1" outline="0" fieldPosition="0">
        <references count="5">
          <reference field="0" count="1" selected="0">
            <x v="2"/>
          </reference>
          <reference field="1" count="1" selected="0">
            <x v="10"/>
          </reference>
          <reference field="2" count="1" selected="0">
            <x v="24"/>
          </reference>
          <reference field="4" count="1" selected="0">
            <x v="3"/>
          </reference>
          <reference field="5" count="1">
            <x v="48"/>
          </reference>
        </references>
      </pivotArea>
    </format>
    <format dxfId="750">
      <pivotArea dataOnly="0" labelOnly="1" outline="0" fieldPosition="0">
        <references count="5">
          <reference field="0" count="1" selected="0">
            <x v="2"/>
          </reference>
          <reference field="1" count="1" selected="0">
            <x v="10"/>
          </reference>
          <reference field="2" count="1" selected="0">
            <x v="34"/>
          </reference>
          <reference field="4" count="1" selected="0">
            <x v="2"/>
          </reference>
          <reference field="5" count="1">
            <x v="3"/>
          </reference>
        </references>
      </pivotArea>
    </format>
    <format dxfId="749">
      <pivotArea dataOnly="0" labelOnly="1" outline="0" fieldPosition="0">
        <references count="5">
          <reference field="0" count="1" selected="0">
            <x v="2"/>
          </reference>
          <reference field="1" count="1" selected="0">
            <x v="10"/>
          </reference>
          <reference field="2" count="1" selected="0">
            <x v="34"/>
          </reference>
          <reference field="4" count="1" selected="0">
            <x v="3"/>
          </reference>
          <reference field="5" count="2">
            <x v="32"/>
            <x v="56"/>
          </reference>
        </references>
      </pivotArea>
    </format>
    <format dxfId="748">
      <pivotArea dataOnly="0" labelOnly="1" outline="0" fieldPosition="0">
        <references count="5">
          <reference field="0" count="1" selected="0">
            <x v="2"/>
          </reference>
          <reference field="1" count="1" selected="0">
            <x v="10"/>
          </reference>
          <reference field="2" count="1" selected="0">
            <x v="39"/>
          </reference>
          <reference field="4" count="1" selected="0">
            <x v="2"/>
          </reference>
          <reference field="5" count="1">
            <x v="124"/>
          </reference>
        </references>
      </pivotArea>
    </format>
    <format dxfId="747">
      <pivotArea dataOnly="0" labelOnly="1" outline="0" fieldPosition="0">
        <references count="5">
          <reference field="0" count="1" selected="0">
            <x v="2"/>
          </reference>
          <reference field="1" count="1" selected="0">
            <x v="10"/>
          </reference>
          <reference field="2" count="1" selected="0">
            <x v="44"/>
          </reference>
          <reference field="4" count="1" selected="0">
            <x v="2"/>
          </reference>
          <reference field="5" count="1">
            <x v="123"/>
          </reference>
        </references>
      </pivotArea>
    </format>
    <format dxfId="746">
      <pivotArea dataOnly="0" labelOnly="1" outline="0" fieldPosition="0">
        <references count="5">
          <reference field="0" count="1" selected="0">
            <x v="2"/>
          </reference>
          <reference field="1" count="1" selected="0">
            <x v="10"/>
          </reference>
          <reference field="2" count="1" selected="0">
            <x v="68"/>
          </reference>
          <reference field="4" count="1" selected="0">
            <x v="2"/>
          </reference>
          <reference field="5" count="1">
            <x v="85"/>
          </reference>
        </references>
      </pivotArea>
    </format>
    <format dxfId="745">
      <pivotArea dataOnly="0" labelOnly="1" outline="0" fieldPosition="0">
        <references count="5">
          <reference field="0" count="1" selected="0">
            <x v="2"/>
          </reference>
          <reference field="1" count="1" selected="0">
            <x v="10"/>
          </reference>
          <reference field="2" count="1" selected="0">
            <x v="74"/>
          </reference>
          <reference field="4" count="1" selected="0">
            <x v="2"/>
          </reference>
          <reference field="5" count="1">
            <x v="73"/>
          </reference>
        </references>
      </pivotArea>
    </format>
    <format dxfId="744">
      <pivotArea dataOnly="0" labelOnly="1" outline="0" fieldPosition="0">
        <references count="5">
          <reference field="0" count="1" selected="0">
            <x v="2"/>
          </reference>
          <reference field="1" count="1" selected="0">
            <x v="10"/>
          </reference>
          <reference field="2" count="1" selected="0">
            <x v="77"/>
          </reference>
          <reference field="4" count="1" selected="0">
            <x v="2"/>
          </reference>
          <reference field="5" count="1">
            <x v="135"/>
          </reference>
        </references>
      </pivotArea>
    </format>
    <format dxfId="743">
      <pivotArea dataOnly="0" labelOnly="1" outline="0" fieldPosition="0">
        <references count="5">
          <reference field="0" count="1" selected="0">
            <x v="2"/>
          </reference>
          <reference field="1" count="1" selected="0">
            <x v="10"/>
          </reference>
          <reference field="2" count="1" selected="0">
            <x v="86"/>
          </reference>
          <reference field="4" count="1" selected="0">
            <x v="2"/>
          </reference>
          <reference field="5" count="1">
            <x v="16"/>
          </reference>
        </references>
      </pivotArea>
    </format>
    <format dxfId="742">
      <pivotArea dataOnly="0" labelOnly="1" outline="0" fieldPosition="0">
        <references count="5">
          <reference field="0" count="1" selected="0">
            <x v="2"/>
          </reference>
          <reference field="1" count="1" selected="0">
            <x v="10"/>
          </reference>
          <reference field="2" count="1" selected="0">
            <x v="86"/>
          </reference>
          <reference field="4" count="1" selected="0">
            <x v="3"/>
          </reference>
          <reference field="5" count="5">
            <x v="33"/>
            <x v="53"/>
            <x v="61"/>
            <x v="69"/>
            <x v="70"/>
          </reference>
        </references>
      </pivotArea>
    </format>
    <format dxfId="741">
      <pivotArea dataOnly="0" labelOnly="1" outline="0" fieldPosition="0">
        <references count="5">
          <reference field="0" count="1" selected="0">
            <x v="2"/>
          </reference>
          <reference field="1" count="1" selected="0">
            <x v="11"/>
          </reference>
          <reference field="2" count="1" selected="0">
            <x v="33"/>
          </reference>
          <reference field="4" count="1" selected="0">
            <x v="0"/>
          </reference>
          <reference field="5" count="1">
            <x v="1"/>
          </reference>
        </references>
      </pivotArea>
    </format>
    <format dxfId="740">
      <pivotArea dataOnly="0" labelOnly="1" outline="0" fieldPosition="0">
        <references count="5">
          <reference field="0" count="1" selected="0">
            <x v="2"/>
          </reference>
          <reference field="1" count="1" selected="0">
            <x v="11"/>
          </reference>
          <reference field="2" count="1" selected="0">
            <x v="33"/>
          </reference>
          <reference field="4" count="1" selected="0">
            <x v="3"/>
          </reference>
          <reference field="5" count="1">
            <x v="43"/>
          </reference>
        </references>
      </pivotArea>
    </format>
    <format dxfId="739">
      <pivotArea dataOnly="0" labelOnly="1" outline="0" fieldPosition="0">
        <references count="5">
          <reference field="0" count="1" selected="0">
            <x v="2"/>
          </reference>
          <reference field="1" count="1" selected="0">
            <x v="11"/>
          </reference>
          <reference field="2" count="1" selected="0">
            <x v="43"/>
          </reference>
          <reference field="4" count="1" selected="0">
            <x v="2"/>
          </reference>
          <reference field="5" count="1">
            <x v="103"/>
          </reference>
        </references>
      </pivotArea>
    </format>
    <format dxfId="738">
      <pivotArea dataOnly="0" labelOnly="1" outline="0" fieldPosition="0">
        <references count="5">
          <reference field="0" count="1" selected="0">
            <x v="2"/>
          </reference>
          <reference field="1" count="1" selected="0">
            <x v="11"/>
          </reference>
          <reference field="2" count="1" selected="0">
            <x v="64"/>
          </reference>
          <reference field="4" count="1" selected="0">
            <x v="2"/>
          </reference>
          <reference field="5" count="1">
            <x v="25"/>
          </reference>
        </references>
      </pivotArea>
    </format>
    <format dxfId="737">
      <pivotArea dataOnly="0" labelOnly="1" outline="0" fieldPosition="0">
        <references count="5">
          <reference field="0" count="1" selected="0">
            <x v="2"/>
          </reference>
          <reference field="1" count="1" selected="0">
            <x v="11"/>
          </reference>
          <reference field="2" count="1" selected="0">
            <x v="64"/>
          </reference>
          <reference field="4" count="1" selected="0">
            <x v="3"/>
          </reference>
          <reference field="5" count="1">
            <x v="31"/>
          </reference>
        </references>
      </pivotArea>
    </format>
    <format dxfId="736">
      <pivotArea dataOnly="0" labelOnly="1" outline="0" fieldPosition="0">
        <references count="5">
          <reference field="0" count="1" selected="0">
            <x v="2"/>
          </reference>
          <reference field="1" count="1" selected="0">
            <x v="11"/>
          </reference>
          <reference field="2" count="1" selected="0">
            <x v="67"/>
          </reference>
          <reference field="4" count="1" selected="0">
            <x v="1"/>
          </reference>
          <reference field="5" count="1">
            <x v="76"/>
          </reference>
        </references>
      </pivotArea>
    </format>
    <format dxfId="735">
      <pivotArea dataOnly="0" labelOnly="1" outline="0" fieldPosition="0">
        <references count="5">
          <reference field="0" count="1" selected="0">
            <x v="2"/>
          </reference>
          <reference field="1" count="1" selected="0">
            <x v="12"/>
          </reference>
          <reference field="2" count="1" selected="0">
            <x v="26"/>
          </reference>
          <reference field="4" count="1" selected="0">
            <x v="1"/>
          </reference>
          <reference field="5" count="1">
            <x v="121"/>
          </reference>
        </references>
      </pivotArea>
    </format>
    <format dxfId="734">
      <pivotArea dataOnly="0" labelOnly="1" outline="0" fieldPosition="0">
        <references count="5">
          <reference field="0" count="1" selected="0">
            <x v="2"/>
          </reference>
          <reference field="1" count="1" selected="0">
            <x v="12"/>
          </reference>
          <reference field="2" count="1" selected="0">
            <x v="27"/>
          </reference>
          <reference field="4" count="1" selected="0">
            <x v="0"/>
          </reference>
          <reference field="5" count="1">
            <x v="129"/>
          </reference>
        </references>
      </pivotArea>
    </format>
    <format dxfId="733">
      <pivotArea dataOnly="0" labelOnly="1" outline="0" fieldPosition="0">
        <references count="5">
          <reference field="0" count="1" selected="0">
            <x v="2"/>
          </reference>
          <reference field="1" count="1" selected="0">
            <x v="12"/>
          </reference>
          <reference field="2" count="1" selected="0">
            <x v="37"/>
          </reference>
          <reference field="4" count="1" selected="0">
            <x v="0"/>
          </reference>
          <reference field="5" count="1">
            <x v="12"/>
          </reference>
        </references>
      </pivotArea>
    </format>
    <format dxfId="732">
      <pivotArea dataOnly="0" labelOnly="1" outline="0" fieldPosition="0">
        <references count="5">
          <reference field="0" count="1" selected="0">
            <x v="2"/>
          </reference>
          <reference field="1" count="1" selected="0">
            <x v="12"/>
          </reference>
          <reference field="2" count="1" selected="0">
            <x v="37"/>
          </reference>
          <reference field="4" count="1" selected="0">
            <x v="3"/>
          </reference>
          <reference field="5" count="1">
            <x v="30"/>
          </reference>
        </references>
      </pivotArea>
    </format>
    <format dxfId="731">
      <pivotArea dataOnly="0" labelOnly="1" outline="0" fieldPosition="0">
        <references count="5">
          <reference field="0" count="1" selected="0">
            <x v="2"/>
          </reference>
          <reference field="1" count="1" selected="0">
            <x v="12"/>
          </reference>
          <reference field="2" count="1" selected="0">
            <x v="40"/>
          </reference>
          <reference field="4" count="1" selected="0">
            <x v="2"/>
          </reference>
          <reference field="5" count="1">
            <x v="136"/>
          </reference>
        </references>
      </pivotArea>
    </format>
    <format dxfId="730">
      <pivotArea dataOnly="0" labelOnly="1" outline="0" fieldPosition="0">
        <references count="5">
          <reference field="0" count="1" selected="0">
            <x v="2"/>
          </reference>
          <reference field="1" count="1" selected="0">
            <x v="12"/>
          </reference>
          <reference field="2" count="1" selected="0">
            <x v="89"/>
          </reference>
          <reference field="4" count="1" selected="0">
            <x v="2"/>
          </reference>
          <reference field="5" count="1">
            <x v="75"/>
          </reference>
        </references>
      </pivotArea>
    </format>
    <format dxfId="729">
      <pivotArea dataOnly="0" labelOnly="1" outline="0" fieldPosition="0">
        <references count="5">
          <reference field="0" count="1" selected="0">
            <x v="2"/>
          </reference>
          <reference field="1" count="1" selected="0">
            <x v="12"/>
          </reference>
          <reference field="2" count="1" selected="0">
            <x v="93"/>
          </reference>
          <reference field="4" count="1" selected="0">
            <x v="1"/>
          </reference>
          <reference field="5" count="1">
            <x v="111"/>
          </reference>
        </references>
      </pivotArea>
    </format>
    <format dxfId="728">
      <pivotArea dataOnly="0" labelOnly="1" outline="0" fieldPosition="0">
        <references count="5">
          <reference field="0" count="1" selected="0">
            <x v="2"/>
          </reference>
          <reference field="1" count="1" selected="0">
            <x v="12"/>
          </reference>
          <reference field="2" count="1" selected="0">
            <x v="94"/>
          </reference>
          <reference field="4" count="1" selected="0">
            <x v="1"/>
          </reference>
          <reference field="5" count="1">
            <x v="91"/>
          </reference>
        </references>
      </pivotArea>
    </format>
    <format dxfId="727">
      <pivotArea dataOnly="0" labelOnly="1" outline="0" fieldPosition="0">
        <references count="5">
          <reference field="0" count="1" selected="0">
            <x v="2"/>
          </reference>
          <reference field="1" count="1" selected="0">
            <x v="14"/>
          </reference>
          <reference field="2" count="1" selected="0">
            <x v="25"/>
          </reference>
          <reference field="4" count="1" selected="0">
            <x v="2"/>
          </reference>
          <reference field="5" count="1">
            <x v="88"/>
          </reference>
        </references>
      </pivotArea>
    </format>
    <format dxfId="726">
      <pivotArea dataOnly="0" labelOnly="1" outline="0" fieldPosition="0">
        <references count="5">
          <reference field="0" count="1" selected="0">
            <x v="2"/>
          </reference>
          <reference field="1" count="1" selected="0">
            <x v="14"/>
          </reference>
          <reference field="2" count="1" selected="0">
            <x v="72"/>
          </reference>
          <reference field="4" count="1" selected="0">
            <x v="2"/>
          </reference>
          <reference field="5" count="1">
            <x v="89"/>
          </reference>
        </references>
      </pivotArea>
    </format>
    <format dxfId="725">
      <pivotArea dataOnly="0" labelOnly="1" outline="0" fieldPosition="0">
        <references count="5">
          <reference field="0" count="1" selected="0">
            <x v="2"/>
          </reference>
          <reference field="1" count="1" selected="0">
            <x v="15"/>
          </reference>
          <reference field="2" count="1" selected="0">
            <x v="42"/>
          </reference>
          <reference field="4" count="1" selected="0">
            <x v="1"/>
          </reference>
          <reference field="5" count="1">
            <x v="105"/>
          </reference>
        </references>
      </pivotArea>
    </format>
    <format dxfId="724">
      <pivotArea dataOnly="0" labelOnly="1" outline="0" fieldPosition="0">
        <references count="5">
          <reference field="0" count="1" selected="0">
            <x v="2"/>
          </reference>
          <reference field="1" count="1" selected="0">
            <x v="15"/>
          </reference>
          <reference field="2" count="1" selected="0">
            <x v="46"/>
          </reference>
          <reference field="4" count="1" selected="0">
            <x v="2"/>
          </reference>
          <reference field="5" count="1">
            <x v="104"/>
          </reference>
        </references>
      </pivotArea>
    </format>
    <format dxfId="723">
      <pivotArea dataOnly="0" labelOnly="1" outline="0" fieldPosition="0">
        <references count="5">
          <reference field="0" count="1" selected="0">
            <x v="2"/>
          </reference>
          <reference field="1" count="1" selected="0">
            <x v="15"/>
          </reference>
          <reference field="2" count="1" selected="0">
            <x v="51"/>
          </reference>
          <reference field="4" count="1" selected="0">
            <x v="1"/>
          </reference>
          <reference field="5" count="1">
            <x v="105"/>
          </reference>
        </references>
      </pivotArea>
    </format>
    <format dxfId="722">
      <pivotArea dataOnly="0" labelOnly="1" outline="0" fieldPosition="0">
        <references count="5">
          <reference field="0" count="1" selected="0">
            <x v="2"/>
          </reference>
          <reference field="1" count="1" selected="0">
            <x v="15"/>
          </reference>
          <reference field="2" count="1" selected="0">
            <x v="52"/>
          </reference>
          <reference field="4" count="1" selected="0">
            <x v="2"/>
          </reference>
          <reference field="5" count="1">
            <x v="28"/>
          </reference>
        </references>
      </pivotArea>
    </format>
    <format dxfId="721">
      <pivotArea dataOnly="0" labelOnly="1" outline="0" fieldPosition="0">
        <references count="5">
          <reference field="0" count="1" selected="0">
            <x v="2"/>
          </reference>
          <reference field="1" count="1" selected="0">
            <x v="15"/>
          </reference>
          <reference field="2" count="1" selected="0">
            <x v="53"/>
          </reference>
          <reference field="4" count="1" selected="0">
            <x v="0"/>
          </reference>
          <reference field="5" count="1">
            <x v="128"/>
          </reference>
        </references>
      </pivotArea>
    </format>
    <format dxfId="720">
      <pivotArea dataOnly="0" labelOnly="1" outline="0" fieldPosition="0">
        <references count="5">
          <reference field="0" count="1" selected="0">
            <x v="2"/>
          </reference>
          <reference field="1" count="1" selected="0">
            <x v="15"/>
          </reference>
          <reference field="2" count="1" selected="0">
            <x v="58"/>
          </reference>
          <reference field="4" count="1" selected="0">
            <x v="2"/>
          </reference>
          <reference field="5" count="1">
            <x v="15"/>
          </reference>
        </references>
      </pivotArea>
    </format>
    <format dxfId="719">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718">
      <pivotArea dataOnly="0" labelOnly="1" outline="0" fieldPosition="0">
        <references count="5">
          <reference field="0" count="1" selected="0">
            <x v="2"/>
          </reference>
          <reference field="1" count="1" selected="0">
            <x v="15"/>
          </reference>
          <reference field="2" count="1" selected="0">
            <x v="61"/>
          </reference>
          <reference field="4" count="1" selected="0">
            <x v="3"/>
          </reference>
          <reference field="5" count="2">
            <x v="42"/>
            <x v="58"/>
          </reference>
        </references>
      </pivotArea>
    </format>
    <format dxfId="717">
      <pivotArea dataOnly="0" labelOnly="1" outline="0" fieldPosition="0">
        <references count="5">
          <reference field="0" count="1" selected="0">
            <x v="2"/>
          </reference>
          <reference field="1" count="1" selected="0">
            <x v="15"/>
          </reference>
          <reference field="2" count="1" selected="0">
            <x v="63"/>
          </reference>
          <reference field="4" count="1" selected="0">
            <x v="1"/>
          </reference>
          <reference field="5" count="1">
            <x v="120"/>
          </reference>
        </references>
      </pivotArea>
    </format>
    <format dxfId="716">
      <pivotArea dataOnly="0" labelOnly="1" outline="0" fieldPosition="0">
        <references count="5">
          <reference field="0" count="1" selected="0">
            <x v="2"/>
          </reference>
          <reference field="1" count="1" selected="0">
            <x v="15"/>
          </reference>
          <reference field="2" count="1" selected="0">
            <x v="87"/>
          </reference>
          <reference field="4" count="1" selected="0">
            <x v="2"/>
          </reference>
          <reference field="5" count="1">
            <x v="114"/>
          </reference>
        </references>
      </pivotArea>
    </format>
    <format dxfId="715">
      <pivotArea dataOnly="0" labelOnly="1" outline="0" fieldPosition="0">
        <references count="6">
          <reference field="0" count="1" selected="0">
            <x v="0"/>
          </reference>
          <reference field="1" count="1" selected="0">
            <x v="13"/>
          </reference>
          <reference field="2" count="1" selected="0">
            <x v="0"/>
          </reference>
          <reference field="4" count="1" selected="0">
            <x v="3"/>
          </reference>
          <reference field="5" count="1" selected="0">
            <x v="82"/>
          </reference>
          <reference field="6" count="1">
            <x v="14"/>
          </reference>
        </references>
      </pivotArea>
    </format>
    <format dxfId="714">
      <pivotArea dataOnly="0" labelOnly="1" outline="0" fieldPosition="0">
        <references count="6">
          <reference field="0" count="1" selected="0">
            <x v="1"/>
          </reference>
          <reference field="1" count="1" selected="0">
            <x v="5"/>
          </reference>
          <reference field="2" count="1" selected="0">
            <x v="71"/>
          </reference>
          <reference field="4" count="1" selected="0">
            <x v="3"/>
          </reference>
          <reference field="5" count="1" selected="0">
            <x v="110"/>
          </reference>
          <reference field="6" count="1">
            <x v="1"/>
          </reference>
        </references>
      </pivotArea>
    </format>
    <format dxfId="713">
      <pivotArea dataOnly="0" labelOnly="1" outline="0" fieldPosition="0">
        <references count="6">
          <reference field="0" count="1" selected="0">
            <x v="1"/>
          </reference>
          <reference field="1" count="1" selected="0">
            <x v="5"/>
          </reference>
          <reference field="2" count="1" selected="0">
            <x v="76"/>
          </reference>
          <reference field="4" count="1" selected="0">
            <x v="3"/>
          </reference>
          <reference field="5" count="1" selected="0">
            <x v="17"/>
          </reference>
          <reference field="6" count="1">
            <x v="1"/>
          </reference>
        </references>
      </pivotArea>
    </format>
    <format dxfId="712">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8"/>
          </reference>
          <reference field="6" count="1">
            <x v="6"/>
          </reference>
        </references>
      </pivotArea>
    </format>
    <format dxfId="711">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118"/>
          </reference>
          <reference field="6" count="1">
            <x v="12"/>
          </reference>
        </references>
      </pivotArea>
    </format>
    <format dxfId="710">
      <pivotArea dataOnly="0" labelOnly="1" outline="0" fieldPosition="0">
        <references count="6">
          <reference field="0" count="1" selected="0">
            <x v="1"/>
          </reference>
          <reference field="1" count="1" selected="0">
            <x v="7"/>
          </reference>
          <reference field="2" count="1" selected="0">
            <x v="32"/>
          </reference>
          <reference field="4" count="1" selected="0">
            <x v="3"/>
          </reference>
          <reference field="5" count="1" selected="0">
            <x v="134"/>
          </reference>
          <reference field="6" count="1">
            <x v="6"/>
          </reference>
        </references>
      </pivotArea>
    </format>
    <format dxfId="709">
      <pivotArea dataOnly="0" labelOnly="1" outline="0" fieldPosition="0">
        <references count="6">
          <reference field="0" count="1" selected="0">
            <x v="1"/>
          </reference>
          <reference field="1" count="1" selected="0">
            <x v="7"/>
          </reference>
          <reference field="2" count="1" selected="0">
            <x v="47"/>
          </reference>
          <reference field="4" count="1" selected="0">
            <x v="3"/>
          </reference>
          <reference field="5" count="1" selected="0">
            <x v="86"/>
          </reference>
          <reference field="6" count="1">
            <x v="0"/>
          </reference>
        </references>
      </pivotArea>
    </format>
    <format dxfId="708">
      <pivotArea dataOnly="0" labelOnly="1" outline="0" fieldPosition="0">
        <references count="6">
          <reference field="0" count="1" selected="0">
            <x v="1"/>
          </reference>
          <reference field="1" count="1" selected="0">
            <x v="7"/>
          </reference>
          <reference field="2" count="1" selected="0">
            <x v="97"/>
          </reference>
          <reference field="4" count="1" selected="0">
            <x v="3"/>
          </reference>
          <reference field="5" count="1" selected="0">
            <x v="79"/>
          </reference>
          <reference field="6" count="1">
            <x v="6"/>
          </reference>
        </references>
      </pivotArea>
    </format>
    <format dxfId="707">
      <pivotArea dataOnly="0" labelOnly="1" outline="0" fieldPosition="0">
        <references count="6">
          <reference field="0" count="1" selected="0">
            <x v="1"/>
          </reference>
          <reference field="1" count="1" selected="0">
            <x v="9"/>
          </reference>
          <reference field="2" count="1" selected="0">
            <x v="49"/>
          </reference>
          <reference field="4" count="1" selected="0">
            <x v="3"/>
          </reference>
          <reference field="5" count="1" selected="0">
            <x v="83"/>
          </reference>
          <reference field="6" count="1">
            <x v="2"/>
          </reference>
        </references>
      </pivotArea>
    </format>
    <format dxfId="706">
      <pivotArea dataOnly="0" labelOnly="1" outline="0" fieldPosition="0">
        <references count="6">
          <reference field="0" count="1" selected="0">
            <x v="1"/>
          </reference>
          <reference field="1" count="1" selected="0">
            <x v="9"/>
          </reference>
          <reference field="2" count="1" selected="0">
            <x v="54"/>
          </reference>
          <reference field="4" count="1" selected="0">
            <x v="3"/>
          </reference>
          <reference field="5" count="1" selected="0">
            <x v="131"/>
          </reference>
          <reference field="6" count="1">
            <x v="18"/>
          </reference>
        </references>
      </pivotArea>
    </format>
    <format dxfId="705">
      <pivotArea dataOnly="0" labelOnly="1" outline="0" fieldPosition="0">
        <references count="6">
          <reference field="0" count="1" selected="0">
            <x v="1"/>
          </reference>
          <reference field="1" count="1" selected="0">
            <x v="9"/>
          </reference>
          <reference field="2" count="1" selected="0">
            <x v="70"/>
          </reference>
          <reference field="4" count="1" selected="0">
            <x v="3"/>
          </reference>
          <reference field="5" count="1" selected="0">
            <x v="78"/>
          </reference>
          <reference field="6" count="1">
            <x v="1"/>
          </reference>
        </references>
      </pivotArea>
    </format>
    <format dxfId="704">
      <pivotArea dataOnly="0" labelOnly="1" outline="0" fieldPosition="0">
        <references count="6">
          <reference field="0" count="1" selected="0">
            <x v="1"/>
          </reference>
          <reference field="1" count="1" selected="0">
            <x v="9"/>
          </reference>
          <reference field="2" count="1" selected="0">
            <x v="73"/>
          </reference>
          <reference field="4" count="1" selected="0">
            <x v="3"/>
          </reference>
          <reference field="5" count="1" selected="0">
            <x v="81"/>
          </reference>
          <reference field="6" count="1">
            <x v="2"/>
          </reference>
        </references>
      </pivotArea>
    </format>
    <format dxfId="703">
      <pivotArea dataOnly="0" labelOnly="1" outline="0" fieldPosition="0">
        <references count="6">
          <reference field="0" count="1" selected="0">
            <x v="1"/>
          </reference>
          <reference field="1" count="1" selected="0">
            <x v="9"/>
          </reference>
          <reference field="2" count="1" selected="0">
            <x v="82"/>
          </reference>
          <reference field="4" count="1" selected="0">
            <x v="3"/>
          </reference>
          <reference field="5" count="1" selected="0">
            <x v="13"/>
          </reference>
          <reference field="6" count="1">
            <x v="18"/>
          </reference>
        </references>
      </pivotArea>
    </format>
    <format dxfId="702">
      <pivotArea dataOnly="0" labelOnly="1" outline="0" fieldPosition="0">
        <references count="6">
          <reference field="0" count="1" selected="0">
            <x v="1"/>
          </reference>
          <reference field="1" count="1" selected="0">
            <x v="9"/>
          </reference>
          <reference field="2" count="1" selected="0">
            <x v="92"/>
          </reference>
          <reference field="4" count="1" selected="0">
            <x v="3"/>
          </reference>
          <reference field="5" count="1" selected="0">
            <x v="132"/>
          </reference>
          <reference field="6" count="1">
            <x v="1"/>
          </reference>
        </references>
      </pivotArea>
    </format>
    <format dxfId="701">
      <pivotArea dataOnly="0" labelOnly="1" outline="0" fieldPosition="0">
        <references count="6">
          <reference field="0" count="1" selected="0">
            <x v="1"/>
          </reference>
          <reference field="1" count="1" selected="0">
            <x v="9"/>
          </reference>
          <reference field="2" count="1" selected="0">
            <x v="97"/>
          </reference>
          <reference field="4" count="1" selected="0">
            <x v="3"/>
          </reference>
          <reference field="5" count="1" selected="0">
            <x v="40"/>
          </reference>
          <reference field="6" count="1">
            <x v="2"/>
          </reference>
        </references>
      </pivotArea>
    </format>
    <format dxfId="700">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699">
      <pivotArea dataOnly="0" labelOnly="1" outline="0" fieldPosition="0">
        <references count="6">
          <reference field="0" count="1" selected="0">
            <x v="2"/>
          </reference>
          <reference field="1" count="1" selected="0">
            <x v="0"/>
          </reference>
          <reference field="2" count="1" selected="0">
            <x v="80"/>
          </reference>
          <reference field="4" count="1" selected="0">
            <x v="3"/>
          </reference>
          <reference field="5" count="1" selected="0">
            <x v="60"/>
          </reference>
          <reference field="6" count="1">
            <x v="14"/>
          </reference>
        </references>
      </pivotArea>
    </format>
    <format dxfId="698">
      <pivotArea dataOnly="0" labelOnly="1" outline="0" fieldPosition="0">
        <references count="6">
          <reference field="0" count="1" selected="0">
            <x v="2"/>
          </reference>
          <reference field="1" count="1" selected="0">
            <x v="0"/>
          </reference>
          <reference field="2" count="1" selected="0">
            <x v="90"/>
          </reference>
          <reference field="4" count="1" selected="0">
            <x v="1"/>
          </reference>
          <reference field="5" count="1" selected="0">
            <x v="93"/>
          </reference>
          <reference field="6" count="1">
            <x v="11"/>
          </reference>
        </references>
      </pivotArea>
    </format>
    <format dxfId="697">
      <pivotArea dataOnly="0" labelOnly="1" outline="0" fieldPosition="0">
        <references count="6">
          <reference field="0" count="1" selected="0">
            <x v="2"/>
          </reference>
          <reference field="1" count="1" selected="0">
            <x v="1"/>
          </reference>
          <reference field="2" count="1" selected="0">
            <x v="38"/>
          </reference>
          <reference field="4" count="1" selected="0">
            <x v="2"/>
          </reference>
          <reference field="5" count="1" selected="0">
            <x v="4"/>
          </reference>
          <reference field="6" count="1">
            <x v="12"/>
          </reference>
        </references>
      </pivotArea>
    </format>
    <format dxfId="696">
      <pivotArea dataOnly="0" labelOnly="1" outline="0" fieldPosition="0">
        <references count="6">
          <reference field="0" count="1" selected="0">
            <x v="2"/>
          </reference>
          <reference field="1" count="1" selected="0">
            <x v="2"/>
          </reference>
          <reference field="2" count="1" selected="0">
            <x v="38"/>
          </reference>
          <reference field="4" count="1" selected="0">
            <x v="0"/>
          </reference>
          <reference field="5" count="1" selected="0">
            <x v="96"/>
          </reference>
          <reference field="6" count="1">
            <x v="12"/>
          </reference>
        </references>
      </pivotArea>
    </format>
    <format dxfId="695">
      <pivotArea dataOnly="0" labelOnly="1" outline="0" fieldPosition="0">
        <references count="6">
          <reference field="0" count="1" selected="0">
            <x v="2"/>
          </reference>
          <reference field="1" count="1" selected="0">
            <x v="2"/>
          </reference>
          <reference field="2" count="1" selected="0">
            <x v="59"/>
          </reference>
          <reference field="4" count="1" selected="0">
            <x v="2"/>
          </reference>
          <reference field="5" count="1" selected="0">
            <x v="27"/>
          </reference>
          <reference field="6" count="1">
            <x v="1"/>
          </reference>
        </references>
      </pivotArea>
    </format>
    <format dxfId="694">
      <pivotArea dataOnly="0" labelOnly="1" outline="0" fieldPosition="0">
        <references count="6">
          <reference field="0" count="1" selected="0">
            <x v="2"/>
          </reference>
          <reference field="1" count="1" selected="0">
            <x v="3"/>
          </reference>
          <reference field="2" count="1" selected="0">
            <x v="30"/>
          </reference>
          <reference field="4" count="1" selected="0">
            <x v="2"/>
          </reference>
          <reference field="5" count="1" selected="0">
            <x v="19"/>
          </reference>
          <reference field="6" count="1">
            <x v="15"/>
          </reference>
        </references>
      </pivotArea>
    </format>
    <format dxfId="693">
      <pivotArea dataOnly="0" labelOnly="1" outline="0" fieldPosition="0">
        <references count="6">
          <reference field="0" count="1" selected="0">
            <x v="2"/>
          </reference>
          <reference field="1" count="1" selected="0">
            <x v="3"/>
          </reference>
          <reference field="2" count="1" selected="0">
            <x v="30"/>
          </reference>
          <reference field="4" count="1" selected="0">
            <x v="3"/>
          </reference>
          <reference field="5" count="1" selected="0">
            <x v="34"/>
          </reference>
          <reference field="6" count="1">
            <x v="12"/>
          </reference>
        </references>
      </pivotArea>
    </format>
    <format dxfId="692">
      <pivotArea dataOnly="0" labelOnly="1" outline="0" fieldPosition="0">
        <references count="6">
          <reference field="0" count="1" selected="0">
            <x v="2"/>
          </reference>
          <reference field="1" count="1" selected="0">
            <x v="3"/>
          </reference>
          <reference field="2" count="1" selected="0">
            <x v="56"/>
          </reference>
          <reference field="4" count="1" selected="0">
            <x v="2"/>
          </reference>
          <reference field="5" count="1" selected="0">
            <x v="29"/>
          </reference>
          <reference field="6" count="1">
            <x v="20"/>
          </reference>
        </references>
      </pivotArea>
    </format>
    <format dxfId="691">
      <pivotArea dataOnly="0" labelOnly="1" outline="0" fieldPosition="0">
        <references count="6">
          <reference field="0" count="1" selected="0">
            <x v="2"/>
          </reference>
          <reference field="1" count="1" selected="0">
            <x v="3"/>
          </reference>
          <reference field="2" count="1" selected="0">
            <x v="56"/>
          </reference>
          <reference field="4" count="1" selected="0">
            <x v="3"/>
          </reference>
          <reference field="5" count="1" selected="0">
            <x v="50"/>
          </reference>
          <reference field="6" count="1">
            <x v="12"/>
          </reference>
        </references>
      </pivotArea>
    </format>
    <format dxfId="690">
      <pivotArea dataOnly="0" labelOnly="1" outline="0" fieldPosition="0">
        <references count="6">
          <reference field="0" count="1" selected="0">
            <x v="2"/>
          </reference>
          <reference field="1" count="1" selected="0">
            <x v="4"/>
          </reference>
          <reference field="2" count="1" selected="0">
            <x v="31"/>
          </reference>
          <reference field="4" count="1" selected="0">
            <x v="2"/>
          </reference>
          <reference field="5" count="1" selected="0">
            <x v="97"/>
          </reference>
          <reference field="6" count="1">
            <x v="6"/>
          </reference>
        </references>
      </pivotArea>
    </format>
    <format dxfId="689">
      <pivotArea dataOnly="0" labelOnly="1" outline="0" fieldPosition="0">
        <references count="6">
          <reference field="0" count="1" selected="0">
            <x v="2"/>
          </reference>
          <reference field="1" count="1" selected="0">
            <x v="4"/>
          </reference>
          <reference field="2" count="1" selected="0">
            <x v="35"/>
          </reference>
          <reference field="4" count="1" selected="0">
            <x v="1"/>
          </reference>
          <reference field="5" count="1" selected="0">
            <x v="14"/>
          </reference>
          <reference field="6" count="1">
            <x v="9"/>
          </reference>
        </references>
      </pivotArea>
    </format>
    <format dxfId="688">
      <pivotArea dataOnly="0" labelOnly="1" outline="0" fieldPosition="0">
        <references count="6">
          <reference field="0" count="1" selected="0">
            <x v="2"/>
          </reference>
          <reference field="1" count="1" selected="0">
            <x v="4"/>
          </reference>
          <reference field="2" count="1" selected="0">
            <x v="36"/>
          </reference>
          <reference field="4" count="1" selected="0">
            <x v="2"/>
          </reference>
          <reference field="5" count="1" selected="0">
            <x v="20"/>
          </reference>
          <reference field="6" count="1">
            <x v="15"/>
          </reference>
        </references>
      </pivotArea>
    </format>
    <format dxfId="687">
      <pivotArea dataOnly="0" labelOnly="1" outline="0" fieldPosition="0">
        <references count="6">
          <reference field="0" count="1" selected="0">
            <x v="2"/>
          </reference>
          <reference field="1" count="1" selected="0">
            <x v="4"/>
          </reference>
          <reference field="2" count="1" selected="0">
            <x v="48"/>
          </reference>
          <reference field="4" count="1" selected="0">
            <x v="1"/>
          </reference>
          <reference field="5" count="1" selected="0">
            <x v="21"/>
          </reference>
          <reference field="6" count="1">
            <x v="6"/>
          </reference>
        </references>
      </pivotArea>
    </format>
    <format dxfId="686">
      <pivotArea dataOnly="0" labelOnly="1" outline="0" fieldPosition="0">
        <references count="6">
          <reference field="0" count="1" selected="0">
            <x v="2"/>
          </reference>
          <reference field="1" count="1" selected="0">
            <x v="4"/>
          </reference>
          <reference field="2" count="1" selected="0">
            <x v="48"/>
          </reference>
          <reference field="4" count="1" selected="0">
            <x v="3"/>
          </reference>
          <reference field="5" count="1" selected="0">
            <x v="39"/>
          </reference>
          <reference field="6" count="1">
            <x v="9"/>
          </reference>
        </references>
      </pivotArea>
    </format>
    <format dxfId="685">
      <pivotArea dataOnly="0" labelOnly="1" outline="0" fieldPosition="0">
        <references count="6">
          <reference field="0" count="1" selected="0">
            <x v="2"/>
          </reference>
          <reference field="1" count="1" selected="0">
            <x v="4"/>
          </reference>
          <reference field="2" count="1" selected="0">
            <x v="50"/>
          </reference>
          <reference field="4" count="1" selected="0">
            <x v="1"/>
          </reference>
          <reference field="5" count="1" selected="0">
            <x v="137"/>
          </reference>
          <reference field="6" count="1">
            <x v="17"/>
          </reference>
        </references>
      </pivotArea>
    </format>
    <format dxfId="684">
      <pivotArea dataOnly="0" labelOnly="1" outline="0" fieldPosition="0">
        <references count="6">
          <reference field="0" count="1" selected="0">
            <x v="2"/>
          </reference>
          <reference field="1" count="1" selected="0">
            <x v="4"/>
          </reference>
          <reference field="2" count="1" selected="0">
            <x v="84"/>
          </reference>
          <reference field="4" count="1" selected="0">
            <x v="2"/>
          </reference>
          <reference field="5" count="1" selected="0">
            <x v="106"/>
          </reference>
          <reference field="6" count="1">
            <x v="16"/>
          </reference>
        </references>
      </pivotArea>
    </format>
    <format dxfId="683">
      <pivotArea dataOnly="0" labelOnly="1" outline="0" fieldPosition="0">
        <references count="6">
          <reference field="0" count="1" selected="0">
            <x v="2"/>
          </reference>
          <reference field="1" count="1" selected="0">
            <x v="4"/>
          </reference>
          <reference field="2" count="1" selected="0">
            <x v="88"/>
          </reference>
          <reference field="4" count="1" selected="0">
            <x v="0"/>
          </reference>
          <reference field="5" count="1" selected="0">
            <x v="6"/>
          </reference>
          <reference field="6" count="1">
            <x v="9"/>
          </reference>
        </references>
      </pivotArea>
    </format>
    <format dxfId="682">
      <pivotArea dataOnly="0" labelOnly="1" outline="0" fieldPosition="0">
        <references count="6">
          <reference field="0" count="1" selected="0">
            <x v="2"/>
          </reference>
          <reference field="1" count="1" selected="0">
            <x v="4"/>
          </reference>
          <reference field="2" count="1" selected="0">
            <x v="88"/>
          </reference>
          <reference field="4" count="1" selected="0">
            <x v="3"/>
          </reference>
          <reference field="5" count="1" selected="0">
            <x v="37"/>
          </reference>
          <reference field="6" count="1">
            <x v="15"/>
          </reference>
        </references>
      </pivotArea>
    </format>
    <format dxfId="681">
      <pivotArea dataOnly="0" labelOnly="1" outline="0" fieldPosition="0">
        <references count="6">
          <reference field="0" count="1" selected="0">
            <x v="2"/>
          </reference>
          <reference field="1" count="1" selected="0">
            <x v="4"/>
          </reference>
          <reference field="2" count="1" selected="0">
            <x v="91"/>
          </reference>
          <reference field="4" count="1" selected="0">
            <x v="1"/>
          </reference>
          <reference field="5" count="1" selected="0">
            <x v="108"/>
          </reference>
          <reference field="6" count="1">
            <x v="16"/>
          </reference>
        </references>
      </pivotArea>
    </format>
    <format dxfId="680">
      <pivotArea dataOnly="0" labelOnly="1" outline="0" fieldPosition="0">
        <references count="6">
          <reference field="0" count="1" selected="0">
            <x v="2"/>
          </reference>
          <reference field="1" count="1" selected="0">
            <x v="6"/>
          </reference>
          <reference field="2" count="1" selected="0">
            <x v="85"/>
          </reference>
          <reference field="4" count="1" selected="0">
            <x v="3"/>
          </reference>
          <reference field="5" count="1" selected="0">
            <x v="18"/>
          </reference>
          <reference field="6" count="1">
            <x v="6"/>
          </reference>
        </references>
      </pivotArea>
    </format>
    <format dxfId="679">
      <pivotArea dataOnly="0" labelOnly="1" outline="0" fieldPosition="0">
        <references count="6">
          <reference field="0" count="1" selected="0">
            <x v="2"/>
          </reference>
          <reference field="1" count="1" selected="0">
            <x v="8"/>
          </reference>
          <reference field="2" count="1" selected="0">
            <x v="28"/>
          </reference>
          <reference field="4" count="1" selected="0">
            <x v="2"/>
          </reference>
          <reference field="5" count="1" selected="0">
            <x v="5"/>
          </reference>
          <reference field="6" count="1">
            <x v="14"/>
          </reference>
        </references>
      </pivotArea>
    </format>
    <format dxfId="678">
      <pivotArea dataOnly="0" labelOnly="1" outline="0" fieldPosition="0">
        <references count="6">
          <reference field="0" count="1" selected="0">
            <x v="2"/>
          </reference>
          <reference field="1" count="1" selected="0">
            <x v="8"/>
          </reference>
          <reference field="2" count="1" selected="0">
            <x v="29"/>
          </reference>
          <reference field="4" count="1" selected="0">
            <x v="2"/>
          </reference>
          <reference field="5" count="1" selected="0">
            <x v="24"/>
          </reference>
          <reference field="6" count="1">
            <x v="19"/>
          </reference>
        </references>
      </pivotArea>
    </format>
    <format dxfId="677">
      <pivotArea dataOnly="0" labelOnly="1" outline="0" fieldPosition="0">
        <references count="6">
          <reference field="0" count="1" selected="0">
            <x v="2"/>
          </reference>
          <reference field="1" count="1" selected="0">
            <x v="8"/>
          </reference>
          <reference field="2" count="1" selected="0">
            <x v="45"/>
          </reference>
          <reference field="4" count="1" selected="0">
            <x v="2"/>
          </reference>
          <reference field="5" count="1" selected="0">
            <x v="0"/>
          </reference>
          <reference field="6" count="1">
            <x v="10"/>
          </reference>
        </references>
      </pivotArea>
    </format>
    <format dxfId="676">
      <pivotArea dataOnly="0" labelOnly="1" outline="0" fieldPosition="0">
        <references count="6">
          <reference field="0" count="1" selected="0">
            <x v="2"/>
          </reference>
          <reference field="1" count="1" selected="0">
            <x v="8"/>
          </reference>
          <reference field="2" count="1" selected="0">
            <x v="78"/>
          </reference>
          <reference field="4" count="1" selected="0">
            <x v="2"/>
          </reference>
          <reference field="5" count="1" selected="0">
            <x v="22"/>
          </reference>
          <reference field="6" count="1">
            <x v="1"/>
          </reference>
        </references>
      </pivotArea>
    </format>
    <format dxfId="675">
      <pivotArea dataOnly="0" labelOnly="1" outline="0" fieldPosition="0">
        <references count="6">
          <reference field="0" count="1" selected="0">
            <x v="2"/>
          </reference>
          <reference field="1" count="1" selected="0">
            <x v="10"/>
          </reference>
          <reference field="2" count="1" selected="0">
            <x v="24"/>
          </reference>
          <reference field="4" count="1" selected="0">
            <x v="2"/>
          </reference>
          <reference field="5" count="1" selected="0">
            <x v="107"/>
          </reference>
          <reference field="6" count="1">
            <x v="7"/>
          </reference>
        </references>
      </pivotArea>
    </format>
    <format dxfId="674">
      <pivotArea dataOnly="0" labelOnly="1" outline="0" fieldPosition="0">
        <references count="6">
          <reference field="0" count="1" selected="0">
            <x v="2"/>
          </reference>
          <reference field="1" count="1" selected="0">
            <x v="10"/>
          </reference>
          <reference field="2" count="1" selected="0">
            <x v="34"/>
          </reference>
          <reference field="4" count="1" selected="0">
            <x v="2"/>
          </reference>
          <reference field="5" count="1" selected="0">
            <x v="3"/>
          </reference>
          <reference field="6" count="1">
            <x v="3"/>
          </reference>
        </references>
      </pivotArea>
    </format>
    <format dxfId="673">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32"/>
          </reference>
          <reference field="6" count="1">
            <x v="7"/>
          </reference>
        </references>
      </pivotArea>
    </format>
    <format dxfId="672">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56"/>
          </reference>
          <reference field="6" count="1">
            <x v="4"/>
          </reference>
        </references>
      </pivotArea>
    </format>
    <format dxfId="671">
      <pivotArea dataOnly="0" labelOnly="1" outline="0" fieldPosition="0">
        <references count="6">
          <reference field="0" count="1" selected="0">
            <x v="2"/>
          </reference>
          <reference field="1" count="1" selected="0">
            <x v="10"/>
          </reference>
          <reference field="2" count="1" selected="0">
            <x v="39"/>
          </reference>
          <reference field="4" count="1" selected="0">
            <x v="2"/>
          </reference>
          <reference field="5" count="1" selected="0">
            <x v="124"/>
          </reference>
          <reference field="6" count="1">
            <x v="7"/>
          </reference>
        </references>
      </pivotArea>
    </format>
    <format dxfId="670">
      <pivotArea dataOnly="0" labelOnly="1" outline="0" fieldPosition="0">
        <references count="6">
          <reference field="0" count="1" selected="0">
            <x v="2"/>
          </reference>
          <reference field="1" count="1" selected="0">
            <x v="10"/>
          </reference>
          <reference field="2" count="1" selected="0">
            <x v="44"/>
          </reference>
          <reference field="4" count="1" selected="0">
            <x v="2"/>
          </reference>
          <reference field="5" count="1" selected="0">
            <x v="123"/>
          </reference>
          <reference field="6" count="1">
            <x v="7"/>
          </reference>
        </references>
      </pivotArea>
    </format>
    <format dxfId="669">
      <pivotArea dataOnly="0" labelOnly="1" outline="0" fieldPosition="0">
        <references count="6">
          <reference field="0" count="1" selected="0">
            <x v="2"/>
          </reference>
          <reference field="1" count="1" selected="0">
            <x v="10"/>
          </reference>
          <reference field="2" count="1" selected="0">
            <x v="74"/>
          </reference>
          <reference field="4" count="1" selected="0">
            <x v="2"/>
          </reference>
          <reference field="5" count="1" selected="0">
            <x v="73"/>
          </reference>
          <reference field="6" count="1">
            <x v="3"/>
          </reference>
        </references>
      </pivotArea>
    </format>
    <format dxfId="668">
      <pivotArea dataOnly="0" labelOnly="1" outline="0" fieldPosition="0">
        <references count="6">
          <reference field="0" count="1" selected="0">
            <x v="2"/>
          </reference>
          <reference field="1" count="1" selected="0">
            <x v="10"/>
          </reference>
          <reference field="2" count="1" selected="0">
            <x v="77"/>
          </reference>
          <reference field="4" count="1" selected="0">
            <x v="2"/>
          </reference>
          <reference field="5" count="1" selected="0">
            <x v="135"/>
          </reference>
          <reference field="6" count="1">
            <x v="7"/>
          </reference>
        </references>
      </pivotArea>
    </format>
    <format dxfId="667">
      <pivotArea dataOnly="0" labelOnly="1" outline="0" fieldPosition="0">
        <references count="6">
          <reference field="0" count="1" selected="0">
            <x v="2"/>
          </reference>
          <reference field="1" count="1" selected="0">
            <x v="10"/>
          </reference>
          <reference field="2" count="1" selected="0">
            <x v="86"/>
          </reference>
          <reference field="4" count="1" selected="0">
            <x v="2"/>
          </reference>
          <reference field="5" count="1" selected="0">
            <x v="16"/>
          </reference>
          <reference field="6" count="1">
            <x v="14"/>
          </reference>
        </references>
      </pivotArea>
    </format>
    <format dxfId="666">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33"/>
          </reference>
          <reference field="6" count="1">
            <x v="5"/>
          </reference>
        </references>
      </pivotArea>
    </format>
    <format dxfId="665">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53"/>
          </reference>
          <reference field="6" count="1">
            <x v="13"/>
          </reference>
        </references>
      </pivotArea>
    </format>
    <format dxfId="664">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61"/>
          </reference>
          <reference field="6" count="1">
            <x v="14"/>
          </reference>
        </references>
      </pivotArea>
    </format>
    <format dxfId="663">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70"/>
          </reference>
          <reference field="6" count="1">
            <x v="0"/>
          </reference>
        </references>
      </pivotArea>
    </format>
    <format dxfId="662">
      <pivotArea dataOnly="0" labelOnly="1" outline="0" fieldPosition="0">
        <references count="6">
          <reference field="0" count="1" selected="0">
            <x v="2"/>
          </reference>
          <reference field="1" count="1" selected="0">
            <x v="11"/>
          </reference>
          <reference field="2" count="1" selected="0">
            <x v="33"/>
          </reference>
          <reference field="4" count="1" selected="0">
            <x v="0"/>
          </reference>
          <reference field="5" count="1" selected="0">
            <x v="1"/>
          </reference>
          <reference field="6" count="1">
            <x v="15"/>
          </reference>
        </references>
      </pivotArea>
    </format>
    <format dxfId="661">
      <pivotArea dataOnly="0" labelOnly="1" outline="0" fieldPosition="0">
        <references count="6">
          <reference field="0" count="1" selected="0">
            <x v="2"/>
          </reference>
          <reference field="1" count="1" selected="0">
            <x v="12"/>
          </reference>
          <reference field="2" count="1" selected="0">
            <x v="26"/>
          </reference>
          <reference field="4" count="1" selected="0">
            <x v="1"/>
          </reference>
          <reference field="5" count="1" selected="0">
            <x v="121"/>
          </reference>
          <reference field="6" count="1">
            <x v="9"/>
          </reference>
        </references>
      </pivotArea>
    </format>
    <format dxfId="660">
      <pivotArea dataOnly="0" labelOnly="1" outline="0" fieldPosition="0">
        <references count="6">
          <reference field="0" count="1" selected="0">
            <x v="2"/>
          </reference>
          <reference field="1" count="1" selected="0">
            <x v="14"/>
          </reference>
          <reference field="2" count="1" selected="0">
            <x v="25"/>
          </reference>
          <reference field="4" count="1" selected="0">
            <x v="2"/>
          </reference>
          <reference field="5" count="1" selected="0">
            <x v="88"/>
          </reference>
          <reference field="6" count="1">
            <x v="3"/>
          </reference>
        </references>
      </pivotArea>
    </format>
    <format dxfId="659">
      <pivotArea dataOnly="0" labelOnly="1" outline="0" fieldPosition="0">
        <references count="6">
          <reference field="0" count="1" selected="0">
            <x v="2"/>
          </reference>
          <reference field="1" count="1" selected="0">
            <x v="15"/>
          </reference>
          <reference field="2" count="1" selected="0">
            <x v="42"/>
          </reference>
          <reference field="4" count="1" selected="0">
            <x v="1"/>
          </reference>
          <reference field="5" count="1" selected="0">
            <x v="105"/>
          </reference>
          <reference field="6" count="1">
            <x v="7"/>
          </reference>
        </references>
      </pivotArea>
    </format>
    <format dxfId="658">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657">
      <pivotArea dataOnly="0" labelOnly="1" outline="0" fieldPosition="0">
        <references count="6">
          <reference field="0" count="1" selected="0">
            <x v="2"/>
          </reference>
          <reference field="1" count="1" selected="0">
            <x v="15"/>
          </reference>
          <reference field="2" count="1" selected="0">
            <x v="61"/>
          </reference>
          <reference field="4" count="1" selected="0">
            <x v="3"/>
          </reference>
          <reference field="5" count="1" selected="0">
            <x v="58"/>
          </reference>
          <reference field="6" count="1">
            <x v="7"/>
          </reference>
        </references>
      </pivotArea>
    </format>
    <format dxfId="656">
      <pivotArea dataOnly="0" labelOnly="1" outline="0" fieldPosition="0">
        <references count="7">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x v="2"/>
          </reference>
        </references>
      </pivotArea>
    </format>
    <format dxfId="655">
      <pivotArea dataOnly="0" labelOnly="1" outline="0" fieldPosition="0">
        <references count="7">
          <reference field="0" count="1" selected="0">
            <x v="0"/>
          </reference>
          <reference field="1" count="1" selected="0">
            <x v="13"/>
          </reference>
          <reference field="2" count="1" selected="0">
            <x v="1"/>
          </reference>
          <reference field="4" count="1" selected="0">
            <x v="3"/>
          </reference>
          <reference field="5" count="1" selected="0">
            <x v="119"/>
          </reference>
          <reference field="6" count="1" selected="0">
            <x v="14"/>
          </reference>
          <reference field="8" count="1">
            <x v="7"/>
          </reference>
        </references>
      </pivotArea>
    </format>
    <format dxfId="654">
      <pivotArea dataOnly="0" labelOnly="1" outline="0" fieldPosition="0">
        <references count="7">
          <reference field="0" count="1" selected="0">
            <x v="0"/>
          </reference>
          <reference field="1" count="1" selected="0">
            <x v="13"/>
          </reference>
          <reference field="2" count="1" selected="0">
            <x v="4"/>
          </reference>
          <reference field="4" count="1" selected="0">
            <x v="3"/>
          </reference>
          <reference field="5" count="1" selected="0">
            <x v="101"/>
          </reference>
          <reference field="6" count="1" selected="0">
            <x v="14"/>
          </reference>
          <reference field="8" count="1">
            <x v="3"/>
          </reference>
        </references>
      </pivotArea>
    </format>
    <format dxfId="653">
      <pivotArea dataOnly="0" labelOnly="1" outline="0" fieldPosition="0">
        <references count="7">
          <reference field="0" count="1" selected="0">
            <x v="0"/>
          </reference>
          <reference field="1" count="1" selected="0">
            <x v="13"/>
          </reference>
          <reference field="2" count="1" selected="0">
            <x v="6"/>
          </reference>
          <reference field="4" count="1" selected="0">
            <x v="3"/>
          </reference>
          <reference field="5" count="1" selected="0">
            <x v="72"/>
          </reference>
          <reference field="6" count="1" selected="0">
            <x v="14"/>
          </reference>
          <reference field="8" count="1">
            <x v="7"/>
          </reference>
        </references>
      </pivotArea>
    </format>
    <format dxfId="652">
      <pivotArea dataOnly="0" labelOnly="1" outline="0" fieldPosition="0">
        <references count="7">
          <reference field="0" count="1" selected="0">
            <x v="0"/>
          </reference>
          <reference field="1" count="1" selected="0">
            <x v="13"/>
          </reference>
          <reference field="2" count="1" selected="0">
            <x v="10"/>
          </reference>
          <reference field="4" count="1" selected="0">
            <x v="3"/>
          </reference>
          <reference field="5" count="1" selected="0">
            <x v="99"/>
          </reference>
          <reference field="6" count="1" selected="0">
            <x v="14"/>
          </reference>
          <reference field="8" count="1">
            <x v="4"/>
          </reference>
        </references>
      </pivotArea>
    </format>
    <format dxfId="651">
      <pivotArea dataOnly="0" labelOnly="1" outline="0" fieldPosition="0">
        <references count="7">
          <reference field="0" count="1" selected="0">
            <x v="0"/>
          </reference>
          <reference field="1" count="1" selected="0">
            <x v="13"/>
          </reference>
          <reference field="2" count="1" selected="0">
            <x v="12"/>
          </reference>
          <reference field="4" count="1" selected="0">
            <x v="3"/>
          </reference>
          <reference field="5" count="1" selected="0">
            <x v="84"/>
          </reference>
          <reference field="6" count="1" selected="0">
            <x v="14"/>
          </reference>
          <reference field="8" count="1">
            <x v="6"/>
          </reference>
        </references>
      </pivotArea>
    </format>
    <format dxfId="650">
      <pivotArea dataOnly="0" labelOnly="1" outline="0" fieldPosition="0">
        <references count="7">
          <reference field="0" count="1" selected="0">
            <x v="0"/>
          </reference>
          <reference field="1" count="1" selected="0">
            <x v="13"/>
          </reference>
          <reference field="2" count="1" selected="0">
            <x v="13"/>
          </reference>
          <reference field="4" count="1" selected="0">
            <x v="3"/>
          </reference>
          <reference field="5" count="1" selected="0">
            <x v="100"/>
          </reference>
          <reference field="6" count="1" selected="0">
            <x v="14"/>
          </reference>
          <reference field="8" count="1">
            <x v="5"/>
          </reference>
        </references>
      </pivotArea>
    </format>
    <format dxfId="649">
      <pivotArea dataOnly="0" labelOnly="1" outline="0" fieldPosition="0">
        <references count="7">
          <reference field="0" count="1" selected="0">
            <x v="0"/>
          </reference>
          <reference field="1" count="1" selected="0">
            <x v="13"/>
          </reference>
          <reference field="2" count="1" selected="0">
            <x v="14"/>
          </reference>
          <reference field="4" count="1" selected="0">
            <x v="3"/>
          </reference>
          <reference field="5" count="1" selected="0">
            <x v="90"/>
          </reference>
          <reference field="6" count="1" selected="0">
            <x v="14"/>
          </reference>
          <reference field="8" count="1">
            <x v="7"/>
          </reference>
        </references>
      </pivotArea>
    </format>
    <format dxfId="648">
      <pivotArea dataOnly="0" labelOnly="1" outline="0" fieldPosition="0">
        <references count="7">
          <reference field="0" count="1" selected="0">
            <x v="0"/>
          </reference>
          <reference field="1" count="1" selected="0">
            <x v="13"/>
          </reference>
          <reference field="2" count="1" selected="0">
            <x v="15"/>
          </reference>
          <reference field="4" count="1" selected="0">
            <x v="3"/>
          </reference>
          <reference field="5" count="1" selected="0">
            <x v="9"/>
          </reference>
          <reference field="6" count="1" selected="0">
            <x v="14"/>
          </reference>
          <reference field="8" count="1">
            <x v="3"/>
          </reference>
        </references>
      </pivotArea>
    </format>
    <format dxfId="647">
      <pivotArea dataOnly="0" labelOnly="1" outline="0" fieldPosition="0">
        <references count="7">
          <reference field="0" count="1" selected="0">
            <x v="0"/>
          </reference>
          <reference field="1" count="1" selected="0">
            <x v="13"/>
          </reference>
          <reference field="2" count="1" selected="0">
            <x v="16"/>
          </reference>
          <reference field="4" count="1" selected="0">
            <x v="3"/>
          </reference>
          <reference field="5" count="1" selected="0">
            <x v="94"/>
          </reference>
          <reference field="6" count="1" selected="0">
            <x v="14"/>
          </reference>
          <reference field="8" count="1">
            <x v="7"/>
          </reference>
        </references>
      </pivotArea>
    </format>
    <format dxfId="646">
      <pivotArea dataOnly="0" labelOnly="1" outline="0" fieldPosition="0">
        <references count="7">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x v="28"/>
          </reference>
        </references>
      </pivotArea>
    </format>
    <format dxfId="645">
      <pivotArea dataOnly="0" labelOnly="1" outline="0" fieldPosition="0">
        <references count="7">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x v="7"/>
          </reference>
        </references>
      </pivotArea>
    </format>
    <format dxfId="644">
      <pivotArea dataOnly="0" labelOnly="1" outline="0" fieldPosition="0">
        <references count="7">
          <reference field="0" count="1" selected="0">
            <x v="0"/>
          </reference>
          <reference field="1" count="1" selected="0">
            <x v="13"/>
          </reference>
          <reference field="2" count="1" selected="0">
            <x v="19"/>
          </reference>
          <reference field="4" count="1" selected="0">
            <x v="3"/>
          </reference>
          <reference field="5" count="1" selected="0">
            <x v="98"/>
          </reference>
          <reference field="6" count="1" selected="0">
            <x v="14"/>
          </reference>
          <reference field="8" count="1">
            <x v="4"/>
          </reference>
        </references>
      </pivotArea>
    </format>
    <format dxfId="643">
      <pivotArea dataOnly="0" labelOnly="1" outline="0" fieldPosition="0">
        <references count="7">
          <reference field="0" count="1" selected="0">
            <x v="0"/>
          </reference>
          <reference field="1" count="1" selected="0">
            <x v="13"/>
          </reference>
          <reference field="2" count="1" selected="0">
            <x v="20"/>
          </reference>
          <reference field="4" count="1" selected="0">
            <x v="3"/>
          </reference>
          <reference field="5" count="1" selected="0">
            <x v="102"/>
          </reference>
          <reference field="6" count="1" selected="0">
            <x v="14"/>
          </reference>
          <reference field="8" count="1">
            <x v="6"/>
          </reference>
        </references>
      </pivotArea>
    </format>
    <format dxfId="642">
      <pivotArea dataOnly="0" labelOnly="1" outline="0" fieldPosition="0">
        <references count="7">
          <reference field="0" count="1" selected="0">
            <x v="0"/>
          </reference>
          <reference field="1" count="1" selected="0">
            <x v="13"/>
          </reference>
          <reference field="2" count="1" selected="0">
            <x v="21"/>
          </reference>
          <reference field="4" count="1" selected="0">
            <x v="3"/>
          </reference>
          <reference field="5" count="1" selected="0">
            <x v="125"/>
          </reference>
          <reference field="6" count="1" selected="0">
            <x v="14"/>
          </reference>
          <reference field="8" count="1">
            <x v="4"/>
          </reference>
        </references>
      </pivotArea>
    </format>
    <format dxfId="641">
      <pivotArea dataOnly="0" labelOnly="1" outline="0" fieldPosition="0">
        <references count="7">
          <reference field="0" count="1" selected="0">
            <x v="0"/>
          </reference>
          <reference field="1" count="1" selected="0">
            <x v="13"/>
          </reference>
          <reference field="2" count="1" selected="0">
            <x v="23"/>
          </reference>
          <reference field="4" count="1" selected="0">
            <x v="3"/>
          </reference>
          <reference field="5" count="1" selected="0">
            <x v="133"/>
          </reference>
          <reference field="6" count="1" selected="0">
            <x v="14"/>
          </reference>
          <reference field="8" count="1">
            <x v="7"/>
          </reference>
        </references>
      </pivotArea>
    </format>
    <format dxfId="640">
      <pivotArea dataOnly="0" labelOnly="1" outline="0" fieldPosition="0">
        <references count="7">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x v="29"/>
          </reference>
        </references>
      </pivotArea>
    </format>
    <format dxfId="639">
      <pivotArea dataOnly="0" labelOnly="1" outline="0" fieldPosition="0">
        <references count="7">
          <reference field="0" count="1" selected="0">
            <x v="1"/>
          </reference>
          <reference field="1" count="1" selected="0">
            <x v="5"/>
          </reference>
          <reference field="2" count="1" selected="0">
            <x v="71"/>
          </reference>
          <reference field="4" count="1" selected="0">
            <x v="3"/>
          </reference>
          <reference field="5" count="1" selected="0">
            <x v="110"/>
          </reference>
          <reference field="6" count="1" selected="0">
            <x v="1"/>
          </reference>
          <reference field="8" count="1">
            <x v="37"/>
          </reference>
        </references>
      </pivotArea>
    </format>
    <format dxfId="638">
      <pivotArea dataOnly="0" labelOnly="1" outline="0" fieldPosition="0">
        <references count="7">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x v="37"/>
          </reference>
        </references>
      </pivotArea>
    </format>
    <format dxfId="637">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x v="12"/>
          </reference>
        </references>
      </pivotArea>
    </format>
    <format dxfId="636">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118"/>
          </reference>
          <reference field="6" count="1" selected="0">
            <x v="12"/>
          </reference>
          <reference field="8" count="1">
            <x v="30"/>
          </reference>
        </references>
      </pivotArea>
    </format>
    <format dxfId="635">
      <pivotArea dataOnly="0" labelOnly="1" outline="0" fieldPosition="0">
        <references count="7">
          <reference field="0" count="1" selected="0">
            <x v="1"/>
          </reference>
          <reference field="1" count="1" selected="0">
            <x v="7"/>
          </reference>
          <reference field="2" count="1" selected="0">
            <x v="32"/>
          </reference>
          <reference field="4" count="1" selected="0">
            <x v="3"/>
          </reference>
          <reference field="5" count="1" selected="0">
            <x v="134"/>
          </reference>
          <reference field="6" count="1" selected="0">
            <x v="6"/>
          </reference>
          <reference field="8" count="1">
            <x v="10"/>
          </reference>
        </references>
      </pivotArea>
    </format>
    <format dxfId="634">
      <pivotArea dataOnly="0" labelOnly="1" outline="0" fieldPosition="0">
        <references count="7">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x v="38"/>
          </reference>
        </references>
      </pivotArea>
    </format>
    <format dxfId="633">
      <pivotArea dataOnly="0" labelOnly="1" outline="0" fieldPosition="0">
        <references count="7">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x v="10"/>
          </reference>
        </references>
      </pivotArea>
    </format>
    <format dxfId="632">
      <pivotArea dataOnly="0" labelOnly="1" outline="0" fieldPosition="0">
        <references count="7">
          <reference field="0" count="1" selected="0">
            <x v="1"/>
          </reference>
          <reference field="1" count="1" selected="0">
            <x v="9"/>
          </reference>
          <reference field="2" count="1" selected="0">
            <x v="49"/>
          </reference>
          <reference field="4" count="1" selected="0">
            <x v="3"/>
          </reference>
          <reference field="5" count="1" selected="0">
            <x v="83"/>
          </reference>
          <reference field="6" count="1" selected="0">
            <x v="2"/>
          </reference>
          <reference field="8" count="1">
            <x v="8"/>
          </reference>
        </references>
      </pivotArea>
    </format>
    <format dxfId="631">
      <pivotArea dataOnly="0" labelOnly="1" outline="0" fieldPosition="0">
        <references count="7">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x v="29"/>
          </reference>
        </references>
      </pivotArea>
    </format>
    <format dxfId="630">
      <pivotArea dataOnly="0" labelOnly="1" outline="0" fieldPosition="0">
        <references count="7">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x v="1"/>
          </reference>
        </references>
      </pivotArea>
    </format>
    <format dxfId="629">
      <pivotArea dataOnly="0" labelOnly="1" outline="0" fieldPosition="0">
        <references count="7">
          <reference field="0" count="1" selected="0">
            <x v="1"/>
          </reference>
          <reference field="1" count="1" selected="0">
            <x v="9"/>
          </reference>
          <reference field="2" count="1" selected="0">
            <x v="70"/>
          </reference>
          <reference field="4" count="1" selected="0">
            <x v="3"/>
          </reference>
          <reference field="5" count="1" selected="0">
            <x v="78"/>
          </reference>
          <reference field="6" count="1" selected="0">
            <x v="1"/>
          </reference>
          <reference field="8" count="1">
            <x v="13"/>
          </reference>
        </references>
      </pivotArea>
    </format>
    <format dxfId="628">
      <pivotArea dataOnly="0" labelOnly="1" outline="0" fieldPosition="0">
        <references count="7">
          <reference field="0" count="1" selected="0">
            <x v="1"/>
          </reference>
          <reference field="1" count="1" selected="0">
            <x v="9"/>
          </reference>
          <reference field="2" count="1" selected="0">
            <x v="73"/>
          </reference>
          <reference field="4" count="1" selected="0">
            <x v="3"/>
          </reference>
          <reference field="5" count="1" selected="0">
            <x v="81"/>
          </reference>
          <reference field="6" count="1" selected="0">
            <x v="2"/>
          </reference>
          <reference field="8" count="1">
            <x v="8"/>
          </reference>
        </references>
      </pivotArea>
    </format>
    <format dxfId="627">
      <pivotArea dataOnly="0" labelOnly="1" outline="0" fieldPosition="0">
        <references count="7">
          <reference field="0" count="1" selected="0">
            <x v="1"/>
          </reference>
          <reference field="1" count="1" selected="0">
            <x v="9"/>
          </reference>
          <reference field="2" count="1" selected="0">
            <x v="82"/>
          </reference>
          <reference field="4" count="1" selected="0">
            <x v="3"/>
          </reference>
          <reference field="5" count="1" selected="0">
            <x v="13"/>
          </reference>
          <reference field="6" count="1" selected="0">
            <x v="18"/>
          </reference>
          <reference field="8" count="1">
            <x v="13"/>
          </reference>
        </references>
      </pivotArea>
    </format>
    <format dxfId="626">
      <pivotArea dataOnly="0" labelOnly="1" outline="0" fieldPosition="0">
        <references count="7">
          <reference field="0" count="1" selected="0">
            <x v="1"/>
          </reference>
          <reference field="1" count="1" selected="0">
            <x v="9"/>
          </reference>
          <reference field="2" count="1" selected="0">
            <x v="92"/>
          </reference>
          <reference field="4" count="1" selected="0">
            <x v="3"/>
          </reference>
          <reference field="5" count="1" selected="0">
            <x v="132"/>
          </reference>
          <reference field="6" count="1" selected="0">
            <x v="1"/>
          </reference>
          <reference field="8" count="1">
            <x v="9"/>
          </reference>
        </references>
      </pivotArea>
    </format>
    <format dxfId="625">
      <pivotArea dataOnly="0" labelOnly="1" outline="0" fieldPosition="0">
        <references count="7">
          <reference field="0" count="1" selected="0">
            <x v="1"/>
          </reference>
          <reference field="1" count="1" selected="0">
            <x v="9"/>
          </reference>
          <reference field="2" count="1" selected="0">
            <x v="97"/>
          </reference>
          <reference field="4" count="1" selected="0">
            <x v="3"/>
          </reference>
          <reference field="5" count="1" selected="0">
            <x v="40"/>
          </reference>
          <reference field="6" count="1" selected="0">
            <x v="2"/>
          </reference>
          <reference field="8" count="1">
            <x v="14"/>
          </reference>
        </references>
      </pivotArea>
    </format>
    <format dxfId="624">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s>
      </pivotArea>
    </format>
    <format dxfId="623">
      <pivotArea dataOnly="0" labelOnly="1" outline="0" fieldPosition="0">
        <references count="7">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x v="25"/>
          </reference>
        </references>
      </pivotArea>
    </format>
    <format dxfId="622">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s>
      </pivotArea>
    </format>
    <format dxfId="621">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0"/>
          </reference>
          <reference field="6" count="1" selected="0">
            <x v="14"/>
          </reference>
          <reference field="8" count="1">
            <x v="41"/>
          </reference>
        </references>
      </pivotArea>
    </format>
    <format dxfId="620">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x v="25"/>
          </reference>
        </references>
      </pivotArea>
    </format>
    <format dxfId="619">
      <pivotArea dataOnly="0" labelOnly="1" outline="0" fieldPosition="0">
        <references count="7">
          <reference field="0" count="1" selected="0">
            <x v="2"/>
          </reference>
          <reference field="1" count="1" selected="0">
            <x v="0"/>
          </reference>
          <reference field="2" count="1" selected="0">
            <x v="90"/>
          </reference>
          <reference field="4" count="1" selected="0">
            <x v="1"/>
          </reference>
          <reference field="5" count="1" selected="0">
            <x v="93"/>
          </reference>
          <reference field="6" count="1" selected="0">
            <x v="11"/>
          </reference>
          <reference field="8" count="1">
            <x v="23"/>
          </reference>
        </references>
      </pivotArea>
    </format>
    <format dxfId="618">
      <pivotArea dataOnly="0" labelOnly="1" outline="0" fieldPosition="0">
        <references count="7">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x v="43"/>
          </reference>
        </references>
      </pivotArea>
    </format>
    <format dxfId="617">
      <pivotArea dataOnly="0" labelOnly="1" outline="0" fieldPosition="0">
        <references count="7">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x v="43"/>
          </reference>
        </references>
      </pivotArea>
    </format>
    <format dxfId="616">
      <pivotArea dataOnly="0" labelOnly="1" outline="0" fieldPosition="0">
        <references count="7">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x v="11"/>
          </reference>
        </references>
      </pivotArea>
    </format>
    <format dxfId="615">
      <pivotArea dataOnly="0" labelOnly="1" outline="0" fieldPosition="0">
        <references count="7">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x v="39"/>
          </reference>
        </references>
      </pivotArea>
    </format>
    <format dxfId="614">
      <pivotArea dataOnly="0" labelOnly="1" outline="0" fieldPosition="0">
        <references count="7">
          <reference field="0" count="1" selected="0">
            <x v="2"/>
          </reference>
          <reference field="1" count="1" selected="0">
            <x v="3"/>
          </reference>
          <reference field="2" count="1" selected="0">
            <x v="30"/>
          </reference>
          <reference field="4" count="1" selected="0">
            <x v="3"/>
          </reference>
          <reference field="5" count="1" selected="0">
            <x v="34"/>
          </reference>
          <reference field="6" count="1" selected="0">
            <x v="12"/>
          </reference>
          <reference field="8" count="1">
            <x v="51"/>
          </reference>
        </references>
      </pivotArea>
    </format>
    <format dxfId="613">
      <pivotArea dataOnly="0" labelOnly="1" outline="0" fieldPosition="0">
        <references count="7">
          <reference field="0" count="1" selected="0">
            <x v="2"/>
          </reference>
          <reference field="1" count="1" selected="0">
            <x v="3"/>
          </reference>
          <reference field="2" count="1" selected="0">
            <x v="55"/>
          </reference>
          <reference field="4" count="1" selected="0">
            <x v="2"/>
          </reference>
          <reference field="5" count="1" selected="0">
            <x v="11"/>
          </reference>
          <reference field="6" count="1" selected="0">
            <x v="12"/>
          </reference>
          <reference field="8" count="1">
            <x v="44"/>
          </reference>
        </references>
      </pivotArea>
    </format>
    <format dxfId="612">
      <pivotArea dataOnly="0" labelOnly="1" outline="0" fieldPosition="0">
        <references count="7">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x v="44"/>
          </reference>
        </references>
      </pivotArea>
    </format>
    <format dxfId="611">
      <pivotArea dataOnly="0" labelOnly="1" outline="0" fieldPosition="0">
        <references count="7">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x v="29"/>
          </reference>
        </references>
      </pivotArea>
    </format>
    <format dxfId="610">
      <pivotArea dataOnly="0" labelOnly="1" outline="0" fieldPosition="0">
        <references count="7">
          <reference field="0" count="1" selected="0">
            <x v="2"/>
          </reference>
          <reference field="1" count="1" selected="0">
            <x v="4"/>
          </reference>
          <reference field="2" count="1" selected="0">
            <x v="35"/>
          </reference>
          <reference field="4" count="1" selected="0">
            <x v="1"/>
          </reference>
          <reference field="5" count="1" selected="0">
            <x v="14"/>
          </reference>
          <reference field="6" count="1" selected="0">
            <x v="9"/>
          </reference>
          <reference field="8" count="1">
            <x v="34"/>
          </reference>
        </references>
      </pivotArea>
    </format>
    <format dxfId="609">
      <pivotArea dataOnly="0" labelOnly="1" outline="0" fieldPosition="0">
        <references count="7">
          <reference field="0" count="1" selected="0">
            <x v="2"/>
          </reference>
          <reference field="1" count="1" selected="0">
            <x v="4"/>
          </reference>
          <reference field="2" count="1" selected="0">
            <x v="35"/>
          </reference>
          <reference field="4" count="1" selected="0">
            <x v="3"/>
          </reference>
          <reference field="5" count="1" selected="0">
            <x v="38"/>
          </reference>
          <reference field="6" count="1" selected="0">
            <x v="9"/>
          </reference>
          <reference field="8" count="1">
            <x v="24"/>
          </reference>
        </references>
      </pivotArea>
    </format>
    <format dxfId="608">
      <pivotArea dataOnly="0" labelOnly="1" outline="0" fieldPosition="0">
        <references count="7">
          <reference field="0" count="1" selected="0">
            <x v="2"/>
          </reference>
          <reference field="1" count="1" selected="0">
            <x v="4"/>
          </reference>
          <reference field="2" count="1" selected="0">
            <x v="36"/>
          </reference>
          <reference field="4" count="1" selected="0">
            <x v="2"/>
          </reference>
          <reference field="5" count="1" selected="0">
            <x v="20"/>
          </reference>
          <reference field="6" count="1" selected="0">
            <x v="15"/>
          </reference>
          <reference field="8" count="1">
            <x v="29"/>
          </reference>
        </references>
      </pivotArea>
    </format>
    <format dxfId="607">
      <pivotArea dataOnly="0" labelOnly="1" outline="0" fieldPosition="0">
        <references count="7">
          <reference field="0" count="1" selected="0">
            <x v="2"/>
          </reference>
          <reference field="1" count="1" selected="0">
            <x v="4"/>
          </reference>
          <reference field="2" count="1" selected="0">
            <x v="48"/>
          </reference>
          <reference field="4" count="1" selected="0">
            <x v="1"/>
          </reference>
          <reference field="5" count="1" selected="0">
            <x v="21"/>
          </reference>
          <reference field="6" count="1" selected="0">
            <x v="6"/>
          </reference>
          <reference field="8" count="1">
            <x v="31"/>
          </reference>
        </references>
      </pivotArea>
    </format>
    <format dxfId="606">
      <pivotArea dataOnly="0" labelOnly="1" outline="0" fieldPosition="0">
        <references count="7">
          <reference field="0" count="1" selected="0">
            <x v="2"/>
          </reference>
          <reference field="1" count="1" selected="0">
            <x v="4"/>
          </reference>
          <reference field="2" count="1" selected="0">
            <x v="48"/>
          </reference>
          <reference field="4" count="1" selected="0">
            <x v="3"/>
          </reference>
          <reference field="5" count="1" selected="0">
            <x v="39"/>
          </reference>
          <reference field="6" count="1" selected="0">
            <x v="9"/>
          </reference>
          <reference field="8" count="1">
            <x v="34"/>
          </reference>
        </references>
      </pivotArea>
    </format>
    <format dxfId="605">
      <pivotArea dataOnly="0" labelOnly="1" outline="0" fieldPosition="0">
        <references count="7">
          <reference field="0" count="1" selected="0">
            <x v="2"/>
          </reference>
          <reference field="1" count="1" selected="0">
            <x v="4"/>
          </reference>
          <reference field="2" count="1" selected="0">
            <x v="84"/>
          </reference>
          <reference field="4" count="1" selected="0">
            <x v="2"/>
          </reference>
          <reference field="5" count="1" selected="0">
            <x v="106"/>
          </reference>
          <reference field="6" count="1" selected="0">
            <x v="16"/>
          </reference>
          <reference field="8" count="1">
            <x v="34"/>
          </reference>
        </references>
      </pivotArea>
    </format>
    <format dxfId="604">
      <pivotArea dataOnly="0" labelOnly="1" outline="0" fieldPosition="0">
        <references count="7">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x v="22"/>
          </reference>
        </references>
      </pivotArea>
    </format>
    <format dxfId="603">
      <pivotArea dataOnly="0" labelOnly="1" outline="0" fieldPosition="0">
        <references count="7">
          <reference field="0" count="1" selected="0">
            <x v="2"/>
          </reference>
          <reference field="1" count="1" selected="0">
            <x v="4"/>
          </reference>
          <reference field="2" count="1" selected="0">
            <x v="91"/>
          </reference>
          <reference field="4" count="1" selected="0">
            <x v="1"/>
          </reference>
          <reference field="5" count="1" selected="0">
            <x v="108"/>
          </reference>
          <reference field="6" count="1" selected="0">
            <x v="16"/>
          </reference>
          <reference field="8" count="1">
            <x v="34"/>
          </reference>
        </references>
      </pivotArea>
    </format>
    <format dxfId="602">
      <pivotArea dataOnly="0" labelOnly="1" outline="0" fieldPosition="0">
        <references count="7">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x v="49"/>
          </reference>
        </references>
      </pivotArea>
    </format>
    <format dxfId="601">
      <pivotArea dataOnly="0" labelOnly="1" outline="0" fieldPosition="0">
        <references count="7">
          <reference field="0" count="1" selected="0">
            <x v="2"/>
          </reference>
          <reference field="1" count="1" selected="0">
            <x v="6"/>
          </reference>
          <reference field="2" count="1" selected="0">
            <x v="96"/>
          </reference>
          <reference field="4" count="1" selected="0">
            <x v="3"/>
          </reference>
          <reference field="5" count="1" selected="0">
            <x v="77"/>
          </reference>
          <reference field="6" count="1" selected="0">
            <x v="6"/>
          </reference>
          <reference field="8" count="1">
            <x v="47"/>
          </reference>
        </references>
      </pivotArea>
    </format>
    <format dxfId="600">
      <pivotArea dataOnly="0" labelOnly="1" outline="0" fieldPosition="0">
        <references count="7">
          <reference field="0" count="1" selected="0">
            <x v="2"/>
          </reference>
          <reference field="1" count="1" selected="0">
            <x v="8"/>
          </reference>
          <reference field="2" count="1" selected="0">
            <x v="28"/>
          </reference>
          <reference field="4" count="1" selected="0">
            <x v="2"/>
          </reference>
          <reference field="5" count="1" selected="0">
            <x v="5"/>
          </reference>
          <reference field="6" count="1" selected="0">
            <x v="14"/>
          </reference>
          <reference field="8" count="1">
            <x v="46"/>
          </reference>
        </references>
      </pivotArea>
    </format>
    <format dxfId="599">
      <pivotArea dataOnly="0" labelOnly="1" outline="0" fieldPosition="0">
        <references count="7">
          <reference field="0" count="1" selected="0">
            <x v="2"/>
          </reference>
          <reference field="1" count="1" selected="0">
            <x v="8"/>
          </reference>
          <reference field="2" count="1" selected="0">
            <x v="29"/>
          </reference>
          <reference field="4" count="1" selected="0">
            <x v="2"/>
          </reference>
          <reference field="5" count="1" selected="0">
            <x v="24"/>
          </reference>
          <reference field="6" count="1" selected="0">
            <x v="19"/>
          </reference>
          <reference field="8" count="1">
            <x v="42"/>
          </reference>
        </references>
      </pivotArea>
    </format>
    <format dxfId="598">
      <pivotArea dataOnly="0" labelOnly="1" outline="0" fieldPosition="0">
        <references count="7">
          <reference field="0" count="1" selected="0">
            <x v="2"/>
          </reference>
          <reference field="1" count="1" selected="0">
            <x v="8"/>
          </reference>
          <reference field="2" count="1" selected="0">
            <x v="78"/>
          </reference>
          <reference field="4" count="1" selected="0">
            <x v="2"/>
          </reference>
          <reference field="5" count="1" selected="0">
            <x v="22"/>
          </reference>
          <reference field="6" count="1" selected="0">
            <x v="1"/>
          </reference>
          <reference field="8" count="1">
            <x v="50"/>
          </reference>
        </references>
      </pivotArea>
    </format>
    <format dxfId="597">
      <pivotArea dataOnly="0" labelOnly="1" outline="0" fieldPosition="0">
        <references count="7">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x v="36"/>
          </reference>
        </references>
      </pivotArea>
    </format>
    <format dxfId="596">
      <pivotArea dataOnly="0" labelOnly="1" outline="0" fieldPosition="0">
        <references count="7">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x v="20"/>
          </reference>
        </references>
      </pivotArea>
    </format>
    <format dxfId="595">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x v="36"/>
          </reference>
        </references>
      </pivotArea>
    </format>
    <format dxfId="594">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x v="51"/>
          </reference>
        </references>
      </pivotArea>
    </format>
    <format dxfId="593">
      <pivotArea dataOnly="0" labelOnly="1" outline="0" fieldPosition="0">
        <references count="7">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x v="16"/>
          </reference>
        </references>
      </pivotArea>
    </format>
    <format dxfId="592">
      <pivotArea dataOnly="0" labelOnly="1" outline="0" fieldPosition="0">
        <references count="7">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x v="16"/>
          </reference>
        </references>
      </pivotArea>
    </format>
    <format dxfId="591">
      <pivotArea dataOnly="0" labelOnly="1" outline="0" fieldPosition="0">
        <references count="7">
          <reference field="0" count="1" selected="0">
            <x v="2"/>
          </reference>
          <reference field="1" count="1" selected="0">
            <x v="10"/>
          </reference>
          <reference field="2" count="1" selected="0">
            <x v="68"/>
          </reference>
          <reference field="4" count="1" selected="0">
            <x v="2"/>
          </reference>
          <reference field="5" count="1" selected="0">
            <x v="85"/>
          </reference>
          <reference field="6" count="1" selected="0">
            <x v="7"/>
          </reference>
          <reference field="8" count="1">
            <x v="21"/>
          </reference>
        </references>
      </pivotArea>
    </format>
    <format dxfId="590">
      <pivotArea dataOnly="0" labelOnly="1" outline="0" fieldPosition="0">
        <references count="7">
          <reference field="0" count="1" selected="0">
            <x v="2"/>
          </reference>
          <reference field="1" count="1" selected="0">
            <x v="10"/>
          </reference>
          <reference field="2" count="1" selected="0">
            <x v="74"/>
          </reference>
          <reference field="4" count="1" selected="0">
            <x v="2"/>
          </reference>
          <reference field="5" count="1" selected="0">
            <x v="73"/>
          </reference>
          <reference field="6" count="1" selected="0">
            <x v="3"/>
          </reference>
          <reference field="8" count="1">
            <x v="20"/>
          </reference>
        </references>
      </pivotArea>
    </format>
    <format dxfId="589">
      <pivotArea dataOnly="0" labelOnly="1" outline="0" fieldPosition="0">
        <references count="7">
          <reference field="0" count="1" selected="0">
            <x v="2"/>
          </reference>
          <reference field="1" count="1" selected="0">
            <x v="10"/>
          </reference>
          <reference field="2" count="1" selected="0">
            <x v="77"/>
          </reference>
          <reference field="4" count="1" selected="0">
            <x v="2"/>
          </reference>
          <reference field="5" count="1" selected="0">
            <x v="135"/>
          </reference>
          <reference field="6" count="1" selected="0">
            <x v="7"/>
          </reference>
          <reference field="8" count="1">
            <x v="17"/>
          </reference>
        </references>
      </pivotArea>
    </format>
    <format dxfId="588">
      <pivotArea dataOnly="0" labelOnly="1" outline="0" fieldPosition="0">
        <references count="7">
          <reference field="0" count="1" selected="0">
            <x v="2"/>
          </reference>
          <reference field="1" count="1" selected="0">
            <x v="10"/>
          </reference>
          <reference field="2" count="1" selected="0">
            <x v="86"/>
          </reference>
          <reference field="4" count="1" selected="0">
            <x v="2"/>
          </reference>
          <reference field="5" count="1" selected="0">
            <x v="16"/>
          </reference>
          <reference field="6" count="1" selected="0">
            <x v="14"/>
          </reference>
          <reference field="8" count="1">
            <x v="15"/>
          </reference>
        </references>
      </pivotArea>
    </format>
    <format dxfId="587">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33"/>
          </reference>
          <reference field="6" count="1" selected="0">
            <x v="5"/>
          </reference>
          <reference field="8" count="1">
            <x v="25"/>
          </reference>
        </references>
      </pivotArea>
    </format>
    <format dxfId="586">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53"/>
          </reference>
          <reference field="6" count="1" selected="0">
            <x v="13"/>
          </reference>
          <reference field="8" count="1">
            <x v="27"/>
          </reference>
        </references>
      </pivotArea>
    </format>
    <format dxfId="585">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1"/>
          </reference>
          <reference field="6" count="1" selected="0">
            <x v="14"/>
          </reference>
          <reference field="8" count="1">
            <x v="32"/>
          </reference>
        </references>
      </pivotArea>
    </format>
    <format dxfId="584">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9"/>
          </reference>
          <reference field="6" count="1" selected="0">
            <x v="14"/>
          </reference>
          <reference field="8" count="1">
            <x v="33"/>
          </reference>
        </references>
      </pivotArea>
    </format>
    <format dxfId="583">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70"/>
          </reference>
          <reference field="6" count="1" selected="0">
            <x v="0"/>
          </reference>
          <reference field="8" count="1">
            <x v="38"/>
          </reference>
        </references>
      </pivotArea>
    </format>
    <format dxfId="582">
      <pivotArea dataOnly="0" labelOnly="1" outline="0" fieldPosition="0">
        <references count="7">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x v="45"/>
          </reference>
        </references>
      </pivotArea>
    </format>
    <format dxfId="581">
      <pivotArea dataOnly="0" labelOnly="1" outline="0" fieldPosition="0">
        <references count="7">
          <reference field="0" count="1" selected="0">
            <x v="2"/>
          </reference>
          <reference field="1" count="1" selected="0">
            <x v="11"/>
          </reference>
          <reference field="2" count="1" selected="0">
            <x v="67"/>
          </reference>
          <reference field="4" count="1" selected="0">
            <x v="1"/>
          </reference>
          <reference field="5" count="1" selected="0">
            <x v="76"/>
          </reference>
          <reference field="6" count="1" selected="0">
            <x v="15"/>
          </reference>
          <reference field="8" count="1">
            <x v="48"/>
          </reference>
        </references>
      </pivotArea>
    </format>
    <format dxfId="580">
      <pivotArea dataOnly="0" labelOnly="1" outline="0" fieldPosition="0">
        <references count="7">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x v="19"/>
          </reference>
        </references>
      </pivotArea>
    </format>
    <format dxfId="579">
      <pivotArea dataOnly="0" labelOnly="1" outline="0" fieldPosition="0">
        <references count="7">
          <reference field="0" count="1" selected="0">
            <x v="2"/>
          </reference>
          <reference field="1" count="1" selected="0">
            <x v="12"/>
          </reference>
          <reference field="2" count="1" selected="0">
            <x v="27"/>
          </reference>
          <reference field="4" count="1" selected="0">
            <x v="0"/>
          </reference>
          <reference field="5" count="1" selected="0">
            <x v="129"/>
          </reference>
          <reference field="6" count="1" selected="0">
            <x v="9"/>
          </reference>
          <reference field="8" count="1">
            <x v="18"/>
          </reference>
        </references>
      </pivotArea>
    </format>
    <format dxfId="578">
      <pivotArea dataOnly="0" labelOnly="1" outline="0" fieldPosition="0">
        <references count="7">
          <reference field="0" count="1" selected="0">
            <x v="2"/>
          </reference>
          <reference field="1" count="1" selected="0">
            <x v="12"/>
          </reference>
          <reference field="2" count="1" selected="0">
            <x v="37"/>
          </reference>
          <reference field="4" count="1" selected="0">
            <x v="0"/>
          </reference>
          <reference field="5" count="1" selected="0">
            <x v="12"/>
          </reference>
          <reference field="6" count="1" selected="0">
            <x v="9"/>
          </reference>
          <reference field="8" count="1">
            <x v="29"/>
          </reference>
        </references>
      </pivotArea>
    </format>
    <format dxfId="577">
      <pivotArea dataOnly="0" labelOnly="1" outline="0" fieldPosition="0">
        <references count="7">
          <reference field="0" count="1" selected="0">
            <x v="2"/>
          </reference>
          <reference field="1" count="1" selected="0">
            <x v="12"/>
          </reference>
          <reference field="2" count="1" selected="0">
            <x v="40"/>
          </reference>
          <reference field="4" count="1" selected="0">
            <x v="2"/>
          </reference>
          <reference field="5" count="1" selected="0">
            <x v="136"/>
          </reference>
          <reference field="6" count="1" selected="0">
            <x v="9"/>
          </reference>
          <reference field="8" count="1">
            <x v="19"/>
          </reference>
        </references>
      </pivotArea>
    </format>
    <format dxfId="576">
      <pivotArea dataOnly="0" labelOnly="1" outline="0" fieldPosition="0">
        <references count="7">
          <reference field="0" count="1" selected="0">
            <x v="2"/>
          </reference>
          <reference field="1" count="1" selected="0">
            <x v="12"/>
          </reference>
          <reference field="2" count="1" selected="0">
            <x v="89"/>
          </reference>
          <reference field="4" count="1" selected="0">
            <x v="2"/>
          </reference>
          <reference field="5" count="1" selected="0">
            <x v="75"/>
          </reference>
          <reference field="6" count="1" selected="0">
            <x v="9"/>
          </reference>
          <reference field="8" count="1">
            <x v="29"/>
          </reference>
        </references>
      </pivotArea>
    </format>
    <format dxfId="575">
      <pivotArea dataOnly="0" labelOnly="1" outline="0" fieldPosition="0">
        <references count="7">
          <reference field="0" count="1" selected="0">
            <x v="2"/>
          </reference>
          <reference field="1" count="1" selected="0">
            <x v="12"/>
          </reference>
          <reference field="2" count="1" selected="0">
            <x v="94"/>
          </reference>
          <reference field="4" count="1" selected="0">
            <x v="1"/>
          </reference>
          <reference field="5" count="1" selected="0">
            <x v="91"/>
          </reference>
          <reference field="6" count="1" selected="0">
            <x v="9"/>
          </reference>
          <reference field="8" count="1">
            <x v="26"/>
          </reference>
        </references>
      </pivotArea>
    </format>
    <format dxfId="574">
      <pivotArea dataOnly="0" labelOnly="1" outline="0" fieldPosition="0">
        <references count="7">
          <reference field="0" count="1" selected="0">
            <x v="2"/>
          </reference>
          <reference field="1" count="1" selected="0">
            <x v="14"/>
          </reference>
          <reference field="2" count="1" selected="0">
            <x v="25"/>
          </reference>
          <reference field="4" count="1" selected="0">
            <x v="2"/>
          </reference>
          <reference field="5" count="1" selected="0">
            <x v="88"/>
          </reference>
          <reference field="6" count="1" selected="0">
            <x v="3"/>
          </reference>
          <reference field="8" count="1">
            <x v="33"/>
          </reference>
        </references>
      </pivotArea>
    </format>
    <format dxfId="573">
      <pivotArea dataOnly="0" labelOnly="1" outline="0" fieldPosition="0">
        <references count="7">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x v="34"/>
          </reference>
        </references>
      </pivotArea>
    </format>
    <format dxfId="572">
      <pivotArea dataOnly="0" labelOnly="1" outline="0" fieldPosition="0">
        <references count="7">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x v="27"/>
          </reference>
        </references>
      </pivotArea>
    </format>
    <format dxfId="571">
      <pivotArea dataOnly="0" labelOnly="1" outline="0" fieldPosition="0">
        <references count="7">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x v="34"/>
          </reference>
        </references>
      </pivotArea>
    </format>
    <format dxfId="570">
      <pivotArea dataOnly="0" labelOnly="1" outline="0" fieldPosition="0">
        <references count="7">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x v="45"/>
          </reference>
        </references>
      </pivotArea>
    </format>
    <format dxfId="569">
      <pivotArea dataOnly="0" labelOnly="1" outline="0" fieldPosition="0">
        <references count="7">
          <reference field="0" count="1" selected="0">
            <x v="2"/>
          </reference>
          <reference field="1" count="1" selected="0">
            <x v="15"/>
          </reference>
          <reference field="2" count="1" selected="0">
            <x v="53"/>
          </reference>
          <reference field="4" count="1" selected="0">
            <x v="0"/>
          </reference>
          <reference field="5" count="1" selected="0">
            <x v="128"/>
          </reference>
          <reference field="6" count="1" selected="0">
            <x v="7"/>
          </reference>
          <reference field="8" count="1">
            <x v="35"/>
          </reference>
        </references>
      </pivotArea>
    </format>
    <format dxfId="568">
      <pivotArea dataOnly="0" labelOnly="1" outline="0" fieldPosition="0">
        <references count="7">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x v="40"/>
          </reference>
        </references>
      </pivotArea>
    </format>
    <format dxfId="567">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s>
      </pivotArea>
    </format>
    <format dxfId="566">
      <pivotArea dataOnly="0" labelOnly="1" outline="0" fieldPosition="0">
        <references count="7">
          <reference field="0" count="1" selected="0">
            <x v="2"/>
          </reference>
          <reference field="1" count="1" selected="0">
            <x v="15"/>
          </reference>
          <reference field="2" count="1" selected="0">
            <x v="63"/>
          </reference>
          <reference field="4" count="1" selected="0">
            <x v="1"/>
          </reference>
          <reference field="5" count="1" selected="0">
            <x v="120"/>
          </reference>
          <reference field="6" count="1" selected="0">
            <x v="7"/>
          </reference>
          <reference field="8" count="1">
            <x v="25"/>
          </reference>
        </references>
      </pivotArea>
    </format>
    <format dxfId="565">
      <pivotArea dataOnly="0" labelOnly="1" outline="0" fieldPosition="0">
        <references count="7">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x v="34"/>
          </reference>
        </references>
      </pivotArea>
    </format>
    <format dxfId="564">
      <pivotArea dataOnly="0" labelOnly="1" outline="0" fieldPosition="0">
        <references count="8">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selected="0">
            <x v="2"/>
          </reference>
          <reference field="11" count="1">
            <x v="1"/>
          </reference>
        </references>
      </pivotArea>
    </format>
    <format dxfId="563">
      <pivotArea dataOnly="0" labelOnly="1" outline="0" fieldPosition="0">
        <references count="8">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selected="0">
            <x v="28"/>
          </reference>
          <reference field="11" count="1">
            <x v="3"/>
          </reference>
        </references>
      </pivotArea>
    </format>
    <format dxfId="562">
      <pivotArea dataOnly="0" labelOnly="1" outline="0" fieldPosition="0">
        <references count="8">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selected="0">
            <x v="7"/>
          </reference>
          <reference field="11" count="1">
            <x v="1"/>
          </reference>
        </references>
      </pivotArea>
    </format>
    <format dxfId="561">
      <pivotArea dataOnly="0" labelOnly="1" outline="0" fieldPosition="0">
        <references count="8">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selected="0">
            <x v="29"/>
          </reference>
          <reference field="11" count="1">
            <x v="3"/>
          </reference>
        </references>
      </pivotArea>
    </format>
    <format dxfId="560">
      <pivotArea dataOnly="0" labelOnly="1" outline="0" fieldPosition="0">
        <references count="8">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selected="0">
            <x v="37"/>
          </reference>
          <reference field="11" count="1">
            <x v="3"/>
          </reference>
        </references>
      </pivotArea>
    </format>
    <format dxfId="559">
      <pivotArea dataOnly="0" labelOnly="1" outline="0" fieldPosition="0">
        <references count="8">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selected="0">
            <x v="12"/>
          </reference>
          <reference field="11" count="1">
            <x v="1"/>
          </reference>
        </references>
      </pivotArea>
    </format>
    <format dxfId="558">
      <pivotArea dataOnly="0" labelOnly="1" outline="0" fieldPosition="0">
        <references count="8">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selected="0">
            <x v="38"/>
          </reference>
          <reference field="11" count="1">
            <x v="3"/>
          </reference>
        </references>
      </pivotArea>
    </format>
    <format dxfId="557">
      <pivotArea dataOnly="0" labelOnly="1" outline="0" fieldPosition="0">
        <references count="8">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selected="0">
            <x v="10"/>
          </reference>
          <reference field="11" count="1">
            <x v="1"/>
          </reference>
        </references>
      </pivotArea>
    </format>
    <format dxfId="556">
      <pivotArea dataOnly="0" labelOnly="1" outline="0" fieldPosition="0">
        <references count="8">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selected="0">
            <x v="29"/>
          </reference>
          <reference field="11" count="1">
            <x v="3"/>
          </reference>
        </references>
      </pivotArea>
    </format>
    <format dxfId="555">
      <pivotArea dataOnly="0" labelOnly="1" outline="0" fieldPosition="0">
        <references count="8">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selected="0">
            <x v="1"/>
          </reference>
          <reference field="11" count="1">
            <x v="1"/>
          </reference>
        </references>
      </pivotArea>
    </format>
    <format dxfId="554">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1">
            <x v="0"/>
          </reference>
        </references>
      </pivotArea>
    </format>
    <format dxfId="553">
      <pivotArea dataOnly="0" labelOnly="1" outline="0" fieldPosition="0">
        <references count="8">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selected="0">
            <x v="25"/>
          </reference>
          <reference field="11" count="1">
            <x v="1"/>
          </reference>
        </references>
      </pivotArea>
    </format>
    <format dxfId="552">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0"/>
          </reference>
        </references>
      </pivotArea>
    </format>
    <format dxfId="551">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selected="0">
            <x v="25"/>
          </reference>
          <reference field="11" count="1">
            <x v="1"/>
          </reference>
        </references>
      </pivotArea>
    </format>
    <format dxfId="550">
      <pivotArea dataOnly="0" labelOnly="1" outline="0" fieldPosition="0">
        <references count="8">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selected="0">
            <x v="43"/>
          </reference>
          <reference field="11" count="1">
            <x v="0"/>
          </reference>
        </references>
      </pivotArea>
    </format>
    <format dxfId="549">
      <pivotArea dataOnly="0" labelOnly="1" outline="0" fieldPosition="0">
        <references count="8">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selected="0">
            <x v="43"/>
          </reference>
          <reference field="11" count="1">
            <x v="0"/>
          </reference>
        </references>
      </pivotArea>
    </format>
    <format dxfId="548">
      <pivotArea dataOnly="0" labelOnly="1" outline="0" fieldPosition="0">
        <references count="8">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selected="0">
            <x v="11"/>
          </reference>
          <reference field="11" count="1">
            <x v="1"/>
          </reference>
        </references>
      </pivotArea>
    </format>
    <format dxfId="547">
      <pivotArea dataOnly="0" labelOnly="1" outline="0" fieldPosition="0">
        <references count="8">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selected="0">
            <x v="39"/>
          </reference>
          <reference field="11" count="1">
            <x v="0"/>
          </reference>
        </references>
      </pivotArea>
    </format>
    <format dxfId="546">
      <pivotArea dataOnly="0" labelOnly="1" outline="0" fieldPosition="0">
        <references count="8">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selected="0">
            <x v="44"/>
          </reference>
          <reference field="11" count="1">
            <x v="0"/>
          </reference>
        </references>
      </pivotArea>
    </format>
    <format dxfId="545">
      <pivotArea dataOnly="0" labelOnly="1" outline="0" fieldPosition="0">
        <references count="8">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selected="0">
            <x v="29"/>
          </reference>
          <reference field="11" count="1">
            <x v="1"/>
          </reference>
        </references>
      </pivotArea>
    </format>
    <format dxfId="544">
      <pivotArea dataOnly="0" labelOnly="1" outline="0" fieldPosition="0">
        <references count="8">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selected="0">
            <x v="22"/>
          </reference>
          <reference field="11" count="1">
            <x v="1"/>
          </reference>
        </references>
      </pivotArea>
    </format>
    <format dxfId="543">
      <pivotArea dataOnly="0" labelOnly="1" outline="0" fieldPosition="0">
        <references count="8">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selected="0">
            <x v="49"/>
          </reference>
          <reference field="11" count="1">
            <x v="0"/>
          </reference>
        </references>
      </pivotArea>
    </format>
    <format dxfId="542">
      <pivotArea dataOnly="0" labelOnly="1" outline="0" fieldPosition="0">
        <references count="8">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selected="0">
            <x v="36"/>
          </reference>
          <reference field="11" count="1">
            <x v="3"/>
          </reference>
        </references>
      </pivotArea>
    </format>
    <format dxfId="541">
      <pivotArea dataOnly="0" labelOnly="1" outline="0" fieldPosition="0">
        <references count="8">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selected="0">
            <x v="20"/>
          </reference>
          <reference field="11" count="1">
            <x v="1"/>
          </reference>
        </references>
      </pivotArea>
    </format>
    <format dxfId="540">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selected="0">
            <x v="36"/>
          </reference>
          <reference field="11" count="1">
            <x v="3"/>
          </reference>
        </references>
      </pivotArea>
    </format>
    <format dxfId="539">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selected="0">
            <x v="51"/>
          </reference>
          <reference field="11" count="1">
            <x v="0"/>
          </reference>
        </references>
      </pivotArea>
    </format>
    <format dxfId="538">
      <pivotArea dataOnly="0" labelOnly="1" outline="0" fieldPosition="0">
        <references count="8">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selected="0">
            <x v="16"/>
          </reference>
          <reference field="11" count="1">
            <x v="1"/>
          </reference>
        </references>
      </pivotArea>
    </format>
    <format dxfId="537">
      <pivotArea dataOnly="0" labelOnly="1" outline="0" fieldPosition="0">
        <references count="8">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selected="0">
            <x v="16"/>
          </reference>
          <reference field="11" count="1">
            <x v="1"/>
          </reference>
        </references>
      </pivotArea>
    </format>
    <format dxfId="536">
      <pivotArea dataOnly="0" labelOnly="1" outline="0" fieldPosition="0">
        <references count="8">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selected="0">
            <x v="45"/>
          </reference>
          <reference field="11" count="1">
            <x v="0"/>
          </reference>
        </references>
      </pivotArea>
    </format>
    <format dxfId="535">
      <pivotArea dataOnly="0" labelOnly="1" outline="0" fieldPosition="0">
        <references count="8">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selected="0">
            <x v="19"/>
          </reference>
          <reference field="11" count="1">
            <x v="1"/>
          </reference>
        </references>
      </pivotArea>
    </format>
    <format dxfId="534">
      <pivotArea dataOnly="0" labelOnly="1" outline="0" fieldPosition="0">
        <references count="8">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533">
      <pivotArea dataOnly="0" labelOnly="1" outline="0" fieldPosition="0">
        <references count="8">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selected="0">
            <x v="27"/>
          </reference>
          <reference field="11" count="1">
            <x v="1"/>
          </reference>
        </references>
      </pivotArea>
    </format>
    <format dxfId="532">
      <pivotArea dataOnly="0" labelOnly="1" outline="0" fieldPosition="0">
        <references count="8">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531">
      <pivotArea dataOnly="0" labelOnly="1" outline="0" fieldPosition="0">
        <references count="8">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selected="0">
            <x v="45"/>
          </reference>
          <reference field="11" count="1">
            <x v="1"/>
          </reference>
        </references>
      </pivotArea>
    </format>
    <format dxfId="530">
      <pivotArea dataOnly="0" labelOnly="1" outline="0" fieldPosition="0">
        <references count="8">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selected="0">
            <x v="40"/>
          </reference>
          <reference field="11" count="1">
            <x v="0"/>
          </reference>
        </references>
      </pivotArea>
    </format>
    <format dxfId="529">
      <pivotArea dataOnly="0" labelOnly="1" outline="0" fieldPosition="0">
        <references count="8">
          <reference field="0" count="1" selected="0">
            <x v="2"/>
          </reference>
          <reference field="1" count="1" selected="0">
            <x v="15"/>
          </reference>
          <reference field="2" count="1" selected="0">
            <x v="61"/>
          </reference>
          <reference field="4" count="1" selected="0">
            <x v="3"/>
          </reference>
          <reference field="5" count="1" selected="0">
            <x v="58"/>
          </reference>
          <reference field="6" count="1" selected="0">
            <x v="7"/>
          </reference>
          <reference field="8" count="1" selected="0">
            <x v="42"/>
          </reference>
          <reference field="11" count="1">
            <x v="1"/>
          </reference>
        </references>
      </pivotArea>
    </format>
    <format dxfId="528">
      <pivotArea dataOnly="0" labelOnly="1" outline="0" fieldPosition="0">
        <references count="8">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selected="0">
            <x v="34"/>
          </reference>
          <reference field="11" count="1">
            <x v="3"/>
          </reference>
        </references>
      </pivotArea>
    </format>
    <format dxfId="527">
      <pivotArea dataOnly="0" labelOnly="1" outline="0" axis="axisValues" fieldPosition="0"/>
    </format>
    <format dxfId="526">
      <pivotArea type="all" dataOnly="0" outline="0" fieldPosition="0"/>
    </format>
    <format dxfId="525">
      <pivotArea outline="0" collapsedLevelsAreSubtotals="1" fieldPosition="0"/>
    </format>
    <format dxfId="524">
      <pivotArea field="0" type="button" dataOnly="0" labelOnly="1" outline="0" axis="axisRow" fieldPosition="0"/>
    </format>
    <format dxfId="523">
      <pivotArea field="1" type="button" dataOnly="0" labelOnly="1" outline="0" axis="axisRow" fieldPosition="1"/>
    </format>
    <format dxfId="522">
      <pivotArea field="2" type="button" dataOnly="0" labelOnly="1" outline="0" axis="axisRow" fieldPosition="2"/>
    </format>
    <format dxfId="521">
      <pivotArea field="4" type="button" dataOnly="0" labelOnly="1" outline="0" axis="axisRow" fieldPosition="3"/>
    </format>
    <format dxfId="520">
      <pivotArea field="5" type="button" dataOnly="0" labelOnly="1" outline="0" axis="axisRow" fieldPosition="4"/>
    </format>
    <format dxfId="519">
      <pivotArea field="6" type="button" dataOnly="0" labelOnly="1" outline="0" axis="axisRow" fieldPosition="5"/>
    </format>
    <format dxfId="518">
      <pivotArea field="8" type="button" dataOnly="0" labelOnly="1" outline="0" axis="axisRow" fieldPosition="7"/>
    </format>
    <format dxfId="517">
      <pivotArea field="11" type="button" dataOnly="0" labelOnly="1" outline="0" axis="axisRow" fieldPosition="8"/>
    </format>
    <format dxfId="516">
      <pivotArea field="13" type="button" dataOnly="0" labelOnly="1" outline="0" axis="axisRow" fieldPosition="10"/>
    </format>
    <format dxfId="515">
      <pivotArea field="14" type="button" dataOnly="0" labelOnly="1" outline="0" axis="axisRow" fieldPosition="11"/>
    </format>
    <format dxfId="514">
      <pivotArea field="15" type="button" dataOnly="0" labelOnly="1" outline="0" axis="axisRow" fieldPosition="12"/>
    </format>
    <format dxfId="513">
      <pivotArea dataOnly="0" labelOnly="1" outline="0" fieldPosition="0">
        <references count="1">
          <reference field="0" count="0"/>
        </references>
      </pivotArea>
    </format>
    <format dxfId="512">
      <pivotArea dataOnly="0" labelOnly="1" grandRow="1" outline="0" fieldPosition="0"/>
    </format>
    <format dxfId="511">
      <pivotArea dataOnly="0" labelOnly="1" outline="0" fieldPosition="0">
        <references count="2">
          <reference field="0" count="1" selected="0">
            <x v="0"/>
          </reference>
          <reference field="1" count="1">
            <x v="13"/>
          </reference>
        </references>
      </pivotArea>
    </format>
    <format dxfId="510">
      <pivotArea dataOnly="0" labelOnly="1" outline="0" fieldPosition="0">
        <references count="2">
          <reference field="0" count="1" selected="0">
            <x v="1"/>
          </reference>
          <reference field="1" count="3">
            <x v="5"/>
            <x v="7"/>
            <x v="9"/>
          </reference>
        </references>
      </pivotArea>
    </format>
    <format dxfId="509">
      <pivotArea dataOnly="0" labelOnly="1" outline="0" fieldPosition="0">
        <references count="2">
          <reference field="0" count="1" selected="0">
            <x v="2"/>
          </reference>
          <reference field="1" count="12">
            <x v="0"/>
            <x v="1"/>
            <x v="2"/>
            <x v="3"/>
            <x v="4"/>
            <x v="6"/>
            <x v="8"/>
            <x v="10"/>
            <x v="11"/>
            <x v="12"/>
            <x v="14"/>
            <x v="15"/>
          </reference>
        </references>
      </pivotArea>
    </format>
    <format dxfId="508">
      <pivotArea dataOnly="0" labelOnly="1" outline="0" fieldPosition="0">
        <references count="3">
          <reference field="0" count="1" selected="0">
            <x v="0"/>
          </reference>
          <reference field="1" count="1" selected="0">
            <x v="13"/>
          </reference>
          <reference field="2" count="26">
            <x v="0"/>
            <x v="1"/>
            <x v="2"/>
            <x v="3"/>
            <x v="4"/>
            <x v="5"/>
            <x v="6"/>
            <x v="7"/>
            <x v="8"/>
            <x v="9"/>
            <x v="10"/>
            <x v="11"/>
            <x v="12"/>
            <x v="13"/>
            <x v="14"/>
            <x v="15"/>
            <x v="16"/>
            <x v="17"/>
            <x v="18"/>
            <x v="19"/>
            <x v="20"/>
            <x v="21"/>
            <x v="22"/>
            <x v="23"/>
            <x v="83"/>
            <x v="97"/>
          </reference>
        </references>
      </pivotArea>
    </format>
    <format dxfId="507">
      <pivotArea dataOnly="0" labelOnly="1" outline="0" fieldPosition="0">
        <references count="3">
          <reference field="0" count="1" selected="0">
            <x v="1"/>
          </reference>
          <reference field="1" count="1" selected="0">
            <x v="5"/>
          </reference>
          <reference field="2" count="4">
            <x v="71"/>
            <x v="75"/>
            <x v="76"/>
            <x v="97"/>
          </reference>
        </references>
      </pivotArea>
    </format>
    <format dxfId="506">
      <pivotArea dataOnly="0" labelOnly="1" outline="0" fieldPosition="0">
        <references count="3">
          <reference field="0" count="1" selected="0">
            <x v="1"/>
          </reference>
          <reference field="1" count="1" selected="0">
            <x v="7"/>
          </reference>
          <reference field="2" count="5">
            <x v="32"/>
            <x v="47"/>
            <x v="65"/>
            <x v="79"/>
            <x v="97"/>
          </reference>
        </references>
      </pivotArea>
    </format>
    <format dxfId="505">
      <pivotArea dataOnly="0" labelOnly="1" outline="0" fieldPosition="0">
        <references count="3">
          <reference field="0" count="1" selected="0">
            <x v="1"/>
          </reference>
          <reference field="1" count="1" selected="0">
            <x v="9"/>
          </reference>
          <reference field="2" count="8">
            <x v="49"/>
            <x v="54"/>
            <x v="66"/>
            <x v="70"/>
            <x v="73"/>
            <x v="82"/>
            <x v="92"/>
            <x v="97"/>
          </reference>
        </references>
      </pivotArea>
    </format>
    <format dxfId="504">
      <pivotArea dataOnly="0" labelOnly="1" outline="0" fieldPosition="0">
        <references count="3">
          <reference field="0" count="1" selected="0">
            <x v="2"/>
          </reference>
          <reference field="1" count="1" selected="0">
            <x v="0"/>
          </reference>
          <reference field="2" count="3">
            <x v="69"/>
            <x v="80"/>
            <x v="90"/>
          </reference>
        </references>
      </pivotArea>
    </format>
    <format dxfId="503">
      <pivotArea dataOnly="0" labelOnly="1" outline="0" fieldPosition="0">
        <references count="3">
          <reference field="0" count="1" selected="0">
            <x v="2"/>
          </reference>
          <reference field="1" count="1" selected="0">
            <x v="1"/>
          </reference>
          <reference field="2" count="2">
            <x v="38"/>
            <x v="95"/>
          </reference>
        </references>
      </pivotArea>
    </format>
    <format dxfId="502">
      <pivotArea dataOnly="0" labelOnly="1" outline="0" fieldPosition="0">
        <references count="3">
          <reference field="0" count="1" selected="0">
            <x v="2"/>
          </reference>
          <reference field="1" count="1" selected="0">
            <x v="2"/>
          </reference>
          <reference field="2" count="4">
            <x v="38"/>
            <x v="57"/>
            <x v="59"/>
            <x v="62"/>
          </reference>
        </references>
      </pivotArea>
    </format>
    <format dxfId="501">
      <pivotArea dataOnly="0" labelOnly="1" outline="0" fieldPosition="0">
        <references count="3">
          <reference field="0" count="1" selected="0">
            <x v="2"/>
          </reference>
          <reference field="1" count="1" selected="0">
            <x v="3"/>
          </reference>
          <reference field="2" count="5">
            <x v="30"/>
            <x v="55"/>
            <x v="56"/>
            <x v="60"/>
            <x v="81"/>
          </reference>
        </references>
      </pivotArea>
    </format>
    <format dxfId="500">
      <pivotArea dataOnly="0" labelOnly="1" outline="0" fieldPosition="0">
        <references count="3">
          <reference field="0" count="1" selected="0">
            <x v="2"/>
          </reference>
          <reference field="1" count="1" selected="0">
            <x v="4"/>
          </reference>
          <reference field="2" count="8">
            <x v="31"/>
            <x v="35"/>
            <x v="36"/>
            <x v="48"/>
            <x v="50"/>
            <x v="84"/>
            <x v="88"/>
            <x v="91"/>
          </reference>
        </references>
      </pivotArea>
    </format>
    <format dxfId="499">
      <pivotArea dataOnly="0" labelOnly="1" outline="0" fieldPosition="0">
        <references count="3">
          <reference field="0" count="1" selected="0">
            <x v="2"/>
          </reference>
          <reference field="1" count="1" selected="0">
            <x v="6"/>
          </reference>
          <reference field="2" count="2">
            <x v="85"/>
            <x v="96"/>
          </reference>
        </references>
      </pivotArea>
    </format>
    <format dxfId="498">
      <pivotArea dataOnly="0" labelOnly="1" outline="0" fieldPosition="0">
        <references count="3">
          <reference field="0" count="1" selected="0">
            <x v="2"/>
          </reference>
          <reference field="1" count="1" selected="0">
            <x v="8"/>
          </reference>
          <reference field="2" count="4">
            <x v="28"/>
            <x v="29"/>
            <x v="45"/>
            <x v="78"/>
          </reference>
        </references>
      </pivotArea>
    </format>
    <format dxfId="497">
      <pivotArea dataOnly="0" labelOnly="1" outline="0" fieldPosition="0">
        <references count="3">
          <reference field="0" count="1" selected="0">
            <x v="2"/>
          </reference>
          <reference field="1" count="1" selected="0">
            <x v="10"/>
          </reference>
          <reference field="2" count="9">
            <x v="24"/>
            <x v="34"/>
            <x v="39"/>
            <x v="41"/>
            <x v="44"/>
            <x v="68"/>
            <x v="74"/>
            <x v="77"/>
            <x v="86"/>
          </reference>
        </references>
      </pivotArea>
    </format>
    <format dxfId="496">
      <pivotArea dataOnly="0" labelOnly="1" outline="0" fieldPosition="0">
        <references count="3">
          <reference field="0" count="1" selected="0">
            <x v="2"/>
          </reference>
          <reference field="1" count="1" selected="0">
            <x v="11"/>
          </reference>
          <reference field="2" count="4">
            <x v="33"/>
            <x v="43"/>
            <x v="64"/>
            <x v="67"/>
          </reference>
        </references>
      </pivotArea>
    </format>
    <format dxfId="495">
      <pivotArea dataOnly="0" labelOnly="1" outline="0" fieldPosition="0">
        <references count="3">
          <reference field="0" count="1" selected="0">
            <x v="2"/>
          </reference>
          <reference field="1" count="1" selected="0">
            <x v="12"/>
          </reference>
          <reference field="2" count="7">
            <x v="26"/>
            <x v="27"/>
            <x v="37"/>
            <x v="40"/>
            <x v="89"/>
            <x v="93"/>
            <x v="94"/>
          </reference>
        </references>
      </pivotArea>
    </format>
    <format dxfId="494">
      <pivotArea dataOnly="0" labelOnly="1" outline="0" fieldPosition="0">
        <references count="3">
          <reference field="0" count="1" selected="0">
            <x v="2"/>
          </reference>
          <reference field="1" count="1" selected="0">
            <x v="14"/>
          </reference>
          <reference field="2" count="2">
            <x v="25"/>
            <x v="72"/>
          </reference>
        </references>
      </pivotArea>
    </format>
    <format dxfId="493">
      <pivotArea dataOnly="0" labelOnly="1" outline="0" fieldPosition="0">
        <references count="3">
          <reference field="0" count="1" selected="0">
            <x v="2"/>
          </reference>
          <reference field="1" count="1" selected="0">
            <x v="15"/>
          </reference>
          <reference field="2" count="9">
            <x v="42"/>
            <x v="46"/>
            <x v="51"/>
            <x v="52"/>
            <x v="53"/>
            <x v="58"/>
            <x v="61"/>
            <x v="63"/>
            <x v="87"/>
          </reference>
        </references>
      </pivotArea>
    </format>
    <format dxfId="492">
      <pivotArea dataOnly="0" labelOnly="1" outline="0" fieldPosition="0">
        <references count="4">
          <reference field="0" count="1" selected="0">
            <x v="0"/>
          </reference>
          <reference field="1" count="1" selected="0">
            <x v="13"/>
          </reference>
          <reference field="2" count="1" selected="0">
            <x v="0"/>
          </reference>
          <reference field="4" count="1">
            <x v="3"/>
          </reference>
        </references>
      </pivotArea>
    </format>
    <format dxfId="491">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490">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489">
      <pivotArea dataOnly="0" labelOnly="1" outline="0" fieldPosition="0">
        <references count="4">
          <reference field="0" count="1" selected="0">
            <x v="2"/>
          </reference>
          <reference field="1" count="1" selected="0">
            <x v="0"/>
          </reference>
          <reference field="2" count="1" selected="0">
            <x v="90"/>
          </reference>
          <reference field="4" count="1">
            <x v="1"/>
          </reference>
        </references>
      </pivotArea>
    </format>
    <format dxfId="488">
      <pivotArea dataOnly="0" labelOnly="1" outline="0" fieldPosition="0">
        <references count="4">
          <reference field="0" count="1" selected="0">
            <x v="2"/>
          </reference>
          <reference field="1" count="1" selected="0">
            <x v="1"/>
          </reference>
          <reference field="2" count="1" selected="0">
            <x v="38"/>
          </reference>
          <reference field="4" count="2">
            <x v="2"/>
            <x v="3"/>
          </reference>
        </references>
      </pivotArea>
    </format>
    <format dxfId="487">
      <pivotArea dataOnly="0" labelOnly="1" outline="0" fieldPosition="0">
        <references count="4">
          <reference field="0" count="1" selected="0">
            <x v="2"/>
          </reference>
          <reference field="1" count="1" selected="0">
            <x v="1"/>
          </reference>
          <reference field="2" count="1" selected="0">
            <x v="95"/>
          </reference>
          <reference field="4" count="1">
            <x v="2"/>
          </reference>
        </references>
      </pivotArea>
    </format>
    <format dxfId="486">
      <pivotArea dataOnly="0" labelOnly="1" outline="0" fieldPosition="0">
        <references count="4">
          <reference field="0" count="1" selected="0">
            <x v="2"/>
          </reference>
          <reference field="1" count="1" selected="0">
            <x v="2"/>
          </reference>
          <reference field="2" count="1" selected="0">
            <x v="38"/>
          </reference>
          <reference field="4" count="1">
            <x v="0"/>
          </reference>
        </references>
      </pivotArea>
    </format>
    <format dxfId="485">
      <pivotArea dataOnly="0" labelOnly="1" outline="0" fieldPosition="0">
        <references count="4">
          <reference field="0" count="1" selected="0">
            <x v="2"/>
          </reference>
          <reference field="1" count="1" selected="0">
            <x v="2"/>
          </reference>
          <reference field="2" count="1" selected="0">
            <x v="57"/>
          </reference>
          <reference field="4" count="1">
            <x v="1"/>
          </reference>
        </references>
      </pivotArea>
    </format>
    <format dxfId="484">
      <pivotArea dataOnly="0" labelOnly="1" outline="0" fieldPosition="0">
        <references count="4">
          <reference field="0" count="1" selected="0">
            <x v="2"/>
          </reference>
          <reference field="1" count="1" selected="0">
            <x v="2"/>
          </reference>
          <reference field="2" count="1" selected="0">
            <x v="59"/>
          </reference>
          <reference field="4" count="1">
            <x v="2"/>
          </reference>
        </references>
      </pivotArea>
    </format>
    <format dxfId="483">
      <pivotArea dataOnly="0" labelOnly="1" outline="0" fieldPosition="0">
        <references count="4">
          <reference field="0" count="1" selected="0">
            <x v="2"/>
          </reference>
          <reference field="1" count="1" selected="0">
            <x v="3"/>
          </reference>
          <reference field="2" count="1" selected="0">
            <x v="30"/>
          </reference>
          <reference field="4" count="1">
            <x v="3"/>
          </reference>
        </references>
      </pivotArea>
    </format>
    <format dxfId="482">
      <pivotArea dataOnly="0" labelOnly="1" outline="0" fieldPosition="0">
        <references count="4">
          <reference field="0" count="1" selected="0">
            <x v="2"/>
          </reference>
          <reference field="1" count="1" selected="0">
            <x v="3"/>
          </reference>
          <reference field="2" count="1" selected="0">
            <x v="55"/>
          </reference>
          <reference field="4" count="2">
            <x v="2"/>
            <x v="3"/>
          </reference>
        </references>
      </pivotArea>
    </format>
    <format dxfId="481">
      <pivotArea dataOnly="0" labelOnly="1" outline="0" fieldPosition="0">
        <references count="4">
          <reference field="0" count="1" selected="0">
            <x v="2"/>
          </reference>
          <reference field="1" count="1" selected="0">
            <x v="3"/>
          </reference>
          <reference field="2" count="1" selected="0">
            <x v="56"/>
          </reference>
          <reference field="4" count="2">
            <x v="2"/>
            <x v="3"/>
          </reference>
        </references>
      </pivotArea>
    </format>
    <format dxfId="480">
      <pivotArea dataOnly="0" labelOnly="1" outline="0" fieldPosition="0">
        <references count="4">
          <reference field="0" count="1" selected="0">
            <x v="2"/>
          </reference>
          <reference field="1" count="1" selected="0">
            <x v="3"/>
          </reference>
          <reference field="2" count="1" selected="0">
            <x v="60"/>
          </reference>
          <reference field="4" count="1">
            <x v="1"/>
          </reference>
        </references>
      </pivotArea>
    </format>
    <format dxfId="479">
      <pivotArea dataOnly="0" labelOnly="1" outline="0" fieldPosition="0">
        <references count="4">
          <reference field="0" count="1" selected="0">
            <x v="2"/>
          </reference>
          <reference field="1" count="1" selected="0">
            <x v="3"/>
          </reference>
          <reference field="2" count="1" selected="0">
            <x v="81"/>
          </reference>
          <reference field="4" count="1">
            <x v="2"/>
          </reference>
        </references>
      </pivotArea>
    </format>
    <format dxfId="478">
      <pivotArea dataOnly="0" labelOnly="1" outline="0" fieldPosition="0">
        <references count="4">
          <reference field="0" count="1" selected="0">
            <x v="2"/>
          </reference>
          <reference field="1" count="1" selected="0">
            <x v="4"/>
          </reference>
          <reference field="2" count="1" selected="0">
            <x v="35"/>
          </reference>
          <reference field="4" count="2">
            <x v="1"/>
            <x v="3"/>
          </reference>
        </references>
      </pivotArea>
    </format>
    <format dxfId="477">
      <pivotArea dataOnly="0" labelOnly="1" outline="0" fieldPosition="0">
        <references count="4">
          <reference field="0" count="1" selected="0">
            <x v="2"/>
          </reference>
          <reference field="1" count="1" selected="0">
            <x v="4"/>
          </reference>
          <reference field="2" count="1" selected="0">
            <x v="36"/>
          </reference>
          <reference field="4" count="1">
            <x v="2"/>
          </reference>
        </references>
      </pivotArea>
    </format>
    <format dxfId="476">
      <pivotArea dataOnly="0" labelOnly="1" outline="0" fieldPosition="0">
        <references count="4">
          <reference field="0" count="1" selected="0">
            <x v="2"/>
          </reference>
          <reference field="1" count="1" selected="0">
            <x v="4"/>
          </reference>
          <reference field="2" count="1" selected="0">
            <x v="48"/>
          </reference>
          <reference field="4" count="2">
            <x v="1"/>
            <x v="3"/>
          </reference>
        </references>
      </pivotArea>
    </format>
    <format dxfId="475">
      <pivotArea dataOnly="0" labelOnly="1" outline="0" fieldPosition="0">
        <references count="4">
          <reference field="0" count="1" selected="0">
            <x v="2"/>
          </reference>
          <reference field="1" count="1" selected="0">
            <x v="4"/>
          </reference>
          <reference field="2" count="1" selected="0">
            <x v="50"/>
          </reference>
          <reference field="4" count="1">
            <x v="1"/>
          </reference>
        </references>
      </pivotArea>
    </format>
    <format dxfId="474">
      <pivotArea dataOnly="0" labelOnly="1" outline="0" fieldPosition="0">
        <references count="4">
          <reference field="0" count="1" selected="0">
            <x v="2"/>
          </reference>
          <reference field="1" count="1" selected="0">
            <x v="4"/>
          </reference>
          <reference field="2" count="1" selected="0">
            <x v="84"/>
          </reference>
          <reference field="4" count="1">
            <x v="2"/>
          </reference>
        </references>
      </pivotArea>
    </format>
    <format dxfId="473">
      <pivotArea dataOnly="0" labelOnly="1" outline="0" fieldPosition="0">
        <references count="4">
          <reference field="0" count="1" selected="0">
            <x v="2"/>
          </reference>
          <reference field="1" count="1" selected="0">
            <x v="4"/>
          </reference>
          <reference field="2" count="1" selected="0">
            <x v="88"/>
          </reference>
          <reference field="4" count="2">
            <x v="0"/>
            <x v="3"/>
          </reference>
        </references>
      </pivotArea>
    </format>
    <format dxfId="472">
      <pivotArea dataOnly="0" labelOnly="1" outline="0" fieldPosition="0">
        <references count="4">
          <reference field="0" count="1" selected="0">
            <x v="2"/>
          </reference>
          <reference field="1" count="1" selected="0">
            <x v="4"/>
          </reference>
          <reference field="2" count="1" selected="0">
            <x v="91"/>
          </reference>
          <reference field="4" count="1">
            <x v="1"/>
          </reference>
        </references>
      </pivotArea>
    </format>
    <format dxfId="471">
      <pivotArea dataOnly="0" labelOnly="1" outline="0" fieldPosition="0">
        <references count="4">
          <reference field="0" count="1" selected="0">
            <x v="2"/>
          </reference>
          <reference field="1" count="1" selected="0">
            <x v="6"/>
          </reference>
          <reference field="2" count="1" selected="0">
            <x v="85"/>
          </reference>
          <reference field="4" count="1">
            <x v="3"/>
          </reference>
        </references>
      </pivotArea>
    </format>
    <format dxfId="470">
      <pivotArea dataOnly="0" labelOnly="1" outline="0" fieldPosition="0">
        <references count="4">
          <reference field="0" count="1" selected="0">
            <x v="2"/>
          </reference>
          <reference field="1" count="1" selected="0">
            <x v="8"/>
          </reference>
          <reference field="2" count="1" selected="0">
            <x v="28"/>
          </reference>
          <reference field="4" count="2">
            <x v="2"/>
            <x v="3"/>
          </reference>
        </references>
      </pivotArea>
    </format>
    <format dxfId="469">
      <pivotArea dataOnly="0" labelOnly="1" outline="0" fieldPosition="0">
        <references count="4">
          <reference field="0" count="1" selected="0">
            <x v="2"/>
          </reference>
          <reference field="1" count="1" selected="0">
            <x v="8"/>
          </reference>
          <reference field="2" count="1" selected="0">
            <x v="29"/>
          </reference>
          <reference field="4" count="2">
            <x v="2"/>
            <x v="3"/>
          </reference>
        </references>
      </pivotArea>
    </format>
    <format dxfId="468">
      <pivotArea dataOnly="0" labelOnly="1" outline="0" fieldPosition="0">
        <references count="4">
          <reference field="0" count="1" selected="0">
            <x v="2"/>
          </reference>
          <reference field="1" count="1" selected="0">
            <x v="8"/>
          </reference>
          <reference field="2" count="1" selected="0">
            <x v="45"/>
          </reference>
          <reference field="4" count="2">
            <x v="2"/>
            <x v="3"/>
          </reference>
        </references>
      </pivotArea>
    </format>
    <format dxfId="467">
      <pivotArea dataOnly="0" labelOnly="1" outline="0" fieldPosition="0">
        <references count="4">
          <reference field="0" count="1" selected="0">
            <x v="2"/>
          </reference>
          <reference field="1" count="1" selected="0">
            <x v="8"/>
          </reference>
          <reference field="2" count="1" selected="0">
            <x v="78"/>
          </reference>
          <reference field="4" count="2">
            <x v="2"/>
            <x v="3"/>
          </reference>
        </references>
      </pivotArea>
    </format>
    <format dxfId="466">
      <pivotArea dataOnly="0" labelOnly="1" outline="0" fieldPosition="0">
        <references count="4">
          <reference field="0" count="1" selected="0">
            <x v="2"/>
          </reference>
          <reference field="1" count="1" selected="0">
            <x v="10"/>
          </reference>
          <reference field="2" count="1" selected="0">
            <x v="24"/>
          </reference>
          <reference field="4" count="2">
            <x v="2"/>
            <x v="3"/>
          </reference>
        </references>
      </pivotArea>
    </format>
    <format dxfId="465">
      <pivotArea dataOnly="0" labelOnly="1" outline="0" fieldPosition="0">
        <references count="4">
          <reference field="0" count="1" selected="0">
            <x v="2"/>
          </reference>
          <reference field="1" count="1" selected="0">
            <x v="10"/>
          </reference>
          <reference field="2" count="1" selected="0">
            <x v="34"/>
          </reference>
          <reference field="4" count="2">
            <x v="2"/>
            <x v="3"/>
          </reference>
        </references>
      </pivotArea>
    </format>
    <format dxfId="464">
      <pivotArea dataOnly="0" labelOnly="1" outline="0" fieldPosition="0">
        <references count="4">
          <reference field="0" count="1" selected="0">
            <x v="2"/>
          </reference>
          <reference field="1" count="1" selected="0">
            <x v="10"/>
          </reference>
          <reference field="2" count="1" selected="0">
            <x v="39"/>
          </reference>
          <reference field="4" count="1">
            <x v="2"/>
          </reference>
        </references>
      </pivotArea>
    </format>
    <format dxfId="463">
      <pivotArea dataOnly="0" labelOnly="1" outline="0" fieldPosition="0">
        <references count="4">
          <reference field="0" count="1" selected="0">
            <x v="2"/>
          </reference>
          <reference field="1" count="1" selected="0">
            <x v="10"/>
          </reference>
          <reference field="2" count="1" selected="0">
            <x v="86"/>
          </reference>
          <reference field="4" count="1">
            <x v="3"/>
          </reference>
        </references>
      </pivotArea>
    </format>
    <format dxfId="462">
      <pivotArea dataOnly="0" labelOnly="1" outline="0" fieldPosition="0">
        <references count="4">
          <reference field="0" count="1" selected="0">
            <x v="2"/>
          </reference>
          <reference field="1" count="1" selected="0">
            <x v="11"/>
          </reference>
          <reference field="2" count="1" selected="0">
            <x v="33"/>
          </reference>
          <reference field="4" count="2">
            <x v="0"/>
            <x v="3"/>
          </reference>
        </references>
      </pivotArea>
    </format>
    <format dxfId="461">
      <pivotArea dataOnly="0" labelOnly="1" outline="0" fieldPosition="0">
        <references count="4">
          <reference field="0" count="1" selected="0">
            <x v="2"/>
          </reference>
          <reference field="1" count="1" selected="0">
            <x v="11"/>
          </reference>
          <reference field="2" count="1" selected="0">
            <x v="43"/>
          </reference>
          <reference field="4" count="1">
            <x v="2"/>
          </reference>
        </references>
      </pivotArea>
    </format>
    <format dxfId="460">
      <pivotArea dataOnly="0" labelOnly="1" outline="0" fieldPosition="0">
        <references count="4">
          <reference field="0" count="1" selected="0">
            <x v="2"/>
          </reference>
          <reference field="1" count="1" selected="0">
            <x v="11"/>
          </reference>
          <reference field="2" count="1" selected="0">
            <x v="64"/>
          </reference>
          <reference field="4" count="1">
            <x v="3"/>
          </reference>
        </references>
      </pivotArea>
    </format>
    <format dxfId="459">
      <pivotArea dataOnly="0" labelOnly="1" outline="0" fieldPosition="0">
        <references count="4">
          <reference field="0" count="1" selected="0">
            <x v="2"/>
          </reference>
          <reference field="1" count="1" selected="0">
            <x v="11"/>
          </reference>
          <reference field="2" count="1" selected="0">
            <x v="67"/>
          </reference>
          <reference field="4" count="1">
            <x v="1"/>
          </reference>
        </references>
      </pivotArea>
    </format>
    <format dxfId="458">
      <pivotArea dataOnly="0" labelOnly="1" outline="0" fieldPosition="0">
        <references count="4">
          <reference field="0" count="1" selected="0">
            <x v="2"/>
          </reference>
          <reference field="1" count="1" selected="0">
            <x v="12"/>
          </reference>
          <reference field="2" count="1" selected="0">
            <x v="27"/>
          </reference>
          <reference field="4" count="1">
            <x v="0"/>
          </reference>
        </references>
      </pivotArea>
    </format>
    <format dxfId="457">
      <pivotArea dataOnly="0" labelOnly="1" outline="0" fieldPosition="0">
        <references count="4">
          <reference field="0" count="1" selected="0">
            <x v="2"/>
          </reference>
          <reference field="1" count="1" selected="0">
            <x v="12"/>
          </reference>
          <reference field="2" count="1" selected="0">
            <x v="37"/>
          </reference>
          <reference field="4" count="1">
            <x v="3"/>
          </reference>
        </references>
      </pivotArea>
    </format>
    <format dxfId="456">
      <pivotArea dataOnly="0" labelOnly="1" outline="0" fieldPosition="0">
        <references count="4">
          <reference field="0" count="1" selected="0">
            <x v="2"/>
          </reference>
          <reference field="1" count="1" selected="0">
            <x v="12"/>
          </reference>
          <reference field="2" count="1" selected="0">
            <x v="40"/>
          </reference>
          <reference field="4" count="1">
            <x v="2"/>
          </reference>
        </references>
      </pivotArea>
    </format>
    <format dxfId="455">
      <pivotArea dataOnly="0" labelOnly="1" outline="0" fieldPosition="0">
        <references count="4">
          <reference field="0" count="1" selected="0">
            <x v="2"/>
          </reference>
          <reference field="1" count="1" selected="0">
            <x v="12"/>
          </reference>
          <reference field="2" count="1" selected="0">
            <x v="93"/>
          </reference>
          <reference field="4" count="1">
            <x v="1"/>
          </reference>
        </references>
      </pivotArea>
    </format>
    <format dxfId="454">
      <pivotArea dataOnly="0" labelOnly="1" outline="0" fieldPosition="0">
        <references count="4">
          <reference field="0" count="1" selected="0">
            <x v="2"/>
          </reference>
          <reference field="1" count="1" selected="0">
            <x v="14"/>
          </reference>
          <reference field="2" count="1" selected="0">
            <x v="25"/>
          </reference>
          <reference field="4" count="1">
            <x v="2"/>
          </reference>
        </references>
      </pivotArea>
    </format>
    <format dxfId="453">
      <pivotArea dataOnly="0" labelOnly="1" outline="0" fieldPosition="0">
        <references count="4">
          <reference field="0" count="1" selected="0">
            <x v="2"/>
          </reference>
          <reference field="1" count="1" selected="0">
            <x v="15"/>
          </reference>
          <reference field="2" count="1" selected="0">
            <x v="42"/>
          </reference>
          <reference field="4" count="1">
            <x v="1"/>
          </reference>
        </references>
      </pivotArea>
    </format>
    <format dxfId="452">
      <pivotArea dataOnly="0" labelOnly="1" outline="0" fieldPosition="0">
        <references count="4">
          <reference field="0" count="1" selected="0">
            <x v="2"/>
          </reference>
          <reference field="1" count="1" selected="0">
            <x v="15"/>
          </reference>
          <reference field="2" count="1" selected="0">
            <x v="46"/>
          </reference>
          <reference field="4" count="1">
            <x v="2"/>
          </reference>
        </references>
      </pivotArea>
    </format>
    <format dxfId="451">
      <pivotArea dataOnly="0" labelOnly="1" outline="0" fieldPosition="0">
        <references count="4">
          <reference field="0" count="1" selected="0">
            <x v="2"/>
          </reference>
          <reference field="1" count="1" selected="0">
            <x v="15"/>
          </reference>
          <reference field="2" count="1" selected="0">
            <x v="51"/>
          </reference>
          <reference field="4" count="1">
            <x v="1"/>
          </reference>
        </references>
      </pivotArea>
    </format>
    <format dxfId="450">
      <pivotArea dataOnly="0" labelOnly="1" outline="0" fieldPosition="0">
        <references count="4">
          <reference field="0" count="1" selected="0">
            <x v="2"/>
          </reference>
          <reference field="1" count="1" selected="0">
            <x v="15"/>
          </reference>
          <reference field="2" count="1" selected="0">
            <x v="52"/>
          </reference>
          <reference field="4" count="1">
            <x v="2"/>
          </reference>
        </references>
      </pivotArea>
    </format>
    <format dxfId="449">
      <pivotArea dataOnly="0" labelOnly="1" outline="0" fieldPosition="0">
        <references count="4">
          <reference field="0" count="1" selected="0">
            <x v="2"/>
          </reference>
          <reference field="1" count="1" selected="0">
            <x v="15"/>
          </reference>
          <reference field="2" count="1" selected="0">
            <x v="53"/>
          </reference>
          <reference field="4" count="1">
            <x v="0"/>
          </reference>
        </references>
      </pivotArea>
    </format>
    <format dxfId="448">
      <pivotArea dataOnly="0" labelOnly="1" outline="0" fieldPosition="0">
        <references count="4">
          <reference field="0" count="1" selected="0">
            <x v="2"/>
          </reference>
          <reference field="1" count="1" selected="0">
            <x v="15"/>
          </reference>
          <reference field="2" count="1" selected="0">
            <x v="58"/>
          </reference>
          <reference field="4" count="1">
            <x v="2"/>
          </reference>
        </references>
      </pivotArea>
    </format>
    <format dxfId="447">
      <pivotArea dataOnly="0" labelOnly="1" outline="0" fieldPosition="0">
        <references count="4">
          <reference field="0" count="1" selected="0">
            <x v="2"/>
          </reference>
          <reference field="1" count="1" selected="0">
            <x v="15"/>
          </reference>
          <reference field="2" count="1" selected="0">
            <x v="61"/>
          </reference>
          <reference field="4" count="1">
            <x v="3"/>
          </reference>
        </references>
      </pivotArea>
    </format>
    <format dxfId="446">
      <pivotArea dataOnly="0" labelOnly="1" outline="0" fieldPosition="0">
        <references count="4">
          <reference field="0" count="1" selected="0">
            <x v="2"/>
          </reference>
          <reference field="1" count="1" selected="0">
            <x v="15"/>
          </reference>
          <reference field="2" count="1" selected="0">
            <x v="63"/>
          </reference>
          <reference field="4" count="1">
            <x v="1"/>
          </reference>
        </references>
      </pivotArea>
    </format>
    <format dxfId="445">
      <pivotArea dataOnly="0" labelOnly="1" outline="0" fieldPosition="0">
        <references count="4">
          <reference field="0" count="1" selected="0">
            <x v="2"/>
          </reference>
          <reference field="1" count="1" selected="0">
            <x v="15"/>
          </reference>
          <reference field="2" count="1" selected="0">
            <x v="87"/>
          </reference>
          <reference field="4" count="1">
            <x v="2"/>
          </reference>
        </references>
      </pivotArea>
    </format>
    <format dxfId="444">
      <pivotArea dataOnly="0" labelOnly="1" outline="0" fieldPosition="0">
        <references count="5">
          <reference field="0" count="1" selected="0">
            <x v="0"/>
          </reference>
          <reference field="1" count="1" selected="0">
            <x v="13"/>
          </reference>
          <reference field="2" count="1" selected="0">
            <x v="0"/>
          </reference>
          <reference field="4" count="1" selected="0">
            <x v="3"/>
          </reference>
          <reference field="5" count="1">
            <x v="82"/>
          </reference>
        </references>
      </pivotArea>
    </format>
    <format dxfId="443">
      <pivotArea dataOnly="0" labelOnly="1" outline="0" fieldPosition="0">
        <references count="5">
          <reference field="0" count="1" selected="0">
            <x v="0"/>
          </reference>
          <reference field="1" count="1" selected="0">
            <x v="13"/>
          </reference>
          <reference field="2" count="1" selected="0">
            <x v="1"/>
          </reference>
          <reference field="4" count="1" selected="0">
            <x v="3"/>
          </reference>
          <reference field="5" count="1">
            <x v="119"/>
          </reference>
        </references>
      </pivotArea>
    </format>
    <format dxfId="442">
      <pivotArea dataOnly="0" labelOnly="1" outline="0" fieldPosition="0">
        <references count="5">
          <reference field="0" count="1" selected="0">
            <x v="0"/>
          </reference>
          <reference field="1" count="1" selected="0">
            <x v="13"/>
          </reference>
          <reference field="2" count="1" selected="0">
            <x v="2"/>
          </reference>
          <reference field="4" count="1" selected="0">
            <x v="3"/>
          </reference>
          <reference field="5" count="1">
            <x v="109"/>
          </reference>
        </references>
      </pivotArea>
    </format>
    <format dxfId="441">
      <pivotArea dataOnly="0" labelOnly="1" outline="0" fieldPosition="0">
        <references count="5">
          <reference field="0" count="1" selected="0">
            <x v="0"/>
          </reference>
          <reference field="1" count="1" selected="0">
            <x v="13"/>
          </reference>
          <reference field="2" count="1" selected="0">
            <x v="3"/>
          </reference>
          <reference field="4" count="1" selected="0">
            <x v="3"/>
          </reference>
          <reference field="5" count="1">
            <x v="92"/>
          </reference>
        </references>
      </pivotArea>
    </format>
    <format dxfId="440">
      <pivotArea dataOnly="0" labelOnly="1" outline="0" fieldPosition="0">
        <references count="5">
          <reference field="0" count="1" selected="0">
            <x v="0"/>
          </reference>
          <reference field="1" count="1" selected="0">
            <x v="13"/>
          </reference>
          <reference field="2" count="1" selected="0">
            <x v="4"/>
          </reference>
          <reference field="4" count="1" selected="0">
            <x v="3"/>
          </reference>
          <reference field="5" count="1">
            <x v="101"/>
          </reference>
        </references>
      </pivotArea>
    </format>
    <format dxfId="439">
      <pivotArea dataOnly="0" labelOnly="1" outline="0" fieldPosition="0">
        <references count="5">
          <reference field="0" count="1" selected="0">
            <x v="0"/>
          </reference>
          <reference field="1" count="1" selected="0">
            <x v="13"/>
          </reference>
          <reference field="2" count="1" selected="0">
            <x v="5"/>
          </reference>
          <reference field="4" count="1" selected="0">
            <x v="3"/>
          </reference>
          <reference field="5" count="1">
            <x v="74"/>
          </reference>
        </references>
      </pivotArea>
    </format>
    <format dxfId="438">
      <pivotArea dataOnly="0" labelOnly="1" outline="0" fieldPosition="0">
        <references count="5">
          <reference field="0" count="1" selected="0">
            <x v="0"/>
          </reference>
          <reference field="1" count="1" selected="0">
            <x v="13"/>
          </reference>
          <reference field="2" count="1" selected="0">
            <x v="6"/>
          </reference>
          <reference field="4" count="1" selected="0">
            <x v="3"/>
          </reference>
          <reference field="5" count="1">
            <x v="72"/>
          </reference>
        </references>
      </pivotArea>
    </format>
    <format dxfId="437">
      <pivotArea dataOnly="0" labelOnly="1" outline="0" fieldPosition="0">
        <references count="5">
          <reference field="0" count="1" selected="0">
            <x v="0"/>
          </reference>
          <reference field="1" count="1" selected="0">
            <x v="13"/>
          </reference>
          <reference field="2" count="1" selected="0">
            <x v="7"/>
          </reference>
          <reference field="4" count="1" selected="0">
            <x v="3"/>
          </reference>
          <reference field="5" count="1">
            <x v="112"/>
          </reference>
        </references>
      </pivotArea>
    </format>
    <format dxfId="436">
      <pivotArea dataOnly="0" labelOnly="1" outline="0" fieldPosition="0">
        <references count="5">
          <reference field="0" count="1" selected="0">
            <x v="0"/>
          </reference>
          <reference field="1" count="1" selected="0">
            <x v="13"/>
          </reference>
          <reference field="2" count="1" selected="0">
            <x v="8"/>
          </reference>
          <reference field="4" count="1" selected="0">
            <x v="3"/>
          </reference>
          <reference field="5" count="1">
            <x v="95"/>
          </reference>
        </references>
      </pivotArea>
    </format>
    <format dxfId="435">
      <pivotArea dataOnly="0" labelOnly="1" outline="0" fieldPosition="0">
        <references count="5">
          <reference field="0" count="1" selected="0">
            <x v="0"/>
          </reference>
          <reference field="1" count="1" selected="0">
            <x v="13"/>
          </reference>
          <reference field="2" count="1" selected="0">
            <x v="9"/>
          </reference>
          <reference field="4" count="1" selected="0">
            <x v="3"/>
          </reference>
          <reference field="5" count="1">
            <x v="87"/>
          </reference>
        </references>
      </pivotArea>
    </format>
    <format dxfId="434">
      <pivotArea dataOnly="0" labelOnly="1" outline="0" fieldPosition="0">
        <references count="5">
          <reference field="0" count="1" selected="0">
            <x v="0"/>
          </reference>
          <reference field="1" count="1" selected="0">
            <x v="13"/>
          </reference>
          <reference field="2" count="1" selected="0">
            <x v="10"/>
          </reference>
          <reference field="4" count="1" selected="0">
            <x v="3"/>
          </reference>
          <reference field="5" count="1">
            <x v="99"/>
          </reference>
        </references>
      </pivotArea>
    </format>
    <format dxfId="433">
      <pivotArea dataOnly="0" labelOnly="1" outline="0" fieldPosition="0">
        <references count="5">
          <reference field="0" count="1" selected="0">
            <x v="0"/>
          </reference>
          <reference field="1" count="1" selected="0">
            <x v="13"/>
          </reference>
          <reference field="2" count="1" selected="0">
            <x v="11"/>
          </reference>
          <reference field="4" count="1" selected="0">
            <x v="3"/>
          </reference>
          <reference field="5" count="1">
            <x v="117"/>
          </reference>
        </references>
      </pivotArea>
    </format>
    <format dxfId="432">
      <pivotArea dataOnly="0" labelOnly="1" outline="0" fieldPosition="0">
        <references count="5">
          <reference field="0" count="1" selected="0">
            <x v="0"/>
          </reference>
          <reference field="1" count="1" selected="0">
            <x v="13"/>
          </reference>
          <reference field="2" count="1" selected="0">
            <x v="12"/>
          </reference>
          <reference field="4" count="1" selected="0">
            <x v="3"/>
          </reference>
          <reference field="5" count="1">
            <x v="84"/>
          </reference>
        </references>
      </pivotArea>
    </format>
    <format dxfId="431">
      <pivotArea dataOnly="0" labelOnly="1" outline="0" fieldPosition="0">
        <references count="5">
          <reference field="0" count="1" selected="0">
            <x v="0"/>
          </reference>
          <reference field="1" count="1" selected="0">
            <x v="13"/>
          </reference>
          <reference field="2" count="1" selected="0">
            <x v="13"/>
          </reference>
          <reference field="4" count="1" selected="0">
            <x v="3"/>
          </reference>
          <reference field="5" count="1">
            <x v="100"/>
          </reference>
        </references>
      </pivotArea>
    </format>
    <format dxfId="430">
      <pivotArea dataOnly="0" labelOnly="1" outline="0" fieldPosition="0">
        <references count="5">
          <reference field="0" count="1" selected="0">
            <x v="0"/>
          </reference>
          <reference field="1" count="1" selected="0">
            <x v="13"/>
          </reference>
          <reference field="2" count="1" selected="0">
            <x v="14"/>
          </reference>
          <reference field="4" count="1" selected="0">
            <x v="3"/>
          </reference>
          <reference field="5" count="1">
            <x v="90"/>
          </reference>
        </references>
      </pivotArea>
    </format>
    <format dxfId="429">
      <pivotArea dataOnly="0" labelOnly="1" outline="0" fieldPosition="0">
        <references count="5">
          <reference field="0" count="1" selected="0">
            <x v="0"/>
          </reference>
          <reference field="1" count="1" selected="0">
            <x v="13"/>
          </reference>
          <reference field="2" count="1" selected="0">
            <x v="15"/>
          </reference>
          <reference field="4" count="1" selected="0">
            <x v="3"/>
          </reference>
          <reference field="5" count="1">
            <x v="9"/>
          </reference>
        </references>
      </pivotArea>
    </format>
    <format dxfId="428">
      <pivotArea dataOnly="0" labelOnly="1" outline="0" fieldPosition="0">
        <references count="5">
          <reference field="0" count="1" selected="0">
            <x v="0"/>
          </reference>
          <reference field="1" count="1" selected="0">
            <x v="13"/>
          </reference>
          <reference field="2" count="1" selected="0">
            <x v="16"/>
          </reference>
          <reference field="4" count="1" selected="0">
            <x v="3"/>
          </reference>
          <reference field="5" count="1">
            <x v="94"/>
          </reference>
        </references>
      </pivotArea>
    </format>
    <format dxfId="427">
      <pivotArea dataOnly="0" labelOnly="1" outline="0" fieldPosition="0">
        <references count="5">
          <reference field="0" count="1" selected="0">
            <x v="0"/>
          </reference>
          <reference field="1" count="1" selected="0">
            <x v="13"/>
          </reference>
          <reference field="2" count="1" selected="0">
            <x v="17"/>
          </reference>
          <reference field="4" count="1" selected="0">
            <x v="3"/>
          </reference>
          <reference field="5" count="1">
            <x v="113"/>
          </reference>
        </references>
      </pivotArea>
    </format>
    <format dxfId="426">
      <pivotArea dataOnly="0" labelOnly="1" outline="0" fieldPosition="0">
        <references count="5">
          <reference field="0" count="1" selected="0">
            <x v="0"/>
          </reference>
          <reference field="1" count="1" selected="0">
            <x v="13"/>
          </reference>
          <reference field="2" count="1" selected="0">
            <x v="18"/>
          </reference>
          <reference field="4" count="1" selected="0">
            <x v="3"/>
          </reference>
          <reference field="5" count="1">
            <x v="127"/>
          </reference>
        </references>
      </pivotArea>
    </format>
    <format dxfId="425">
      <pivotArea dataOnly="0" labelOnly="1" outline="0" fieldPosition="0">
        <references count="5">
          <reference field="0" count="1" selected="0">
            <x v="0"/>
          </reference>
          <reference field="1" count="1" selected="0">
            <x v="13"/>
          </reference>
          <reference field="2" count="1" selected="0">
            <x v="19"/>
          </reference>
          <reference field="4" count="1" selected="0">
            <x v="3"/>
          </reference>
          <reference field="5" count="1">
            <x v="98"/>
          </reference>
        </references>
      </pivotArea>
    </format>
    <format dxfId="424">
      <pivotArea dataOnly="0" labelOnly="1" outline="0" fieldPosition="0">
        <references count="5">
          <reference field="0" count="1" selected="0">
            <x v="0"/>
          </reference>
          <reference field="1" count="1" selected="0">
            <x v="13"/>
          </reference>
          <reference field="2" count="1" selected="0">
            <x v="20"/>
          </reference>
          <reference field="4" count="1" selected="0">
            <x v="3"/>
          </reference>
          <reference field="5" count="1">
            <x v="102"/>
          </reference>
        </references>
      </pivotArea>
    </format>
    <format dxfId="423">
      <pivotArea dataOnly="0" labelOnly="1" outline="0" fieldPosition="0">
        <references count="5">
          <reference field="0" count="1" selected="0">
            <x v="0"/>
          </reference>
          <reference field="1" count="1" selected="0">
            <x v="13"/>
          </reference>
          <reference field="2" count="1" selected="0">
            <x v="21"/>
          </reference>
          <reference field="4" count="1" selected="0">
            <x v="3"/>
          </reference>
          <reference field="5" count="1">
            <x v="125"/>
          </reference>
        </references>
      </pivotArea>
    </format>
    <format dxfId="422">
      <pivotArea dataOnly="0" labelOnly="1" outline="0" fieldPosition="0">
        <references count="5">
          <reference field="0" count="1" selected="0">
            <x v="0"/>
          </reference>
          <reference field="1" count="1" selected="0">
            <x v="13"/>
          </reference>
          <reference field="2" count="1" selected="0">
            <x v="22"/>
          </reference>
          <reference field="4" count="1" selected="0">
            <x v="3"/>
          </reference>
          <reference field="5" count="1">
            <x v="10"/>
          </reference>
        </references>
      </pivotArea>
    </format>
    <format dxfId="421">
      <pivotArea dataOnly="0" labelOnly="1" outline="0" fieldPosition="0">
        <references count="5">
          <reference field="0" count="1" selected="0">
            <x v="0"/>
          </reference>
          <reference field="1" count="1" selected="0">
            <x v="13"/>
          </reference>
          <reference field="2" count="1" selected="0">
            <x v="23"/>
          </reference>
          <reference field="4" count="1" selected="0">
            <x v="3"/>
          </reference>
          <reference field="5" count="1">
            <x v="133"/>
          </reference>
        </references>
      </pivotArea>
    </format>
    <format dxfId="420">
      <pivotArea dataOnly="0" labelOnly="1" outline="0" fieldPosition="0">
        <references count="5">
          <reference field="0" count="1" selected="0">
            <x v="0"/>
          </reference>
          <reference field="1" count="1" selected="0">
            <x v="13"/>
          </reference>
          <reference field="2" count="1" selected="0">
            <x v="83"/>
          </reference>
          <reference field="4" count="1" selected="0">
            <x v="3"/>
          </reference>
          <reference field="5" count="1">
            <x v="7"/>
          </reference>
        </references>
      </pivotArea>
    </format>
    <format dxfId="419">
      <pivotArea dataOnly="0" labelOnly="1" outline="0" fieldPosition="0">
        <references count="5">
          <reference field="0" count="1" selected="0">
            <x v="0"/>
          </reference>
          <reference field="1" count="1" selected="0">
            <x v="13"/>
          </reference>
          <reference field="2" count="1" selected="0">
            <x v="97"/>
          </reference>
          <reference field="4" count="1" selected="0">
            <x v="3"/>
          </reference>
          <reference field="5" count="1">
            <x v="51"/>
          </reference>
        </references>
      </pivotArea>
    </format>
    <format dxfId="418">
      <pivotArea dataOnly="0" labelOnly="1" outline="0" fieldPosition="0">
        <references count="5">
          <reference field="0" count="1" selected="0">
            <x v="1"/>
          </reference>
          <reference field="1" count="1" selected="0">
            <x v="5"/>
          </reference>
          <reference field="2" count="1" selected="0">
            <x v="71"/>
          </reference>
          <reference field="4" count="1" selected="0">
            <x v="3"/>
          </reference>
          <reference field="5" count="1">
            <x v="110"/>
          </reference>
        </references>
      </pivotArea>
    </format>
    <format dxfId="417">
      <pivotArea dataOnly="0" labelOnly="1" outline="0" fieldPosition="0">
        <references count="5">
          <reference field="0" count="1" selected="0">
            <x v="1"/>
          </reference>
          <reference field="1" count="1" selected="0">
            <x v="5"/>
          </reference>
          <reference field="2" count="1" selected="0">
            <x v="76"/>
          </reference>
          <reference field="4" count="1" selected="0">
            <x v="3"/>
          </reference>
          <reference field="5" count="1">
            <x v="17"/>
          </reference>
        </references>
      </pivotArea>
    </format>
    <format dxfId="416">
      <pivotArea dataOnly="0" labelOnly="1" outline="0" fieldPosition="0">
        <references count="5">
          <reference field="0" count="1" selected="0">
            <x v="1"/>
          </reference>
          <reference field="1" count="1" selected="0">
            <x v="5"/>
          </reference>
          <reference field="2" count="1" selected="0">
            <x v="97"/>
          </reference>
          <reference field="4" count="1" selected="0">
            <x v="3"/>
          </reference>
          <reference field="5" count="3">
            <x v="8"/>
            <x v="35"/>
            <x v="118"/>
          </reference>
        </references>
      </pivotArea>
    </format>
    <format dxfId="415">
      <pivotArea dataOnly="0" labelOnly="1" outline="0" fieldPosition="0">
        <references count="5">
          <reference field="0" count="1" selected="0">
            <x v="1"/>
          </reference>
          <reference field="1" count="1" selected="0">
            <x v="7"/>
          </reference>
          <reference field="2" count="1" selected="0">
            <x v="32"/>
          </reference>
          <reference field="4" count="1" selected="0">
            <x v="3"/>
          </reference>
          <reference field="5" count="1">
            <x v="134"/>
          </reference>
        </references>
      </pivotArea>
    </format>
    <format dxfId="414">
      <pivotArea dataOnly="0" labelOnly="1" outline="0" fieldPosition="0">
        <references count="5">
          <reference field="0" count="1" selected="0">
            <x v="1"/>
          </reference>
          <reference field="1" count="1" selected="0">
            <x v="7"/>
          </reference>
          <reference field="2" count="1" selected="0">
            <x v="47"/>
          </reference>
          <reference field="4" count="1" selected="0">
            <x v="3"/>
          </reference>
          <reference field="5" count="1">
            <x v="86"/>
          </reference>
        </references>
      </pivotArea>
    </format>
    <format dxfId="413">
      <pivotArea dataOnly="0" labelOnly="1" outline="0" fieldPosition="0">
        <references count="5">
          <reference field="0" count="1" selected="0">
            <x v="1"/>
          </reference>
          <reference field="1" count="1" selected="0">
            <x v="7"/>
          </reference>
          <reference field="2" count="1" selected="0">
            <x v="97"/>
          </reference>
          <reference field="4" count="1" selected="0">
            <x v="3"/>
          </reference>
          <reference field="5" count="2">
            <x v="79"/>
            <x v="122"/>
          </reference>
        </references>
      </pivotArea>
    </format>
    <format dxfId="412">
      <pivotArea dataOnly="0" labelOnly="1" outline="0" fieldPosition="0">
        <references count="5">
          <reference field="0" count="1" selected="0">
            <x v="1"/>
          </reference>
          <reference field="1" count="1" selected="0">
            <x v="9"/>
          </reference>
          <reference field="2" count="1" selected="0">
            <x v="49"/>
          </reference>
          <reference field="4" count="1" selected="0">
            <x v="3"/>
          </reference>
          <reference field="5" count="1">
            <x v="83"/>
          </reference>
        </references>
      </pivotArea>
    </format>
    <format dxfId="411">
      <pivotArea dataOnly="0" labelOnly="1" outline="0" fieldPosition="0">
        <references count="5">
          <reference field="0" count="1" selected="0">
            <x v="1"/>
          </reference>
          <reference field="1" count="1" selected="0">
            <x v="9"/>
          </reference>
          <reference field="2" count="1" selected="0">
            <x v="54"/>
          </reference>
          <reference field="4" count="1" selected="0">
            <x v="3"/>
          </reference>
          <reference field="5" count="1">
            <x v="131"/>
          </reference>
        </references>
      </pivotArea>
    </format>
    <format dxfId="410">
      <pivotArea dataOnly="0" labelOnly="1" outline="0" fieldPosition="0">
        <references count="5">
          <reference field="0" count="1" selected="0">
            <x v="1"/>
          </reference>
          <reference field="1" count="1" selected="0">
            <x v="9"/>
          </reference>
          <reference field="2" count="1" selected="0">
            <x v="66"/>
          </reference>
          <reference field="4" count="1" selected="0">
            <x v="3"/>
          </reference>
          <reference field="5" count="1">
            <x v="130"/>
          </reference>
        </references>
      </pivotArea>
    </format>
    <format dxfId="409">
      <pivotArea dataOnly="0" labelOnly="1" outline="0" fieldPosition="0">
        <references count="5">
          <reference field="0" count="1" selected="0">
            <x v="1"/>
          </reference>
          <reference field="1" count="1" selected="0">
            <x v="9"/>
          </reference>
          <reference field="2" count="1" selected="0">
            <x v="70"/>
          </reference>
          <reference field="4" count="1" selected="0">
            <x v="3"/>
          </reference>
          <reference field="5" count="1">
            <x v="78"/>
          </reference>
        </references>
      </pivotArea>
    </format>
    <format dxfId="408">
      <pivotArea dataOnly="0" labelOnly="1" outline="0" fieldPosition="0">
        <references count="5">
          <reference field="0" count="1" selected="0">
            <x v="1"/>
          </reference>
          <reference field="1" count="1" selected="0">
            <x v="9"/>
          </reference>
          <reference field="2" count="1" selected="0">
            <x v="73"/>
          </reference>
          <reference field="4" count="1" selected="0">
            <x v="3"/>
          </reference>
          <reference field="5" count="1">
            <x v="81"/>
          </reference>
        </references>
      </pivotArea>
    </format>
    <format dxfId="407">
      <pivotArea dataOnly="0" labelOnly="1" outline="0" fieldPosition="0">
        <references count="5">
          <reference field="0" count="1" selected="0">
            <x v="1"/>
          </reference>
          <reference field="1" count="1" selected="0">
            <x v="9"/>
          </reference>
          <reference field="2" count="1" selected="0">
            <x v="82"/>
          </reference>
          <reference field="4" count="1" selected="0">
            <x v="3"/>
          </reference>
          <reference field="5" count="1">
            <x v="13"/>
          </reference>
        </references>
      </pivotArea>
    </format>
    <format dxfId="406">
      <pivotArea dataOnly="0" labelOnly="1" outline="0" fieldPosition="0">
        <references count="5">
          <reference field="0" count="1" selected="0">
            <x v="1"/>
          </reference>
          <reference field="1" count="1" selected="0">
            <x v="9"/>
          </reference>
          <reference field="2" count="1" selected="0">
            <x v="92"/>
          </reference>
          <reference field="4" count="1" selected="0">
            <x v="3"/>
          </reference>
          <reference field="5" count="1">
            <x v="132"/>
          </reference>
        </references>
      </pivotArea>
    </format>
    <format dxfId="405">
      <pivotArea dataOnly="0" labelOnly="1" outline="0" fieldPosition="0">
        <references count="5">
          <reference field="0" count="1" selected="0">
            <x v="1"/>
          </reference>
          <reference field="1" count="1" selected="0">
            <x v="9"/>
          </reference>
          <reference field="2" count="1" selected="0">
            <x v="97"/>
          </reference>
          <reference field="4" count="1" selected="0">
            <x v="3"/>
          </reference>
          <reference field="5" count="1">
            <x v="40"/>
          </reference>
        </references>
      </pivotArea>
    </format>
    <format dxfId="404">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403">
      <pivotArea dataOnly="0" labelOnly="1" outline="0" fieldPosition="0">
        <references count="5">
          <reference field="0" count="1" selected="0">
            <x v="2"/>
          </reference>
          <reference field="1" count="1" selected="0">
            <x v="0"/>
          </reference>
          <reference field="2" count="1" selected="0">
            <x v="80"/>
          </reference>
          <reference field="4" count="1" selected="0">
            <x v="1"/>
          </reference>
          <reference field="5" count="1">
            <x v="23"/>
          </reference>
        </references>
      </pivotArea>
    </format>
    <format dxfId="402">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3">
            <x v="47"/>
            <x v="60"/>
            <x v="66"/>
          </reference>
        </references>
      </pivotArea>
    </format>
    <format dxfId="401">
      <pivotArea dataOnly="0" labelOnly="1" outline="0" fieldPosition="0">
        <references count="5">
          <reference field="0" count="1" selected="0">
            <x v="2"/>
          </reference>
          <reference field="1" count="1" selected="0">
            <x v="0"/>
          </reference>
          <reference field="2" count="1" selected="0">
            <x v="90"/>
          </reference>
          <reference field="4" count="1" selected="0">
            <x v="1"/>
          </reference>
          <reference field="5" count="1">
            <x v="93"/>
          </reference>
        </references>
      </pivotArea>
    </format>
    <format dxfId="400">
      <pivotArea dataOnly="0" labelOnly="1" outline="0" fieldPosition="0">
        <references count="5">
          <reference field="0" count="1" selected="0">
            <x v="2"/>
          </reference>
          <reference field="1" count="1" selected="0">
            <x v="1"/>
          </reference>
          <reference field="2" count="1" selected="0">
            <x v="38"/>
          </reference>
          <reference field="4" count="1" selected="0">
            <x v="2"/>
          </reference>
          <reference field="5" count="1">
            <x v="4"/>
          </reference>
        </references>
      </pivotArea>
    </format>
    <format dxfId="399">
      <pivotArea dataOnly="0" labelOnly="1" outline="0" fieldPosition="0">
        <references count="5">
          <reference field="0" count="1" selected="0">
            <x v="2"/>
          </reference>
          <reference field="1" count="1" selected="0">
            <x v="1"/>
          </reference>
          <reference field="2" count="1" selected="0">
            <x v="38"/>
          </reference>
          <reference field="4" count="1" selected="0">
            <x v="3"/>
          </reference>
          <reference field="5" count="1">
            <x v="36"/>
          </reference>
        </references>
      </pivotArea>
    </format>
    <format dxfId="398">
      <pivotArea dataOnly="0" labelOnly="1" outline="0" fieldPosition="0">
        <references count="5">
          <reference field="0" count="1" selected="0">
            <x v="2"/>
          </reference>
          <reference field="1" count="1" selected="0">
            <x v="2"/>
          </reference>
          <reference field="2" count="1" selected="0">
            <x v="38"/>
          </reference>
          <reference field="4" count="1" selected="0">
            <x v="0"/>
          </reference>
          <reference field="5" count="1">
            <x v="96"/>
          </reference>
        </references>
      </pivotArea>
    </format>
    <format dxfId="397">
      <pivotArea dataOnly="0" labelOnly="1" outline="0" fieldPosition="0">
        <references count="5">
          <reference field="0" count="1" selected="0">
            <x v="2"/>
          </reference>
          <reference field="1" count="1" selected="0">
            <x v="2"/>
          </reference>
          <reference field="2" count="1" selected="0">
            <x v="59"/>
          </reference>
          <reference field="4" count="1" selected="0">
            <x v="2"/>
          </reference>
          <reference field="5" count="1">
            <x v="27"/>
          </reference>
        </references>
      </pivotArea>
    </format>
    <format dxfId="396">
      <pivotArea dataOnly="0" labelOnly="1" outline="0" fieldPosition="0">
        <references count="5">
          <reference field="0" count="1" selected="0">
            <x v="2"/>
          </reference>
          <reference field="1" count="1" selected="0">
            <x v="2"/>
          </reference>
          <reference field="2" count="1" selected="0">
            <x v="62"/>
          </reference>
          <reference field="4" count="1" selected="0">
            <x v="2"/>
          </reference>
          <reference field="5" count="1">
            <x v="26"/>
          </reference>
        </references>
      </pivotArea>
    </format>
    <format dxfId="395">
      <pivotArea dataOnly="0" labelOnly="1" outline="0" fieldPosition="0">
        <references count="5">
          <reference field="0" count="1" selected="0">
            <x v="2"/>
          </reference>
          <reference field="1" count="1" selected="0">
            <x v="3"/>
          </reference>
          <reference field="2" count="1" selected="0">
            <x v="30"/>
          </reference>
          <reference field="4" count="1" selected="0">
            <x v="2"/>
          </reference>
          <reference field="5" count="1">
            <x v="19"/>
          </reference>
        </references>
      </pivotArea>
    </format>
    <format dxfId="394">
      <pivotArea dataOnly="0" labelOnly="1" outline="0" fieldPosition="0">
        <references count="5">
          <reference field="0" count="1" selected="0">
            <x v="2"/>
          </reference>
          <reference field="1" count="1" selected="0">
            <x v="3"/>
          </reference>
          <reference field="2" count="1" selected="0">
            <x v="30"/>
          </reference>
          <reference field="4" count="1" selected="0">
            <x v="3"/>
          </reference>
          <reference field="5" count="1">
            <x v="34"/>
          </reference>
        </references>
      </pivotArea>
    </format>
    <format dxfId="393">
      <pivotArea dataOnly="0" labelOnly="1" outline="0" fieldPosition="0">
        <references count="5">
          <reference field="0" count="1" selected="0">
            <x v="2"/>
          </reference>
          <reference field="1" count="1" selected="0">
            <x v="3"/>
          </reference>
          <reference field="2" count="1" selected="0">
            <x v="55"/>
          </reference>
          <reference field="4" count="1" selected="0">
            <x v="2"/>
          </reference>
          <reference field="5" count="1">
            <x v="11"/>
          </reference>
        </references>
      </pivotArea>
    </format>
    <format dxfId="392">
      <pivotArea dataOnly="0" labelOnly="1" outline="0" fieldPosition="0">
        <references count="5">
          <reference field="0" count="1" selected="0">
            <x v="2"/>
          </reference>
          <reference field="1" count="1" selected="0">
            <x v="3"/>
          </reference>
          <reference field="2" count="1" selected="0">
            <x v="56"/>
          </reference>
          <reference field="4" count="1" selected="0">
            <x v="2"/>
          </reference>
          <reference field="5" count="1">
            <x v="29"/>
          </reference>
        </references>
      </pivotArea>
    </format>
    <format dxfId="391">
      <pivotArea dataOnly="0" labelOnly="1" outline="0" fieldPosition="0">
        <references count="5">
          <reference field="0" count="1" selected="0">
            <x v="2"/>
          </reference>
          <reference field="1" count="1" selected="0">
            <x v="3"/>
          </reference>
          <reference field="2" count="1" selected="0">
            <x v="56"/>
          </reference>
          <reference field="4" count="1" selected="0">
            <x v="3"/>
          </reference>
          <reference field="5" count="1">
            <x v="50"/>
          </reference>
        </references>
      </pivotArea>
    </format>
    <format dxfId="390">
      <pivotArea dataOnly="0" labelOnly="1" outline="0" fieldPosition="0">
        <references count="5">
          <reference field="0" count="1" selected="0">
            <x v="2"/>
          </reference>
          <reference field="1" count="1" selected="0">
            <x v="3"/>
          </reference>
          <reference field="2" count="1" selected="0">
            <x v="60"/>
          </reference>
          <reference field="4" count="1" selected="0">
            <x v="1"/>
          </reference>
          <reference field="5" count="1">
            <x v="116"/>
          </reference>
        </references>
      </pivotArea>
    </format>
    <format dxfId="389">
      <pivotArea dataOnly="0" labelOnly="1" outline="0" fieldPosition="0">
        <references count="5">
          <reference field="0" count="1" selected="0">
            <x v="2"/>
          </reference>
          <reference field="1" count="1" selected="0">
            <x v="3"/>
          </reference>
          <reference field="2" count="1" selected="0">
            <x v="81"/>
          </reference>
          <reference field="4" count="1" selected="0">
            <x v="2"/>
          </reference>
          <reference field="5" count="1">
            <x v="115"/>
          </reference>
        </references>
      </pivotArea>
    </format>
    <format dxfId="388">
      <pivotArea dataOnly="0" labelOnly="1" outline="0" fieldPosition="0">
        <references count="5">
          <reference field="0" count="1" selected="0">
            <x v="2"/>
          </reference>
          <reference field="1" count="1" selected="0">
            <x v="4"/>
          </reference>
          <reference field="2" count="1" selected="0">
            <x v="31"/>
          </reference>
          <reference field="4" count="1" selected="0">
            <x v="2"/>
          </reference>
          <reference field="5" count="1">
            <x v="97"/>
          </reference>
        </references>
      </pivotArea>
    </format>
    <format dxfId="387">
      <pivotArea dataOnly="0" labelOnly="1" outline="0" fieldPosition="0">
        <references count="5">
          <reference field="0" count="1" selected="0">
            <x v="2"/>
          </reference>
          <reference field="1" count="1" selected="0">
            <x v="4"/>
          </reference>
          <reference field="2" count="1" selected="0">
            <x v="35"/>
          </reference>
          <reference field="4" count="1" selected="0">
            <x v="1"/>
          </reference>
          <reference field="5" count="1">
            <x v="14"/>
          </reference>
        </references>
      </pivotArea>
    </format>
    <format dxfId="386">
      <pivotArea dataOnly="0" labelOnly="1" outline="0" fieldPosition="0">
        <references count="5">
          <reference field="0" count="1" selected="0">
            <x v="2"/>
          </reference>
          <reference field="1" count="1" selected="0">
            <x v="4"/>
          </reference>
          <reference field="2" count="1" selected="0">
            <x v="35"/>
          </reference>
          <reference field="4" count="1" selected="0">
            <x v="3"/>
          </reference>
          <reference field="5" count="1">
            <x v="38"/>
          </reference>
        </references>
      </pivotArea>
    </format>
    <format dxfId="385">
      <pivotArea dataOnly="0" labelOnly="1" outline="0" fieldPosition="0">
        <references count="5">
          <reference field="0" count="1" selected="0">
            <x v="2"/>
          </reference>
          <reference field="1" count="1" selected="0">
            <x v="4"/>
          </reference>
          <reference field="2" count="1" selected="0">
            <x v="36"/>
          </reference>
          <reference field="4" count="1" selected="0">
            <x v="2"/>
          </reference>
          <reference field="5" count="1">
            <x v="20"/>
          </reference>
        </references>
      </pivotArea>
    </format>
    <format dxfId="384">
      <pivotArea dataOnly="0" labelOnly="1" outline="0" fieldPosition="0">
        <references count="5">
          <reference field="0" count="1" selected="0">
            <x v="2"/>
          </reference>
          <reference field="1" count="1" selected="0">
            <x v="4"/>
          </reference>
          <reference field="2" count="1" selected="0">
            <x v="48"/>
          </reference>
          <reference field="4" count="1" selected="0">
            <x v="1"/>
          </reference>
          <reference field="5" count="1">
            <x v="21"/>
          </reference>
        </references>
      </pivotArea>
    </format>
    <format dxfId="383">
      <pivotArea dataOnly="0" labelOnly="1" outline="0" fieldPosition="0">
        <references count="5">
          <reference field="0" count="1" selected="0">
            <x v="2"/>
          </reference>
          <reference field="1" count="1" selected="0">
            <x v="4"/>
          </reference>
          <reference field="2" count="1" selected="0">
            <x v="48"/>
          </reference>
          <reference field="4" count="1" selected="0">
            <x v="3"/>
          </reference>
          <reference field="5" count="1">
            <x v="39"/>
          </reference>
        </references>
      </pivotArea>
    </format>
    <format dxfId="382">
      <pivotArea dataOnly="0" labelOnly="1" outline="0" fieldPosition="0">
        <references count="5">
          <reference field="0" count="1" selected="0">
            <x v="2"/>
          </reference>
          <reference field="1" count="1" selected="0">
            <x v="4"/>
          </reference>
          <reference field="2" count="1" selected="0">
            <x v="50"/>
          </reference>
          <reference field="4" count="1" selected="0">
            <x v="1"/>
          </reference>
          <reference field="5" count="1">
            <x v="137"/>
          </reference>
        </references>
      </pivotArea>
    </format>
    <format dxfId="381">
      <pivotArea dataOnly="0" labelOnly="1" outline="0" fieldPosition="0">
        <references count="5">
          <reference field="0" count="1" selected="0">
            <x v="2"/>
          </reference>
          <reference field="1" count="1" selected="0">
            <x v="4"/>
          </reference>
          <reference field="2" count="1" selected="0">
            <x v="84"/>
          </reference>
          <reference field="4" count="1" selected="0">
            <x v="2"/>
          </reference>
          <reference field="5" count="1">
            <x v="106"/>
          </reference>
        </references>
      </pivotArea>
    </format>
    <format dxfId="380">
      <pivotArea dataOnly="0" labelOnly="1" outline="0" fieldPosition="0">
        <references count="5">
          <reference field="0" count="1" selected="0">
            <x v="2"/>
          </reference>
          <reference field="1" count="1" selected="0">
            <x v="4"/>
          </reference>
          <reference field="2" count="1" selected="0">
            <x v="88"/>
          </reference>
          <reference field="4" count="1" selected="0">
            <x v="0"/>
          </reference>
          <reference field="5" count="1">
            <x v="6"/>
          </reference>
        </references>
      </pivotArea>
    </format>
    <format dxfId="379">
      <pivotArea dataOnly="0" labelOnly="1" outline="0" fieldPosition="0">
        <references count="5">
          <reference field="0" count="1" selected="0">
            <x v="2"/>
          </reference>
          <reference field="1" count="1" selected="0">
            <x v="4"/>
          </reference>
          <reference field="2" count="1" selected="0">
            <x v="88"/>
          </reference>
          <reference field="4" count="1" selected="0">
            <x v="3"/>
          </reference>
          <reference field="5" count="1">
            <x v="37"/>
          </reference>
        </references>
      </pivotArea>
    </format>
    <format dxfId="378">
      <pivotArea dataOnly="0" labelOnly="1" outline="0" fieldPosition="0">
        <references count="5">
          <reference field="0" count="1" selected="0">
            <x v="2"/>
          </reference>
          <reference field="1" count="1" selected="0">
            <x v="4"/>
          </reference>
          <reference field="2" count="1" selected="0">
            <x v="91"/>
          </reference>
          <reference field="4" count="1" selected="0">
            <x v="1"/>
          </reference>
          <reference field="5" count="1">
            <x v="108"/>
          </reference>
        </references>
      </pivotArea>
    </format>
    <format dxfId="377">
      <pivotArea dataOnly="0" labelOnly="1" outline="0" fieldPosition="0">
        <references count="5">
          <reference field="0" count="1" selected="0">
            <x v="2"/>
          </reference>
          <reference field="1" count="1" selected="0">
            <x v="6"/>
          </reference>
          <reference field="2" count="1" selected="0">
            <x v="85"/>
          </reference>
          <reference field="4" count="1" selected="0">
            <x v="3"/>
          </reference>
          <reference field="5" count="4">
            <x v="18"/>
            <x v="46"/>
            <x v="57"/>
            <x v="64"/>
          </reference>
        </references>
      </pivotArea>
    </format>
    <format dxfId="376">
      <pivotArea dataOnly="0" labelOnly="1" outline="0" fieldPosition="0">
        <references count="5">
          <reference field="0" count="1" selected="0">
            <x v="2"/>
          </reference>
          <reference field="1" count="1" selected="0">
            <x v="6"/>
          </reference>
          <reference field="2" count="1" selected="0">
            <x v="96"/>
          </reference>
          <reference field="4" count="1" selected="0">
            <x v="3"/>
          </reference>
          <reference field="5" count="1">
            <x v="77"/>
          </reference>
        </references>
      </pivotArea>
    </format>
    <format dxfId="375">
      <pivotArea dataOnly="0" labelOnly="1" outline="0" fieldPosition="0">
        <references count="5">
          <reference field="0" count="1" selected="0">
            <x v="2"/>
          </reference>
          <reference field="1" count="1" selected="0">
            <x v="8"/>
          </reference>
          <reference field="2" count="1" selected="0">
            <x v="28"/>
          </reference>
          <reference field="4" count="1" selected="0">
            <x v="2"/>
          </reference>
          <reference field="5" count="1">
            <x v="5"/>
          </reference>
        </references>
      </pivotArea>
    </format>
    <format dxfId="374">
      <pivotArea dataOnly="0" labelOnly="1" outline="0" fieldPosition="0">
        <references count="5">
          <reference field="0" count="1" selected="0">
            <x v="2"/>
          </reference>
          <reference field="1" count="1" selected="0">
            <x v="8"/>
          </reference>
          <reference field="2" count="1" selected="0">
            <x v="28"/>
          </reference>
          <reference field="4" count="1" selected="0">
            <x v="3"/>
          </reference>
          <reference field="5" count="5">
            <x v="41"/>
            <x v="55"/>
            <x v="62"/>
            <x v="68"/>
            <x v="71"/>
          </reference>
        </references>
      </pivotArea>
    </format>
    <format dxfId="373">
      <pivotArea dataOnly="0" labelOnly="1" outline="0" fieldPosition="0">
        <references count="5">
          <reference field="0" count="1" selected="0">
            <x v="2"/>
          </reference>
          <reference field="1" count="1" selected="0">
            <x v="8"/>
          </reference>
          <reference field="2" count="1" selected="0">
            <x v="29"/>
          </reference>
          <reference field="4" count="1" selected="0">
            <x v="2"/>
          </reference>
          <reference field="5" count="1">
            <x v="24"/>
          </reference>
        </references>
      </pivotArea>
    </format>
    <format dxfId="372">
      <pivotArea dataOnly="0" labelOnly="1" outline="0" fieldPosition="0">
        <references count="5">
          <reference field="0" count="1" selected="0">
            <x v="2"/>
          </reference>
          <reference field="1" count="1" selected="0">
            <x v="8"/>
          </reference>
          <reference field="2" count="1" selected="0">
            <x v="29"/>
          </reference>
          <reference field="4" count="1" selected="0">
            <x v="3"/>
          </reference>
          <reference field="5" count="2">
            <x v="45"/>
            <x v="59"/>
          </reference>
        </references>
      </pivotArea>
    </format>
    <format dxfId="371">
      <pivotArea dataOnly="0" labelOnly="1" outline="0" fieldPosition="0">
        <references count="5">
          <reference field="0" count="1" selected="0">
            <x v="2"/>
          </reference>
          <reference field="1" count="1" selected="0">
            <x v="8"/>
          </reference>
          <reference field="2" count="1" selected="0">
            <x v="45"/>
          </reference>
          <reference field="4" count="1" selected="0">
            <x v="2"/>
          </reference>
          <reference field="5" count="1">
            <x v="0"/>
          </reference>
        </references>
      </pivotArea>
    </format>
    <format dxfId="370">
      <pivotArea dataOnly="0" labelOnly="1" outline="0" fieldPosition="0">
        <references count="5">
          <reference field="0" count="1" selected="0">
            <x v="2"/>
          </reference>
          <reference field="1" count="1" selected="0">
            <x v="8"/>
          </reference>
          <reference field="2" count="1" selected="0">
            <x v="45"/>
          </reference>
          <reference field="4" count="1" selected="0">
            <x v="3"/>
          </reference>
          <reference field="5" count="3">
            <x v="44"/>
            <x v="52"/>
            <x v="63"/>
          </reference>
        </references>
      </pivotArea>
    </format>
    <format dxfId="369">
      <pivotArea dataOnly="0" labelOnly="1" outline="0" fieldPosition="0">
        <references count="5">
          <reference field="0" count="1" selected="0">
            <x v="2"/>
          </reference>
          <reference field="1" count="1" selected="0">
            <x v="8"/>
          </reference>
          <reference field="2" count="1" selected="0">
            <x v="78"/>
          </reference>
          <reference field="4" count="1" selected="0">
            <x v="2"/>
          </reference>
          <reference field="5" count="1">
            <x v="22"/>
          </reference>
        </references>
      </pivotArea>
    </format>
    <format dxfId="368">
      <pivotArea dataOnly="0" labelOnly="1" outline="0" fieldPosition="0">
        <references count="5">
          <reference field="0" count="1" selected="0">
            <x v="2"/>
          </reference>
          <reference field="1" count="1" selected="0">
            <x v="8"/>
          </reference>
          <reference field="2" count="1" selected="0">
            <x v="78"/>
          </reference>
          <reference field="4" count="1" selected="0">
            <x v="3"/>
          </reference>
          <reference field="5" count="4">
            <x v="49"/>
            <x v="54"/>
            <x v="65"/>
            <x v="67"/>
          </reference>
        </references>
      </pivotArea>
    </format>
    <format dxfId="367">
      <pivotArea dataOnly="0" labelOnly="1" outline="0" fieldPosition="0">
        <references count="5">
          <reference field="0" count="1" selected="0">
            <x v="2"/>
          </reference>
          <reference field="1" count="1" selected="0">
            <x v="10"/>
          </reference>
          <reference field="2" count="1" selected="0">
            <x v="24"/>
          </reference>
          <reference field="4" count="1" selected="0">
            <x v="2"/>
          </reference>
          <reference field="5" count="1">
            <x v="107"/>
          </reference>
        </references>
      </pivotArea>
    </format>
    <format dxfId="366">
      <pivotArea dataOnly="0" labelOnly="1" outline="0" fieldPosition="0">
        <references count="5">
          <reference field="0" count="1" selected="0">
            <x v="2"/>
          </reference>
          <reference field="1" count="1" selected="0">
            <x v="10"/>
          </reference>
          <reference field="2" count="1" selected="0">
            <x v="24"/>
          </reference>
          <reference field="4" count="1" selected="0">
            <x v="3"/>
          </reference>
          <reference field="5" count="1">
            <x v="48"/>
          </reference>
        </references>
      </pivotArea>
    </format>
    <format dxfId="365">
      <pivotArea dataOnly="0" labelOnly="1" outline="0" fieldPosition="0">
        <references count="5">
          <reference field="0" count="1" selected="0">
            <x v="2"/>
          </reference>
          <reference field="1" count="1" selected="0">
            <x v="10"/>
          </reference>
          <reference field="2" count="1" selected="0">
            <x v="34"/>
          </reference>
          <reference field="4" count="1" selected="0">
            <x v="2"/>
          </reference>
          <reference field="5" count="1">
            <x v="3"/>
          </reference>
        </references>
      </pivotArea>
    </format>
    <format dxfId="364">
      <pivotArea dataOnly="0" labelOnly="1" outline="0" fieldPosition="0">
        <references count="5">
          <reference field="0" count="1" selected="0">
            <x v="2"/>
          </reference>
          <reference field="1" count="1" selected="0">
            <x v="10"/>
          </reference>
          <reference field="2" count="1" selected="0">
            <x v="34"/>
          </reference>
          <reference field="4" count="1" selected="0">
            <x v="3"/>
          </reference>
          <reference field="5" count="2">
            <x v="32"/>
            <x v="56"/>
          </reference>
        </references>
      </pivotArea>
    </format>
    <format dxfId="363">
      <pivotArea dataOnly="0" labelOnly="1" outline="0" fieldPosition="0">
        <references count="5">
          <reference field="0" count="1" selected="0">
            <x v="2"/>
          </reference>
          <reference field="1" count="1" selected="0">
            <x v="10"/>
          </reference>
          <reference field="2" count="1" selected="0">
            <x v="39"/>
          </reference>
          <reference field="4" count="1" selected="0">
            <x v="2"/>
          </reference>
          <reference field="5" count="1">
            <x v="124"/>
          </reference>
        </references>
      </pivotArea>
    </format>
    <format dxfId="362">
      <pivotArea dataOnly="0" labelOnly="1" outline="0" fieldPosition="0">
        <references count="5">
          <reference field="0" count="1" selected="0">
            <x v="2"/>
          </reference>
          <reference field="1" count="1" selected="0">
            <x v="10"/>
          </reference>
          <reference field="2" count="1" selected="0">
            <x v="44"/>
          </reference>
          <reference field="4" count="1" selected="0">
            <x v="2"/>
          </reference>
          <reference field="5" count="1">
            <x v="123"/>
          </reference>
        </references>
      </pivotArea>
    </format>
    <format dxfId="361">
      <pivotArea dataOnly="0" labelOnly="1" outline="0" fieldPosition="0">
        <references count="5">
          <reference field="0" count="1" selected="0">
            <x v="2"/>
          </reference>
          <reference field="1" count="1" selected="0">
            <x v="10"/>
          </reference>
          <reference field="2" count="1" selected="0">
            <x v="68"/>
          </reference>
          <reference field="4" count="1" selected="0">
            <x v="2"/>
          </reference>
          <reference field="5" count="1">
            <x v="85"/>
          </reference>
        </references>
      </pivotArea>
    </format>
    <format dxfId="360">
      <pivotArea dataOnly="0" labelOnly="1" outline="0" fieldPosition="0">
        <references count="5">
          <reference field="0" count="1" selected="0">
            <x v="2"/>
          </reference>
          <reference field="1" count="1" selected="0">
            <x v="10"/>
          </reference>
          <reference field="2" count="1" selected="0">
            <x v="74"/>
          </reference>
          <reference field="4" count="1" selected="0">
            <x v="2"/>
          </reference>
          <reference field="5" count="1">
            <x v="73"/>
          </reference>
        </references>
      </pivotArea>
    </format>
    <format dxfId="359">
      <pivotArea dataOnly="0" labelOnly="1" outline="0" fieldPosition="0">
        <references count="5">
          <reference field="0" count="1" selected="0">
            <x v="2"/>
          </reference>
          <reference field="1" count="1" selected="0">
            <x v="10"/>
          </reference>
          <reference field="2" count="1" selected="0">
            <x v="77"/>
          </reference>
          <reference field="4" count="1" selected="0">
            <x v="2"/>
          </reference>
          <reference field="5" count="1">
            <x v="135"/>
          </reference>
        </references>
      </pivotArea>
    </format>
    <format dxfId="358">
      <pivotArea dataOnly="0" labelOnly="1" outline="0" fieldPosition="0">
        <references count="5">
          <reference field="0" count="1" selected="0">
            <x v="2"/>
          </reference>
          <reference field="1" count="1" selected="0">
            <x v="10"/>
          </reference>
          <reference field="2" count="1" selected="0">
            <x v="86"/>
          </reference>
          <reference field="4" count="1" selected="0">
            <x v="2"/>
          </reference>
          <reference field="5" count="1">
            <x v="16"/>
          </reference>
        </references>
      </pivotArea>
    </format>
    <format dxfId="357">
      <pivotArea dataOnly="0" labelOnly="1" outline="0" fieldPosition="0">
        <references count="5">
          <reference field="0" count="1" selected="0">
            <x v="2"/>
          </reference>
          <reference field="1" count="1" selected="0">
            <x v="10"/>
          </reference>
          <reference field="2" count="1" selected="0">
            <x v="86"/>
          </reference>
          <reference field="4" count="1" selected="0">
            <x v="3"/>
          </reference>
          <reference field="5" count="5">
            <x v="33"/>
            <x v="53"/>
            <x v="61"/>
            <x v="69"/>
            <x v="70"/>
          </reference>
        </references>
      </pivotArea>
    </format>
    <format dxfId="356">
      <pivotArea dataOnly="0" labelOnly="1" outline="0" fieldPosition="0">
        <references count="5">
          <reference field="0" count="1" selected="0">
            <x v="2"/>
          </reference>
          <reference field="1" count="1" selected="0">
            <x v="11"/>
          </reference>
          <reference field="2" count="1" selected="0">
            <x v="33"/>
          </reference>
          <reference field="4" count="1" selected="0">
            <x v="0"/>
          </reference>
          <reference field="5" count="1">
            <x v="1"/>
          </reference>
        </references>
      </pivotArea>
    </format>
    <format dxfId="355">
      <pivotArea dataOnly="0" labelOnly="1" outline="0" fieldPosition="0">
        <references count="5">
          <reference field="0" count="1" selected="0">
            <x v="2"/>
          </reference>
          <reference field="1" count="1" selected="0">
            <x v="11"/>
          </reference>
          <reference field="2" count="1" selected="0">
            <x v="33"/>
          </reference>
          <reference field="4" count="1" selected="0">
            <x v="3"/>
          </reference>
          <reference field="5" count="1">
            <x v="43"/>
          </reference>
        </references>
      </pivotArea>
    </format>
    <format dxfId="354">
      <pivotArea dataOnly="0" labelOnly="1" outline="0" fieldPosition="0">
        <references count="5">
          <reference field="0" count="1" selected="0">
            <x v="2"/>
          </reference>
          <reference field="1" count="1" selected="0">
            <x v="11"/>
          </reference>
          <reference field="2" count="1" selected="0">
            <x v="43"/>
          </reference>
          <reference field="4" count="1" selected="0">
            <x v="2"/>
          </reference>
          <reference field="5" count="1">
            <x v="103"/>
          </reference>
        </references>
      </pivotArea>
    </format>
    <format dxfId="353">
      <pivotArea dataOnly="0" labelOnly="1" outline="0" fieldPosition="0">
        <references count="5">
          <reference field="0" count="1" selected="0">
            <x v="2"/>
          </reference>
          <reference field="1" count="1" selected="0">
            <x v="11"/>
          </reference>
          <reference field="2" count="1" selected="0">
            <x v="64"/>
          </reference>
          <reference field="4" count="1" selected="0">
            <x v="2"/>
          </reference>
          <reference field="5" count="1">
            <x v="25"/>
          </reference>
        </references>
      </pivotArea>
    </format>
    <format dxfId="352">
      <pivotArea dataOnly="0" labelOnly="1" outline="0" fieldPosition="0">
        <references count="5">
          <reference field="0" count="1" selected="0">
            <x v="2"/>
          </reference>
          <reference field="1" count="1" selected="0">
            <x v="11"/>
          </reference>
          <reference field="2" count="1" selected="0">
            <x v="64"/>
          </reference>
          <reference field="4" count="1" selected="0">
            <x v="3"/>
          </reference>
          <reference field="5" count="1">
            <x v="31"/>
          </reference>
        </references>
      </pivotArea>
    </format>
    <format dxfId="351">
      <pivotArea dataOnly="0" labelOnly="1" outline="0" fieldPosition="0">
        <references count="5">
          <reference field="0" count="1" selected="0">
            <x v="2"/>
          </reference>
          <reference field="1" count="1" selected="0">
            <x v="11"/>
          </reference>
          <reference field="2" count="1" selected="0">
            <x v="67"/>
          </reference>
          <reference field="4" count="1" selected="0">
            <x v="1"/>
          </reference>
          <reference field="5" count="1">
            <x v="76"/>
          </reference>
        </references>
      </pivotArea>
    </format>
    <format dxfId="350">
      <pivotArea dataOnly="0" labelOnly="1" outline="0" fieldPosition="0">
        <references count="5">
          <reference field="0" count="1" selected="0">
            <x v="2"/>
          </reference>
          <reference field="1" count="1" selected="0">
            <x v="12"/>
          </reference>
          <reference field="2" count="1" selected="0">
            <x v="26"/>
          </reference>
          <reference field="4" count="1" selected="0">
            <x v="1"/>
          </reference>
          <reference field="5" count="1">
            <x v="121"/>
          </reference>
        </references>
      </pivotArea>
    </format>
    <format dxfId="349">
      <pivotArea dataOnly="0" labelOnly="1" outline="0" fieldPosition="0">
        <references count="5">
          <reference field="0" count="1" selected="0">
            <x v="2"/>
          </reference>
          <reference field="1" count="1" selected="0">
            <x v="12"/>
          </reference>
          <reference field="2" count="1" selected="0">
            <x v="27"/>
          </reference>
          <reference field="4" count="1" selected="0">
            <x v="0"/>
          </reference>
          <reference field="5" count="1">
            <x v="129"/>
          </reference>
        </references>
      </pivotArea>
    </format>
    <format dxfId="348">
      <pivotArea dataOnly="0" labelOnly="1" outline="0" fieldPosition="0">
        <references count="5">
          <reference field="0" count="1" selected="0">
            <x v="2"/>
          </reference>
          <reference field="1" count="1" selected="0">
            <x v="12"/>
          </reference>
          <reference field="2" count="1" selected="0">
            <x v="37"/>
          </reference>
          <reference field="4" count="1" selected="0">
            <x v="0"/>
          </reference>
          <reference field="5" count="1">
            <x v="12"/>
          </reference>
        </references>
      </pivotArea>
    </format>
    <format dxfId="347">
      <pivotArea dataOnly="0" labelOnly="1" outline="0" fieldPosition="0">
        <references count="5">
          <reference field="0" count="1" selected="0">
            <x v="2"/>
          </reference>
          <reference field="1" count="1" selected="0">
            <x v="12"/>
          </reference>
          <reference field="2" count="1" selected="0">
            <x v="37"/>
          </reference>
          <reference field="4" count="1" selected="0">
            <x v="3"/>
          </reference>
          <reference field="5" count="1">
            <x v="30"/>
          </reference>
        </references>
      </pivotArea>
    </format>
    <format dxfId="346">
      <pivotArea dataOnly="0" labelOnly="1" outline="0" fieldPosition="0">
        <references count="5">
          <reference field="0" count="1" selected="0">
            <x v="2"/>
          </reference>
          <reference field="1" count="1" selected="0">
            <x v="12"/>
          </reference>
          <reference field="2" count="1" selected="0">
            <x v="40"/>
          </reference>
          <reference field="4" count="1" selected="0">
            <x v="2"/>
          </reference>
          <reference field="5" count="1">
            <x v="136"/>
          </reference>
        </references>
      </pivotArea>
    </format>
    <format dxfId="345">
      <pivotArea dataOnly="0" labelOnly="1" outline="0" fieldPosition="0">
        <references count="5">
          <reference field="0" count="1" selected="0">
            <x v="2"/>
          </reference>
          <reference field="1" count="1" selected="0">
            <x v="12"/>
          </reference>
          <reference field="2" count="1" selected="0">
            <x v="89"/>
          </reference>
          <reference field="4" count="1" selected="0">
            <x v="2"/>
          </reference>
          <reference field="5" count="1">
            <x v="75"/>
          </reference>
        </references>
      </pivotArea>
    </format>
    <format dxfId="344">
      <pivotArea dataOnly="0" labelOnly="1" outline="0" fieldPosition="0">
        <references count="5">
          <reference field="0" count="1" selected="0">
            <x v="2"/>
          </reference>
          <reference field="1" count="1" selected="0">
            <x v="12"/>
          </reference>
          <reference field="2" count="1" selected="0">
            <x v="93"/>
          </reference>
          <reference field="4" count="1" selected="0">
            <x v="1"/>
          </reference>
          <reference field="5" count="1">
            <x v="111"/>
          </reference>
        </references>
      </pivotArea>
    </format>
    <format dxfId="343">
      <pivotArea dataOnly="0" labelOnly="1" outline="0" fieldPosition="0">
        <references count="5">
          <reference field="0" count="1" selected="0">
            <x v="2"/>
          </reference>
          <reference field="1" count="1" selected="0">
            <x v="12"/>
          </reference>
          <reference field="2" count="1" selected="0">
            <x v="94"/>
          </reference>
          <reference field="4" count="1" selected="0">
            <x v="1"/>
          </reference>
          <reference field="5" count="1">
            <x v="91"/>
          </reference>
        </references>
      </pivotArea>
    </format>
    <format dxfId="342">
      <pivotArea dataOnly="0" labelOnly="1" outline="0" fieldPosition="0">
        <references count="5">
          <reference field="0" count="1" selected="0">
            <x v="2"/>
          </reference>
          <reference field="1" count="1" selected="0">
            <x v="14"/>
          </reference>
          <reference field="2" count="1" selected="0">
            <x v="25"/>
          </reference>
          <reference field="4" count="1" selected="0">
            <x v="2"/>
          </reference>
          <reference field="5" count="1">
            <x v="88"/>
          </reference>
        </references>
      </pivotArea>
    </format>
    <format dxfId="341">
      <pivotArea dataOnly="0" labelOnly="1" outline="0" fieldPosition="0">
        <references count="5">
          <reference field="0" count="1" selected="0">
            <x v="2"/>
          </reference>
          <reference field="1" count="1" selected="0">
            <x v="14"/>
          </reference>
          <reference field="2" count="1" selected="0">
            <x v="72"/>
          </reference>
          <reference field="4" count="1" selected="0">
            <x v="2"/>
          </reference>
          <reference field="5" count="1">
            <x v="89"/>
          </reference>
        </references>
      </pivotArea>
    </format>
    <format dxfId="340">
      <pivotArea dataOnly="0" labelOnly="1" outline="0" fieldPosition="0">
        <references count="5">
          <reference field="0" count="1" selected="0">
            <x v="2"/>
          </reference>
          <reference field="1" count="1" selected="0">
            <x v="15"/>
          </reference>
          <reference field="2" count="1" selected="0">
            <x v="42"/>
          </reference>
          <reference field="4" count="1" selected="0">
            <x v="1"/>
          </reference>
          <reference field="5" count="1">
            <x v="105"/>
          </reference>
        </references>
      </pivotArea>
    </format>
    <format dxfId="339">
      <pivotArea dataOnly="0" labelOnly="1" outline="0" fieldPosition="0">
        <references count="5">
          <reference field="0" count="1" selected="0">
            <x v="2"/>
          </reference>
          <reference field="1" count="1" selected="0">
            <x v="15"/>
          </reference>
          <reference field="2" count="1" selected="0">
            <x v="46"/>
          </reference>
          <reference field="4" count="1" selected="0">
            <x v="2"/>
          </reference>
          <reference field="5" count="1">
            <x v="104"/>
          </reference>
        </references>
      </pivotArea>
    </format>
    <format dxfId="338">
      <pivotArea dataOnly="0" labelOnly="1" outline="0" fieldPosition="0">
        <references count="5">
          <reference field="0" count="1" selected="0">
            <x v="2"/>
          </reference>
          <reference field="1" count="1" selected="0">
            <x v="15"/>
          </reference>
          <reference field="2" count="1" selected="0">
            <x v="51"/>
          </reference>
          <reference field="4" count="1" selected="0">
            <x v="1"/>
          </reference>
          <reference field="5" count="1">
            <x v="105"/>
          </reference>
        </references>
      </pivotArea>
    </format>
    <format dxfId="337">
      <pivotArea dataOnly="0" labelOnly="1" outline="0" fieldPosition="0">
        <references count="5">
          <reference field="0" count="1" selected="0">
            <x v="2"/>
          </reference>
          <reference field="1" count="1" selected="0">
            <x v="15"/>
          </reference>
          <reference field="2" count="1" selected="0">
            <x v="52"/>
          </reference>
          <reference field="4" count="1" selected="0">
            <x v="2"/>
          </reference>
          <reference field="5" count="1">
            <x v="28"/>
          </reference>
        </references>
      </pivotArea>
    </format>
    <format dxfId="336">
      <pivotArea dataOnly="0" labelOnly="1" outline="0" fieldPosition="0">
        <references count="5">
          <reference field="0" count="1" selected="0">
            <x v="2"/>
          </reference>
          <reference field="1" count="1" selected="0">
            <x v="15"/>
          </reference>
          <reference field="2" count="1" selected="0">
            <x v="53"/>
          </reference>
          <reference field="4" count="1" selected="0">
            <x v="0"/>
          </reference>
          <reference field="5" count="1">
            <x v="128"/>
          </reference>
        </references>
      </pivotArea>
    </format>
    <format dxfId="335">
      <pivotArea dataOnly="0" labelOnly="1" outline="0" fieldPosition="0">
        <references count="5">
          <reference field="0" count="1" selected="0">
            <x v="2"/>
          </reference>
          <reference field="1" count="1" selected="0">
            <x v="15"/>
          </reference>
          <reference field="2" count="1" selected="0">
            <x v="58"/>
          </reference>
          <reference field="4" count="1" selected="0">
            <x v="2"/>
          </reference>
          <reference field="5" count="1">
            <x v="15"/>
          </reference>
        </references>
      </pivotArea>
    </format>
    <format dxfId="334">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333">
      <pivotArea dataOnly="0" labelOnly="1" outline="0" fieldPosition="0">
        <references count="5">
          <reference field="0" count="1" selected="0">
            <x v="2"/>
          </reference>
          <reference field="1" count="1" selected="0">
            <x v="15"/>
          </reference>
          <reference field="2" count="1" selected="0">
            <x v="61"/>
          </reference>
          <reference field="4" count="1" selected="0">
            <x v="3"/>
          </reference>
          <reference field="5" count="2">
            <x v="42"/>
            <x v="58"/>
          </reference>
        </references>
      </pivotArea>
    </format>
    <format dxfId="332">
      <pivotArea dataOnly="0" labelOnly="1" outline="0" fieldPosition="0">
        <references count="5">
          <reference field="0" count="1" selected="0">
            <x v="2"/>
          </reference>
          <reference field="1" count="1" selected="0">
            <x v="15"/>
          </reference>
          <reference field="2" count="1" selected="0">
            <x v="63"/>
          </reference>
          <reference field="4" count="1" selected="0">
            <x v="1"/>
          </reference>
          <reference field="5" count="1">
            <x v="120"/>
          </reference>
        </references>
      </pivotArea>
    </format>
    <format dxfId="331">
      <pivotArea dataOnly="0" labelOnly="1" outline="0" fieldPosition="0">
        <references count="5">
          <reference field="0" count="1" selected="0">
            <x v="2"/>
          </reference>
          <reference field="1" count="1" selected="0">
            <x v="15"/>
          </reference>
          <reference field="2" count="1" selected="0">
            <x v="87"/>
          </reference>
          <reference field="4" count="1" selected="0">
            <x v="2"/>
          </reference>
          <reference field="5" count="1">
            <x v="114"/>
          </reference>
        </references>
      </pivotArea>
    </format>
    <format dxfId="330">
      <pivotArea dataOnly="0" labelOnly="1" outline="0" fieldPosition="0">
        <references count="6">
          <reference field="0" count="1" selected="0">
            <x v="0"/>
          </reference>
          <reference field="1" count="1" selected="0">
            <x v="13"/>
          </reference>
          <reference field="2" count="1" selected="0">
            <x v="0"/>
          </reference>
          <reference field="4" count="1" selected="0">
            <x v="3"/>
          </reference>
          <reference field="5" count="1" selected="0">
            <x v="82"/>
          </reference>
          <reference field="6" count="1">
            <x v="14"/>
          </reference>
        </references>
      </pivotArea>
    </format>
    <format dxfId="329">
      <pivotArea dataOnly="0" labelOnly="1" outline="0" fieldPosition="0">
        <references count="6">
          <reference field="0" count="1" selected="0">
            <x v="1"/>
          </reference>
          <reference field="1" count="1" selected="0">
            <x v="5"/>
          </reference>
          <reference field="2" count="1" selected="0">
            <x v="71"/>
          </reference>
          <reference field="4" count="1" selected="0">
            <x v="3"/>
          </reference>
          <reference field="5" count="1" selected="0">
            <x v="110"/>
          </reference>
          <reference field="6" count="1">
            <x v="1"/>
          </reference>
        </references>
      </pivotArea>
    </format>
    <format dxfId="328">
      <pivotArea dataOnly="0" labelOnly="1" outline="0" fieldPosition="0">
        <references count="6">
          <reference field="0" count="1" selected="0">
            <x v="1"/>
          </reference>
          <reference field="1" count="1" selected="0">
            <x v="5"/>
          </reference>
          <reference field="2" count="1" selected="0">
            <x v="76"/>
          </reference>
          <reference field="4" count="1" selected="0">
            <x v="3"/>
          </reference>
          <reference field="5" count="1" selected="0">
            <x v="17"/>
          </reference>
          <reference field="6" count="1">
            <x v="1"/>
          </reference>
        </references>
      </pivotArea>
    </format>
    <format dxfId="327">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8"/>
          </reference>
          <reference field="6" count="1">
            <x v="6"/>
          </reference>
        </references>
      </pivotArea>
    </format>
    <format dxfId="326">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118"/>
          </reference>
          <reference field="6" count="1">
            <x v="12"/>
          </reference>
        </references>
      </pivotArea>
    </format>
    <format dxfId="325">
      <pivotArea dataOnly="0" labelOnly="1" outline="0" fieldPosition="0">
        <references count="6">
          <reference field="0" count="1" selected="0">
            <x v="1"/>
          </reference>
          <reference field="1" count="1" selected="0">
            <x v="7"/>
          </reference>
          <reference field="2" count="1" selected="0">
            <x v="32"/>
          </reference>
          <reference field="4" count="1" selected="0">
            <x v="3"/>
          </reference>
          <reference field="5" count="1" selected="0">
            <x v="134"/>
          </reference>
          <reference field="6" count="1">
            <x v="6"/>
          </reference>
        </references>
      </pivotArea>
    </format>
    <format dxfId="324">
      <pivotArea dataOnly="0" labelOnly="1" outline="0" fieldPosition="0">
        <references count="6">
          <reference field="0" count="1" selected="0">
            <x v="1"/>
          </reference>
          <reference field="1" count="1" selected="0">
            <x v="7"/>
          </reference>
          <reference field="2" count="1" selected="0">
            <x v="47"/>
          </reference>
          <reference field="4" count="1" selected="0">
            <x v="3"/>
          </reference>
          <reference field="5" count="1" selected="0">
            <x v="86"/>
          </reference>
          <reference field="6" count="1">
            <x v="0"/>
          </reference>
        </references>
      </pivotArea>
    </format>
    <format dxfId="323">
      <pivotArea dataOnly="0" labelOnly="1" outline="0" fieldPosition="0">
        <references count="6">
          <reference field="0" count="1" selected="0">
            <x v="1"/>
          </reference>
          <reference field="1" count="1" selected="0">
            <x v="7"/>
          </reference>
          <reference field="2" count="1" selected="0">
            <x v="97"/>
          </reference>
          <reference field="4" count="1" selected="0">
            <x v="3"/>
          </reference>
          <reference field="5" count="1" selected="0">
            <x v="79"/>
          </reference>
          <reference field="6" count="1">
            <x v="6"/>
          </reference>
        </references>
      </pivotArea>
    </format>
    <format dxfId="322">
      <pivotArea dataOnly="0" labelOnly="1" outline="0" fieldPosition="0">
        <references count="6">
          <reference field="0" count="1" selected="0">
            <x v="1"/>
          </reference>
          <reference field="1" count="1" selected="0">
            <x v="9"/>
          </reference>
          <reference field="2" count="1" selected="0">
            <x v="49"/>
          </reference>
          <reference field="4" count="1" selected="0">
            <x v="3"/>
          </reference>
          <reference field="5" count="1" selected="0">
            <x v="83"/>
          </reference>
          <reference field="6" count="1">
            <x v="2"/>
          </reference>
        </references>
      </pivotArea>
    </format>
    <format dxfId="321">
      <pivotArea dataOnly="0" labelOnly="1" outline="0" fieldPosition="0">
        <references count="6">
          <reference field="0" count="1" selected="0">
            <x v="1"/>
          </reference>
          <reference field="1" count="1" selected="0">
            <x v="9"/>
          </reference>
          <reference field="2" count="1" selected="0">
            <x v="54"/>
          </reference>
          <reference field="4" count="1" selected="0">
            <x v="3"/>
          </reference>
          <reference field="5" count="1" selected="0">
            <x v="131"/>
          </reference>
          <reference field="6" count="1">
            <x v="18"/>
          </reference>
        </references>
      </pivotArea>
    </format>
    <format dxfId="320">
      <pivotArea dataOnly="0" labelOnly="1" outline="0" fieldPosition="0">
        <references count="6">
          <reference field="0" count="1" selected="0">
            <x v="1"/>
          </reference>
          <reference field="1" count="1" selected="0">
            <x v="9"/>
          </reference>
          <reference field="2" count="1" selected="0">
            <x v="70"/>
          </reference>
          <reference field="4" count="1" selected="0">
            <x v="3"/>
          </reference>
          <reference field="5" count="1" selected="0">
            <x v="78"/>
          </reference>
          <reference field="6" count="1">
            <x v="1"/>
          </reference>
        </references>
      </pivotArea>
    </format>
    <format dxfId="319">
      <pivotArea dataOnly="0" labelOnly="1" outline="0" fieldPosition="0">
        <references count="6">
          <reference field="0" count="1" selected="0">
            <x v="1"/>
          </reference>
          <reference field="1" count="1" selected="0">
            <x v="9"/>
          </reference>
          <reference field="2" count="1" selected="0">
            <x v="73"/>
          </reference>
          <reference field="4" count="1" selected="0">
            <x v="3"/>
          </reference>
          <reference field="5" count="1" selected="0">
            <x v="81"/>
          </reference>
          <reference field="6" count="1">
            <x v="2"/>
          </reference>
        </references>
      </pivotArea>
    </format>
    <format dxfId="318">
      <pivotArea dataOnly="0" labelOnly="1" outline="0" fieldPosition="0">
        <references count="6">
          <reference field="0" count="1" selected="0">
            <x v="1"/>
          </reference>
          <reference field="1" count="1" selected="0">
            <x v="9"/>
          </reference>
          <reference field="2" count="1" selected="0">
            <x v="82"/>
          </reference>
          <reference field="4" count="1" selected="0">
            <x v="3"/>
          </reference>
          <reference field="5" count="1" selected="0">
            <x v="13"/>
          </reference>
          <reference field="6" count="1">
            <x v="18"/>
          </reference>
        </references>
      </pivotArea>
    </format>
    <format dxfId="317">
      <pivotArea dataOnly="0" labelOnly="1" outline="0" fieldPosition="0">
        <references count="6">
          <reference field="0" count="1" selected="0">
            <x v="1"/>
          </reference>
          <reference field="1" count="1" selected="0">
            <x v="9"/>
          </reference>
          <reference field="2" count="1" selected="0">
            <x v="92"/>
          </reference>
          <reference field="4" count="1" selected="0">
            <x v="3"/>
          </reference>
          <reference field="5" count="1" selected="0">
            <x v="132"/>
          </reference>
          <reference field="6" count="1">
            <x v="1"/>
          </reference>
        </references>
      </pivotArea>
    </format>
    <format dxfId="316">
      <pivotArea dataOnly="0" labelOnly="1" outline="0" fieldPosition="0">
        <references count="6">
          <reference field="0" count="1" selected="0">
            <x v="1"/>
          </reference>
          <reference field="1" count="1" selected="0">
            <x v="9"/>
          </reference>
          <reference field="2" count="1" selected="0">
            <x v="97"/>
          </reference>
          <reference field="4" count="1" selected="0">
            <x v="3"/>
          </reference>
          <reference field="5" count="1" selected="0">
            <x v="40"/>
          </reference>
          <reference field="6" count="1">
            <x v="2"/>
          </reference>
        </references>
      </pivotArea>
    </format>
    <format dxfId="315">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314">
      <pivotArea dataOnly="0" labelOnly="1" outline="0" fieldPosition="0">
        <references count="6">
          <reference field="0" count="1" selected="0">
            <x v="2"/>
          </reference>
          <reference field="1" count="1" selected="0">
            <x v="0"/>
          </reference>
          <reference field="2" count="1" selected="0">
            <x v="80"/>
          </reference>
          <reference field="4" count="1" selected="0">
            <x v="3"/>
          </reference>
          <reference field="5" count="1" selected="0">
            <x v="60"/>
          </reference>
          <reference field="6" count="1">
            <x v="14"/>
          </reference>
        </references>
      </pivotArea>
    </format>
    <format dxfId="313">
      <pivotArea dataOnly="0" labelOnly="1" outline="0" fieldPosition="0">
        <references count="6">
          <reference field="0" count="1" selected="0">
            <x v="2"/>
          </reference>
          <reference field="1" count="1" selected="0">
            <x v="0"/>
          </reference>
          <reference field="2" count="1" selected="0">
            <x v="90"/>
          </reference>
          <reference field="4" count="1" selected="0">
            <x v="1"/>
          </reference>
          <reference field="5" count="1" selected="0">
            <x v="93"/>
          </reference>
          <reference field="6" count="1">
            <x v="11"/>
          </reference>
        </references>
      </pivotArea>
    </format>
    <format dxfId="312">
      <pivotArea dataOnly="0" labelOnly="1" outline="0" fieldPosition="0">
        <references count="6">
          <reference field="0" count="1" selected="0">
            <x v="2"/>
          </reference>
          <reference field="1" count="1" selected="0">
            <x v="1"/>
          </reference>
          <reference field="2" count="1" selected="0">
            <x v="38"/>
          </reference>
          <reference field="4" count="1" selected="0">
            <x v="2"/>
          </reference>
          <reference field="5" count="1" selected="0">
            <x v="4"/>
          </reference>
          <reference field="6" count="1">
            <x v="12"/>
          </reference>
        </references>
      </pivotArea>
    </format>
    <format dxfId="311">
      <pivotArea dataOnly="0" labelOnly="1" outline="0" fieldPosition="0">
        <references count="6">
          <reference field="0" count="1" selected="0">
            <x v="2"/>
          </reference>
          <reference field="1" count="1" selected="0">
            <x v="2"/>
          </reference>
          <reference field="2" count="1" selected="0">
            <x v="38"/>
          </reference>
          <reference field="4" count="1" selected="0">
            <x v="0"/>
          </reference>
          <reference field="5" count="1" selected="0">
            <x v="96"/>
          </reference>
          <reference field="6" count="1">
            <x v="12"/>
          </reference>
        </references>
      </pivotArea>
    </format>
    <format dxfId="310">
      <pivotArea dataOnly="0" labelOnly="1" outline="0" fieldPosition="0">
        <references count="6">
          <reference field="0" count="1" selected="0">
            <x v="2"/>
          </reference>
          <reference field="1" count="1" selected="0">
            <x v="2"/>
          </reference>
          <reference field="2" count="1" selected="0">
            <x v="59"/>
          </reference>
          <reference field="4" count="1" selected="0">
            <x v="2"/>
          </reference>
          <reference field="5" count="1" selected="0">
            <x v="27"/>
          </reference>
          <reference field="6" count="1">
            <x v="1"/>
          </reference>
        </references>
      </pivotArea>
    </format>
    <format dxfId="309">
      <pivotArea dataOnly="0" labelOnly="1" outline="0" fieldPosition="0">
        <references count="6">
          <reference field="0" count="1" selected="0">
            <x v="2"/>
          </reference>
          <reference field="1" count="1" selected="0">
            <x v="3"/>
          </reference>
          <reference field="2" count="1" selected="0">
            <x v="30"/>
          </reference>
          <reference field="4" count="1" selected="0">
            <x v="2"/>
          </reference>
          <reference field="5" count="1" selected="0">
            <x v="19"/>
          </reference>
          <reference field="6" count="1">
            <x v="15"/>
          </reference>
        </references>
      </pivotArea>
    </format>
    <format dxfId="308">
      <pivotArea dataOnly="0" labelOnly="1" outline="0" fieldPosition="0">
        <references count="6">
          <reference field="0" count="1" selected="0">
            <x v="2"/>
          </reference>
          <reference field="1" count="1" selected="0">
            <x v="3"/>
          </reference>
          <reference field="2" count="1" selected="0">
            <x v="30"/>
          </reference>
          <reference field="4" count="1" selected="0">
            <x v="3"/>
          </reference>
          <reference field="5" count="1" selected="0">
            <x v="34"/>
          </reference>
          <reference field="6" count="1">
            <x v="12"/>
          </reference>
        </references>
      </pivotArea>
    </format>
    <format dxfId="307">
      <pivotArea dataOnly="0" labelOnly="1" outline="0" fieldPosition="0">
        <references count="6">
          <reference field="0" count="1" selected="0">
            <x v="2"/>
          </reference>
          <reference field="1" count="1" selected="0">
            <x v="3"/>
          </reference>
          <reference field="2" count="1" selected="0">
            <x v="56"/>
          </reference>
          <reference field="4" count="1" selected="0">
            <x v="2"/>
          </reference>
          <reference field="5" count="1" selected="0">
            <x v="29"/>
          </reference>
          <reference field="6" count="1">
            <x v="20"/>
          </reference>
        </references>
      </pivotArea>
    </format>
    <format dxfId="306">
      <pivotArea dataOnly="0" labelOnly="1" outline="0" fieldPosition="0">
        <references count="6">
          <reference field="0" count="1" selected="0">
            <x v="2"/>
          </reference>
          <reference field="1" count="1" selected="0">
            <x v="3"/>
          </reference>
          <reference field="2" count="1" selected="0">
            <x v="56"/>
          </reference>
          <reference field="4" count="1" selected="0">
            <x v="3"/>
          </reference>
          <reference field="5" count="1" selected="0">
            <x v="50"/>
          </reference>
          <reference field="6" count="1">
            <x v="12"/>
          </reference>
        </references>
      </pivotArea>
    </format>
    <format dxfId="305">
      <pivotArea dataOnly="0" labelOnly="1" outline="0" fieldPosition="0">
        <references count="6">
          <reference field="0" count="1" selected="0">
            <x v="2"/>
          </reference>
          <reference field="1" count="1" selected="0">
            <x v="4"/>
          </reference>
          <reference field="2" count="1" selected="0">
            <x v="31"/>
          </reference>
          <reference field="4" count="1" selected="0">
            <x v="2"/>
          </reference>
          <reference field="5" count="1" selected="0">
            <x v="97"/>
          </reference>
          <reference field="6" count="1">
            <x v="6"/>
          </reference>
        </references>
      </pivotArea>
    </format>
    <format dxfId="304">
      <pivotArea dataOnly="0" labelOnly="1" outline="0" fieldPosition="0">
        <references count="6">
          <reference field="0" count="1" selected="0">
            <x v="2"/>
          </reference>
          <reference field="1" count="1" selected="0">
            <x v="4"/>
          </reference>
          <reference field="2" count="1" selected="0">
            <x v="35"/>
          </reference>
          <reference field="4" count="1" selected="0">
            <x v="1"/>
          </reference>
          <reference field="5" count="1" selected="0">
            <x v="14"/>
          </reference>
          <reference field="6" count="1">
            <x v="9"/>
          </reference>
        </references>
      </pivotArea>
    </format>
    <format dxfId="303">
      <pivotArea dataOnly="0" labelOnly="1" outline="0" fieldPosition="0">
        <references count="6">
          <reference field="0" count="1" selected="0">
            <x v="2"/>
          </reference>
          <reference field="1" count="1" selected="0">
            <x v="4"/>
          </reference>
          <reference field="2" count="1" selected="0">
            <x v="36"/>
          </reference>
          <reference field="4" count="1" selected="0">
            <x v="2"/>
          </reference>
          <reference field="5" count="1" selected="0">
            <x v="20"/>
          </reference>
          <reference field="6" count="1">
            <x v="15"/>
          </reference>
        </references>
      </pivotArea>
    </format>
    <format dxfId="302">
      <pivotArea dataOnly="0" labelOnly="1" outline="0" fieldPosition="0">
        <references count="6">
          <reference field="0" count="1" selected="0">
            <x v="2"/>
          </reference>
          <reference field="1" count="1" selected="0">
            <x v="4"/>
          </reference>
          <reference field="2" count="1" selected="0">
            <x v="48"/>
          </reference>
          <reference field="4" count="1" selected="0">
            <x v="1"/>
          </reference>
          <reference field="5" count="1" selected="0">
            <x v="21"/>
          </reference>
          <reference field="6" count="1">
            <x v="6"/>
          </reference>
        </references>
      </pivotArea>
    </format>
    <format dxfId="301">
      <pivotArea dataOnly="0" labelOnly="1" outline="0" fieldPosition="0">
        <references count="6">
          <reference field="0" count="1" selected="0">
            <x v="2"/>
          </reference>
          <reference field="1" count="1" selected="0">
            <x v="4"/>
          </reference>
          <reference field="2" count="1" selected="0">
            <x v="48"/>
          </reference>
          <reference field="4" count="1" selected="0">
            <x v="3"/>
          </reference>
          <reference field="5" count="1" selected="0">
            <x v="39"/>
          </reference>
          <reference field="6" count="1">
            <x v="9"/>
          </reference>
        </references>
      </pivotArea>
    </format>
    <format dxfId="300">
      <pivotArea dataOnly="0" labelOnly="1" outline="0" fieldPosition="0">
        <references count="6">
          <reference field="0" count="1" selected="0">
            <x v="2"/>
          </reference>
          <reference field="1" count="1" selected="0">
            <x v="4"/>
          </reference>
          <reference field="2" count="1" selected="0">
            <x v="50"/>
          </reference>
          <reference field="4" count="1" selected="0">
            <x v="1"/>
          </reference>
          <reference field="5" count="1" selected="0">
            <x v="137"/>
          </reference>
          <reference field="6" count="1">
            <x v="17"/>
          </reference>
        </references>
      </pivotArea>
    </format>
    <format dxfId="299">
      <pivotArea dataOnly="0" labelOnly="1" outline="0" fieldPosition="0">
        <references count="6">
          <reference field="0" count="1" selected="0">
            <x v="2"/>
          </reference>
          <reference field="1" count="1" selected="0">
            <x v="4"/>
          </reference>
          <reference field="2" count="1" selected="0">
            <x v="84"/>
          </reference>
          <reference field="4" count="1" selected="0">
            <x v="2"/>
          </reference>
          <reference field="5" count="1" selected="0">
            <x v="106"/>
          </reference>
          <reference field="6" count="1">
            <x v="16"/>
          </reference>
        </references>
      </pivotArea>
    </format>
    <format dxfId="298">
      <pivotArea dataOnly="0" labelOnly="1" outline="0" fieldPosition="0">
        <references count="6">
          <reference field="0" count="1" selected="0">
            <x v="2"/>
          </reference>
          <reference field="1" count="1" selected="0">
            <x v="4"/>
          </reference>
          <reference field="2" count="1" selected="0">
            <x v="88"/>
          </reference>
          <reference field="4" count="1" selected="0">
            <x v="0"/>
          </reference>
          <reference field="5" count="1" selected="0">
            <x v="6"/>
          </reference>
          <reference field="6" count="1">
            <x v="9"/>
          </reference>
        </references>
      </pivotArea>
    </format>
    <format dxfId="297">
      <pivotArea dataOnly="0" labelOnly="1" outline="0" fieldPosition="0">
        <references count="6">
          <reference field="0" count="1" selected="0">
            <x v="2"/>
          </reference>
          <reference field="1" count="1" selected="0">
            <x v="4"/>
          </reference>
          <reference field="2" count="1" selected="0">
            <x v="88"/>
          </reference>
          <reference field="4" count="1" selected="0">
            <x v="3"/>
          </reference>
          <reference field="5" count="1" selected="0">
            <x v="37"/>
          </reference>
          <reference field="6" count="1">
            <x v="15"/>
          </reference>
        </references>
      </pivotArea>
    </format>
    <format dxfId="296">
      <pivotArea dataOnly="0" labelOnly="1" outline="0" fieldPosition="0">
        <references count="6">
          <reference field="0" count="1" selected="0">
            <x v="2"/>
          </reference>
          <reference field="1" count="1" selected="0">
            <x v="4"/>
          </reference>
          <reference field="2" count="1" selected="0">
            <x v="91"/>
          </reference>
          <reference field="4" count="1" selected="0">
            <x v="1"/>
          </reference>
          <reference field="5" count="1" selected="0">
            <x v="108"/>
          </reference>
          <reference field="6" count="1">
            <x v="16"/>
          </reference>
        </references>
      </pivotArea>
    </format>
    <format dxfId="295">
      <pivotArea dataOnly="0" labelOnly="1" outline="0" fieldPosition="0">
        <references count="6">
          <reference field="0" count="1" selected="0">
            <x v="2"/>
          </reference>
          <reference field="1" count="1" selected="0">
            <x v="6"/>
          </reference>
          <reference field="2" count="1" selected="0">
            <x v="85"/>
          </reference>
          <reference field="4" count="1" selected="0">
            <x v="3"/>
          </reference>
          <reference field="5" count="1" selected="0">
            <x v="18"/>
          </reference>
          <reference field="6" count="1">
            <x v="6"/>
          </reference>
        </references>
      </pivotArea>
    </format>
    <format dxfId="294">
      <pivotArea dataOnly="0" labelOnly="1" outline="0" fieldPosition="0">
        <references count="6">
          <reference field="0" count="1" selected="0">
            <x v="2"/>
          </reference>
          <reference field="1" count="1" selected="0">
            <x v="8"/>
          </reference>
          <reference field="2" count="1" selected="0">
            <x v="28"/>
          </reference>
          <reference field="4" count="1" selected="0">
            <x v="2"/>
          </reference>
          <reference field="5" count="1" selected="0">
            <x v="5"/>
          </reference>
          <reference field="6" count="1">
            <x v="14"/>
          </reference>
        </references>
      </pivotArea>
    </format>
    <format dxfId="293">
      <pivotArea dataOnly="0" labelOnly="1" outline="0" fieldPosition="0">
        <references count="6">
          <reference field="0" count="1" selected="0">
            <x v="2"/>
          </reference>
          <reference field="1" count="1" selected="0">
            <x v="8"/>
          </reference>
          <reference field="2" count="1" selected="0">
            <x v="29"/>
          </reference>
          <reference field="4" count="1" selected="0">
            <x v="2"/>
          </reference>
          <reference field="5" count="1" selected="0">
            <x v="24"/>
          </reference>
          <reference field="6" count="1">
            <x v="19"/>
          </reference>
        </references>
      </pivotArea>
    </format>
    <format dxfId="292">
      <pivotArea dataOnly="0" labelOnly="1" outline="0" fieldPosition="0">
        <references count="6">
          <reference field="0" count="1" selected="0">
            <x v="2"/>
          </reference>
          <reference field="1" count="1" selected="0">
            <x v="8"/>
          </reference>
          <reference field="2" count="1" selected="0">
            <x v="45"/>
          </reference>
          <reference field="4" count="1" selected="0">
            <x v="2"/>
          </reference>
          <reference field="5" count="1" selected="0">
            <x v="0"/>
          </reference>
          <reference field="6" count="1">
            <x v="10"/>
          </reference>
        </references>
      </pivotArea>
    </format>
    <format dxfId="291">
      <pivotArea dataOnly="0" labelOnly="1" outline="0" fieldPosition="0">
        <references count="6">
          <reference field="0" count="1" selected="0">
            <x v="2"/>
          </reference>
          <reference field="1" count="1" selected="0">
            <x v="8"/>
          </reference>
          <reference field="2" count="1" selected="0">
            <x v="78"/>
          </reference>
          <reference field="4" count="1" selected="0">
            <x v="2"/>
          </reference>
          <reference field="5" count="1" selected="0">
            <x v="22"/>
          </reference>
          <reference field="6" count="1">
            <x v="1"/>
          </reference>
        </references>
      </pivotArea>
    </format>
    <format dxfId="290">
      <pivotArea dataOnly="0" labelOnly="1" outline="0" fieldPosition="0">
        <references count="6">
          <reference field="0" count="1" selected="0">
            <x v="2"/>
          </reference>
          <reference field="1" count="1" selected="0">
            <x v="10"/>
          </reference>
          <reference field="2" count="1" selected="0">
            <x v="24"/>
          </reference>
          <reference field="4" count="1" selected="0">
            <x v="2"/>
          </reference>
          <reference field="5" count="1" selected="0">
            <x v="107"/>
          </reference>
          <reference field="6" count="1">
            <x v="7"/>
          </reference>
        </references>
      </pivotArea>
    </format>
    <format dxfId="289">
      <pivotArea dataOnly="0" labelOnly="1" outline="0" fieldPosition="0">
        <references count="6">
          <reference field="0" count="1" selected="0">
            <x v="2"/>
          </reference>
          <reference field="1" count="1" selected="0">
            <x v="10"/>
          </reference>
          <reference field="2" count="1" selected="0">
            <x v="34"/>
          </reference>
          <reference field="4" count="1" selected="0">
            <x v="2"/>
          </reference>
          <reference field="5" count="1" selected="0">
            <x v="3"/>
          </reference>
          <reference field="6" count="1">
            <x v="3"/>
          </reference>
        </references>
      </pivotArea>
    </format>
    <format dxfId="288">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32"/>
          </reference>
          <reference field="6" count="1">
            <x v="7"/>
          </reference>
        </references>
      </pivotArea>
    </format>
    <format dxfId="287">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56"/>
          </reference>
          <reference field="6" count="1">
            <x v="4"/>
          </reference>
        </references>
      </pivotArea>
    </format>
    <format dxfId="286">
      <pivotArea dataOnly="0" labelOnly="1" outline="0" fieldPosition="0">
        <references count="6">
          <reference field="0" count="1" selected="0">
            <x v="2"/>
          </reference>
          <reference field="1" count="1" selected="0">
            <x v="10"/>
          </reference>
          <reference field="2" count="1" selected="0">
            <x v="39"/>
          </reference>
          <reference field="4" count="1" selected="0">
            <x v="2"/>
          </reference>
          <reference field="5" count="1" selected="0">
            <x v="124"/>
          </reference>
          <reference field="6" count="1">
            <x v="7"/>
          </reference>
        </references>
      </pivotArea>
    </format>
    <format dxfId="285">
      <pivotArea dataOnly="0" labelOnly="1" outline="0" fieldPosition="0">
        <references count="6">
          <reference field="0" count="1" selected="0">
            <x v="2"/>
          </reference>
          <reference field="1" count="1" selected="0">
            <x v="10"/>
          </reference>
          <reference field="2" count="1" selected="0">
            <x v="44"/>
          </reference>
          <reference field="4" count="1" selected="0">
            <x v="2"/>
          </reference>
          <reference field="5" count="1" selected="0">
            <x v="123"/>
          </reference>
          <reference field="6" count="1">
            <x v="7"/>
          </reference>
        </references>
      </pivotArea>
    </format>
    <format dxfId="284">
      <pivotArea dataOnly="0" labelOnly="1" outline="0" fieldPosition="0">
        <references count="6">
          <reference field="0" count="1" selected="0">
            <x v="2"/>
          </reference>
          <reference field="1" count="1" selected="0">
            <x v="10"/>
          </reference>
          <reference field="2" count="1" selected="0">
            <x v="74"/>
          </reference>
          <reference field="4" count="1" selected="0">
            <x v="2"/>
          </reference>
          <reference field="5" count="1" selected="0">
            <x v="73"/>
          </reference>
          <reference field="6" count="1">
            <x v="3"/>
          </reference>
        </references>
      </pivotArea>
    </format>
    <format dxfId="283">
      <pivotArea dataOnly="0" labelOnly="1" outline="0" fieldPosition="0">
        <references count="6">
          <reference field="0" count="1" selected="0">
            <x v="2"/>
          </reference>
          <reference field="1" count="1" selected="0">
            <x v="10"/>
          </reference>
          <reference field="2" count="1" selected="0">
            <x v="77"/>
          </reference>
          <reference field="4" count="1" selected="0">
            <x v="2"/>
          </reference>
          <reference field="5" count="1" selected="0">
            <x v="135"/>
          </reference>
          <reference field="6" count="1">
            <x v="7"/>
          </reference>
        </references>
      </pivotArea>
    </format>
    <format dxfId="282">
      <pivotArea dataOnly="0" labelOnly="1" outline="0" fieldPosition="0">
        <references count="6">
          <reference field="0" count="1" selected="0">
            <x v="2"/>
          </reference>
          <reference field="1" count="1" selected="0">
            <x v="10"/>
          </reference>
          <reference field="2" count="1" selected="0">
            <x v="86"/>
          </reference>
          <reference field="4" count="1" selected="0">
            <x v="2"/>
          </reference>
          <reference field="5" count="1" selected="0">
            <x v="16"/>
          </reference>
          <reference field="6" count="1">
            <x v="14"/>
          </reference>
        </references>
      </pivotArea>
    </format>
    <format dxfId="281">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33"/>
          </reference>
          <reference field="6" count="1">
            <x v="5"/>
          </reference>
        </references>
      </pivotArea>
    </format>
    <format dxfId="280">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53"/>
          </reference>
          <reference field="6" count="1">
            <x v="13"/>
          </reference>
        </references>
      </pivotArea>
    </format>
    <format dxfId="279">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61"/>
          </reference>
          <reference field="6" count="1">
            <x v="14"/>
          </reference>
        </references>
      </pivotArea>
    </format>
    <format dxfId="278">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70"/>
          </reference>
          <reference field="6" count="1">
            <x v="0"/>
          </reference>
        </references>
      </pivotArea>
    </format>
    <format dxfId="277">
      <pivotArea dataOnly="0" labelOnly="1" outline="0" fieldPosition="0">
        <references count="6">
          <reference field="0" count="1" selected="0">
            <x v="2"/>
          </reference>
          <reference field="1" count="1" selected="0">
            <x v="11"/>
          </reference>
          <reference field="2" count="1" selected="0">
            <x v="33"/>
          </reference>
          <reference field="4" count="1" selected="0">
            <x v="0"/>
          </reference>
          <reference field="5" count="1" selected="0">
            <x v="1"/>
          </reference>
          <reference field="6" count="1">
            <x v="15"/>
          </reference>
        </references>
      </pivotArea>
    </format>
    <format dxfId="276">
      <pivotArea dataOnly="0" labelOnly="1" outline="0" fieldPosition="0">
        <references count="6">
          <reference field="0" count="1" selected="0">
            <x v="2"/>
          </reference>
          <reference field="1" count="1" selected="0">
            <x v="12"/>
          </reference>
          <reference field="2" count="1" selected="0">
            <x v="26"/>
          </reference>
          <reference field="4" count="1" selected="0">
            <x v="1"/>
          </reference>
          <reference field="5" count="1" selected="0">
            <x v="121"/>
          </reference>
          <reference field="6" count="1">
            <x v="9"/>
          </reference>
        </references>
      </pivotArea>
    </format>
    <format dxfId="275">
      <pivotArea dataOnly="0" labelOnly="1" outline="0" fieldPosition="0">
        <references count="6">
          <reference field="0" count="1" selected="0">
            <x v="2"/>
          </reference>
          <reference field="1" count="1" selected="0">
            <x v="14"/>
          </reference>
          <reference field="2" count="1" selected="0">
            <x v="25"/>
          </reference>
          <reference field="4" count="1" selected="0">
            <x v="2"/>
          </reference>
          <reference field="5" count="1" selected="0">
            <x v="88"/>
          </reference>
          <reference field="6" count="1">
            <x v="3"/>
          </reference>
        </references>
      </pivotArea>
    </format>
    <format dxfId="274">
      <pivotArea dataOnly="0" labelOnly="1" outline="0" fieldPosition="0">
        <references count="6">
          <reference field="0" count="1" selected="0">
            <x v="2"/>
          </reference>
          <reference field="1" count="1" selected="0">
            <x v="15"/>
          </reference>
          <reference field="2" count="1" selected="0">
            <x v="42"/>
          </reference>
          <reference field="4" count="1" selected="0">
            <x v="1"/>
          </reference>
          <reference field="5" count="1" selected="0">
            <x v="105"/>
          </reference>
          <reference field="6" count="1">
            <x v="7"/>
          </reference>
        </references>
      </pivotArea>
    </format>
    <format dxfId="273">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272">
      <pivotArea dataOnly="0" labelOnly="1" outline="0" fieldPosition="0">
        <references count="6">
          <reference field="0" count="1" selected="0">
            <x v="2"/>
          </reference>
          <reference field="1" count="1" selected="0">
            <x v="15"/>
          </reference>
          <reference field="2" count="1" selected="0">
            <x v="61"/>
          </reference>
          <reference field="4" count="1" selected="0">
            <x v="3"/>
          </reference>
          <reference field="5" count="1" selected="0">
            <x v="58"/>
          </reference>
          <reference field="6" count="1">
            <x v="7"/>
          </reference>
        </references>
      </pivotArea>
    </format>
    <format dxfId="271">
      <pivotArea dataOnly="0" labelOnly="1" outline="0" fieldPosition="0">
        <references count="7">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x v="2"/>
          </reference>
        </references>
      </pivotArea>
    </format>
    <format dxfId="270">
      <pivotArea dataOnly="0" labelOnly="1" outline="0" fieldPosition="0">
        <references count="7">
          <reference field="0" count="1" selected="0">
            <x v="0"/>
          </reference>
          <reference field="1" count="1" selected="0">
            <x v="13"/>
          </reference>
          <reference field="2" count="1" selected="0">
            <x v="1"/>
          </reference>
          <reference field="4" count="1" selected="0">
            <x v="3"/>
          </reference>
          <reference field="5" count="1" selected="0">
            <x v="119"/>
          </reference>
          <reference field="6" count="1" selected="0">
            <x v="14"/>
          </reference>
          <reference field="8" count="1">
            <x v="7"/>
          </reference>
        </references>
      </pivotArea>
    </format>
    <format dxfId="269">
      <pivotArea dataOnly="0" labelOnly="1" outline="0" fieldPosition="0">
        <references count="7">
          <reference field="0" count="1" selected="0">
            <x v="0"/>
          </reference>
          <reference field="1" count="1" selected="0">
            <x v="13"/>
          </reference>
          <reference field="2" count="1" selected="0">
            <x v="4"/>
          </reference>
          <reference field="4" count="1" selected="0">
            <x v="3"/>
          </reference>
          <reference field="5" count="1" selected="0">
            <x v="101"/>
          </reference>
          <reference field="6" count="1" selected="0">
            <x v="14"/>
          </reference>
          <reference field="8" count="1">
            <x v="3"/>
          </reference>
        </references>
      </pivotArea>
    </format>
    <format dxfId="268">
      <pivotArea dataOnly="0" labelOnly="1" outline="0" fieldPosition="0">
        <references count="7">
          <reference field="0" count="1" selected="0">
            <x v="0"/>
          </reference>
          <reference field="1" count="1" selected="0">
            <x v="13"/>
          </reference>
          <reference field="2" count="1" selected="0">
            <x v="6"/>
          </reference>
          <reference field="4" count="1" selected="0">
            <x v="3"/>
          </reference>
          <reference field="5" count="1" selected="0">
            <x v="72"/>
          </reference>
          <reference field="6" count="1" selected="0">
            <x v="14"/>
          </reference>
          <reference field="8" count="1">
            <x v="7"/>
          </reference>
        </references>
      </pivotArea>
    </format>
    <format dxfId="267">
      <pivotArea dataOnly="0" labelOnly="1" outline="0" fieldPosition="0">
        <references count="7">
          <reference field="0" count="1" selected="0">
            <x v="0"/>
          </reference>
          <reference field="1" count="1" selected="0">
            <x v="13"/>
          </reference>
          <reference field="2" count="1" selected="0">
            <x v="10"/>
          </reference>
          <reference field="4" count="1" selected="0">
            <x v="3"/>
          </reference>
          <reference field="5" count="1" selected="0">
            <x v="99"/>
          </reference>
          <reference field="6" count="1" selected="0">
            <x v="14"/>
          </reference>
          <reference field="8" count="1">
            <x v="4"/>
          </reference>
        </references>
      </pivotArea>
    </format>
    <format dxfId="266">
      <pivotArea dataOnly="0" labelOnly="1" outline="0" fieldPosition="0">
        <references count="7">
          <reference field="0" count="1" selected="0">
            <x v="0"/>
          </reference>
          <reference field="1" count="1" selected="0">
            <x v="13"/>
          </reference>
          <reference field="2" count="1" selected="0">
            <x v="12"/>
          </reference>
          <reference field="4" count="1" selected="0">
            <x v="3"/>
          </reference>
          <reference field="5" count="1" selected="0">
            <x v="84"/>
          </reference>
          <reference field="6" count="1" selected="0">
            <x v="14"/>
          </reference>
          <reference field="8" count="1">
            <x v="6"/>
          </reference>
        </references>
      </pivotArea>
    </format>
    <format dxfId="265">
      <pivotArea dataOnly="0" labelOnly="1" outline="0" fieldPosition="0">
        <references count="7">
          <reference field="0" count="1" selected="0">
            <x v="0"/>
          </reference>
          <reference field="1" count="1" selected="0">
            <x v="13"/>
          </reference>
          <reference field="2" count="1" selected="0">
            <x v="13"/>
          </reference>
          <reference field="4" count="1" selected="0">
            <x v="3"/>
          </reference>
          <reference field="5" count="1" selected="0">
            <x v="100"/>
          </reference>
          <reference field="6" count="1" selected="0">
            <x v="14"/>
          </reference>
          <reference field="8" count="1">
            <x v="5"/>
          </reference>
        </references>
      </pivotArea>
    </format>
    <format dxfId="264">
      <pivotArea dataOnly="0" labelOnly="1" outline="0" fieldPosition="0">
        <references count="7">
          <reference field="0" count="1" selected="0">
            <x v="0"/>
          </reference>
          <reference field="1" count="1" selected="0">
            <x v="13"/>
          </reference>
          <reference field="2" count="1" selected="0">
            <x v="14"/>
          </reference>
          <reference field="4" count="1" selected="0">
            <x v="3"/>
          </reference>
          <reference field="5" count="1" selected="0">
            <x v="90"/>
          </reference>
          <reference field="6" count="1" selected="0">
            <x v="14"/>
          </reference>
          <reference field="8" count="1">
            <x v="7"/>
          </reference>
        </references>
      </pivotArea>
    </format>
    <format dxfId="263">
      <pivotArea dataOnly="0" labelOnly="1" outline="0" fieldPosition="0">
        <references count="7">
          <reference field="0" count="1" selected="0">
            <x v="0"/>
          </reference>
          <reference field="1" count="1" selected="0">
            <x v="13"/>
          </reference>
          <reference field="2" count="1" selected="0">
            <x v="15"/>
          </reference>
          <reference field="4" count="1" selected="0">
            <x v="3"/>
          </reference>
          <reference field="5" count="1" selected="0">
            <x v="9"/>
          </reference>
          <reference field="6" count="1" selected="0">
            <x v="14"/>
          </reference>
          <reference field="8" count="1">
            <x v="3"/>
          </reference>
        </references>
      </pivotArea>
    </format>
    <format dxfId="262">
      <pivotArea dataOnly="0" labelOnly="1" outline="0" fieldPosition="0">
        <references count="7">
          <reference field="0" count="1" selected="0">
            <x v="0"/>
          </reference>
          <reference field="1" count="1" selected="0">
            <x v="13"/>
          </reference>
          <reference field="2" count="1" selected="0">
            <x v="16"/>
          </reference>
          <reference field="4" count="1" selected="0">
            <x v="3"/>
          </reference>
          <reference field="5" count="1" selected="0">
            <x v="94"/>
          </reference>
          <reference field="6" count="1" selected="0">
            <x v="14"/>
          </reference>
          <reference field="8" count="1">
            <x v="7"/>
          </reference>
        </references>
      </pivotArea>
    </format>
    <format dxfId="261">
      <pivotArea dataOnly="0" labelOnly="1" outline="0" fieldPosition="0">
        <references count="7">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x v="28"/>
          </reference>
        </references>
      </pivotArea>
    </format>
    <format dxfId="260">
      <pivotArea dataOnly="0" labelOnly="1" outline="0" fieldPosition="0">
        <references count="7">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x v="7"/>
          </reference>
        </references>
      </pivotArea>
    </format>
    <format dxfId="259">
      <pivotArea dataOnly="0" labelOnly="1" outline="0" fieldPosition="0">
        <references count="7">
          <reference field="0" count="1" selected="0">
            <x v="0"/>
          </reference>
          <reference field="1" count="1" selected="0">
            <x v="13"/>
          </reference>
          <reference field="2" count="1" selected="0">
            <x v="19"/>
          </reference>
          <reference field="4" count="1" selected="0">
            <x v="3"/>
          </reference>
          <reference field="5" count="1" selected="0">
            <x v="98"/>
          </reference>
          <reference field="6" count="1" selected="0">
            <x v="14"/>
          </reference>
          <reference field="8" count="1">
            <x v="4"/>
          </reference>
        </references>
      </pivotArea>
    </format>
    <format dxfId="258">
      <pivotArea dataOnly="0" labelOnly="1" outline="0" fieldPosition="0">
        <references count="7">
          <reference field="0" count="1" selected="0">
            <x v="0"/>
          </reference>
          <reference field="1" count="1" selected="0">
            <x v="13"/>
          </reference>
          <reference field="2" count="1" selected="0">
            <x v="20"/>
          </reference>
          <reference field="4" count="1" selected="0">
            <x v="3"/>
          </reference>
          <reference field="5" count="1" selected="0">
            <x v="102"/>
          </reference>
          <reference field="6" count="1" selected="0">
            <x v="14"/>
          </reference>
          <reference field="8" count="1">
            <x v="6"/>
          </reference>
        </references>
      </pivotArea>
    </format>
    <format dxfId="257">
      <pivotArea dataOnly="0" labelOnly="1" outline="0" fieldPosition="0">
        <references count="7">
          <reference field="0" count="1" selected="0">
            <x v="0"/>
          </reference>
          <reference field="1" count="1" selected="0">
            <x v="13"/>
          </reference>
          <reference field="2" count="1" selected="0">
            <x v="21"/>
          </reference>
          <reference field="4" count="1" selected="0">
            <x v="3"/>
          </reference>
          <reference field="5" count="1" selected="0">
            <x v="125"/>
          </reference>
          <reference field="6" count="1" selected="0">
            <x v="14"/>
          </reference>
          <reference field="8" count="1">
            <x v="4"/>
          </reference>
        </references>
      </pivotArea>
    </format>
    <format dxfId="256">
      <pivotArea dataOnly="0" labelOnly="1" outline="0" fieldPosition="0">
        <references count="7">
          <reference field="0" count="1" selected="0">
            <x v="0"/>
          </reference>
          <reference field="1" count="1" selected="0">
            <x v="13"/>
          </reference>
          <reference field="2" count="1" selected="0">
            <x v="23"/>
          </reference>
          <reference field="4" count="1" selected="0">
            <x v="3"/>
          </reference>
          <reference field="5" count="1" selected="0">
            <x v="133"/>
          </reference>
          <reference field="6" count="1" selected="0">
            <x v="14"/>
          </reference>
          <reference field="8" count="1">
            <x v="7"/>
          </reference>
        </references>
      </pivotArea>
    </format>
    <format dxfId="255">
      <pivotArea dataOnly="0" labelOnly="1" outline="0" fieldPosition="0">
        <references count="7">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x v="29"/>
          </reference>
        </references>
      </pivotArea>
    </format>
    <format dxfId="254">
      <pivotArea dataOnly="0" labelOnly="1" outline="0" fieldPosition="0">
        <references count="7">
          <reference field="0" count="1" selected="0">
            <x v="1"/>
          </reference>
          <reference field="1" count="1" selected="0">
            <x v="5"/>
          </reference>
          <reference field="2" count="1" selected="0">
            <x v="71"/>
          </reference>
          <reference field="4" count="1" selected="0">
            <x v="3"/>
          </reference>
          <reference field="5" count="1" selected="0">
            <x v="110"/>
          </reference>
          <reference field="6" count="1" selected="0">
            <x v="1"/>
          </reference>
          <reference field="8" count="1">
            <x v="37"/>
          </reference>
        </references>
      </pivotArea>
    </format>
    <format dxfId="253">
      <pivotArea dataOnly="0" labelOnly="1" outline="0" fieldPosition="0">
        <references count="7">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x v="37"/>
          </reference>
        </references>
      </pivotArea>
    </format>
    <format dxfId="252">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x v="12"/>
          </reference>
        </references>
      </pivotArea>
    </format>
    <format dxfId="251">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118"/>
          </reference>
          <reference field="6" count="1" selected="0">
            <x v="12"/>
          </reference>
          <reference field="8" count="1">
            <x v="30"/>
          </reference>
        </references>
      </pivotArea>
    </format>
    <format dxfId="250">
      <pivotArea dataOnly="0" labelOnly="1" outline="0" fieldPosition="0">
        <references count="7">
          <reference field="0" count="1" selected="0">
            <x v="1"/>
          </reference>
          <reference field="1" count="1" selected="0">
            <x v="7"/>
          </reference>
          <reference field="2" count="1" selected="0">
            <x v="32"/>
          </reference>
          <reference field="4" count="1" selected="0">
            <x v="3"/>
          </reference>
          <reference field="5" count="1" selected="0">
            <x v="134"/>
          </reference>
          <reference field="6" count="1" selected="0">
            <x v="6"/>
          </reference>
          <reference field="8" count="1">
            <x v="10"/>
          </reference>
        </references>
      </pivotArea>
    </format>
    <format dxfId="249">
      <pivotArea dataOnly="0" labelOnly="1" outline="0" fieldPosition="0">
        <references count="7">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x v="38"/>
          </reference>
        </references>
      </pivotArea>
    </format>
    <format dxfId="248">
      <pivotArea dataOnly="0" labelOnly="1" outline="0" fieldPosition="0">
        <references count="7">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x v="10"/>
          </reference>
        </references>
      </pivotArea>
    </format>
    <format dxfId="247">
      <pivotArea dataOnly="0" labelOnly="1" outline="0" fieldPosition="0">
        <references count="7">
          <reference field="0" count="1" selected="0">
            <x v="1"/>
          </reference>
          <reference field="1" count="1" selected="0">
            <x v="9"/>
          </reference>
          <reference field="2" count="1" selected="0">
            <x v="49"/>
          </reference>
          <reference field="4" count="1" selected="0">
            <x v="3"/>
          </reference>
          <reference field="5" count="1" selected="0">
            <x v="83"/>
          </reference>
          <reference field="6" count="1" selected="0">
            <x v="2"/>
          </reference>
          <reference field="8" count="1">
            <x v="8"/>
          </reference>
        </references>
      </pivotArea>
    </format>
    <format dxfId="246">
      <pivotArea dataOnly="0" labelOnly="1" outline="0" fieldPosition="0">
        <references count="7">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x v="29"/>
          </reference>
        </references>
      </pivotArea>
    </format>
    <format dxfId="245">
      <pivotArea dataOnly="0" labelOnly="1" outline="0" fieldPosition="0">
        <references count="7">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x v="1"/>
          </reference>
        </references>
      </pivotArea>
    </format>
    <format dxfId="244">
      <pivotArea dataOnly="0" labelOnly="1" outline="0" fieldPosition="0">
        <references count="7">
          <reference field="0" count="1" selected="0">
            <x v="1"/>
          </reference>
          <reference field="1" count="1" selected="0">
            <x v="9"/>
          </reference>
          <reference field="2" count="1" selected="0">
            <x v="70"/>
          </reference>
          <reference field="4" count="1" selected="0">
            <x v="3"/>
          </reference>
          <reference field="5" count="1" selected="0">
            <x v="78"/>
          </reference>
          <reference field="6" count="1" selected="0">
            <x v="1"/>
          </reference>
          <reference field="8" count="1">
            <x v="13"/>
          </reference>
        </references>
      </pivotArea>
    </format>
    <format dxfId="243">
      <pivotArea dataOnly="0" labelOnly="1" outline="0" fieldPosition="0">
        <references count="7">
          <reference field="0" count="1" selected="0">
            <x v="1"/>
          </reference>
          <reference field="1" count="1" selected="0">
            <x v="9"/>
          </reference>
          <reference field="2" count="1" selected="0">
            <x v="73"/>
          </reference>
          <reference field="4" count="1" selected="0">
            <x v="3"/>
          </reference>
          <reference field="5" count="1" selected="0">
            <x v="81"/>
          </reference>
          <reference field="6" count="1" selected="0">
            <x v="2"/>
          </reference>
          <reference field="8" count="1">
            <x v="8"/>
          </reference>
        </references>
      </pivotArea>
    </format>
    <format dxfId="242">
      <pivotArea dataOnly="0" labelOnly="1" outline="0" fieldPosition="0">
        <references count="7">
          <reference field="0" count="1" selected="0">
            <x v="1"/>
          </reference>
          <reference field="1" count="1" selected="0">
            <x v="9"/>
          </reference>
          <reference field="2" count="1" selected="0">
            <x v="82"/>
          </reference>
          <reference field="4" count="1" selected="0">
            <x v="3"/>
          </reference>
          <reference field="5" count="1" selected="0">
            <x v="13"/>
          </reference>
          <reference field="6" count="1" selected="0">
            <x v="18"/>
          </reference>
          <reference field="8" count="1">
            <x v="13"/>
          </reference>
        </references>
      </pivotArea>
    </format>
    <format dxfId="241">
      <pivotArea dataOnly="0" labelOnly="1" outline="0" fieldPosition="0">
        <references count="7">
          <reference field="0" count="1" selected="0">
            <x v="1"/>
          </reference>
          <reference field="1" count="1" selected="0">
            <x v="9"/>
          </reference>
          <reference field="2" count="1" selected="0">
            <x v="92"/>
          </reference>
          <reference field="4" count="1" selected="0">
            <x v="3"/>
          </reference>
          <reference field="5" count="1" selected="0">
            <x v="132"/>
          </reference>
          <reference field="6" count="1" selected="0">
            <x v="1"/>
          </reference>
          <reference field="8" count="1">
            <x v="9"/>
          </reference>
        </references>
      </pivotArea>
    </format>
    <format dxfId="240">
      <pivotArea dataOnly="0" labelOnly="1" outline="0" fieldPosition="0">
        <references count="7">
          <reference field="0" count="1" selected="0">
            <x v="1"/>
          </reference>
          <reference field="1" count="1" selected="0">
            <x v="9"/>
          </reference>
          <reference field="2" count="1" selected="0">
            <x v="97"/>
          </reference>
          <reference field="4" count="1" selected="0">
            <x v="3"/>
          </reference>
          <reference field="5" count="1" selected="0">
            <x v="40"/>
          </reference>
          <reference field="6" count="1" selected="0">
            <x v="2"/>
          </reference>
          <reference field="8" count="1">
            <x v="14"/>
          </reference>
        </references>
      </pivotArea>
    </format>
    <format dxfId="239">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s>
      </pivotArea>
    </format>
    <format dxfId="238">
      <pivotArea dataOnly="0" labelOnly="1" outline="0" fieldPosition="0">
        <references count="7">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x v="25"/>
          </reference>
        </references>
      </pivotArea>
    </format>
    <format dxfId="237">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s>
      </pivotArea>
    </format>
    <format dxfId="236">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0"/>
          </reference>
          <reference field="6" count="1" selected="0">
            <x v="14"/>
          </reference>
          <reference field="8" count="1">
            <x v="41"/>
          </reference>
        </references>
      </pivotArea>
    </format>
    <format dxfId="235">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x v="25"/>
          </reference>
        </references>
      </pivotArea>
    </format>
    <format dxfId="234">
      <pivotArea dataOnly="0" labelOnly="1" outline="0" fieldPosition="0">
        <references count="7">
          <reference field="0" count="1" selected="0">
            <x v="2"/>
          </reference>
          <reference field="1" count="1" selected="0">
            <x v="0"/>
          </reference>
          <reference field="2" count="1" selected="0">
            <x v="90"/>
          </reference>
          <reference field="4" count="1" selected="0">
            <x v="1"/>
          </reference>
          <reference field="5" count="1" selected="0">
            <x v="93"/>
          </reference>
          <reference field="6" count="1" selected="0">
            <x v="11"/>
          </reference>
          <reference field="8" count="1">
            <x v="23"/>
          </reference>
        </references>
      </pivotArea>
    </format>
    <format dxfId="233">
      <pivotArea dataOnly="0" labelOnly="1" outline="0" fieldPosition="0">
        <references count="7">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x v="43"/>
          </reference>
        </references>
      </pivotArea>
    </format>
    <format dxfId="232">
      <pivotArea dataOnly="0" labelOnly="1" outline="0" fieldPosition="0">
        <references count="7">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x v="43"/>
          </reference>
        </references>
      </pivotArea>
    </format>
    <format dxfId="231">
      <pivotArea dataOnly="0" labelOnly="1" outline="0" fieldPosition="0">
        <references count="7">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x v="11"/>
          </reference>
        </references>
      </pivotArea>
    </format>
    <format dxfId="230">
      <pivotArea dataOnly="0" labelOnly="1" outline="0" fieldPosition="0">
        <references count="7">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x v="39"/>
          </reference>
        </references>
      </pivotArea>
    </format>
    <format dxfId="229">
      <pivotArea dataOnly="0" labelOnly="1" outline="0" fieldPosition="0">
        <references count="7">
          <reference field="0" count="1" selected="0">
            <x v="2"/>
          </reference>
          <reference field="1" count="1" selected="0">
            <x v="3"/>
          </reference>
          <reference field="2" count="1" selected="0">
            <x v="30"/>
          </reference>
          <reference field="4" count="1" selected="0">
            <x v="3"/>
          </reference>
          <reference field="5" count="1" selected="0">
            <x v="34"/>
          </reference>
          <reference field="6" count="1" selected="0">
            <x v="12"/>
          </reference>
          <reference field="8" count="1">
            <x v="51"/>
          </reference>
        </references>
      </pivotArea>
    </format>
    <format dxfId="228">
      <pivotArea dataOnly="0" labelOnly="1" outline="0" fieldPosition="0">
        <references count="7">
          <reference field="0" count="1" selected="0">
            <x v="2"/>
          </reference>
          <reference field="1" count="1" selected="0">
            <x v="3"/>
          </reference>
          <reference field="2" count="1" selected="0">
            <x v="55"/>
          </reference>
          <reference field="4" count="1" selected="0">
            <x v="2"/>
          </reference>
          <reference field="5" count="1" selected="0">
            <x v="11"/>
          </reference>
          <reference field="6" count="1" selected="0">
            <x v="12"/>
          </reference>
          <reference field="8" count="1">
            <x v="44"/>
          </reference>
        </references>
      </pivotArea>
    </format>
    <format dxfId="227">
      <pivotArea dataOnly="0" labelOnly="1" outline="0" fieldPosition="0">
        <references count="7">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x v="44"/>
          </reference>
        </references>
      </pivotArea>
    </format>
    <format dxfId="226">
      <pivotArea dataOnly="0" labelOnly="1" outline="0" fieldPosition="0">
        <references count="7">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x v="29"/>
          </reference>
        </references>
      </pivotArea>
    </format>
    <format dxfId="225">
      <pivotArea dataOnly="0" labelOnly="1" outline="0" fieldPosition="0">
        <references count="7">
          <reference field="0" count="1" selected="0">
            <x v="2"/>
          </reference>
          <reference field="1" count="1" selected="0">
            <x v="4"/>
          </reference>
          <reference field="2" count="1" selected="0">
            <x v="35"/>
          </reference>
          <reference field="4" count="1" selected="0">
            <x v="1"/>
          </reference>
          <reference field="5" count="1" selected="0">
            <x v="14"/>
          </reference>
          <reference field="6" count="1" selected="0">
            <x v="9"/>
          </reference>
          <reference field="8" count="1">
            <x v="34"/>
          </reference>
        </references>
      </pivotArea>
    </format>
    <format dxfId="224">
      <pivotArea dataOnly="0" labelOnly="1" outline="0" fieldPosition="0">
        <references count="7">
          <reference field="0" count="1" selected="0">
            <x v="2"/>
          </reference>
          <reference field="1" count="1" selected="0">
            <x v="4"/>
          </reference>
          <reference field="2" count="1" selected="0">
            <x v="35"/>
          </reference>
          <reference field="4" count="1" selected="0">
            <x v="3"/>
          </reference>
          <reference field="5" count="1" selected="0">
            <x v="38"/>
          </reference>
          <reference field="6" count="1" selected="0">
            <x v="9"/>
          </reference>
          <reference field="8" count="1">
            <x v="24"/>
          </reference>
        </references>
      </pivotArea>
    </format>
    <format dxfId="223">
      <pivotArea dataOnly="0" labelOnly="1" outline="0" fieldPosition="0">
        <references count="7">
          <reference field="0" count="1" selected="0">
            <x v="2"/>
          </reference>
          <reference field="1" count="1" selected="0">
            <x v="4"/>
          </reference>
          <reference field="2" count="1" selected="0">
            <x v="36"/>
          </reference>
          <reference field="4" count="1" selected="0">
            <x v="2"/>
          </reference>
          <reference field="5" count="1" selected="0">
            <x v="20"/>
          </reference>
          <reference field="6" count="1" selected="0">
            <x v="15"/>
          </reference>
          <reference field="8" count="1">
            <x v="29"/>
          </reference>
        </references>
      </pivotArea>
    </format>
    <format dxfId="222">
      <pivotArea dataOnly="0" labelOnly="1" outline="0" fieldPosition="0">
        <references count="7">
          <reference field="0" count="1" selected="0">
            <x v="2"/>
          </reference>
          <reference field="1" count="1" selected="0">
            <x v="4"/>
          </reference>
          <reference field="2" count="1" selected="0">
            <x v="48"/>
          </reference>
          <reference field="4" count="1" selected="0">
            <x v="1"/>
          </reference>
          <reference field="5" count="1" selected="0">
            <x v="21"/>
          </reference>
          <reference field="6" count="1" selected="0">
            <x v="6"/>
          </reference>
          <reference field="8" count="1">
            <x v="31"/>
          </reference>
        </references>
      </pivotArea>
    </format>
    <format dxfId="221">
      <pivotArea dataOnly="0" labelOnly="1" outline="0" fieldPosition="0">
        <references count="7">
          <reference field="0" count="1" selected="0">
            <x v="2"/>
          </reference>
          <reference field="1" count="1" selected="0">
            <x v="4"/>
          </reference>
          <reference field="2" count="1" selected="0">
            <x v="48"/>
          </reference>
          <reference field="4" count="1" selected="0">
            <x v="3"/>
          </reference>
          <reference field="5" count="1" selected="0">
            <x v="39"/>
          </reference>
          <reference field="6" count="1" selected="0">
            <x v="9"/>
          </reference>
          <reference field="8" count="1">
            <x v="34"/>
          </reference>
        </references>
      </pivotArea>
    </format>
    <format dxfId="220">
      <pivotArea dataOnly="0" labelOnly="1" outline="0" fieldPosition="0">
        <references count="7">
          <reference field="0" count="1" selected="0">
            <x v="2"/>
          </reference>
          <reference field="1" count="1" selected="0">
            <x v="4"/>
          </reference>
          <reference field="2" count="1" selected="0">
            <x v="84"/>
          </reference>
          <reference field="4" count="1" selected="0">
            <x v="2"/>
          </reference>
          <reference field="5" count="1" selected="0">
            <x v="106"/>
          </reference>
          <reference field="6" count="1" selected="0">
            <x v="16"/>
          </reference>
          <reference field="8" count="1">
            <x v="34"/>
          </reference>
        </references>
      </pivotArea>
    </format>
    <format dxfId="219">
      <pivotArea dataOnly="0" labelOnly="1" outline="0" fieldPosition="0">
        <references count="7">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x v="22"/>
          </reference>
        </references>
      </pivotArea>
    </format>
    <format dxfId="218">
      <pivotArea dataOnly="0" labelOnly="1" outline="0" fieldPosition="0">
        <references count="7">
          <reference field="0" count="1" selected="0">
            <x v="2"/>
          </reference>
          <reference field="1" count="1" selected="0">
            <x v="4"/>
          </reference>
          <reference field="2" count="1" selected="0">
            <x v="91"/>
          </reference>
          <reference field="4" count="1" selected="0">
            <x v="1"/>
          </reference>
          <reference field="5" count="1" selected="0">
            <x v="108"/>
          </reference>
          <reference field="6" count="1" selected="0">
            <x v="16"/>
          </reference>
          <reference field="8" count="1">
            <x v="34"/>
          </reference>
        </references>
      </pivotArea>
    </format>
    <format dxfId="217">
      <pivotArea dataOnly="0" labelOnly="1" outline="0" fieldPosition="0">
        <references count="7">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x v="49"/>
          </reference>
        </references>
      </pivotArea>
    </format>
    <format dxfId="216">
      <pivotArea dataOnly="0" labelOnly="1" outline="0" fieldPosition="0">
        <references count="7">
          <reference field="0" count="1" selected="0">
            <x v="2"/>
          </reference>
          <reference field="1" count="1" selected="0">
            <x v="6"/>
          </reference>
          <reference field="2" count="1" selected="0">
            <x v="96"/>
          </reference>
          <reference field="4" count="1" selected="0">
            <x v="3"/>
          </reference>
          <reference field="5" count="1" selected="0">
            <x v="77"/>
          </reference>
          <reference field="6" count="1" selected="0">
            <x v="6"/>
          </reference>
          <reference field="8" count="1">
            <x v="47"/>
          </reference>
        </references>
      </pivotArea>
    </format>
    <format dxfId="215">
      <pivotArea dataOnly="0" labelOnly="1" outline="0" fieldPosition="0">
        <references count="7">
          <reference field="0" count="1" selected="0">
            <x v="2"/>
          </reference>
          <reference field="1" count="1" selected="0">
            <x v="8"/>
          </reference>
          <reference field="2" count="1" selected="0">
            <x v="28"/>
          </reference>
          <reference field="4" count="1" selected="0">
            <x v="2"/>
          </reference>
          <reference field="5" count="1" selected="0">
            <x v="5"/>
          </reference>
          <reference field="6" count="1" selected="0">
            <x v="14"/>
          </reference>
          <reference field="8" count="1">
            <x v="46"/>
          </reference>
        </references>
      </pivotArea>
    </format>
    <format dxfId="214">
      <pivotArea dataOnly="0" labelOnly="1" outline="0" fieldPosition="0">
        <references count="7">
          <reference field="0" count="1" selected="0">
            <x v="2"/>
          </reference>
          <reference field="1" count="1" selected="0">
            <x v="8"/>
          </reference>
          <reference field="2" count="1" selected="0">
            <x v="29"/>
          </reference>
          <reference field="4" count="1" selected="0">
            <x v="2"/>
          </reference>
          <reference field="5" count="1" selected="0">
            <x v="24"/>
          </reference>
          <reference field="6" count="1" selected="0">
            <x v="19"/>
          </reference>
          <reference field="8" count="1">
            <x v="42"/>
          </reference>
        </references>
      </pivotArea>
    </format>
    <format dxfId="213">
      <pivotArea dataOnly="0" labelOnly="1" outline="0" fieldPosition="0">
        <references count="7">
          <reference field="0" count="1" selected="0">
            <x v="2"/>
          </reference>
          <reference field="1" count="1" selected="0">
            <x v="8"/>
          </reference>
          <reference field="2" count="1" selected="0">
            <x v="78"/>
          </reference>
          <reference field="4" count="1" selected="0">
            <x v="2"/>
          </reference>
          <reference field="5" count="1" selected="0">
            <x v="22"/>
          </reference>
          <reference field="6" count="1" selected="0">
            <x v="1"/>
          </reference>
          <reference field="8" count="1">
            <x v="50"/>
          </reference>
        </references>
      </pivotArea>
    </format>
    <format dxfId="212">
      <pivotArea dataOnly="0" labelOnly="1" outline="0" fieldPosition="0">
        <references count="7">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x v="36"/>
          </reference>
        </references>
      </pivotArea>
    </format>
    <format dxfId="211">
      <pivotArea dataOnly="0" labelOnly="1" outline="0" fieldPosition="0">
        <references count="7">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x v="20"/>
          </reference>
        </references>
      </pivotArea>
    </format>
    <format dxfId="210">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x v="36"/>
          </reference>
        </references>
      </pivotArea>
    </format>
    <format dxfId="209">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x v="51"/>
          </reference>
        </references>
      </pivotArea>
    </format>
    <format dxfId="208">
      <pivotArea dataOnly="0" labelOnly="1" outline="0" fieldPosition="0">
        <references count="7">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x v="16"/>
          </reference>
        </references>
      </pivotArea>
    </format>
    <format dxfId="207">
      <pivotArea dataOnly="0" labelOnly="1" outline="0" fieldPosition="0">
        <references count="7">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x v="16"/>
          </reference>
        </references>
      </pivotArea>
    </format>
    <format dxfId="206">
      <pivotArea dataOnly="0" labelOnly="1" outline="0" fieldPosition="0">
        <references count="7">
          <reference field="0" count="1" selected="0">
            <x v="2"/>
          </reference>
          <reference field="1" count="1" selected="0">
            <x v="10"/>
          </reference>
          <reference field="2" count="1" selected="0">
            <x v="68"/>
          </reference>
          <reference field="4" count="1" selected="0">
            <x v="2"/>
          </reference>
          <reference field="5" count="1" selected="0">
            <x v="85"/>
          </reference>
          <reference field="6" count="1" selected="0">
            <x v="7"/>
          </reference>
          <reference field="8" count="1">
            <x v="21"/>
          </reference>
        </references>
      </pivotArea>
    </format>
    <format dxfId="205">
      <pivotArea dataOnly="0" labelOnly="1" outline="0" fieldPosition="0">
        <references count="7">
          <reference field="0" count="1" selected="0">
            <x v="2"/>
          </reference>
          <reference field="1" count="1" selected="0">
            <x v="10"/>
          </reference>
          <reference field="2" count="1" selected="0">
            <x v="74"/>
          </reference>
          <reference field="4" count="1" selected="0">
            <x v="2"/>
          </reference>
          <reference field="5" count="1" selected="0">
            <x v="73"/>
          </reference>
          <reference field="6" count="1" selected="0">
            <x v="3"/>
          </reference>
          <reference field="8" count="1">
            <x v="20"/>
          </reference>
        </references>
      </pivotArea>
    </format>
    <format dxfId="204">
      <pivotArea dataOnly="0" labelOnly="1" outline="0" fieldPosition="0">
        <references count="7">
          <reference field="0" count="1" selected="0">
            <x v="2"/>
          </reference>
          <reference field="1" count="1" selected="0">
            <x v="10"/>
          </reference>
          <reference field="2" count="1" selected="0">
            <x v="77"/>
          </reference>
          <reference field="4" count="1" selected="0">
            <x v="2"/>
          </reference>
          <reference field="5" count="1" selected="0">
            <x v="135"/>
          </reference>
          <reference field="6" count="1" selected="0">
            <x v="7"/>
          </reference>
          <reference field="8" count="1">
            <x v="17"/>
          </reference>
        </references>
      </pivotArea>
    </format>
    <format dxfId="203">
      <pivotArea dataOnly="0" labelOnly="1" outline="0" fieldPosition="0">
        <references count="7">
          <reference field="0" count="1" selected="0">
            <x v="2"/>
          </reference>
          <reference field="1" count="1" selected="0">
            <x v="10"/>
          </reference>
          <reference field="2" count="1" selected="0">
            <x v="86"/>
          </reference>
          <reference field="4" count="1" selected="0">
            <x v="2"/>
          </reference>
          <reference field="5" count="1" selected="0">
            <x v="16"/>
          </reference>
          <reference field="6" count="1" selected="0">
            <x v="14"/>
          </reference>
          <reference field="8" count="1">
            <x v="15"/>
          </reference>
        </references>
      </pivotArea>
    </format>
    <format dxfId="202">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33"/>
          </reference>
          <reference field="6" count="1" selected="0">
            <x v="5"/>
          </reference>
          <reference field="8" count="1">
            <x v="25"/>
          </reference>
        </references>
      </pivotArea>
    </format>
    <format dxfId="201">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53"/>
          </reference>
          <reference field="6" count="1" selected="0">
            <x v="13"/>
          </reference>
          <reference field="8" count="1">
            <x v="27"/>
          </reference>
        </references>
      </pivotArea>
    </format>
    <format dxfId="200">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1"/>
          </reference>
          <reference field="6" count="1" selected="0">
            <x v="14"/>
          </reference>
          <reference field="8" count="1">
            <x v="32"/>
          </reference>
        </references>
      </pivotArea>
    </format>
    <format dxfId="199">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9"/>
          </reference>
          <reference field="6" count="1" selected="0">
            <x v="14"/>
          </reference>
          <reference field="8" count="1">
            <x v="33"/>
          </reference>
        </references>
      </pivotArea>
    </format>
    <format dxfId="198">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70"/>
          </reference>
          <reference field="6" count="1" selected="0">
            <x v="0"/>
          </reference>
          <reference field="8" count="1">
            <x v="38"/>
          </reference>
        </references>
      </pivotArea>
    </format>
    <format dxfId="197">
      <pivotArea dataOnly="0" labelOnly="1" outline="0" fieldPosition="0">
        <references count="7">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x v="45"/>
          </reference>
        </references>
      </pivotArea>
    </format>
    <format dxfId="196">
      <pivotArea dataOnly="0" labelOnly="1" outline="0" fieldPosition="0">
        <references count="7">
          <reference field="0" count="1" selected="0">
            <x v="2"/>
          </reference>
          <reference field="1" count="1" selected="0">
            <x v="11"/>
          </reference>
          <reference field="2" count="1" selected="0">
            <x v="67"/>
          </reference>
          <reference field="4" count="1" selected="0">
            <x v="1"/>
          </reference>
          <reference field="5" count="1" selected="0">
            <x v="76"/>
          </reference>
          <reference field="6" count="1" selected="0">
            <x v="15"/>
          </reference>
          <reference field="8" count="1">
            <x v="48"/>
          </reference>
        </references>
      </pivotArea>
    </format>
    <format dxfId="195">
      <pivotArea dataOnly="0" labelOnly="1" outline="0" fieldPosition="0">
        <references count="7">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x v="19"/>
          </reference>
        </references>
      </pivotArea>
    </format>
    <format dxfId="194">
      <pivotArea dataOnly="0" labelOnly="1" outline="0" fieldPosition="0">
        <references count="7">
          <reference field="0" count="1" selected="0">
            <x v="2"/>
          </reference>
          <reference field="1" count="1" selected="0">
            <x v="12"/>
          </reference>
          <reference field="2" count="1" selected="0">
            <x v="27"/>
          </reference>
          <reference field="4" count="1" selected="0">
            <x v="0"/>
          </reference>
          <reference field="5" count="1" selected="0">
            <x v="129"/>
          </reference>
          <reference field="6" count="1" selected="0">
            <x v="9"/>
          </reference>
          <reference field="8" count="1">
            <x v="18"/>
          </reference>
        </references>
      </pivotArea>
    </format>
    <format dxfId="193">
      <pivotArea dataOnly="0" labelOnly="1" outline="0" fieldPosition="0">
        <references count="7">
          <reference field="0" count="1" selected="0">
            <x v="2"/>
          </reference>
          <reference field="1" count="1" selected="0">
            <x v="12"/>
          </reference>
          <reference field="2" count="1" selected="0">
            <x v="37"/>
          </reference>
          <reference field="4" count="1" selected="0">
            <x v="0"/>
          </reference>
          <reference field="5" count="1" selected="0">
            <x v="12"/>
          </reference>
          <reference field="6" count="1" selected="0">
            <x v="9"/>
          </reference>
          <reference field="8" count="1">
            <x v="29"/>
          </reference>
        </references>
      </pivotArea>
    </format>
    <format dxfId="192">
      <pivotArea dataOnly="0" labelOnly="1" outline="0" fieldPosition="0">
        <references count="7">
          <reference field="0" count="1" selected="0">
            <x v="2"/>
          </reference>
          <reference field="1" count="1" selected="0">
            <x v="12"/>
          </reference>
          <reference field="2" count="1" selected="0">
            <x v="40"/>
          </reference>
          <reference field="4" count="1" selected="0">
            <x v="2"/>
          </reference>
          <reference field="5" count="1" selected="0">
            <x v="136"/>
          </reference>
          <reference field="6" count="1" selected="0">
            <x v="9"/>
          </reference>
          <reference field="8" count="1">
            <x v="19"/>
          </reference>
        </references>
      </pivotArea>
    </format>
    <format dxfId="191">
      <pivotArea dataOnly="0" labelOnly="1" outline="0" fieldPosition="0">
        <references count="7">
          <reference field="0" count="1" selected="0">
            <x v="2"/>
          </reference>
          <reference field="1" count="1" selected="0">
            <x v="12"/>
          </reference>
          <reference field="2" count="1" selected="0">
            <x v="89"/>
          </reference>
          <reference field="4" count="1" selected="0">
            <x v="2"/>
          </reference>
          <reference field="5" count="1" selected="0">
            <x v="75"/>
          </reference>
          <reference field="6" count="1" selected="0">
            <x v="9"/>
          </reference>
          <reference field="8" count="1">
            <x v="29"/>
          </reference>
        </references>
      </pivotArea>
    </format>
    <format dxfId="190">
      <pivotArea dataOnly="0" labelOnly="1" outline="0" fieldPosition="0">
        <references count="7">
          <reference field="0" count="1" selected="0">
            <x v="2"/>
          </reference>
          <reference field="1" count="1" selected="0">
            <x v="12"/>
          </reference>
          <reference field="2" count="1" selected="0">
            <x v="94"/>
          </reference>
          <reference field="4" count="1" selected="0">
            <x v="1"/>
          </reference>
          <reference field="5" count="1" selected="0">
            <x v="91"/>
          </reference>
          <reference field="6" count="1" selected="0">
            <x v="9"/>
          </reference>
          <reference field="8" count="1">
            <x v="26"/>
          </reference>
        </references>
      </pivotArea>
    </format>
    <format dxfId="189">
      <pivotArea dataOnly="0" labelOnly="1" outline="0" fieldPosition="0">
        <references count="7">
          <reference field="0" count="1" selected="0">
            <x v="2"/>
          </reference>
          <reference field="1" count="1" selected="0">
            <x v="14"/>
          </reference>
          <reference field="2" count="1" selected="0">
            <x v="25"/>
          </reference>
          <reference field="4" count="1" selected="0">
            <x v="2"/>
          </reference>
          <reference field="5" count="1" selected="0">
            <x v="88"/>
          </reference>
          <reference field="6" count="1" selected="0">
            <x v="3"/>
          </reference>
          <reference field="8" count="1">
            <x v="33"/>
          </reference>
        </references>
      </pivotArea>
    </format>
    <format dxfId="188">
      <pivotArea dataOnly="0" labelOnly="1" outline="0" fieldPosition="0">
        <references count="7">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x v="34"/>
          </reference>
        </references>
      </pivotArea>
    </format>
    <format dxfId="187">
      <pivotArea dataOnly="0" labelOnly="1" outline="0" fieldPosition="0">
        <references count="7">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x v="27"/>
          </reference>
        </references>
      </pivotArea>
    </format>
    <format dxfId="186">
      <pivotArea dataOnly="0" labelOnly="1" outline="0" fieldPosition="0">
        <references count="7">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x v="34"/>
          </reference>
        </references>
      </pivotArea>
    </format>
    <format dxfId="185">
      <pivotArea dataOnly="0" labelOnly="1" outline="0" fieldPosition="0">
        <references count="7">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x v="45"/>
          </reference>
        </references>
      </pivotArea>
    </format>
    <format dxfId="184">
      <pivotArea dataOnly="0" labelOnly="1" outline="0" fieldPosition="0">
        <references count="7">
          <reference field="0" count="1" selected="0">
            <x v="2"/>
          </reference>
          <reference field="1" count="1" selected="0">
            <x v="15"/>
          </reference>
          <reference field="2" count="1" selected="0">
            <x v="53"/>
          </reference>
          <reference field="4" count="1" selected="0">
            <x v="0"/>
          </reference>
          <reference field="5" count="1" selected="0">
            <x v="128"/>
          </reference>
          <reference field="6" count="1" selected="0">
            <x v="7"/>
          </reference>
          <reference field="8" count="1">
            <x v="35"/>
          </reference>
        </references>
      </pivotArea>
    </format>
    <format dxfId="183">
      <pivotArea dataOnly="0" labelOnly="1" outline="0" fieldPosition="0">
        <references count="7">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x v="40"/>
          </reference>
        </references>
      </pivotArea>
    </format>
    <format dxfId="182">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s>
      </pivotArea>
    </format>
    <format dxfId="181">
      <pivotArea dataOnly="0" labelOnly="1" outline="0" fieldPosition="0">
        <references count="7">
          <reference field="0" count="1" selected="0">
            <x v="2"/>
          </reference>
          <reference field="1" count="1" selected="0">
            <x v="15"/>
          </reference>
          <reference field="2" count="1" selected="0">
            <x v="63"/>
          </reference>
          <reference field="4" count="1" selected="0">
            <x v="1"/>
          </reference>
          <reference field="5" count="1" selected="0">
            <x v="120"/>
          </reference>
          <reference field="6" count="1" selected="0">
            <x v="7"/>
          </reference>
          <reference field="8" count="1">
            <x v="25"/>
          </reference>
        </references>
      </pivotArea>
    </format>
    <format dxfId="180">
      <pivotArea dataOnly="0" labelOnly="1" outline="0" fieldPosition="0">
        <references count="7">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x v="34"/>
          </reference>
        </references>
      </pivotArea>
    </format>
    <format dxfId="179">
      <pivotArea dataOnly="0" labelOnly="1" outline="0" fieldPosition="0">
        <references count="8">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selected="0">
            <x v="2"/>
          </reference>
          <reference field="11" count="1">
            <x v="1"/>
          </reference>
        </references>
      </pivotArea>
    </format>
    <format dxfId="178">
      <pivotArea dataOnly="0" labelOnly="1" outline="0" fieldPosition="0">
        <references count="8">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selected="0">
            <x v="28"/>
          </reference>
          <reference field="11" count="1">
            <x v="3"/>
          </reference>
        </references>
      </pivotArea>
    </format>
    <format dxfId="177">
      <pivotArea dataOnly="0" labelOnly="1" outline="0" fieldPosition="0">
        <references count="8">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selected="0">
            <x v="7"/>
          </reference>
          <reference field="11" count="1">
            <x v="1"/>
          </reference>
        </references>
      </pivotArea>
    </format>
    <format dxfId="176">
      <pivotArea dataOnly="0" labelOnly="1" outline="0" fieldPosition="0">
        <references count="8">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selected="0">
            <x v="29"/>
          </reference>
          <reference field="11" count="1">
            <x v="3"/>
          </reference>
        </references>
      </pivotArea>
    </format>
    <format dxfId="175">
      <pivotArea dataOnly="0" labelOnly="1" outline="0" fieldPosition="0">
        <references count="8">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selected="0">
            <x v="37"/>
          </reference>
          <reference field="11" count="1">
            <x v="3"/>
          </reference>
        </references>
      </pivotArea>
    </format>
    <format dxfId="174">
      <pivotArea dataOnly="0" labelOnly="1" outline="0" fieldPosition="0">
        <references count="8">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selected="0">
            <x v="12"/>
          </reference>
          <reference field="11" count="1">
            <x v="1"/>
          </reference>
        </references>
      </pivotArea>
    </format>
    <format dxfId="173">
      <pivotArea dataOnly="0" labelOnly="1" outline="0" fieldPosition="0">
        <references count="8">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selected="0">
            <x v="38"/>
          </reference>
          <reference field="11" count="1">
            <x v="3"/>
          </reference>
        </references>
      </pivotArea>
    </format>
    <format dxfId="172">
      <pivotArea dataOnly="0" labelOnly="1" outline="0" fieldPosition="0">
        <references count="8">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selected="0">
            <x v="10"/>
          </reference>
          <reference field="11" count="1">
            <x v="1"/>
          </reference>
        </references>
      </pivotArea>
    </format>
    <format dxfId="171">
      <pivotArea dataOnly="0" labelOnly="1" outline="0" fieldPosition="0">
        <references count="8">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selected="0">
            <x v="29"/>
          </reference>
          <reference field="11" count="1">
            <x v="3"/>
          </reference>
        </references>
      </pivotArea>
    </format>
    <format dxfId="170">
      <pivotArea dataOnly="0" labelOnly="1" outline="0" fieldPosition="0">
        <references count="8">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selected="0">
            <x v="1"/>
          </reference>
          <reference field="11" count="1">
            <x v="1"/>
          </reference>
        </references>
      </pivotArea>
    </format>
    <format dxfId="169">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1">
            <x v="0"/>
          </reference>
        </references>
      </pivotArea>
    </format>
    <format dxfId="168">
      <pivotArea dataOnly="0" labelOnly="1" outline="0" fieldPosition="0">
        <references count="8">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selected="0">
            <x v="25"/>
          </reference>
          <reference field="11" count="1">
            <x v="1"/>
          </reference>
        </references>
      </pivotArea>
    </format>
    <format dxfId="167">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0"/>
          </reference>
        </references>
      </pivotArea>
    </format>
    <format dxfId="166">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selected="0">
            <x v="25"/>
          </reference>
          <reference field="11" count="1">
            <x v="1"/>
          </reference>
        </references>
      </pivotArea>
    </format>
    <format dxfId="165">
      <pivotArea dataOnly="0" labelOnly="1" outline="0" fieldPosition="0">
        <references count="8">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selected="0">
            <x v="43"/>
          </reference>
          <reference field="11" count="1">
            <x v="0"/>
          </reference>
        </references>
      </pivotArea>
    </format>
    <format dxfId="164">
      <pivotArea dataOnly="0" labelOnly="1" outline="0" fieldPosition="0">
        <references count="8">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selected="0">
            <x v="43"/>
          </reference>
          <reference field="11" count="1">
            <x v="0"/>
          </reference>
        </references>
      </pivotArea>
    </format>
    <format dxfId="163">
      <pivotArea dataOnly="0" labelOnly="1" outline="0" fieldPosition="0">
        <references count="8">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selected="0">
            <x v="11"/>
          </reference>
          <reference field="11" count="1">
            <x v="1"/>
          </reference>
        </references>
      </pivotArea>
    </format>
    <format dxfId="162">
      <pivotArea dataOnly="0" labelOnly="1" outline="0" fieldPosition="0">
        <references count="8">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selected="0">
            <x v="39"/>
          </reference>
          <reference field="11" count="1">
            <x v="0"/>
          </reference>
        </references>
      </pivotArea>
    </format>
    <format dxfId="161">
      <pivotArea dataOnly="0" labelOnly="1" outline="0" fieldPosition="0">
        <references count="8">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selected="0">
            <x v="44"/>
          </reference>
          <reference field="11" count="1">
            <x v="0"/>
          </reference>
        </references>
      </pivotArea>
    </format>
    <format dxfId="160">
      <pivotArea dataOnly="0" labelOnly="1" outline="0" fieldPosition="0">
        <references count="8">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selected="0">
            <x v="29"/>
          </reference>
          <reference field="11" count="1">
            <x v="1"/>
          </reference>
        </references>
      </pivotArea>
    </format>
    <format dxfId="159">
      <pivotArea dataOnly="0" labelOnly="1" outline="0" fieldPosition="0">
        <references count="8">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selected="0">
            <x v="22"/>
          </reference>
          <reference field="11" count="1">
            <x v="1"/>
          </reference>
        </references>
      </pivotArea>
    </format>
    <format dxfId="158">
      <pivotArea dataOnly="0" labelOnly="1" outline="0" fieldPosition="0">
        <references count="8">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selected="0">
            <x v="49"/>
          </reference>
          <reference field="11" count="1">
            <x v="0"/>
          </reference>
        </references>
      </pivotArea>
    </format>
    <format dxfId="157">
      <pivotArea dataOnly="0" labelOnly="1" outline="0" fieldPosition="0">
        <references count="8">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selected="0">
            <x v="36"/>
          </reference>
          <reference field="11" count="1">
            <x v="3"/>
          </reference>
        </references>
      </pivotArea>
    </format>
    <format dxfId="156">
      <pivotArea dataOnly="0" labelOnly="1" outline="0" fieldPosition="0">
        <references count="8">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selected="0">
            <x v="20"/>
          </reference>
          <reference field="11" count="1">
            <x v="1"/>
          </reference>
        </references>
      </pivotArea>
    </format>
    <format dxfId="155">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selected="0">
            <x v="36"/>
          </reference>
          <reference field="11" count="1">
            <x v="3"/>
          </reference>
        </references>
      </pivotArea>
    </format>
    <format dxfId="154">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selected="0">
            <x v="51"/>
          </reference>
          <reference field="11" count="1">
            <x v="0"/>
          </reference>
        </references>
      </pivotArea>
    </format>
    <format dxfId="153">
      <pivotArea dataOnly="0" labelOnly="1" outline="0" fieldPosition="0">
        <references count="8">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selected="0">
            <x v="16"/>
          </reference>
          <reference field="11" count="1">
            <x v="1"/>
          </reference>
        </references>
      </pivotArea>
    </format>
    <format dxfId="152">
      <pivotArea dataOnly="0" labelOnly="1" outline="0" fieldPosition="0">
        <references count="8">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selected="0">
            <x v="16"/>
          </reference>
          <reference field="11" count="1">
            <x v="1"/>
          </reference>
        </references>
      </pivotArea>
    </format>
    <format dxfId="151">
      <pivotArea dataOnly="0" labelOnly="1" outline="0" fieldPosition="0">
        <references count="8">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selected="0">
            <x v="45"/>
          </reference>
          <reference field="11" count="1">
            <x v="0"/>
          </reference>
        </references>
      </pivotArea>
    </format>
    <format dxfId="150">
      <pivotArea dataOnly="0" labelOnly="1" outline="0" fieldPosition="0">
        <references count="8">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selected="0">
            <x v="19"/>
          </reference>
          <reference field="11" count="1">
            <x v="1"/>
          </reference>
        </references>
      </pivotArea>
    </format>
    <format dxfId="149">
      <pivotArea dataOnly="0" labelOnly="1" outline="0" fieldPosition="0">
        <references count="8">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148">
      <pivotArea dataOnly="0" labelOnly="1" outline="0" fieldPosition="0">
        <references count="8">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selected="0">
            <x v="27"/>
          </reference>
          <reference field="11" count="1">
            <x v="1"/>
          </reference>
        </references>
      </pivotArea>
    </format>
    <format dxfId="147">
      <pivotArea dataOnly="0" labelOnly="1" outline="0" fieldPosition="0">
        <references count="8">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146">
      <pivotArea dataOnly="0" labelOnly="1" outline="0" fieldPosition="0">
        <references count="8">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selected="0">
            <x v="45"/>
          </reference>
          <reference field="11" count="1">
            <x v="1"/>
          </reference>
        </references>
      </pivotArea>
    </format>
    <format dxfId="145">
      <pivotArea dataOnly="0" labelOnly="1" outline="0" fieldPosition="0">
        <references count="8">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selected="0">
            <x v="40"/>
          </reference>
          <reference field="11" count="1">
            <x v="0"/>
          </reference>
        </references>
      </pivotArea>
    </format>
    <format dxfId="144">
      <pivotArea dataOnly="0" labelOnly="1" outline="0" fieldPosition="0">
        <references count="8">
          <reference field="0" count="1" selected="0">
            <x v="2"/>
          </reference>
          <reference field="1" count="1" selected="0">
            <x v="15"/>
          </reference>
          <reference field="2" count="1" selected="0">
            <x v="61"/>
          </reference>
          <reference field="4" count="1" selected="0">
            <x v="3"/>
          </reference>
          <reference field="5" count="1" selected="0">
            <x v="58"/>
          </reference>
          <reference field="6" count="1" selected="0">
            <x v="7"/>
          </reference>
          <reference field="8" count="1" selected="0">
            <x v="42"/>
          </reference>
          <reference field="11" count="1">
            <x v="1"/>
          </reference>
        </references>
      </pivotArea>
    </format>
    <format dxfId="143">
      <pivotArea dataOnly="0" labelOnly="1" outline="0" fieldPosition="0">
        <references count="8">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selected="0">
            <x v="34"/>
          </reference>
          <reference field="11" count="1">
            <x v="3"/>
          </reference>
        </references>
      </pivotArea>
    </format>
    <format dxfId="142">
      <pivotArea dataOnly="0" labelOnly="1" outline="0" axis="axisValues" fieldPosition="0"/>
    </format>
    <format dxfId="141">
      <pivotArea dataOnly="0" labelOnly="1" outline="0" fieldPosition="0">
        <references count="1">
          <reference field="16" count="0"/>
        </references>
      </pivotArea>
    </format>
    <format dxfId="140">
      <pivotArea dataOnly="0" labelOnly="1" outline="0" fieldPosition="0">
        <references count="1">
          <reference field="16" count="0"/>
        </references>
      </pivotArea>
    </format>
    <format dxfId="139">
      <pivotArea dataOnly="0" labelOnly="1" outline="0" fieldPosition="0">
        <references count="1">
          <reference field="13" count="0"/>
        </references>
      </pivotArea>
    </format>
    <format dxfId="138">
      <pivotArea dataOnly="0" labelOnly="1" outline="0" fieldPosition="0">
        <references count="1">
          <reference field="13" count="0"/>
        </references>
      </pivotArea>
    </format>
    <format dxfId="137">
      <pivotArea dataOnly="0" labelOnly="1" outline="0" fieldPosition="0">
        <references count="1">
          <reference field="14" count="0"/>
        </references>
      </pivotArea>
    </format>
    <format dxfId="136">
      <pivotArea dataOnly="0" labelOnly="1" outline="0" fieldPosition="0">
        <references count="1">
          <reference field="14" count="0"/>
        </references>
      </pivotArea>
    </format>
    <format dxfId="135">
      <pivotArea dataOnly="0" labelOnly="1" outline="0" fieldPosition="0">
        <references count="1">
          <reference field="15" count="0"/>
        </references>
      </pivotArea>
    </format>
    <format dxfId="134">
      <pivotArea dataOnly="0" labelOnly="1" outline="0" fieldPosition="0">
        <references count="1">
          <reference field="15" count="0"/>
        </references>
      </pivotArea>
    </format>
    <format dxfId="133">
      <pivotArea field="0" type="button" dataOnly="0" labelOnly="1" outline="0" axis="axisRow" fieldPosition="0"/>
    </format>
    <format dxfId="132">
      <pivotArea field="1" type="button" dataOnly="0" labelOnly="1" outline="0" axis="axisRow" fieldPosition="1"/>
    </format>
    <format dxfId="131">
      <pivotArea field="2" type="button" dataOnly="0" labelOnly="1" outline="0" axis="axisRow" fieldPosition="2"/>
    </format>
    <format dxfId="130">
      <pivotArea field="4" type="button" dataOnly="0" labelOnly="1" outline="0" axis="axisRow" fieldPosition="3"/>
    </format>
    <format dxfId="129">
      <pivotArea field="5" type="button" dataOnly="0" labelOnly="1" outline="0" axis="axisRow" fieldPosition="4"/>
    </format>
    <format dxfId="128">
      <pivotArea field="6" type="button" dataOnly="0" labelOnly="1" outline="0" axis="axisRow" fieldPosition="5"/>
    </format>
    <format dxfId="127">
      <pivotArea field="8" type="button" dataOnly="0" labelOnly="1" outline="0" axis="axisRow" fieldPosition="7"/>
    </format>
    <format dxfId="126">
      <pivotArea field="11" type="button" dataOnly="0" labelOnly="1" outline="0" axis="axisRow" fieldPosition="8"/>
    </format>
    <format dxfId="125">
      <pivotArea field="16" type="button" dataOnly="0" labelOnly="1" outline="0" axis="axisRow" fieldPosition="9"/>
    </format>
    <format dxfId="124">
      <pivotArea field="13" type="button" dataOnly="0" labelOnly="1" outline="0" axis="axisRow" fieldPosition="10"/>
    </format>
    <format dxfId="123">
      <pivotArea field="14" type="button" dataOnly="0" labelOnly="1" outline="0" axis="axisRow" fieldPosition="11"/>
    </format>
    <format dxfId="122">
      <pivotArea field="15" type="button" dataOnly="0" labelOnly="1" outline="0" axis="axisRow" fieldPosition="12"/>
    </format>
    <format dxfId="121">
      <pivotArea dataOnly="0" labelOnly="1" outline="0" axis="axisValues" fieldPosition="0"/>
    </format>
    <format dxfId="120">
      <pivotArea outline="0" collapsedLevelsAreSubtotals="1" fieldPosition="0"/>
    </format>
    <format dxfId="119">
      <pivotArea dataOnly="0" labelOnly="1" outline="0" axis="axisValues" fieldPosition="0"/>
    </format>
    <format dxfId="118">
      <pivotArea outline="0" collapsedLevelsAreSubtotals="1" fieldPosition="0"/>
    </format>
    <format dxfId="117">
      <pivotArea dataOnly="0" labelOnly="1" outline="0" axis="axisValues" fieldPosition="0"/>
    </format>
    <format dxfId="116">
      <pivotArea dataOnly="0" labelOnly="1" outline="0" fieldPosition="0">
        <references count="1">
          <reference field="19" count="0"/>
        </references>
      </pivotArea>
    </format>
    <format dxfId="115">
      <pivotArea field="21" type="button" dataOnly="0" labelOnly="1" outline="0" axis="axisRow" fieldPosition="13"/>
    </format>
    <format dxfId="114">
      <pivotArea dataOnly="0" labelOnly="1" outline="0" fieldPosition="0">
        <references count="9">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3"/>
          </reference>
          <reference field="19" count="1" selected="0">
            <x v="7"/>
          </reference>
        </references>
      </pivotArea>
    </format>
    <format dxfId="113">
      <pivotArea dataOnly="0" labelOnly="1" outline="0" offset="IV256" fieldPosition="0">
        <references count="4">
          <reference field="0" count="1" selected="0">
            <x v="2"/>
          </reference>
          <reference field="1" count="1" selected="0">
            <x v="15"/>
          </reference>
          <reference field="2" count="1" selected="0">
            <x v="58"/>
          </reference>
          <reference field="4" count="1">
            <x v="2"/>
          </reference>
        </references>
      </pivotArea>
    </format>
    <format dxfId="112">
      <pivotArea dataOnly="0" labelOnly="1" outline="0" fieldPosition="0">
        <references count="9">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selected="0">
            <x v="42"/>
          </reference>
          <reference field="11" count="1">
            <x v="3"/>
          </reference>
          <reference field="19" count="1" selected="0">
            <x v="2"/>
          </reference>
        </references>
      </pivotArea>
    </format>
    <format dxfId="111">
      <pivotArea dataOnly="0" labelOnly="1" outline="0" fieldPosition="0">
        <references count="1">
          <reference field="0" count="1">
            <x v="2"/>
          </reference>
        </references>
      </pivotArea>
    </format>
    <format dxfId="110">
      <pivotArea dataOnly="0" labelOnly="1" outline="0" fieldPosition="0">
        <references count="2">
          <reference field="0" count="1" selected="0">
            <x v="2"/>
          </reference>
          <reference field="1" count="2">
            <x v="0"/>
            <x v="15"/>
          </reference>
        </references>
      </pivotArea>
    </format>
    <format dxfId="109">
      <pivotArea dataOnly="0" labelOnly="1" outline="0" fieldPosition="0">
        <references count="3">
          <reference field="0" count="1" selected="0">
            <x v="2"/>
          </reference>
          <reference field="1" count="1" selected="0">
            <x v="0"/>
          </reference>
          <reference field="2" count="2">
            <x v="69"/>
            <x v="80"/>
          </reference>
        </references>
      </pivotArea>
    </format>
    <format dxfId="108">
      <pivotArea dataOnly="0" labelOnly="1" outline="0" fieldPosition="0">
        <references count="3">
          <reference field="0" count="1" selected="0">
            <x v="2"/>
          </reference>
          <reference field="1" count="1" selected="0">
            <x v="15"/>
          </reference>
          <reference field="2" count="1">
            <x v="61"/>
          </reference>
        </references>
      </pivotArea>
    </format>
    <format dxfId="107">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106">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105">
      <pivotArea dataOnly="0" labelOnly="1" outline="0" fieldPosition="0">
        <references count="4">
          <reference field="0" count="1" selected="0">
            <x v="2"/>
          </reference>
          <reference field="1" count="1" selected="0">
            <x v="15"/>
          </reference>
          <reference field="2" count="1" selected="0">
            <x v="61"/>
          </reference>
          <reference field="4" count="1">
            <x v="2"/>
          </reference>
        </references>
      </pivotArea>
    </format>
    <format dxfId="104">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103">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1">
            <x v="47"/>
          </reference>
        </references>
      </pivotArea>
    </format>
    <format dxfId="102">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101">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100">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99">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19" count="1">
            <x v="8"/>
          </reference>
        </references>
      </pivotArea>
    </format>
    <format dxfId="98">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19" count="1">
            <x v="7"/>
          </reference>
        </references>
      </pivotArea>
    </format>
    <format dxfId="97">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19" count="1">
            <x v="2"/>
          </reference>
        </references>
      </pivotArea>
    </format>
    <format dxfId="96">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 field="19" count="1" selected="0">
            <x v="8"/>
          </reference>
        </references>
      </pivotArea>
    </format>
    <format dxfId="95">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 field="19" count="1" selected="0">
            <x v="7"/>
          </reference>
        </references>
      </pivotArea>
    </format>
    <format dxfId="94">
      <pivotArea dataOnly="0" labelOnly="1" outline="0" fieldPosition="0">
        <references count="8">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 field="19" count="1" selected="0">
            <x v="2"/>
          </reference>
        </references>
      </pivotArea>
    </format>
    <format dxfId="93">
      <pivotArea dataOnly="0" labelOnly="1" outline="0" fieldPosition="0">
        <references count="9">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reference field="19" count="1" selected="0">
            <x v="8"/>
          </reference>
        </references>
      </pivotArea>
    </format>
    <format dxfId="92">
      <pivotArea dataOnly="0" labelOnly="1" outline="0" fieldPosition="0">
        <references count="10">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6" count="1">
            <x v="0"/>
          </reference>
          <reference field="19" count="1" selected="0">
            <x v="8"/>
          </reference>
        </references>
      </pivotArea>
    </format>
    <format dxfId="91">
      <pivotArea dataOnly="0" labelOnly="1" outline="0" fieldPosition="0">
        <references count="11">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reference field="16" count="1" selected="0">
            <x v="0"/>
          </reference>
          <reference field="19" count="1" selected="0">
            <x v="8"/>
          </reference>
        </references>
      </pivotArea>
    </format>
    <format dxfId="90">
      <pivotArea dataOnly="0" labelOnly="1" outline="0" fieldPosition="0">
        <references count="12">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reference field="16" count="1" selected="0">
            <x v="0"/>
          </reference>
          <reference field="19" count="1" selected="0">
            <x v="8"/>
          </reference>
        </references>
      </pivotArea>
    </format>
    <format dxfId="89">
      <pivotArea dataOnly="0" labelOnly="1" outline="0" fieldPosition="0">
        <references count="13">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selected="0"/>
          <reference field="15" count="1">
            <x v="0"/>
          </reference>
          <reference field="16" count="1" selected="0">
            <x v="0"/>
          </reference>
          <reference field="19" count="1" selected="0">
            <x v="8"/>
          </reference>
        </references>
      </pivotArea>
    </format>
    <format dxfId="88">
      <pivotArea dataOnly="0" labelOnly="1" outline="0" fieldPosition="0">
        <references count="14">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selected="0"/>
          <reference field="15" count="1" selected="0">
            <x v="0"/>
          </reference>
          <reference field="16" count="1" selected="0">
            <x v="0"/>
          </reference>
          <reference field="19" count="1" selected="0">
            <x v="8"/>
          </reference>
          <reference field="21" count="1">
            <x v="0"/>
          </reference>
        </references>
      </pivotArea>
    </format>
    <format dxfId="87">
      <pivotArea dataOnly="0" labelOnly="1" outline="0" fieldPosition="0">
        <references count="14">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0" selected="0"/>
          <reference field="13" count="0" selected="0"/>
          <reference field="14" count="0" selected="0"/>
          <reference field="15" count="1" selected="0">
            <x v="0"/>
          </reference>
          <reference field="16" count="1" selected="0">
            <x v="0"/>
          </reference>
          <reference field="19" count="1" selected="0">
            <x v="7"/>
          </reference>
          <reference field="21" count="1">
            <x v="0"/>
          </reference>
        </references>
      </pivotArea>
    </format>
    <format dxfId="86">
      <pivotArea dataOnly="0" labelOnly="1" outline="0" fieldPosition="0">
        <references count="14">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selected="0">
            <x v="42"/>
          </reference>
          <reference field="11" count="0" selected="0"/>
          <reference field="13" count="0" selected="0"/>
          <reference field="14" count="0" selected="0"/>
          <reference field="15" count="1" selected="0">
            <x v="0"/>
          </reference>
          <reference field="16" count="1" selected="0">
            <x v="0"/>
          </reference>
          <reference field="19" count="1" selected="0">
            <x v="2"/>
          </reference>
          <reference field="21" count="1">
            <x v="0"/>
          </reference>
        </references>
      </pivotArea>
    </format>
    <format dxfId="85">
      <pivotArea dataOnly="0" labelOnly="1" outline="0" offset="IV2:IV256" fieldPosition="0">
        <references count="9">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reference field="19" count="1" selected="0">
            <x v="8"/>
          </reference>
        </references>
      </pivotArea>
    </format>
    <format dxfId="84">
      <pivotArea dataOnly="0" labelOnly="1" outline="0" fieldPosition="0">
        <references count="1">
          <reference field="21" count="0"/>
        </references>
      </pivotArea>
    </format>
    <format dxfId="83">
      <pivotArea dataOnly="0" labelOnly="1" outline="0" fieldPosition="0">
        <references count="1">
          <reference field="21"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057999A-A4A9-450E-932D-F2A8DD595C1E}" name="TablaDinámica3" cacheId="0" dataOnRows="1" applyNumberFormats="0" applyBorderFormats="0" applyFontFormats="0" applyPatternFormats="0" applyAlignmentFormats="0" applyWidthHeightFormats="1" dataCaption="Valores" updatedVersion="8" minRefreshableVersion="3" useAutoFormatting="1" itemPrintTitles="1" createdVersion="8" indent="0" compact="0" compactData="0" multipleFieldFilters="0">
  <location ref="A33:B46" firstHeaderRow="1" firstDataRow="1" firstDataCol="1"/>
  <pivotFields count="28">
    <pivotField compact="0" outline="0" showAll="0" defaultSubtotal="0">
      <items count="4">
        <item x="0"/>
        <item x="1"/>
        <item x="2"/>
        <item x="3"/>
      </items>
    </pivotField>
    <pivotField compact="0" outline="0" showAll="0" defaultSubtotal="0">
      <items count="18">
        <item x="6"/>
        <item x="13"/>
        <item x="16"/>
        <item x="11"/>
        <item x="9"/>
        <item x="5"/>
        <item x="3"/>
        <item x="12"/>
        <item x="2"/>
        <item x="10"/>
        <item x="1"/>
        <item x="4"/>
        <item x="15"/>
        <item x="17"/>
        <item x="7"/>
        <item x="0"/>
        <item x="14"/>
        <item x="8"/>
      </items>
    </pivotField>
    <pivotField compact="0" outline="0" showAll="0" defaultSubtotal="0">
      <items count="24">
        <item x="4"/>
        <item x="1"/>
        <item x="3"/>
        <item x="7"/>
        <item x="8"/>
        <item x="9"/>
        <item x="5"/>
        <item x="23"/>
        <item x="22"/>
        <item x="10"/>
        <item x="18"/>
        <item x="13"/>
        <item x="20"/>
        <item x="17"/>
        <item x="6"/>
        <item x="11"/>
        <item x="12"/>
        <item x="0"/>
        <item x="16"/>
        <item x="15"/>
        <item x="14"/>
        <item x="2"/>
        <item x="21"/>
        <item x="19"/>
      </items>
    </pivotField>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s>
  <rowFields count="1">
    <field x="-2"/>
  </rowFields>
  <rowItems count="13">
    <i>
      <x/>
    </i>
    <i i="1">
      <x v="1"/>
    </i>
    <i i="2">
      <x v="2"/>
    </i>
    <i i="3">
      <x v="3"/>
    </i>
    <i i="4">
      <x v="4"/>
    </i>
    <i i="5">
      <x v="5"/>
    </i>
    <i i="6">
      <x v="6"/>
    </i>
    <i i="7">
      <x v="7"/>
    </i>
    <i i="8">
      <x v="8"/>
    </i>
    <i i="9">
      <x v="9"/>
    </i>
    <i i="10">
      <x v="10"/>
    </i>
    <i i="11">
      <x v="11"/>
    </i>
    <i i="12">
      <x v="12"/>
    </i>
  </rowItems>
  <colItems count="1">
    <i/>
  </colItems>
  <dataFields count="13">
    <dataField name="Suma de No. Hallazgos" fld="3" baseField="0" baseItem="0"/>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 name="Suma de Alto " fld="9" baseField="0" baseItem="0"/>
    <dataField name="Suma de Medio" fld="10" baseField="0" baseItem="0"/>
    <dataField name="Suma de Bajo" fld="11" baseField="0" baseItem="0"/>
    <dataField name="Suma de Alerta 5 días" fld="15" baseField="0" baseItem="0"/>
    <dataField name="Suma de Alerta 10 días" fld="12" baseField="0" baseItem="0"/>
    <dataField name="Suma de Alerta 20 días" fld="13" baseField="0" baseItem="0"/>
    <dataField name="Suma de Alerta 30 días" fld="14" baseField="0" baseItem="0"/>
  </dataFields>
  <formats count="1">
    <format dxfId="69">
      <pivotArea outline="0" fieldPosition="0">
        <references count="1">
          <reference field="4294967294" count="2" selected="0">
            <x v="9"/>
            <x v="1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B7293EA-0446-4B85-813D-D7F46792C90E}" name="TablaDinámica1" cacheId="1" dataOnRows="1"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3:B15" firstHeaderRow="1" firstDataRow="1" firstDataCol="1"/>
  <pivotFields count="15">
    <pivotField showAll="0"/>
    <pivotField showAll="0"/>
    <pivotField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s>
  <rowFields count="1">
    <field x="-2"/>
  </rowFields>
  <rowItems count="12">
    <i>
      <x/>
    </i>
    <i i="1">
      <x v="1"/>
    </i>
    <i i="2">
      <x v="2"/>
    </i>
    <i i="3">
      <x v="3"/>
    </i>
    <i i="4">
      <x v="4"/>
    </i>
    <i i="5">
      <x v="5"/>
    </i>
    <i i="6">
      <x v="6"/>
    </i>
    <i i="7">
      <x v="7"/>
    </i>
    <i i="8">
      <x v="8"/>
    </i>
    <i i="9">
      <x v="9"/>
    </i>
    <i i="10">
      <x v="10"/>
    </i>
    <i i="11">
      <x v="11"/>
    </i>
  </rowItems>
  <colItems count="1">
    <i/>
  </colItems>
  <dataFields count="12">
    <dataField name="Suma de No. Hallazgos" fld="3" baseField="0" baseItem="0"/>
    <dataField name="Suma de No. Planes de Acción" fld="4" baseField="0" baseItem="0"/>
    <dataField name="Suma de Abiertos" fld="5" baseField="0" baseItem="0"/>
    <dataField name="Suma de Finalizados" fld="6" baseField="0" baseItem="0"/>
    <dataField name="Suma de Vencidos" fld="7" baseField="0" baseItem="0"/>
    <dataField name="Suma de Sin plan de acción" fld="8" baseField="0" baseItem="0"/>
    <dataField name="Suma de Alto " fld="9" baseField="0" baseItem="0"/>
    <dataField name="Suma de Medio" fld="10" baseField="0" baseItem="0"/>
    <dataField name="Suma de Bajo" fld="11" baseField="0" baseItem="0"/>
    <dataField name="Suma de Alerta 10 días" fld="12" baseField="0" baseItem="0"/>
    <dataField name="Suma de Alerta 20 días" fld="13" baseField="0" baseItem="0"/>
    <dataField name="Suma de Alerta 30 días" fld="1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1133BD6-1C78-4E8A-BB0F-8BB20B1B7C22}" name="TablaDinámica8" cacheId="0" dataOnRows="1" applyNumberFormats="0" applyBorderFormats="0" applyFontFormats="0" applyPatternFormats="0" applyAlignmentFormats="0" applyWidthHeightFormats="1" dataCaption="Valores" updatedVersion="8" minRefreshableVersion="3" useAutoFormatting="1" itemPrintTitles="1" createdVersion="8" indent="0" compact="0" compactData="0" multipleFieldFilters="0" chartFormat="2">
  <location ref="A100:B104" firstHeaderRow="1" firstDataRow="1" firstDataCol="1"/>
  <pivotFields count="28">
    <pivotField compact="0" outline="0" showAll="0" defaultSubtotal="0">
      <items count="4">
        <item x="0"/>
        <item x="1"/>
        <item x="2"/>
        <item x="3"/>
      </items>
    </pivotField>
    <pivotField compact="0" outline="0" showAll="0" defaultSubtotal="0">
      <items count="18">
        <item x="6"/>
        <item x="13"/>
        <item x="16"/>
        <item x="11"/>
        <item x="9"/>
        <item x="5"/>
        <item x="3"/>
        <item x="12"/>
        <item x="2"/>
        <item x="10"/>
        <item x="1"/>
        <item x="4"/>
        <item x="15"/>
        <item x="17"/>
        <item x="7"/>
        <item x="0"/>
        <item x="14"/>
        <item x="8"/>
      </items>
    </pivotField>
    <pivotField compact="0" outline="0" showAll="0" defaultSubtotal="0">
      <items count="24">
        <item x="4"/>
        <item x="1"/>
        <item x="3"/>
        <item x="7"/>
        <item x="8"/>
        <item x="9"/>
        <item x="5"/>
        <item x="23"/>
        <item x="22"/>
        <item x="10"/>
        <item x="18"/>
        <item x="13"/>
        <item x="20"/>
        <item x="17"/>
        <item x="6"/>
        <item x="11"/>
        <item x="12"/>
        <item x="0"/>
        <item x="16"/>
        <item x="15"/>
        <item x="14"/>
        <item x="2"/>
        <item x="21"/>
        <item x="19"/>
      </items>
    </pivotField>
    <pivotField compact="0" outline="0" showAll="0" defaultSubtotal="0"/>
    <pivotField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s>
  <rowFields count="1">
    <field x="-2"/>
  </rowFields>
  <rowItems count="4">
    <i>
      <x/>
    </i>
    <i i="1">
      <x v="1"/>
    </i>
    <i i="2">
      <x v="2"/>
    </i>
    <i i="3">
      <x v="3"/>
    </i>
  </rowItems>
  <colItems count="1">
    <i/>
  </colItems>
  <dataFields count="4">
    <dataField name="Suma de Abiertos" fld="5" baseField="0" baseItem="0"/>
    <dataField name="Suma de Vencidos" fld="7" baseField="0" baseItem="0"/>
    <dataField name="Suma de Finalizados" fld="6" baseField="0" baseItem="0"/>
    <dataField name="Suma de Sin plan de acción"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D212796-EDD4-4D7B-AF31-ABCC9420CA3F}" name="TablaDinámica7"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72:F97" firstHeaderRow="0" firstDataRow="1" firstDataCol="1"/>
  <pivotFields count="28">
    <pivotField showAll="0">
      <items count="5">
        <item x="0"/>
        <item x="1"/>
        <item x="2"/>
        <item x="3"/>
        <item t="default"/>
      </items>
    </pivotField>
    <pivotField showAll="0">
      <items count="19">
        <item x="6"/>
        <item x="13"/>
        <item x="16"/>
        <item x="11"/>
        <item x="9"/>
        <item x="5"/>
        <item x="3"/>
        <item x="12"/>
        <item x="2"/>
        <item x="10"/>
        <item x="1"/>
        <item x="4"/>
        <item x="15"/>
        <item x="17"/>
        <item x="7"/>
        <item x="0"/>
        <item x="14"/>
        <item x="8"/>
        <item t="default"/>
      </items>
    </pivotField>
    <pivotField axis="axisRow" showAll="0">
      <items count="25">
        <item x="4"/>
        <item x="1"/>
        <item x="3"/>
        <item x="7"/>
        <item x="8"/>
        <item x="9"/>
        <item x="5"/>
        <item x="10"/>
        <item x="18"/>
        <item x="13"/>
        <item x="20"/>
        <item x="17"/>
        <item x="6"/>
        <item x="11"/>
        <item x="12"/>
        <item x="0"/>
        <item x="16"/>
        <item x="15"/>
        <item x="2"/>
        <item x="21"/>
        <item x="19"/>
        <item x="14"/>
        <item x="22"/>
        <item x="23"/>
        <item t="default"/>
      </items>
    </pivotField>
    <pivotField showAll="0"/>
    <pivotField dataField="1"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Fields count="1">
    <field x="-2"/>
  </colFields>
  <colItems count="5">
    <i>
      <x/>
    </i>
    <i i="1">
      <x v="1"/>
    </i>
    <i i="2">
      <x v="2"/>
    </i>
    <i i="3">
      <x v="3"/>
    </i>
    <i i="4">
      <x v="4"/>
    </i>
  </colItems>
  <dataFields count="5">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s>
  <formats count="13">
    <format dxfId="82">
      <pivotArea dataOnly="0" fieldPosition="0">
        <references count="1">
          <reference field="2" count="2">
            <x v="0"/>
            <x v="1"/>
          </reference>
        </references>
      </pivotArea>
    </format>
    <format dxfId="81">
      <pivotArea dataOnly="0" labelOnly="1" fieldPosition="0">
        <references count="1">
          <reference field="2" count="2">
            <x v="2"/>
            <x v="3"/>
          </reference>
        </references>
      </pivotArea>
    </format>
    <format dxfId="80">
      <pivotArea dataOnly="0" labelOnly="1" fieldPosition="0">
        <references count="1">
          <reference field="2" count="2">
            <x v="6"/>
            <x v="7"/>
          </reference>
        </references>
      </pivotArea>
    </format>
    <format dxfId="79">
      <pivotArea dataOnly="0" labelOnly="1" fieldPosition="0">
        <references count="1">
          <reference field="2" count="1">
            <x v="9"/>
          </reference>
        </references>
      </pivotArea>
    </format>
    <format dxfId="78">
      <pivotArea dataOnly="0" labelOnly="1" fieldPosition="0">
        <references count="1">
          <reference field="2" count="2">
            <x v="11"/>
            <x v="12"/>
          </reference>
        </references>
      </pivotArea>
    </format>
    <format dxfId="77">
      <pivotArea dataOnly="0" labelOnly="1" fieldPosition="0">
        <references count="1">
          <reference field="2" count="1">
            <x v="18"/>
          </reference>
        </references>
      </pivotArea>
    </format>
    <format dxfId="76">
      <pivotArea dataOnly="0" labelOnly="1" fieldPosition="0">
        <references count="1">
          <reference field="2" count="1">
            <x v="14"/>
          </reference>
        </references>
      </pivotArea>
    </format>
    <format dxfId="75">
      <pivotArea dataOnly="0" labelOnly="1" fieldPosition="0">
        <references count="1">
          <reference field="2" count="1">
            <x v="15"/>
          </reference>
        </references>
      </pivotArea>
    </format>
    <format dxfId="74">
      <pivotArea dataOnly="0" labelOnly="1" outline="0" fieldPosition="0">
        <references count="1">
          <reference field="4294967294" count="3">
            <x v="1"/>
            <x v="2"/>
            <x v="3"/>
          </reference>
        </references>
      </pivotArea>
    </format>
    <format dxfId="73">
      <pivotArea outline="0" collapsedLevelsAreSubtotals="1" fieldPosition="0">
        <references count="1">
          <reference field="4294967294" count="3" selected="0">
            <x v="1"/>
            <x v="2"/>
            <x v="3"/>
          </reference>
        </references>
      </pivotArea>
    </format>
    <format dxfId="72">
      <pivotArea dataOnly="0" labelOnly="1" fieldPosition="0">
        <references count="1">
          <reference field="2" count="1">
            <x v="21"/>
          </reference>
        </references>
      </pivotArea>
    </format>
    <format dxfId="71">
      <pivotArea dataOnly="0" labelOnly="1" fieldPosition="0">
        <references count="1">
          <reference field="2" count="1">
            <x v="21"/>
          </reference>
        </references>
      </pivotArea>
    </format>
    <format dxfId="70">
      <pivotArea dataOnly="0" labelOnly="1" fieldPosition="0">
        <references count="1">
          <reference field="2" count="1">
            <x v="1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52A7579-E546-4425-BBF4-93D419FA8A4E}" name="TablaDinámica6"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50:G69" firstHeaderRow="0" firstDataRow="1" firstDataCol="1"/>
  <pivotFields count="28">
    <pivotField showAll="0">
      <items count="5">
        <item x="0"/>
        <item x="1"/>
        <item x="2"/>
        <item x="3"/>
        <item t="default"/>
      </items>
    </pivotField>
    <pivotField axis="axisRow" showAll="0">
      <items count="19">
        <item x="6"/>
        <item x="13"/>
        <item x="11"/>
        <item x="9"/>
        <item x="5"/>
        <item x="3"/>
        <item x="12"/>
        <item x="2"/>
        <item x="10"/>
        <item x="1"/>
        <item x="4"/>
        <item x="15"/>
        <item x="7"/>
        <item x="0"/>
        <item x="14"/>
        <item x="8"/>
        <item x="16"/>
        <item x="17"/>
        <item t="default"/>
      </items>
    </pivotField>
    <pivotField showAll="0">
      <items count="25">
        <item x="4"/>
        <item x="1"/>
        <item x="3"/>
        <item x="7"/>
        <item x="8"/>
        <item x="9"/>
        <item x="5"/>
        <item x="23"/>
        <item x="22"/>
        <item x="10"/>
        <item x="18"/>
        <item x="13"/>
        <item x="20"/>
        <item x="17"/>
        <item x="6"/>
        <item x="11"/>
        <item x="12"/>
        <item x="0"/>
        <item x="16"/>
        <item x="15"/>
        <item x="14"/>
        <item x="2"/>
        <item x="21"/>
        <item x="19"/>
        <item t="default"/>
      </items>
    </pivotField>
    <pivotField dataField="1" showAll="0"/>
    <pivotField dataField="1"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
  </rowFields>
  <rowItems count="19">
    <i>
      <x/>
    </i>
    <i>
      <x v="1"/>
    </i>
    <i>
      <x v="2"/>
    </i>
    <i>
      <x v="3"/>
    </i>
    <i>
      <x v="4"/>
    </i>
    <i>
      <x v="5"/>
    </i>
    <i>
      <x v="6"/>
    </i>
    <i>
      <x v="7"/>
    </i>
    <i>
      <x v="8"/>
    </i>
    <i>
      <x v="9"/>
    </i>
    <i>
      <x v="10"/>
    </i>
    <i>
      <x v="11"/>
    </i>
    <i>
      <x v="12"/>
    </i>
    <i>
      <x v="13"/>
    </i>
    <i>
      <x v="14"/>
    </i>
    <i>
      <x v="15"/>
    </i>
    <i>
      <x v="16"/>
    </i>
    <i>
      <x v="17"/>
    </i>
    <i t="grand">
      <x/>
    </i>
  </rowItems>
  <colFields count="1">
    <field x="-2"/>
  </colFields>
  <colItems count="6">
    <i>
      <x/>
    </i>
    <i i="1">
      <x v="1"/>
    </i>
    <i i="2">
      <x v="2"/>
    </i>
    <i i="3">
      <x v="3"/>
    </i>
    <i i="4">
      <x v="4"/>
    </i>
    <i i="5">
      <x v="5"/>
    </i>
  </colItems>
  <dataFields count="6">
    <dataField name="Suma de No. Hallazgos" fld="3" baseField="0" baseItem="0"/>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1" refreshOnLoad="1" connectionId="3" xr16:uid="{45A6A397-7EA5-41C5-8A41-E08FCF947A7A}" autoFormatId="16" applyNumberFormats="0" applyBorderFormats="0" applyFontFormats="0" applyPatternFormats="0" applyAlignmentFormats="0" applyWidthHeightFormats="0">
  <queryTableRefresh nextId="22">
    <queryTableFields count="21">
      <queryTableField id="1" name=" Plan Auditoría" tableColumnId="1"/>
      <queryTableField id="2" name="Auditoría" tableColumnId="2"/>
      <queryTableField id="3" name="Titulo del Hallazgo" tableColumnId="3"/>
      <queryTableField id="4" name="Transcribir el del Hallazgo o Situación Evidenciada" tableColumnId="4"/>
      <queryTableField id="5" name="Nivel del Riesgo" tableColumnId="5"/>
      <queryTableField id="6" name="Plan de Acción " tableColumnId="6"/>
      <queryTableField id="7" name="Responsable" tableColumnId="7"/>
      <queryTableField id="8" name="Inicio_x000a_DD/MM/AA" tableColumnId="8"/>
      <queryTableField id="9" name="Cierre_x000a_DD/MM/AA" tableColumnId="9"/>
      <queryTableField id="10" name="Enlace para cargar evidencias" tableColumnId="10"/>
      <queryTableField id="11" name="Observación Auditoría" tableColumnId="11"/>
      <queryTableField id="12" name="Estado" tableColumnId="12"/>
      <queryTableField id="13" name="Días de vencimiento" tableColumnId="13"/>
      <queryTableField id="14" name="Alerta 10 días" tableColumnId="14"/>
      <queryTableField id="15" name="Alerta 20 días" tableColumnId="15"/>
      <queryTableField id="16" name="Alerta 30 días" tableColumnId="16"/>
      <queryTableField id="17" name="Alerta 5 días" tableColumnId="17"/>
      <queryTableField id="18" name="Correo Responsable " tableColumnId="18"/>
      <queryTableField id="19" name="Fecha de cierre Auditoría" tableColumnId="19"/>
      <queryTableField id="20" name="Auditor Responsable" tableColumnId="20"/>
      <queryTableField id="21" name="ID" tableColumnId="2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tosExternos_1" refreshOnLoad="1" connectionId="2" xr16:uid="{89A9B231-F57F-460C-9216-80F8219D94C3}" autoFormatId="16" applyNumberFormats="0" applyBorderFormats="0" applyFontFormats="0" applyPatternFormats="0" applyAlignmentFormats="0" applyWidthHeightFormats="0">
  <queryTableRefresh nextId="22">
    <queryTableFields count="21">
      <queryTableField id="1" name=" Plan Auditoría" tableColumnId="1"/>
      <queryTableField id="2" name="Auditoría" tableColumnId="2"/>
      <queryTableField id="3" name="Titulo del Hallazgo" tableColumnId="3"/>
      <queryTableField id="4" name="Transcribir el del Hallazgo o Situación Evidenciada" tableColumnId="4"/>
      <queryTableField id="5" name="Nivel del Riesgo" tableColumnId="5"/>
      <queryTableField id="6" name="Plan de Acción " tableColumnId="6"/>
      <queryTableField id="7" name="Responsable" tableColumnId="7"/>
      <queryTableField id="8" name="Inicio_x000a_DD/MM/AA" tableColumnId="8"/>
      <queryTableField id="9" name="Cierre_x000a_DD/MM/AA" tableColumnId="9"/>
      <queryTableField id="10" name="Enlace para cargar evidencias" tableColumnId="10"/>
      <queryTableField id="11" name="Observación Auditoría" tableColumnId="11"/>
      <queryTableField id="12" name="Estado" tableColumnId="12"/>
      <queryTableField id="13" name="Días de vencimiento" tableColumnId="13"/>
      <queryTableField id="14" name="Alerta 10 días" tableColumnId="14"/>
      <queryTableField id="15" name="Alerta 20 días" tableColumnId="15"/>
      <queryTableField id="16" name="Alerta 30 días" tableColumnId="16"/>
      <queryTableField id="17" name="Alerta 5 días" tableColumnId="17"/>
      <queryTableField id="18" name="Correo Responsable " tableColumnId="18"/>
      <queryTableField id="19" name="Fecha de cierre Auditoría" tableColumnId="19"/>
      <queryTableField id="20" name="Auditor Responsable" tableColumnId="20"/>
      <queryTableField id="21" name="ID" tableColumnId="21"/>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Plan_Auditoría" xr10:uid="{731808B4-8D00-4647-BD24-0852123B09B2}" sourceName="Plan Auditoría">
  <pivotTables>
    <pivotTable tabId="3" name="TablaDinámica3"/>
    <pivotTable tabId="3" name="TablaDinámica6"/>
    <pivotTable tabId="3" name="TablaDinámica7"/>
    <pivotTable tabId="3" name="TablaDinámica8"/>
  </pivotTables>
  <data>
    <tabular pivotCacheId="241844392">
      <items count="4">
        <i x="0" s="1"/>
        <i x="1" s="1"/>
        <i x="2"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Auditoría" xr10:uid="{E17E3D17-B31A-4200-8447-B4E345EF5D80}" sourceName="Auditoría">
  <pivotTables>
    <pivotTable tabId="3" name="TablaDinámica3"/>
    <pivotTable tabId="3" name="TablaDinámica8"/>
    <pivotTable tabId="3" name="TablaDinámica6"/>
    <pivotTable tabId="3" name="TablaDinámica7"/>
  </pivotTables>
  <data>
    <tabular pivotCacheId="241844392">
      <items count="18">
        <i x="6" s="1"/>
        <i x="13" s="1"/>
        <i x="16" s="1"/>
        <i x="11" s="1"/>
        <i x="9" s="1"/>
        <i x="5" s="1"/>
        <i x="3" s="1"/>
        <i x="12" s="1"/>
        <i x="2" s="1"/>
        <i x="10" s="1"/>
        <i x="1" s="1"/>
        <i x="4" s="1"/>
        <i x="15" s="1"/>
        <i x="17" s="1"/>
        <i x="7" s="1"/>
        <i x="0" s="1"/>
        <i x="14" s="1"/>
        <i x="8"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Responsable" xr10:uid="{D18387C5-7300-48E5-A6D2-9882E52433D1}" sourceName="Responsable">
  <pivotTables>
    <pivotTable tabId="3" name="TablaDinámica3"/>
    <pivotTable tabId="3" name="TablaDinámica8"/>
    <pivotTable tabId="3" name="TablaDinámica6"/>
    <pivotTable tabId="3" name="TablaDinámica7"/>
  </pivotTables>
  <data>
    <tabular pivotCacheId="241844392">
      <items count="24">
        <i x="4" s="1"/>
        <i x="1" s="1"/>
        <i x="3" s="1"/>
        <i x="7" s="1"/>
        <i x="8" s="1"/>
        <i x="9" s="1"/>
        <i x="5" s="1"/>
        <i x="23" s="1"/>
        <i x="22" s="1"/>
        <i x="10" s="1"/>
        <i x="18" s="1"/>
        <i x="13" s="1"/>
        <i x="20" s="1"/>
        <i x="17" s="1"/>
        <i x="6" s="1"/>
        <i x="11" s="1"/>
        <i x="12" s="1"/>
        <i x="0" s="1"/>
        <i x="16" s="1"/>
        <i x="15" s="1"/>
        <i x="14" s="1"/>
        <i x="2" s="1"/>
        <i x="21" s="1"/>
        <i x="19"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Meses__Fecha_de_cierre_Auditoría" xr10:uid="{DC29091A-8295-48E8-9496-B2C5895934FA}" sourceName="Meses (Fecha de cierre Auditoría)">
  <pivotTables>
    <pivotTable tabId="5" name="TablaPrincipalDetalle"/>
  </pivotTables>
  <data>
    <tabular pivotCacheId="1579981205">
      <items count="14">
        <i x="1" s="1"/>
        <i x="2" s="1"/>
        <i x="4" s="1"/>
        <i x="6" s="1"/>
        <i x="0" s="1"/>
        <i x="3" s="1" nd="1"/>
        <i x="5" s="1" nd="1"/>
        <i x="7" s="1" nd="1"/>
        <i x="8" s="1" nd="1"/>
        <i x="9" s="1" nd="1"/>
        <i x="10" s="1" nd="1"/>
        <i x="11" s="1" nd="1"/>
        <i x="12" s="1" nd="1"/>
        <i x="1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lan Auditoría" xr10:uid="{04CABFD0-2E8C-4288-B758-8A1EEDD599BB}" cache="SegmentaciónDeDatos_Plan_Auditoría" caption="Plan Auditoría" startItem="1" showCaption="0" style="SlicerStyleDark1 2" rowHeight="247650"/>
  <slicer name="Segmentador_Plan_Auditoría" xr10:uid="{37AF4304-726E-43FA-B83F-2096D27A45EB}" cache="SegmentaciónDeDatos_Auditoría" caption="Auditoría" showCaption="0" style="SlicerStyleDark1 2" rowHeight="247650"/>
  <slicer name="Responsable" xr10:uid="{F41818ED-1B2D-4C8A-A068-05F71623381F}" cache="SegmentaciónDeDatos_Responsable" caption="Responsable" startItem="1" showCaption="0" style="SlicerStyleDark1 2"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gMes" xr10:uid="{942F9143-11DD-467A-885A-421E6C69D891}" cache="SegmentaciónDeDatos_Meses__Fecha_de_cierre_Auditoría" caption="Meses (Fecha de cierre Auditoría)" rowHeight="24765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B6572A0-7803-4BA7-AA0D-2C6EFC083193}" name="TablaResumen" displayName="TablaResumen" ref="A1:AB51" totalsRowShown="0" headerRowDxfId="68" dataDxfId="67" tableBorderDxfId="66" headerRowCellStyle="Normal 2">
  <tableColumns count="28">
    <tableColumn id="1" xr3:uid="{1D84B151-E94E-4C6D-BBF3-F2A3D4530056}" name="Plan Auditoría" dataDxfId="65" dataCellStyle="Normal 2"/>
    <tableColumn id="2" xr3:uid="{62ED82CB-02C2-4F71-86BB-AB54805A4EE1}" name="Auditoría" dataDxfId="64"/>
    <tableColumn id="3" xr3:uid="{AEF38B06-B2F8-47A8-A833-36D928315749}" name="Responsable" dataDxfId="63"/>
    <tableColumn id="4" xr3:uid="{7A496592-4049-4DF4-A04D-642F240A359A}" name="No. Hallazgos" dataDxfId="62">
      <calculatedColumnFormula>COUNTIFS('Base de datos'!$B:$B, $B2, 'Base de datos'!$G:$G, $C2, 'Base de datos'!$D:$D, "&lt;&gt;")</calculatedColumnFormula>
    </tableColumn>
    <tableColumn id="5" xr3:uid="{E6773774-FAAD-4C9A-82D5-6C2E26EA24E4}" name="No. Planes de Acción" dataDxfId="61">
      <calculatedColumnFormula>COUNTIFS('Base de datos'!$B:$B, $B2, 'Base de datos'!$G:$G, $C2, 'Base de datos'!$F:$F, "&lt;&gt;")</calculatedColumnFormula>
    </tableColumn>
    <tableColumn id="6" xr3:uid="{BD9F932C-AF8C-4306-95B6-EB20A016B6AC}" name="Abiertos" dataDxfId="60">
      <calculatedColumnFormula>COUNTIFS('Base de datos'!$B:$B, $B2, 'Base de datos'!$G:$G, $C2, 'Base de datos'!$L:$L, "Abierta")</calculatedColumnFormula>
    </tableColumn>
    <tableColumn id="7" xr3:uid="{CA888B71-1E17-4589-B00C-2F1172A1C63A}" name="Finalizados" dataDxfId="59">
      <calculatedColumnFormula>COUNTIFS('Base de datos'!$B:$B, $B2, 'Base de datos'!$G:$G, $C2, 'Base de datos'!$L:$L, "Finalizada")</calculatedColumnFormula>
    </tableColumn>
    <tableColumn id="8" xr3:uid="{130CE34B-E80A-40B9-8636-AA4AC609D81E}" name="Vencidos" dataDxfId="58">
      <calculatedColumnFormula>COUNTIFS('Base de datos'!$B:$B, $B2, 'Base de datos'!$G:$G, $C2, 'Base de datos'!$L:$L, "Vencida")</calculatedColumnFormula>
    </tableColumn>
    <tableColumn id="9" xr3:uid="{8C970F58-4CC6-479A-8DFE-1DCE622AFDA2}" name="Sin plan de acción" dataDxfId="57">
      <calculatedColumnFormula>COUNTIFS('Base de datos'!$B:$B, $B2, 'Base de datos'!$G:$G, $C2, 'Base de datos'!$L:$L, "Sin plan de acción")</calculatedColumnFormula>
    </tableColumn>
    <tableColumn id="10" xr3:uid="{F5633270-47B4-4C80-B0B1-23DF78BB99EE}" name="Alto " dataDxfId="56">
      <calculatedColumnFormula>COUNTIFS('Base de datos'!$B:$B, $B2, 'Base de datos'!$G:$G, $C2, 'Base de datos'!$E:$E, "Alto")</calculatedColumnFormula>
    </tableColumn>
    <tableColumn id="11" xr3:uid="{BC4C4E86-AB8D-4B85-A7E7-303B02712AB3}" name="Medio" dataDxfId="55">
      <calculatedColumnFormula>COUNTIFS('Base de datos'!$B:$B, $B2, 'Base de datos'!$G:$G, $C2, 'Base de datos'!$E:$E, "Medio")</calculatedColumnFormula>
    </tableColumn>
    <tableColumn id="12" xr3:uid="{0C855D18-4994-42EB-87F1-06B08D8CD8CF}" name="Bajo" dataDxfId="54">
      <calculatedColumnFormula>COUNTIFS('Base de datos'!$B:$B, $B2, 'Base de datos'!$G:$G, $C2, 'Base de datos'!$E:$E, "Bajo")</calculatedColumnFormula>
    </tableColumn>
    <tableColumn id="13" xr3:uid="{5B61581B-4AB0-4D3F-B739-3D2DF4B39415}" name="Alerta 10 días" dataDxfId="53">
      <calculatedColumnFormula>COUNTIFS('Base de datos'!$B:$B, $B2, 'Base de datos'!$G:$G, $C2, 'Base de datos'!$P:$P, "*10d*")</calculatedColumnFormula>
    </tableColumn>
    <tableColumn id="14" xr3:uid="{14D96FC6-46F6-4047-8FD6-34FF7DEB25CC}" name="Alerta 20 días" dataDxfId="52">
      <calculatedColumnFormula>COUNTIFS('Base de datos'!$B:$B, $B2, 'Base de datos'!$G:$G, $C2, 'Base de datos'!$O:$O, "*20d*")</calculatedColumnFormula>
    </tableColumn>
    <tableColumn id="15" xr3:uid="{648C2F51-DC24-44A3-8BDD-D3210CFB1CFE}" name="Alerta 30 días" dataDxfId="51">
      <calculatedColumnFormula>COUNTIFS('Base de datos'!$B:$B, $B2, 'Base de datos'!$G:$G, $C2, 'Base de datos'!$N:$N, "*30d*")</calculatedColumnFormula>
    </tableColumn>
    <tableColumn id="16" xr3:uid="{D0CA4F75-FE00-418D-A7E8-D3C5AE483388}" name="Alerta 5 días" dataDxfId="50">
      <calculatedColumnFormula>COUNTIFS('Base de datos'!$B:$B, $B2, 'Base de datos'!$G:$G, $C2, 'Base de datos'!$Q:$Q, "*5d*")</calculatedColumnFormula>
    </tableColumn>
    <tableColumn id="17" xr3:uid="{5AC5D435-19A3-4A6E-851A-FC088826863B}" name="Ene" dataDxfId="49">
      <calculatedColumnFormula>COUNTIFS('Base de datos'!$A:$A, $A4, 'Base de datos'!$B:$B, $B4, 'Base de datos'!$G:$G, $C4, 'Base de datos'!$S:$S, "&gt;=01/01/2026", 'Base de datos'!$S:$S, "&lt;=31/01/2026")</calculatedColumnFormula>
    </tableColumn>
    <tableColumn id="18" xr3:uid="{86325F76-B5E7-415D-9736-5C3E2F341522}" name="Feb" dataDxfId="48">
      <calculatedColumnFormula>COUNTIFS('Base de datos'!$A:$A, $A4, 'Base de datos'!$B:$B, $B4, 'Base de datos'!$G:$G, $C4, 'Base de datos'!$S:$S, "&gt;=01/02/2026", 'Base de datos'!$S:$S, "&lt;=28/02/2026")</calculatedColumnFormula>
    </tableColumn>
    <tableColumn id="19" xr3:uid="{4114D3E9-05C2-4BAC-8168-EF4E11310BD4}" name="Mar" dataDxfId="47">
      <calculatedColumnFormula>COUNTIFS('Base de datos'!$A:$A, $A4, 'Base de datos'!$B:$B, $B4, 'Base de datos'!$G:$G, $C4, 'Base de datos'!$S:$S, "&gt;=01/03/2026", 'Base de datos'!$S:$S, "&lt;=31/03/2026")</calculatedColumnFormula>
    </tableColumn>
    <tableColumn id="20" xr3:uid="{D4AA479E-1287-45EA-B284-AA4EF3577C4C}" name="Abr" dataDxfId="46">
      <calculatedColumnFormula>COUNTIFS('Base de datos'!$A:$A, $A4, 'Base de datos'!$B:$B, $B4, 'Base de datos'!$G:$G, $C4, 'Base de datos'!$S:$S, "&gt;=01/04/2026", 'Base de datos'!$S:$S, "&lt;=30/04/2026")</calculatedColumnFormula>
    </tableColumn>
    <tableColumn id="21" xr3:uid="{2F998BDD-66DE-41DB-AFB7-D9D6E4411347}" name="May" dataDxfId="45">
      <calculatedColumnFormula>COUNTIFS('Base de datos'!$A:$A, $A4, 'Base de datos'!$B:$B, $B4, 'Base de datos'!$G:$G, $C4, 'Base de datos'!$S:$S, "&gt;=01/05/2026", 'Base de datos'!$S:$S, "&lt;=31/05/2026")</calculatedColumnFormula>
    </tableColumn>
    <tableColumn id="22" xr3:uid="{29B73E1C-8794-4EDC-A01D-6B0A8121F9F1}" name="Jun" dataDxfId="44">
      <calculatedColumnFormula>COUNTIFS('Base de datos'!$A:$A, $A4, 'Base de datos'!$B:$B, $B4, 'Base de datos'!$G:$G, $C4, 'Base de datos'!$S:$S, "&gt;=01/06/2026", 'Base de datos'!$S:$S, "&lt;=30/06/2026")</calculatedColumnFormula>
    </tableColumn>
    <tableColumn id="23" xr3:uid="{9A0DC92E-75FB-490B-A31B-6E35DBCFD0D2}" name="Jul" dataDxfId="43">
      <calculatedColumnFormula>COUNTIFS('Base de datos'!$A:$A, $A2, 'Base de datos'!$B:$B, $B2, 'Base de datos'!$G:$G, $C2, 'Base de datos'!$S:$S, "&gt;=01/07/2026", 'Base de datos'!$S:$S, "&lt;=31/07/2026")</calculatedColumnFormula>
    </tableColumn>
    <tableColumn id="24" xr3:uid="{B7E2CA2C-7926-4AA6-B3C1-40561E341557}" name="Ago" dataDxfId="42">
      <calculatedColumnFormula>COUNTIFS('Base de datos'!$A:$A, $A2, 'Base de datos'!$B:$B, $B2, 'Base de datos'!$G:$G, $C2, 'Base de datos'!$S:$S, "&gt;=01/08/2026", 'Base de datos'!$S:$S, "&lt;=31/08/2026")</calculatedColumnFormula>
    </tableColumn>
    <tableColumn id="25" xr3:uid="{98CD95A2-2782-4D4A-AF15-F0BEB1F92668}" name="Sep" dataDxfId="41">
      <calculatedColumnFormula>COUNTIFS('Base de datos'!$A:$A, $A2, 'Base de datos'!$B:$B, $B2, 'Base de datos'!$G:$G, $C2, 'Base de datos'!$S:$S, "&gt;=01/09/2026", 'Base de datos'!$S:$S, "&lt;=30/09/2026")</calculatedColumnFormula>
    </tableColumn>
    <tableColumn id="26" xr3:uid="{59B9A11F-8B42-4051-8A86-CE48D5A2D8C8}" name="Oct" dataDxfId="40">
      <calculatedColumnFormula>COUNTIFS('Base de datos'!$A:$A, $A2, 'Base de datos'!$B:$B, $B2, 'Base de datos'!$G:$G, $C2, 'Base de datos'!$S:$S, "&gt;=01/10/2026", 'Base de datos'!$S:$S, "&lt;=31/10/2026")</calculatedColumnFormula>
    </tableColumn>
    <tableColumn id="27" xr3:uid="{A92C5F2E-4591-4918-BFAC-B0370CA29BCC}" name="Nov" dataDxfId="39">
      <calculatedColumnFormula>COUNTIFS('Base de datos'!$A:$A, $A2, 'Base de datos'!$B:$B, $B2, 'Base de datos'!$G:$G, $C2, 'Base de datos'!$S:$S, "&gt;=01/11/2026", 'Base de datos'!$S:$S, "&lt;=30/11/2026")</calculatedColumnFormula>
    </tableColumn>
    <tableColumn id="28" xr3:uid="{3D1F4477-3EAA-43B7-88F6-3DA66DAFE614}" name="Dic" dataDxfId="38">
      <calculatedColumnFormula>COUNTIFS('Base de datos'!$A:$A, $A2, 'Base de datos'!$B:$B, $B2, 'Base de datos'!$G:$G, $C2, 'Base de datos'!$S:$S, "&gt;=01/12/2026", 'Base de datos'!$S:$S, "&lt;=31/12/2026")</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E199F7F-3448-4BF3-842D-FA8C6C210ED7}" name="pub?output_csv__2" displayName="pub?output_csv__2" ref="A1:U6" tableType="queryTable" totalsRowShown="0">
  <autoFilter ref="A1:U6" xr:uid="{DE199F7F-3448-4BF3-842D-FA8C6C210ED7}"/>
  <tableColumns count="21">
    <tableColumn id="1" xr3:uid="{214C91D7-573D-4DBD-83CA-E0E5ECE2B8C3}" uniqueName="1" name=" Plan Auditoría" queryTableFieldId="1" dataDxfId="37"/>
    <tableColumn id="2" xr3:uid="{47BBFDD8-7E34-4A19-96C7-1E5E83900585}" uniqueName="2" name="Auditoría" queryTableFieldId="2" dataDxfId="36"/>
    <tableColumn id="3" xr3:uid="{13A13200-7D16-40B8-AC18-B30DBBC7CCA0}" uniqueName="3" name="Titulo del Hallazgo" queryTableFieldId="3" dataDxfId="35"/>
    <tableColumn id="4" xr3:uid="{94F07098-61D1-40FE-A5A4-1FFE5BE4DC17}" uniqueName="4" name="Transcribir el del Hallazgo o Situación Evidenciada" queryTableFieldId="4" dataDxfId="34"/>
    <tableColumn id="5" xr3:uid="{091AA93C-9ED9-42A0-8BAD-DD78F4FF0FBC}" uniqueName="5" name="Nivel del Riesgo" queryTableFieldId="5" dataDxfId="33"/>
    <tableColumn id="6" xr3:uid="{75DFEC86-1693-404D-9824-9ED9902DF229}" uniqueName="6" name="Plan de Acción " queryTableFieldId="6" dataDxfId="32"/>
    <tableColumn id="7" xr3:uid="{E77A0C90-9312-43CC-A1EC-C9456D8393FE}" uniqueName="7" name="Responsable" queryTableFieldId="7" dataDxfId="31"/>
    <tableColumn id="8" xr3:uid="{F885768E-6F4B-4227-B3BE-C7EEA1DC0B73}" uniqueName="8" name="Inicio_x000a_DD/MM/AA" queryTableFieldId="8" dataDxfId="3"/>
    <tableColumn id="9" xr3:uid="{87836909-D980-4463-82D6-BC48332210A6}" uniqueName="9" name="Cierre_x000a_DD/MM/AA" queryTableFieldId="9" dataDxfId="2"/>
    <tableColumn id="10" xr3:uid="{C57DD332-17B6-425E-875F-460B68CABBD5}" uniqueName="10" name="Enlace para cargar evidencias" queryTableFieldId="10" dataDxfId="30"/>
    <tableColumn id="11" xr3:uid="{3699A9BD-349B-4633-9EAB-319068C446D1}" uniqueName="11" name="Observación Auditoría" queryTableFieldId="11" dataDxfId="29"/>
    <tableColumn id="12" xr3:uid="{D0C6BB0B-6F6D-4389-A369-05C33ED0B52B}" uniqueName="12" name="Estado" queryTableFieldId="12" dataDxfId="28"/>
    <tableColumn id="13" xr3:uid="{8990FCAC-C39E-41A9-B032-16DFD154D0A5}" uniqueName="13" name="Días de vencimiento" queryTableFieldId="13"/>
    <tableColumn id="14" xr3:uid="{EE22FF00-1EDD-4E3B-AAD6-0135DB37E3F0}" uniqueName="14" name="Alerta 10 días" queryTableFieldId="14" dataDxfId="27"/>
    <tableColumn id="15" xr3:uid="{D0D944C7-2631-4880-BDDD-26F06CC989DA}" uniqueName="15" name="Alerta 20 días" queryTableFieldId="15" dataDxfId="26"/>
    <tableColumn id="16" xr3:uid="{DEBA4FA9-7801-4450-9B80-1504F3F4ADB1}" uniqueName="16" name="Alerta 30 días" queryTableFieldId="16" dataDxfId="25"/>
    <tableColumn id="17" xr3:uid="{EAD8EF75-CE2C-45E4-A9AD-7DBCD6931595}" uniqueName="17" name="Alerta 5 días" queryTableFieldId="17" dataDxfId="24"/>
    <tableColumn id="18" xr3:uid="{C51E0F93-7C79-4B85-85A2-190EF60BB8FE}" uniqueName="18" name="Correo Responsable " queryTableFieldId="18" dataDxfId="23"/>
    <tableColumn id="19" xr3:uid="{306B21F3-7697-4A83-96E4-F9CCECE1030E}" uniqueName="19" name="Fecha de cierre Auditoría" queryTableFieldId="19" dataDxfId="22"/>
    <tableColumn id="20" xr3:uid="{1ACD9750-C14D-48DB-9A4C-A75809193218}" uniqueName="20" name="Auditor Responsable" queryTableFieldId="20" dataDxfId="21"/>
    <tableColumn id="21" xr3:uid="{56ABBD8A-C26F-4541-81D4-D0CEDFE15217}" uniqueName="21" name="ID" queryTableFieldId="21"/>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97BBA5A-21CC-4068-8287-0AEE2428C58A}" name="pub?output_csv" displayName="pub?output_csv" ref="A1:U26" tableType="queryTable" totalsRowShown="0">
  <autoFilter ref="A1:U26" xr:uid="{697BBA5A-21CC-4068-8287-0AEE2428C58A}">
    <filterColumn colId="11">
      <filters>
        <filter val="Sin Plan de Acción"/>
        <filter val="Vencido"/>
      </filters>
    </filterColumn>
  </autoFilter>
  <tableColumns count="21">
    <tableColumn id="1" xr3:uid="{DD373C0E-6BF4-464B-ACD3-F99A5A4E8EFD}" uniqueName="1" name=" Plan Auditoría" queryTableFieldId="1" dataDxfId="20"/>
    <tableColumn id="2" xr3:uid="{D0359283-C773-4CA6-A38F-FE8A8FDD6AF6}" uniqueName="2" name="Auditoría" queryTableFieldId="2" dataDxfId="19"/>
    <tableColumn id="3" xr3:uid="{B8B0609E-98F9-47AA-BD3E-A594B59C50FC}" uniqueName="3" name="Titulo del Hallazgo" queryTableFieldId="3" dataDxfId="18"/>
    <tableColumn id="4" xr3:uid="{45E02719-1E63-47E8-B78B-61800CEC7D24}" uniqueName="4" name="Transcribir el del Hallazgo o Situación Evidenciada" queryTableFieldId="4" dataDxfId="17"/>
    <tableColumn id="5" xr3:uid="{055EC2A7-1FBD-4060-9F27-BF4CEFCDA920}" uniqueName="5" name="Nivel del Riesgo" queryTableFieldId="5" dataDxfId="16"/>
    <tableColumn id="6" xr3:uid="{BBD44A78-6EDF-49AD-B349-9763AA9F6280}" uniqueName="6" name="Plan de Acción " queryTableFieldId="6" dataDxfId="15"/>
    <tableColumn id="7" xr3:uid="{572EAA19-A438-48F8-BB0A-1A225E91A6AF}" uniqueName="7" name="Responsable" queryTableFieldId="7" dataDxfId="14"/>
    <tableColumn id="8" xr3:uid="{8BB5AA25-C6EB-46AD-8560-D5D56B236258}" uniqueName="8" name="Inicio_x000a_DD/MM/AA" queryTableFieldId="8" dataDxfId="1"/>
    <tableColumn id="9" xr3:uid="{F44D0DBC-D69C-482B-BB26-7994CA4C6664}" uniqueName="9" name="Cierre_x000a_DD/MM/AA" queryTableFieldId="9" dataDxfId="0"/>
    <tableColumn id="10" xr3:uid="{1E957059-9EBA-439A-93FD-0E886BBD98D5}" uniqueName="10" name="Enlace para cargar evidencias" queryTableFieldId="10" dataDxfId="13"/>
    <tableColumn id="11" xr3:uid="{9C70932D-466B-4B73-8A5B-B9F7C1C803CF}" uniqueName="11" name="Observación Auditoría" queryTableFieldId="11" dataDxfId="12"/>
    <tableColumn id="12" xr3:uid="{14F495C0-6B2F-4656-B279-07C894764856}" uniqueName="12" name="Estado" queryTableFieldId="12" dataDxfId="11"/>
    <tableColumn id="13" xr3:uid="{2600D298-304F-406E-B923-2C9244AA9045}" uniqueName="13" name="Días de vencimiento" queryTableFieldId="13"/>
    <tableColumn id="14" xr3:uid="{3EC3BB06-B165-457A-B527-98633C5F9047}" uniqueName="14" name="Alerta 10 días" queryTableFieldId="14" dataDxfId="10"/>
    <tableColumn id="15" xr3:uid="{C5722631-7D4F-4196-B010-E003A844911B}" uniqueName="15" name="Alerta 20 días" queryTableFieldId="15" dataDxfId="9"/>
    <tableColumn id="16" xr3:uid="{71794C25-ACD2-45BF-BFC1-90A6913DA4C3}" uniqueName="16" name="Alerta 30 días" queryTableFieldId="16" dataDxfId="8"/>
    <tableColumn id="17" xr3:uid="{ED8FBA2C-9B64-4755-8BBF-ECA8360320FC}" uniqueName="17" name="Alerta 5 días" queryTableFieldId="17" dataDxfId="7"/>
    <tableColumn id="18" xr3:uid="{10828D15-5A19-4211-A10F-2510603DF713}" uniqueName="18" name="Correo Responsable " queryTableFieldId="18" dataDxfId="6"/>
    <tableColumn id="19" xr3:uid="{8B168391-4F2F-4C62-B236-DE745A514181}" uniqueName="19" name="Fecha de cierre Auditoría" queryTableFieldId="19" dataDxfId="5"/>
    <tableColumn id="20" xr3:uid="{F7B9152D-C0FA-47D3-8516-C03EA1E215AD}" uniqueName="20" name="Auditor Responsable" queryTableFieldId="20" dataDxfId="4"/>
    <tableColumn id="21" xr3:uid="{E65702BF-9323-4DCD-858A-F36649E3B737}" uniqueName="21" name="ID" queryTableFieldId="21"/>
  </tableColumns>
  <tableStyleInfo name="TableStyleMedium7"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4" Type="http://schemas.microsoft.com/office/2007/relationships/slicer" Target="../slicers/slicer2.xml"/></Relationships>
</file>

<file path=xl/worksheets/_rels/sheet5.xml.rels><?xml version="1.0" encoding="UTF-8" standalone="yes"?>
<Relationships xmlns="http://schemas.openxmlformats.org/package/2006/relationships"><Relationship Id="rId8" Type="http://schemas.openxmlformats.org/officeDocument/2006/relationships/hyperlink" Target="https://drive.google.com/drive/u/0/folders/13kR72lHvA6jJHQ79-ILGiIwV0gdc7Iu3" TargetMode="External"/><Relationship Id="rId3" Type="http://schemas.openxmlformats.org/officeDocument/2006/relationships/hyperlink" Target="https://drive.google.com/drive/folders/179a2kaq3t58xHR2_V4U418QGNC2FtL7i" TargetMode="External"/><Relationship Id="rId7" Type="http://schemas.openxmlformats.org/officeDocument/2006/relationships/hyperlink" Target="https://drive.google.com/drive/u/0/folders/13kR72lHvA6jJHQ79-ILGiIwV0gdc7Iu3" TargetMode="External"/><Relationship Id="rId12" Type="http://schemas.openxmlformats.org/officeDocument/2006/relationships/hyperlink" Target="https://drive.google.com/drive/u/0/folders/1NCoq6j59tDmQD0dvnAmNtia7Df4ZOGKA" TargetMode="External"/><Relationship Id="rId2" Type="http://schemas.openxmlformats.org/officeDocument/2006/relationships/hyperlink" Target="https://drive.google.com/drive/folders/1iy6UDLj3EChlzMQt-ee2DE_DAuMpwyZK" TargetMode="External"/><Relationship Id="rId1" Type="http://schemas.openxmlformats.org/officeDocument/2006/relationships/hyperlink" Target="https://drive.google.com/drive/folders/1iy6UDLj3EChlzMQt-ee2DE_DAuMpwyZK" TargetMode="External"/><Relationship Id="rId6" Type="http://schemas.openxmlformats.org/officeDocument/2006/relationships/hyperlink" Target="https://drive.google.com/drive/u/0/folders/13kR72lHvA6jJHQ79-ILGiIwV0gdc7Iu3" TargetMode="External"/><Relationship Id="rId11" Type="http://schemas.openxmlformats.org/officeDocument/2006/relationships/hyperlink" Target="https://drive.google.com/drive/u/0/folders/1m6YEBioUcoJd4GuQOHb47DBxmiOFDaIL" TargetMode="External"/><Relationship Id="rId5" Type="http://schemas.openxmlformats.org/officeDocument/2006/relationships/hyperlink" Target="https://drive.google.com/drive/folders/101N3cndLGNSLHhr1MuLS9_KVxWGM_IMD" TargetMode="External"/><Relationship Id="rId10" Type="http://schemas.openxmlformats.org/officeDocument/2006/relationships/hyperlink" Target="https://drive.google.com/drive/folders/1ipCvItirLu48TTpUK5NUPAbU6IrM5L80" TargetMode="External"/><Relationship Id="rId4" Type="http://schemas.openxmlformats.org/officeDocument/2006/relationships/hyperlink" Target="https://drive.google.com/drive/folders/1azc2NFwUCOpLVnrhNWx_s-kLRmpPLDQ7" TargetMode="External"/><Relationship Id="rId9" Type="http://schemas.openxmlformats.org/officeDocument/2006/relationships/hyperlink" Target="https://drive.google.com/drive/folders/1ipCvItirLu48TTpUK5NUPAbU6IrM5L80" TargetMode="Externa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4.xml"/><Relationship Id="rId2" Type="http://schemas.openxmlformats.org/officeDocument/2006/relationships/pivotTable" Target="../pivotTables/pivotTable3.xml"/><Relationship Id="rId1" Type="http://schemas.openxmlformats.org/officeDocument/2006/relationships/pivotTable" Target="../pivotTables/pivotTable2.xml"/><Relationship Id="rId5" Type="http://schemas.openxmlformats.org/officeDocument/2006/relationships/pivotTable" Target="../pivotTables/pivotTable6.xml"/><Relationship Id="rId4"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117" Type="http://schemas.openxmlformats.org/officeDocument/2006/relationships/hyperlink" Target="https://drive.google.com/drive/folders/1rCSxB6vTAnnveo-Vo3MfMLSxbBj-y6hb" TargetMode="External"/><Relationship Id="rId21" Type="http://schemas.openxmlformats.org/officeDocument/2006/relationships/hyperlink" Target="https://drive.google.com/drive/folders/1IV64XMHR_s4nfoilOI5YZ-MAJwghQkz7" TargetMode="External"/><Relationship Id="rId42" Type="http://schemas.openxmlformats.org/officeDocument/2006/relationships/hyperlink" Target="https://drive.google.com/drive/folders/1y9K1jBpJBGxp3s23KAbJbo14snN5g_4K" TargetMode="External"/><Relationship Id="rId63" Type="http://schemas.openxmlformats.org/officeDocument/2006/relationships/hyperlink" Target="https://drive.google.com/drive/u/0/folders/1NmQo8mPaw0u-IfKydjubnlyNLSJpJaDA" TargetMode="External"/><Relationship Id="rId84" Type="http://schemas.openxmlformats.org/officeDocument/2006/relationships/hyperlink" Target="https://drive.google.com/drive/folders/1AaO5moNRfI5SUEm9dckFhktes7ONYou3" TargetMode="External"/><Relationship Id="rId138" Type="http://schemas.openxmlformats.org/officeDocument/2006/relationships/hyperlink" Target="mailto:carolina.bueno@terminaldetransporte.gov.co,paola.copete@terminaldetransporte.gov.co" TargetMode="External"/><Relationship Id="rId159" Type="http://schemas.openxmlformats.org/officeDocument/2006/relationships/hyperlink" Target="mailto:sandra.lesmes@terminaldetransporte.gov.co,estefania.guzman@terminaldetransporte.gov.co,maryuri.zabala@terminaldetransporte.gov.co" TargetMode="External"/><Relationship Id="rId170" Type="http://schemas.openxmlformats.org/officeDocument/2006/relationships/hyperlink" Target="mailto:linda.florez@terminaldetransporte.gov.co,jeimmy.torres@terminaldetransporte.gov.co" TargetMode="External"/><Relationship Id="rId191" Type="http://schemas.openxmlformats.org/officeDocument/2006/relationships/hyperlink" Target="mailto:linda.florez@terminaldetransporte.gov.co,jeimmy.torres@terminaldetransporte.gov.co" TargetMode="External"/><Relationship Id="rId205" Type="http://schemas.openxmlformats.org/officeDocument/2006/relationships/hyperlink" Target="mailto:manuel.cifuentes@terminaldetransporte.gov.co,edgar.ortiz@terminaldetransporte.gov.co%3e" TargetMode="External"/><Relationship Id="rId226" Type="http://schemas.openxmlformats.org/officeDocument/2006/relationships/hyperlink" Target="mailto:julio.mosquera@terminaldetransporte.gov.co,marcela.angarita@terminaldetransporte.gov.co" TargetMode="External"/><Relationship Id="rId107" Type="http://schemas.openxmlformats.org/officeDocument/2006/relationships/hyperlink" Target="https://drive.google.com/drive/u/0/folders/1VhF8wPMaHy6ROGzSXGlcMyxb2BD0ki_t" TargetMode="External"/><Relationship Id="rId11" Type="http://schemas.openxmlformats.org/officeDocument/2006/relationships/hyperlink" Target="https://drive.google.com/drive/folders/1N-f0a5ly6mrI-r6A2pffLw91zk68Gg5u" TargetMode="External"/><Relationship Id="rId32" Type="http://schemas.openxmlformats.org/officeDocument/2006/relationships/hyperlink" Target="https://drive.google.com/drive/u/0/folders/13kR72lHvA6jJHQ79-ILGiIwV0gdc7Iu3" TargetMode="External"/><Relationship Id="rId53" Type="http://schemas.openxmlformats.org/officeDocument/2006/relationships/hyperlink" Target="https://drive.google.com/drive/folders/1iy6UDLj3EChlzMQt-ee2DE_DAuMpwyZK" TargetMode="External"/><Relationship Id="rId74" Type="http://schemas.openxmlformats.org/officeDocument/2006/relationships/hyperlink" Target="https://drive.google.com/drive/u/0/folders/1rOnjh_WXTcIdwgEy2ESzycDqhCN9ERVS" TargetMode="External"/><Relationship Id="rId128" Type="http://schemas.openxmlformats.org/officeDocument/2006/relationships/hyperlink" Target="https://drive.google.com/drive/u/0/folders/16qvkhydmiQkZAHbIfaOnAEAokJbfYTBo" TargetMode="External"/><Relationship Id="rId149" Type="http://schemas.openxmlformats.org/officeDocument/2006/relationships/hyperlink" Target="mailto:carolina.bueno@terminaldetransporte.gov.co,paola.copete@terminaldetransporte.gov.co,paola.copete@terminaldetransporte.gov.co,jenny.gomez@terminaldetransporte.gov.co" TargetMode="External"/><Relationship Id="rId5" Type="http://schemas.openxmlformats.org/officeDocument/2006/relationships/hyperlink" Target="https://drive.google.com/drive/folders/1_8RJEI0IbkQRlngmiIJGqPoZ3inhfEHc" TargetMode="External"/><Relationship Id="rId95" Type="http://schemas.openxmlformats.org/officeDocument/2006/relationships/hyperlink" Target="https://drive.google.com/drive/u/0/folders/1pak-yGsM7YD3nj2_5tOqdbWyAWLOsdgd" TargetMode="External"/><Relationship Id="rId160" Type="http://schemas.openxmlformats.org/officeDocument/2006/relationships/hyperlink" Target="mailto:sandra.lesmes@terminaldetransporte.gov.co,estefania.guzman@terminaldetransporte.gov.co,maryuri.zabala@terminaldetransporte.gov.co" TargetMode="External"/><Relationship Id="rId181" Type="http://schemas.openxmlformats.org/officeDocument/2006/relationships/hyperlink" Target="mailto:oscar.garzon@terminaldetransporte.gov.co,eduardo.gonzalez@terminaldetransporte.gov.co,manuel.santamaria@terminaldetransporte.gov.co" TargetMode="External"/><Relationship Id="rId216" Type="http://schemas.openxmlformats.org/officeDocument/2006/relationships/hyperlink" Target="https://drive.google.com/drive/folders/1ZWbq3uG1opX9fL8cbZ31MXSci3H_Dogy" TargetMode="External"/><Relationship Id="rId22" Type="http://schemas.openxmlformats.org/officeDocument/2006/relationships/hyperlink" Target="https://drive.google.com/drive/folders/1M2s9Cmb7an1-SM2wUHxLtgMPC524j7LN" TargetMode="External"/><Relationship Id="rId43" Type="http://schemas.openxmlformats.org/officeDocument/2006/relationships/hyperlink" Target="https://drive.google.com/drive/folders/1L_0R1gXS89_2Dr39fPwSkfTQdyBC-Ezf" TargetMode="External"/><Relationship Id="rId64" Type="http://schemas.openxmlformats.org/officeDocument/2006/relationships/hyperlink" Target="https://drive.google.com/drive/u/0/folders/1NmQo8mPaw0u-IfKydjubnlyNLSJpJaDA" TargetMode="External"/><Relationship Id="rId118" Type="http://schemas.openxmlformats.org/officeDocument/2006/relationships/hyperlink" Target="https://drive.google.com/drive/folders/1rCSxB6vTAnnveo-Vo3MfMLSxbBj-y6hb" TargetMode="External"/><Relationship Id="rId139" Type="http://schemas.openxmlformats.org/officeDocument/2006/relationships/hyperlink" Target="mailto:carolina.bueno@terminaldetransporte.gov.co,paola.copete@terminaldetransporte.gov.co,jenny.gomez@terminaldetransporte.gov.co" TargetMode="External"/><Relationship Id="rId85" Type="http://schemas.openxmlformats.org/officeDocument/2006/relationships/hyperlink" Target="https://drive.google.com/drive/folders/1723UBFHGFJe5BwIwMXhZqU6J0LeAM4hu" TargetMode="External"/><Relationship Id="rId150" Type="http://schemas.openxmlformats.org/officeDocument/2006/relationships/hyperlink" Target="mailto:oscar.garzon@terminaldetransporte.gov.co,eduardo.gonzalez@terminaldetransporte.gov.co,manuel.santamaria@terminaldetransporte.gov.co" TargetMode="External"/><Relationship Id="rId171" Type="http://schemas.openxmlformats.org/officeDocument/2006/relationships/hyperlink" Target="mailto:juan.alviz@terminaldetransporte.gov.co,sandra.lesmes@terminaldetransporte.gov.co,maryuri.zabala@terminaldetransporte.gov.coestefania.guzman@terminaldetransporte.gov.co" TargetMode="External"/><Relationship Id="rId192" Type="http://schemas.openxmlformats.org/officeDocument/2006/relationships/hyperlink" Target="mailto:leonardo.vasquez@terminaldetransporte.gov.co,javier.veloza@terminaldetransporte.gov.co,andrea.lievano@terminaldetransporte.gov.co,gerson.lugo@terminaldetransporte.gov.co" TargetMode="External"/><Relationship Id="rId206" Type="http://schemas.openxmlformats.org/officeDocument/2006/relationships/hyperlink" Target="mailto:hugo.montoya@terminaldetransporte.gov.co,mayra.campos@terminaldetransporte.gov.co" TargetMode="External"/><Relationship Id="rId227" Type="http://schemas.openxmlformats.org/officeDocument/2006/relationships/hyperlink" Target="mailto:julio.mosquera@terminaldetransporte.gov.co,marcela.angarita@terminaldetransporte.gov.co" TargetMode="External"/><Relationship Id="rId12" Type="http://schemas.openxmlformats.org/officeDocument/2006/relationships/hyperlink" Target="https://drive.google.com/drive/folders/1dtQIoZcTe2vjqrUesem5UjKucI5JjLAS" TargetMode="External"/><Relationship Id="rId33" Type="http://schemas.openxmlformats.org/officeDocument/2006/relationships/hyperlink" Target="https://drive.google.com/drive/u/0/folders/15sa79e55nguCM0fngr2sArko5M6AJ-AF" TargetMode="External"/><Relationship Id="rId108" Type="http://schemas.openxmlformats.org/officeDocument/2006/relationships/hyperlink" Target="https://drive.google.com/drive/u/0/folders/1-wTHBAqsEvDtGobro6-Hp7NzPYFVnZTJ" TargetMode="External"/><Relationship Id="rId129" Type="http://schemas.openxmlformats.org/officeDocument/2006/relationships/hyperlink" Target="https://drive.google.com/drive/u/0/folders/16qvkhydmiQkZAHbIfaOnAEAokJbfYTBo" TargetMode="External"/><Relationship Id="rId54" Type="http://schemas.openxmlformats.org/officeDocument/2006/relationships/hyperlink" Target="https://drive.google.com/drive/u/0/folders/19_z_nLXkrrTQ8kSAtwg01Zg7seLB11iK" TargetMode="External"/><Relationship Id="rId75" Type="http://schemas.openxmlformats.org/officeDocument/2006/relationships/hyperlink" Target="https://drive.google.com/drive/u/0/folders/1gaKNfmRjHWtMa_srRXD9i5k6JEL2yLvH" TargetMode="External"/><Relationship Id="rId96" Type="http://schemas.openxmlformats.org/officeDocument/2006/relationships/hyperlink" Target="https://drive.google.com/drive/u/0/folders/1ycH8l-Qu3iRFCl4G6XlQIlH8MybQpZeQ" TargetMode="External"/><Relationship Id="rId140" Type="http://schemas.openxmlformats.org/officeDocument/2006/relationships/hyperlink" Target="mailto:carolina.bueno@terminaldetransporte.gov.co,paola.copete@terminaldetransporte.gov.co,jenny.gomez@terminaldetransporte.gov.co" TargetMode="External"/><Relationship Id="rId161" Type="http://schemas.openxmlformats.org/officeDocument/2006/relationships/hyperlink" Target="mailto:sandra.lesmes@terminaldetransporte.gov.co,estefania.guzman@terminaldetransporte.gov.co,maryuri.zabala@terminaldetransporte.gov.co" TargetMode="External"/><Relationship Id="rId182" Type="http://schemas.openxmlformats.org/officeDocument/2006/relationships/hyperlink" Target="mailto:leonardo.vasquez@terminaldetransporte.gov.co,javier.veloza@terminaldetransporte.gov.co,andrea.lievano@terminaldetransporte.gov.co,gerson.lugo@terminaldetransporte.gov.co" TargetMode="External"/><Relationship Id="rId217" Type="http://schemas.openxmlformats.org/officeDocument/2006/relationships/hyperlink" Target="https://drive.google.com/drive/folders/1vIk2UN6PaE_DiitG95qiaWJxaRf4FPz_" TargetMode="External"/><Relationship Id="rId6" Type="http://schemas.openxmlformats.org/officeDocument/2006/relationships/hyperlink" Target="https://drive.google.com/drive/folders/16XJrnFNLC-ZeqL65iwBIDpI67sczRxjI" TargetMode="External"/><Relationship Id="rId23" Type="http://schemas.openxmlformats.org/officeDocument/2006/relationships/hyperlink" Target="https://drive.google.com/drive/folders/1C-zW_5vNOVEpR0ijOYfNXWWFsg0lE9NV" TargetMode="External"/><Relationship Id="rId119" Type="http://schemas.openxmlformats.org/officeDocument/2006/relationships/hyperlink" Target="https://drive.google.com/drive/u/0/folders/1inuk8tfs9D8lcsOsSQKSJ3KvvdGewvdC" TargetMode="External"/><Relationship Id="rId44" Type="http://schemas.openxmlformats.org/officeDocument/2006/relationships/hyperlink" Target="https://drive.google.com/drive/folders/1agZKepmZWdJXEvoi2eORxfBzSTFIwd8v" TargetMode="External"/><Relationship Id="rId65" Type="http://schemas.openxmlformats.org/officeDocument/2006/relationships/hyperlink" Target="https://drive.google.com/drive/folders/19msNqPPz2rpBtyapAWaYMZVQ65PhVy2J" TargetMode="External"/><Relationship Id="rId86" Type="http://schemas.openxmlformats.org/officeDocument/2006/relationships/hyperlink" Target="https://drive.google.com/drive/folders/179a2kaq3t58xHR2_V4U418QGNC2FtL7i" TargetMode="External"/><Relationship Id="rId130" Type="http://schemas.openxmlformats.org/officeDocument/2006/relationships/hyperlink" Target="https://drive.google.com/drive/u/0/folders/1IJU0YkqOggF1VAdcLlnBLnsK0D0UuQeb" TargetMode="External"/><Relationship Id="rId151" Type="http://schemas.openxmlformats.org/officeDocument/2006/relationships/hyperlink" Target="mailto:oscar.garzon@terminaldetransporte.gov.co,eduardo.gonzalez@terminaldetransporte.gov.co,manuel.santamaria@terminaldetransporte.gov.co" TargetMode="External"/><Relationship Id="rId172" Type="http://schemas.openxmlformats.org/officeDocument/2006/relationships/hyperlink" Target="mailto:juan.alviz@terminaldetransporte.gov.co,sandra.lesmes@terminaldetransporte.gov.co,estefania.guzman@terminaldetransporte.gov.co" TargetMode="External"/><Relationship Id="rId193" Type="http://schemas.openxmlformats.org/officeDocument/2006/relationships/hyperlink" Target="mailto:leonardo.vasquez@terminaldetransporte.gov.co,javier.veloza@terminaldetransporte.gov.co,andrea.lievano@terminaldetransporte.gov.co,gerson.lugo@terminaldetransporte.gov.co" TargetMode="External"/><Relationship Id="rId207" Type="http://schemas.openxmlformats.org/officeDocument/2006/relationships/hyperlink" Target="https://drive.google.com/drive/folders/15_f8jUDEKSGhyXKFA2tXXLbOiiXKF7nw" TargetMode="External"/><Relationship Id="rId228" Type="http://schemas.openxmlformats.org/officeDocument/2006/relationships/hyperlink" Target="https://drive.google.com/drive/u/0/folders/1sluceK7OqFoZef6b0A7Nnl-GuSRkwByD" TargetMode="External"/><Relationship Id="rId13" Type="http://schemas.openxmlformats.org/officeDocument/2006/relationships/hyperlink" Target="https://drive.google.com/drive/folders/1Re1LFSCOQtSf6kLKJavWyzSz6OYGp48i" TargetMode="External"/><Relationship Id="rId109" Type="http://schemas.openxmlformats.org/officeDocument/2006/relationships/hyperlink" Target="https://drive.google.com/drive/u/0/folders/1-wTHBAqsEvDtGobro6-Hp7NzPYFVnZTJ" TargetMode="External"/><Relationship Id="rId34" Type="http://schemas.openxmlformats.org/officeDocument/2006/relationships/hyperlink" Target="https://drive.google.com/drive/u/0/folders/1eqbxC87cQVF99Y3kGW176UOHUjwJxrPE" TargetMode="External"/><Relationship Id="rId55" Type="http://schemas.openxmlformats.org/officeDocument/2006/relationships/hyperlink" Target="https://drive.google.com/drive/u/0/folders/19_z_nLXkrrTQ8kSAtwg01Zg7seLB11iK" TargetMode="External"/><Relationship Id="rId76" Type="http://schemas.openxmlformats.org/officeDocument/2006/relationships/hyperlink" Target="https://drive.google.com/drive/u/0/folders/1XBpx28e8cg7NT_55LohMR7y5A1kxbhR-" TargetMode="External"/><Relationship Id="rId97" Type="http://schemas.openxmlformats.org/officeDocument/2006/relationships/hyperlink" Target="https://drive.google.com/drive/u/0/folders/1pak-yGsM7YD3nj2_5tOqdbWyAWLOsdgd" TargetMode="External"/><Relationship Id="rId120" Type="http://schemas.openxmlformats.org/officeDocument/2006/relationships/hyperlink" Target="https://drive.google.com/drive/u/0/folders/1NwxAaYlMjnpU9jD-vgxTURXIcxk5KBKD" TargetMode="External"/><Relationship Id="rId141" Type="http://schemas.openxmlformats.org/officeDocument/2006/relationships/hyperlink" Target="mailto:julio.mosquera@terminaldetransporte.gov.co,javier.veloza@terminaldetransporte.gov.co" TargetMode="External"/><Relationship Id="rId7" Type="http://schemas.openxmlformats.org/officeDocument/2006/relationships/hyperlink" Target="https://drive.google.com/drive/folders/1JuD0JvrfaKtJDL11rGsa80nfNRU0HUWn" TargetMode="External"/><Relationship Id="rId162" Type="http://schemas.openxmlformats.org/officeDocument/2006/relationships/hyperlink" Target="mailto:linda.florez@terminaldetransporte.gov.co,maryuri.zabala@terminaldetransporte.gov.co,jeimmy.torres@terminaldetransporte.gov.co" TargetMode="External"/><Relationship Id="rId183" Type="http://schemas.openxmlformats.org/officeDocument/2006/relationships/hyperlink" Target="mailto:leonardo.vasquez@terminaldetransporte.gov.co,javier.veloza@terminaldetransporte.gov.co,andrea.lievano@terminaldetransporte.gov.co,gerson.lugo@terminaldetransporte.gov.co" TargetMode="External"/><Relationship Id="rId218" Type="http://schemas.openxmlformats.org/officeDocument/2006/relationships/hyperlink" Target="https://drive.google.com/drive/folders/1BZpcgJdfZBeEOY6MWbh0X5EIxpN6BzOZ" TargetMode="External"/><Relationship Id="rId24" Type="http://schemas.openxmlformats.org/officeDocument/2006/relationships/hyperlink" Target="https://drive.google.com/drive/folders/1ipCvItirLu48TTpUK5NUPAbU6IrM5L80" TargetMode="External"/><Relationship Id="rId45" Type="http://schemas.openxmlformats.org/officeDocument/2006/relationships/hyperlink" Target="https://drive.google.com/drive/folders/1MwCByzWrA7Gwx57JLbAKL0QQ9SJPM_Qf" TargetMode="External"/><Relationship Id="rId66" Type="http://schemas.openxmlformats.org/officeDocument/2006/relationships/hyperlink" Target="https://drive.google.com/drive/folders/1IkjXdFn3TgwBjCLFrjCiMZ8Se_4yxnun" TargetMode="External"/><Relationship Id="rId87" Type="http://schemas.openxmlformats.org/officeDocument/2006/relationships/hyperlink" Target="https://drive.google.com/drive/folders/1nkH1t4cAtJjR0D6Y4MYtTuC3vArX0K25" TargetMode="External"/><Relationship Id="rId110" Type="http://schemas.openxmlformats.org/officeDocument/2006/relationships/hyperlink" Target="https://drive.google.com/drive/u/0/folders/1U9cTDhrtKysQ5qa8J1fASSnvtIJNxoAN" TargetMode="External"/><Relationship Id="rId131" Type="http://schemas.openxmlformats.org/officeDocument/2006/relationships/hyperlink" Target="https://drive.google.com/drive/u/0/folders/1jkppab-HKEWxhEH7khu-BbiMW3UulEz_" TargetMode="External"/><Relationship Id="rId152" Type="http://schemas.openxmlformats.org/officeDocument/2006/relationships/hyperlink" Target="mailto:oscar.garzon@terminaldetransporte.gov.co,eduardo.gonzalez@terminaldetransporte.gov.co,manuel.santamaria@terminaldetransporte.gov.co" TargetMode="External"/><Relationship Id="rId173" Type="http://schemas.openxmlformats.org/officeDocument/2006/relationships/hyperlink" Target="mailto:juan.alviz@terminaldetransporte.gov.co,sandra.lesmes@terminaldetransporte.gov.co,estefania.guzman@terminaldetransporte.gov.co" TargetMode="External"/><Relationship Id="rId194" Type="http://schemas.openxmlformats.org/officeDocument/2006/relationships/hyperlink" Target="mailto:manuel.cifuentes@terminaldetransporte.gov.co,edgar.ortiz@terminaldetransporte.gov.co" TargetMode="External"/><Relationship Id="rId208" Type="http://schemas.openxmlformats.org/officeDocument/2006/relationships/hyperlink" Target="https://drive.google.com/drive/folders/1Zl8CJUJgYqjEXjfUSNQfm8RqqNpXsFUZ" TargetMode="External"/><Relationship Id="rId229" Type="http://schemas.openxmlformats.org/officeDocument/2006/relationships/hyperlink" Target="https://drive.google.com/drive/u/0/folders/1sluceK7OqFoZef6b0A7Nnl-GuSRkwByD" TargetMode="External"/><Relationship Id="rId14" Type="http://schemas.openxmlformats.org/officeDocument/2006/relationships/hyperlink" Target="https://drive.google.com/drive/folders/1oB1Rq67ze5R6yIrJcaejE4hbPJe6nJ4b" TargetMode="External"/><Relationship Id="rId35" Type="http://schemas.openxmlformats.org/officeDocument/2006/relationships/hyperlink" Target="https://drive.google.com/drive/u/0/folders/1beOW09lpzEoXKeWIVQCcFCAkzmorqjLg" TargetMode="External"/><Relationship Id="rId56" Type="http://schemas.openxmlformats.org/officeDocument/2006/relationships/hyperlink" Target="https://drive.google.com/drive/u/0/folders/1NOtwUMCTsbNz2JGzC24k4evbbAHDTiI0" TargetMode="External"/><Relationship Id="rId77" Type="http://schemas.openxmlformats.org/officeDocument/2006/relationships/hyperlink" Target="https://drive.google.com/drive/folders/1N0GmZbH5wBIffdE6-X9p9NLtGnhzOE-k" TargetMode="External"/><Relationship Id="rId100" Type="http://schemas.openxmlformats.org/officeDocument/2006/relationships/hyperlink" Target="https://drive.google.com/drive/u/0/folders/1_Y1Qq-J7-1PD82SzBiM-CtLDhfBaFiWz" TargetMode="External"/><Relationship Id="rId8" Type="http://schemas.openxmlformats.org/officeDocument/2006/relationships/hyperlink" Target="https://drive.google.com/drive/folders/1nLNxCP8QNKy71dnjn497NGiSK_IkhxJK" TargetMode="External"/><Relationship Id="rId98" Type="http://schemas.openxmlformats.org/officeDocument/2006/relationships/hyperlink" Target="https://drive.google.com/drive/u/0/folders/1_Y1Qq-J7-1PD82SzBiM-CtLDhfBaFiWz" TargetMode="External"/><Relationship Id="rId121" Type="http://schemas.openxmlformats.org/officeDocument/2006/relationships/hyperlink" Target="https://drive.google.com/drive/u/0/folders/1QAWC1xBK1MWu3buPGEfeN0Hadjl9cS0v" TargetMode="External"/><Relationship Id="rId142" Type="http://schemas.openxmlformats.org/officeDocument/2006/relationships/hyperlink" Target="mailto:leonardo.vasquez@terminaldetransporte.gov.co,javier.veloza@terminaldetransporte.gov.co,andrea.lievano@terminaldetransporte.gov.cogerson.lugo@terminaldetransporte.gov.co" TargetMode="External"/><Relationship Id="rId163" Type="http://schemas.openxmlformats.org/officeDocument/2006/relationships/hyperlink" Target="mailto:linda.florez@terminaldetransporte.gov.co,maryuri.zabala@terminaldetransporte.gov.co,jeimmy.torres@terminaldetransporte.gov.co" TargetMode="External"/><Relationship Id="rId184" Type="http://schemas.openxmlformats.org/officeDocument/2006/relationships/hyperlink" Target="mailto:leonardo.vasquez@terminaldetransporte.gov.co,javier.veloza@terminaldetransporte.gov.co,andrea.lievano@terminaldetransporte.gov.co,gerson.lugo@terminaldetransporte.gov.co" TargetMode="External"/><Relationship Id="rId219" Type="http://schemas.openxmlformats.org/officeDocument/2006/relationships/hyperlink" Target="https://drive.google.com/drive/folders/1tr05-MF2T1086Oxcty4D0p4l2YMPGimk" TargetMode="External"/><Relationship Id="rId230" Type="http://schemas.openxmlformats.org/officeDocument/2006/relationships/hyperlink" Target="https://drive.google.com/drive/u/0/folders/1sluceK7OqFoZef6b0A7Nnl-GuSRkwByD" TargetMode="External"/><Relationship Id="rId25" Type="http://schemas.openxmlformats.org/officeDocument/2006/relationships/hyperlink" Target="https://drive.google.com/drive/u/0/folders/1k3lzPVlNQoIuKi8dhGPG7cHofDzpa2Ox" TargetMode="External"/><Relationship Id="rId46" Type="http://schemas.openxmlformats.org/officeDocument/2006/relationships/hyperlink" Target="https://drive.google.com/drive/folders/1KSH1r2MJD4bmTXTG3PrI2aENYkM3uc-k" TargetMode="External"/><Relationship Id="rId67" Type="http://schemas.openxmlformats.org/officeDocument/2006/relationships/hyperlink" Target="https://drive.google.com/drive/folders/1IkjXdFn3TgwBjCLFrjCiMZ8Se_4yxnun" TargetMode="External"/><Relationship Id="rId116" Type="http://schemas.openxmlformats.org/officeDocument/2006/relationships/hyperlink" Target="https://drive.google.com/drive/folders/1rCSxB6vTAnnveo-Vo3MfMLSxbBj-y6hb" TargetMode="External"/><Relationship Id="rId137" Type="http://schemas.openxmlformats.org/officeDocument/2006/relationships/hyperlink" Target="mailto:manuel.cifuentes@terminaldetransporte.gov.co,edgar.ortiz@terminaldetransporte.gov.co,paola.copete@terminaldetransporte.gov.co,jenny.gomez@terminaldetransporte.gov.co,carolina.bueno@terminaldetransporte.gov.co" TargetMode="External"/><Relationship Id="rId158" Type="http://schemas.openxmlformats.org/officeDocument/2006/relationships/hyperlink" Target="mailto:sandra.lesmes@terminaldetransporte.gov.co,estefania.guzman@terminaldetransporte.gov.co,maryuri.zabala@terminaldetransporte.gov.co" TargetMode="External"/><Relationship Id="rId20" Type="http://schemas.openxmlformats.org/officeDocument/2006/relationships/hyperlink" Target="https://drive.google.com/drive/folders/1CQHs4AxXOo7Y6T2FmJZ_uYDw0IzkhisU" TargetMode="External"/><Relationship Id="rId41" Type="http://schemas.openxmlformats.org/officeDocument/2006/relationships/hyperlink" Target="https://drive.google.com/drive/folders/1PeG9LlWjLWE3gNzXDxf1vm4FlZbn7Wia" TargetMode="External"/><Relationship Id="rId62" Type="http://schemas.openxmlformats.org/officeDocument/2006/relationships/hyperlink" Target="https://drive.google.com/drive/u/0/folders/1baBItG-6DuNNR0JX2edWnga8WckQEKcB" TargetMode="External"/><Relationship Id="rId83" Type="http://schemas.openxmlformats.org/officeDocument/2006/relationships/hyperlink" Target="https://drive.google.com/drive/folders/1AaO5moNRfI5SUEm9dckFhktes7ONYou3" TargetMode="External"/><Relationship Id="rId88" Type="http://schemas.openxmlformats.org/officeDocument/2006/relationships/hyperlink" Target="https://drive.google.com/drive/folders/1MdnCwTVhUHCav-skj6pOo_OSMyrwgpNt" TargetMode="External"/><Relationship Id="rId111" Type="http://schemas.openxmlformats.org/officeDocument/2006/relationships/hyperlink" Target="https://drive.google.com/drive/u/0/folders/1U9cTDhrtKysQ5qa8J1fASSnvtIJNxoAN" TargetMode="External"/><Relationship Id="rId132" Type="http://schemas.openxmlformats.org/officeDocument/2006/relationships/hyperlink" Target="https://drive.google.com/drive/u/0/folders/154ZfShuA12JO2v2qUkk7JY9Zh1OUBGAn" TargetMode="External"/><Relationship Id="rId153" Type="http://schemas.openxmlformats.org/officeDocument/2006/relationships/hyperlink" Target="mailto: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TargetMode="External"/><Relationship Id="rId174" Type="http://schemas.openxmlformats.org/officeDocument/2006/relationships/hyperlink" Target="mailto:oscar.garzon@terminaldetransporte.gov.co,eduardo.gonzalez@terminaldetransporte.gov.co,manuel.santamaria@terminaldetransporte.gov.co" TargetMode="External"/><Relationship Id="rId179" Type="http://schemas.openxmlformats.org/officeDocument/2006/relationships/hyperlink" Target="mailto:julio.mosquera@terminaldetransporte.gov.co,Jesus.duarte@terminaldetransporte.gov.co,marcela.angarita@terminaldetransporte.gov.co" TargetMode="External"/><Relationship Id="rId195" Type="http://schemas.openxmlformats.org/officeDocument/2006/relationships/hyperlink" Target="mailto:oscar.garzon@terminaldetransporte.gov.co,eduardo.gonzalez@terminaldetransporte.gov.co,manuel.santamaria@terminaldetransporte.gov.co" TargetMode="External"/><Relationship Id="rId209" Type="http://schemas.openxmlformats.org/officeDocument/2006/relationships/hyperlink" Target="https://drive.google.com/drive/folders/1hb06-xInz5nLZXATmJkvWPwGElfvO8au" TargetMode="External"/><Relationship Id="rId190" Type="http://schemas.openxmlformats.org/officeDocument/2006/relationships/hyperlink" Target="mailto:leonardo.vasquez@terminaldetransporte.gov.co,javier.veloza@terminaldetransporte.gov.co,andrea.lievano@terminaldetransporte.gov.co,gerson.lugo@terminaldetransporte.gov.co" TargetMode="External"/><Relationship Id="rId204" Type="http://schemas.openxmlformats.org/officeDocument/2006/relationships/hyperlink" Target="mailto:diana.ortiz@terminaldetransporte.gov.co,linda.florez@terminaldetransporte.gov.co" TargetMode="External"/><Relationship Id="rId220" Type="http://schemas.openxmlformats.org/officeDocument/2006/relationships/hyperlink" Target="https://drive.google.com/drive/folders/1wvvq3CAawtirEuTDBOHmAGoe0EJwF3Tp" TargetMode="External"/><Relationship Id="rId225" Type="http://schemas.openxmlformats.org/officeDocument/2006/relationships/hyperlink" Target="mailto:julio.mosquera@terminaldetransporte.gov.co,marcela.angarita@terminaldetransporte.gov.co,estefania.guzman@terminaldetransporte.gov.co,maryuri.zabala@terminaldetransporte.gov.co" TargetMode="External"/><Relationship Id="rId15" Type="http://schemas.openxmlformats.org/officeDocument/2006/relationships/hyperlink" Target="https://drive.google.com/drive/folders/1DM90XW4Kcvly7YuuUvBdC2xGB2klr3bh" TargetMode="External"/><Relationship Id="rId36" Type="http://schemas.openxmlformats.org/officeDocument/2006/relationships/hyperlink" Target="https://drive.google.com/drive/u/0/folders/1jky72UrcEM-oBmwkmQynjVtS6Wn0IM6L" TargetMode="External"/><Relationship Id="rId57" Type="http://schemas.openxmlformats.org/officeDocument/2006/relationships/hyperlink" Target="https://drive.google.com/drive/u/0/folders/1M8MB2SqmhGYkp8L4y62qfwA15eFSaK_h" TargetMode="External"/><Relationship Id="rId106" Type="http://schemas.openxmlformats.org/officeDocument/2006/relationships/hyperlink" Target="https://drive.google.com/drive/u/0/folders/1VhF8wPMaHy6ROGzSXGlcMyxb2BD0ki_t" TargetMode="External"/><Relationship Id="rId127" Type="http://schemas.openxmlformats.org/officeDocument/2006/relationships/hyperlink" Target="https://drive.google.com/drive/u/0/folders/1YmSRhVyp56zmP55tOajgB5DZnGHgQvIL" TargetMode="External"/><Relationship Id="rId10" Type="http://schemas.openxmlformats.org/officeDocument/2006/relationships/hyperlink" Target="https://drive.google.com/drive/folders/1M4tH0yvx5coOOWp-5qrxZiuHx3pLUzPc" TargetMode="External"/><Relationship Id="rId31" Type="http://schemas.openxmlformats.org/officeDocument/2006/relationships/hyperlink" Target="https://drive.google.com/drive/u/0/folders/13kR72lHvA6jJHQ79-ILGiIwV0gdc7Iu3" TargetMode="External"/><Relationship Id="rId52" Type="http://schemas.openxmlformats.org/officeDocument/2006/relationships/hyperlink" Target="https://drive.google.com/drive/folders/1QUXExF1vGK4OenO0tA1mLz305iYFtrjx" TargetMode="External"/><Relationship Id="rId73" Type="http://schemas.openxmlformats.org/officeDocument/2006/relationships/hyperlink" Target="https://drive.google.com/drive/folders/1KSH1r2MJD4bmTXTG3PrI2aENYkM3uc-k" TargetMode="External"/><Relationship Id="rId78" Type="http://schemas.openxmlformats.org/officeDocument/2006/relationships/hyperlink" Target="https://drive.google.com/drive/folders/1bGmDnZMyaeWb7y-OzxCClAvJjMxGnuzL" TargetMode="External"/><Relationship Id="rId94" Type="http://schemas.openxmlformats.org/officeDocument/2006/relationships/hyperlink" Target="https://drive.google.com/drive/u/0/folders/104iUEjosT4F55Fv9qeOZBtjwKOBH0Aci" TargetMode="External"/><Relationship Id="rId99" Type="http://schemas.openxmlformats.org/officeDocument/2006/relationships/hyperlink" Target="https://drive.google.com/drive/u/0/folders/1_Y1Qq-J7-1PD82SzBiM-CtLDhfBaFiWz" TargetMode="External"/><Relationship Id="rId101" Type="http://schemas.openxmlformats.org/officeDocument/2006/relationships/hyperlink" Target="https://drive.google.com/drive/u/0/folders/1_Y1Qq-J7-1PD82SzBiM-CtLDhfBaFiWz" TargetMode="External"/><Relationship Id="rId122" Type="http://schemas.openxmlformats.org/officeDocument/2006/relationships/hyperlink" Target="https://drive.google.com/drive/u/0/folders/154ZfShuA12JO2v2qUkk7JY9Zh1OUBGAn" TargetMode="External"/><Relationship Id="rId143" Type="http://schemas.openxmlformats.org/officeDocument/2006/relationships/hyperlink" Target="mailto:andres.panqueva@terminaldetransporte.gov.co,christian.pardo@terminaldetransporte.gov.co" TargetMode="External"/><Relationship Id="rId148" Type="http://schemas.openxmlformats.org/officeDocument/2006/relationships/hyperlink" Target="mailto:carolina.bueno@terminaldetransporte.gov.co,paola.copete@terminaldetransporte.gov.co,paola.copete@terminaldetransporte.gov.co,jenny.gomez@terminaldetransporte.gov.co" TargetMode="External"/><Relationship Id="rId164" Type="http://schemas.openxmlformats.org/officeDocument/2006/relationships/hyperlink" Target="mailto:linda.florez@terminaldetransporte.gov.co,maryuri.zabala@terminaldetransporte.gov.co,jeimmy.torres@terminaldetransporte.gov.co" TargetMode="External"/><Relationship Id="rId169" Type="http://schemas.openxmlformats.org/officeDocument/2006/relationships/hyperlink" Target="mailto:linda.florez@terminaldetransporte.gov.co,jeimmy.torres@terminaldetransporte.gov.co" TargetMode="External"/><Relationship Id="rId185" Type="http://schemas.openxmlformats.org/officeDocument/2006/relationships/hyperlink" Target="mailto:leonardo.vasquez@terminaldetransporte.gov.co,javier.veloza@terminaldetransporte.gov.co,andrea.lievano@terminaldetransporte.gov.co,gerson.lugo@terminaldetransporte.gov.co" TargetMode="External"/><Relationship Id="rId4" Type="http://schemas.openxmlformats.org/officeDocument/2006/relationships/hyperlink" Target="https://drive.google.com/drive/folders/1ipCvItirLu48TTpUK5NUPAbU6IrM5L80" TargetMode="External"/><Relationship Id="rId9" Type="http://schemas.openxmlformats.org/officeDocument/2006/relationships/hyperlink" Target="https://drive.google.com/drive/folders/1dJ40SSnqCMRgMSfK4Q4VcvosnmZi3_sy" TargetMode="External"/><Relationship Id="rId180" Type="http://schemas.openxmlformats.org/officeDocument/2006/relationships/hyperlink" Target="mailto:oscar.garzon@terminaldetransporte.gov.co,eduardo.gonzalez@terminaldetransporte.gov.co,manuel.santamaria@terminaldetransporte.gov.co" TargetMode="External"/><Relationship Id="rId210" Type="http://schemas.openxmlformats.org/officeDocument/2006/relationships/hyperlink" Target="https://drive.google.com/drive/folders/1qePrHWs77iHwAjP5zrL9FoyN4qgnNdBb" TargetMode="External"/><Relationship Id="rId215" Type="http://schemas.openxmlformats.org/officeDocument/2006/relationships/hyperlink" Target="https://drive.google.com/drive/folders/1-1qKlfDKfPx0EL0tO7iWTGkhlkzegsXB" TargetMode="External"/><Relationship Id="rId26" Type="http://schemas.openxmlformats.org/officeDocument/2006/relationships/hyperlink" Target="https://drive.google.com/drive/u/0/folders/1qM1MgdWS3cM7dSOvy6vSLyky2Lw153GR" TargetMode="External"/><Relationship Id="rId47" Type="http://schemas.openxmlformats.org/officeDocument/2006/relationships/hyperlink" Target="https://drive.google.com/drive/folders/1A212ibOEMJw14M2QcPRNLu-WrNzcIsSQ" TargetMode="External"/><Relationship Id="rId68" Type="http://schemas.openxmlformats.org/officeDocument/2006/relationships/hyperlink" Target="https://drive.google.com/drive/folders/1MKfS8dfrpzjNkWjdWIEev8dBHpmCeAys" TargetMode="External"/><Relationship Id="rId89" Type="http://schemas.openxmlformats.org/officeDocument/2006/relationships/hyperlink" Target="https://drive.google.com/drive/folders/1azc2NFwUCOpLVnrhNWx_s-kLRmpPLDQ7" TargetMode="External"/><Relationship Id="rId112" Type="http://schemas.openxmlformats.org/officeDocument/2006/relationships/hyperlink" Target="https://drive.google.com/drive/u/0/folders/1SZOz7_bQnJfHSZOMUQ77rJ0rQ3vYcH3M" TargetMode="External"/><Relationship Id="rId133" Type="http://schemas.openxmlformats.org/officeDocument/2006/relationships/hyperlink" Target="https://drive.google.com/drive/u/0/folders/1PM6mLhlu2J8WvSE4TXf9rD7Sdzamj72v" TargetMode="External"/><Relationship Id="rId154" Type="http://schemas.openxmlformats.org/officeDocument/2006/relationships/hyperlink" Target="mailto:oscar.garzon@terminaldetransporte.gov.co,eduardo.gonzalez@terminaldetransporte.gov.co,manuel.santamaria@terminaldetransporte.gov.co" TargetMode="External"/><Relationship Id="rId175" Type="http://schemas.openxmlformats.org/officeDocument/2006/relationships/hyperlink" Target="mailto:julio.mosquera@terminaldetransporte.gov.co,Jesus.duarte@terminaldetransporte.gov.co,marcela.angarita@terminaldetransporte.gov.co" TargetMode="External"/><Relationship Id="rId196" Type="http://schemas.openxmlformats.org/officeDocument/2006/relationships/hyperlink" Target="mailto:juan.alviz@terminaldetransporte.gov.co,carlos.salcedo@terminaldetransporte.gov.co,omar.gamboa@terminaldetransporte.gov.co" TargetMode="External"/><Relationship Id="rId200" Type="http://schemas.openxmlformats.org/officeDocument/2006/relationships/hyperlink" Target="https://drive.google.com/drive/folders/1dWLmaJiW1lUowpenlRdNJdsKe00E43Uf" TargetMode="External"/><Relationship Id="rId16" Type="http://schemas.openxmlformats.org/officeDocument/2006/relationships/hyperlink" Target="https://drive.google.com/drive/folders/1c0YE6TqgOp4008u04dAdH4qG1lAdkG-T" TargetMode="External"/><Relationship Id="rId221" Type="http://schemas.openxmlformats.org/officeDocument/2006/relationships/hyperlink" Target="mailto:julio.mosquera@terminaldetransporte.gov.co,marcela.angarita@terminaldetransporte.gov.co" TargetMode="External"/><Relationship Id="rId37" Type="http://schemas.openxmlformats.org/officeDocument/2006/relationships/hyperlink" Target="https://drive.google.com/drive/u/0/folders/1UMA9ae1bCQlXfPx-UvAxZuoltHoZa3zo" TargetMode="External"/><Relationship Id="rId58" Type="http://schemas.openxmlformats.org/officeDocument/2006/relationships/hyperlink" Target="https://drive.google.com/drive/u/0/folders/10Z2WVtyeWwMYZFvYMN6Wnuvm4rOyn-Zx" TargetMode="External"/><Relationship Id="rId79" Type="http://schemas.openxmlformats.org/officeDocument/2006/relationships/hyperlink" Target="https://drive.google.com/drive/u/0/folders/1XBpx28e8cg7NT_55LohMR7y5A1kxbhR-" TargetMode="External"/><Relationship Id="rId102" Type="http://schemas.openxmlformats.org/officeDocument/2006/relationships/hyperlink" Target="https://drive.google.com/drive/u/0/folders/1_Y1Qq-J7-1PD82SzBiM-CtLDhfBaFiWz" TargetMode="External"/><Relationship Id="rId123" Type="http://schemas.openxmlformats.org/officeDocument/2006/relationships/hyperlink" Target="https://drive.google.com/drive/folders/1iy6UDLj3EChlzMQt-ee2DE_DAuMpwyZK" TargetMode="External"/><Relationship Id="rId144" Type="http://schemas.openxmlformats.org/officeDocument/2006/relationships/hyperlink" Target="mailto:sandra.lesmes@terminaldetransporte.gov.co" TargetMode="External"/><Relationship Id="rId90" Type="http://schemas.openxmlformats.org/officeDocument/2006/relationships/hyperlink" Target="https://drive.google.com/drive/folders/101N3cndLGNSLHhr1MuLS9_KVxWGM_IMD" TargetMode="External"/><Relationship Id="rId165" Type="http://schemas.openxmlformats.org/officeDocument/2006/relationships/hyperlink" Target="mailto:linda.florez@terminaldetransporte.gov.co,maryuri.zabala@terminaldetransporte.gov.co,jeimmy.torres@terminaldetransporte.gov.co" TargetMode="External"/><Relationship Id="rId186" Type="http://schemas.openxmlformats.org/officeDocument/2006/relationships/hyperlink" Target="mailto:leonardo.vasquez@terminaldetransporte.gov.co,javier.veloza@terminaldetransporte.gov.co,andrea.lievano@terminaldetransporte.gov.co,gerson.lugo@terminaldetransporte.gov.co" TargetMode="External"/><Relationship Id="rId211" Type="http://schemas.openxmlformats.org/officeDocument/2006/relationships/hyperlink" Target="https://drive.google.com/drive/folders/1dxKY4UYDj09ZL3r7pqf6YpVGgTcONTDJ" TargetMode="External"/><Relationship Id="rId27" Type="http://schemas.openxmlformats.org/officeDocument/2006/relationships/hyperlink" Target="https://drive.google.com/drive/u/0/folders/1E1Z6IquWHr-XF76eeRPVOrzY5JOkp0-Q" TargetMode="External"/><Relationship Id="rId48" Type="http://schemas.openxmlformats.org/officeDocument/2006/relationships/hyperlink" Target="https://drive.google.com/drive/folders/1mToKPsUHUNgmzuhBkxLkR5E4PSe77LMC" TargetMode="External"/><Relationship Id="rId69" Type="http://schemas.openxmlformats.org/officeDocument/2006/relationships/hyperlink" Target="https://drive.google.com/drive/folders/11UH5cvdpuCe7Fuvl575d4-DyTBAiWLdj" TargetMode="External"/><Relationship Id="rId113" Type="http://schemas.openxmlformats.org/officeDocument/2006/relationships/hyperlink" Target="https://drive.google.com/drive/u/0/folders/16pTt49d0wXAja-8yOHagdYlsSNB9zBf1" TargetMode="External"/><Relationship Id="rId134" Type="http://schemas.openxmlformats.org/officeDocument/2006/relationships/hyperlink" Target="https://drive.google.com/drive/u/0/folders/1QAWC1xBK1MWu3buPGEfeN0Hadjl9cS0v" TargetMode="External"/><Relationship Id="rId80" Type="http://schemas.openxmlformats.org/officeDocument/2006/relationships/hyperlink" Target="https://drive.google.com/drive/u/0/folders/1gaKNfmRjHWtMa_srRXD9i5k6JEL2yLvH" TargetMode="External"/><Relationship Id="rId155" Type="http://schemas.openxmlformats.org/officeDocument/2006/relationships/hyperlink" Target="mailto:oscar.garzon@terminaldetransporte.gov.co,eduardo.gonzalez@terminaldetransporte.gov.co,manuel.santamaria@terminaldetransporte.gov.co" TargetMode="External"/><Relationship Id="rId176" Type="http://schemas.openxmlformats.org/officeDocument/2006/relationships/hyperlink" Target="mailto:julio.mosquera@terminaldetransporte.gov.co,Jesus.duarte@terminaldetransporte.gov.co,marcela.angarita@terminaldetransporte.gov.co" TargetMode="External"/><Relationship Id="rId197" Type="http://schemas.openxmlformats.org/officeDocument/2006/relationships/hyperlink" Target="mailto:juan.alviz@terminaldetransporte.gov.co,carlos.salcedo@terminaldetransporte.gov.co,omar.gamboa@terminaldetransporte.gov.co" TargetMode="External"/><Relationship Id="rId201" Type="http://schemas.openxmlformats.org/officeDocument/2006/relationships/hyperlink" Target="https://drive.google.com/drive/folders/1v76scTlS775LLYsDsLVdmI-MkSbg4k6Y" TargetMode="External"/><Relationship Id="rId222" Type="http://schemas.openxmlformats.org/officeDocument/2006/relationships/hyperlink" Target="mailto:julio.mosquera@terminaldetransporte.gov.co,marcela.angarita@terminaldetransporte.gov.co" TargetMode="External"/><Relationship Id="rId17" Type="http://schemas.openxmlformats.org/officeDocument/2006/relationships/hyperlink" Target="https://drive.google.com/drive/folders/1rAEnwCXhhTUZ-bsiDsJjE6Xw-55jS3Zf" TargetMode="External"/><Relationship Id="rId38" Type="http://schemas.openxmlformats.org/officeDocument/2006/relationships/hyperlink" Target="https://drive.google.com/drive/u/0/folders/1RBbzUA_Kx85Y-3N7RSuArZKtpt561GH8" TargetMode="External"/><Relationship Id="rId59" Type="http://schemas.openxmlformats.org/officeDocument/2006/relationships/hyperlink" Target="https://drive.google.com/drive/u/0/folders/1V-1CBJLrGBf9z0ePhvAoQ7N5yOIdVgkT" TargetMode="External"/><Relationship Id="rId103" Type="http://schemas.openxmlformats.org/officeDocument/2006/relationships/hyperlink" Target="https://drive.google.com/drive/u/0/folders/1_Y1Qq-J7-1PD82SzBiM-CtLDhfBaFiWz" TargetMode="External"/><Relationship Id="rId124" Type="http://schemas.openxmlformats.org/officeDocument/2006/relationships/hyperlink" Target="https://drive.google.com/drive/u/0/folders/1Eb62iNMgDQ2KP1hyEc0MISvM2yX6YT7x" TargetMode="External"/><Relationship Id="rId70" Type="http://schemas.openxmlformats.org/officeDocument/2006/relationships/hyperlink" Target="https://drive.google.com/drive/folders/1zuIA1H_3mZsUJF2EMjih3D-HOIAx8WZo" TargetMode="External"/><Relationship Id="rId91" Type="http://schemas.openxmlformats.org/officeDocument/2006/relationships/hyperlink" Target="https://drive.google.com/drive/u/0/folders/1xGZAWGLCxuk_KX3Z911GiScAe4_hqTRy" TargetMode="External"/><Relationship Id="rId145" Type="http://schemas.openxmlformats.org/officeDocument/2006/relationships/hyperlink" Target="mailto:carolina.bueno@terminaldetransporte.gov.co,paola.copete@terminaldetransporte.gov.co,paola.copete@terminaldetransporte.gov.co,maryuri.zabala@terminaldetransporte.gov.co,jenny.gomez@terminaldetransporte.gov.co,estefania.guzman@terminaldetransporte.gov.co" TargetMode="External"/><Relationship Id="rId166" Type="http://schemas.openxmlformats.org/officeDocument/2006/relationships/hyperlink" Target="mailto:linda.florez@terminaldetransporte.gov.co,jeimmy.torres@terminaldetransporte.gov.co" TargetMode="External"/><Relationship Id="rId187" Type="http://schemas.openxmlformats.org/officeDocument/2006/relationships/hyperlink" Target="mailto:leonardo.vasquez@terminaldetransporte.gov.co,javier.veloza@terminaldetransporte.gov.co,andrea.lievano@terminaldetransporte.gov.co,gerson.lugo@terminaldetransporte.gov.co" TargetMode="External"/><Relationship Id="rId1" Type="http://schemas.openxmlformats.org/officeDocument/2006/relationships/hyperlink" Target="https://drive.google.com/drive/folders/15q2D3zfr85REpawMR1zHbWTpfiALSGJT" TargetMode="External"/><Relationship Id="rId212" Type="http://schemas.openxmlformats.org/officeDocument/2006/relationships/hyperlink" Target="https://drive.google.com/drive/folders/1EnVvzP5ieQVfcimxfTO3wyUIxZM16lnh" TargetMode="External"/><Relationship Id="rId28" Type="http://schemas.openxmlformats.org/officeDocument/2006/relationships/hyperlink" Target="https://drive.google.com/drive/u/0/folders/1BKMuSrv055apKonh_jwMxJgdgOOuB4cM" TargetMode="External"/><Relationship Id="rId49" Type="http://schemas.openxmlformats.org/officeDocument/2006/relationships/hyperlink" Target="https://drive.google.com/drive/folders/1dy0oQE5XsYoA0ETzuiCYxHpwP0Ui6knO" TargetMode="External"/><Relationship Id="rId114" Type="http://schemas.openxmlformats.org/officeDocument/2006/relationships/hyperlink" Target="https://drive.google.com/drive/folders/1Aalc93qFTu8ou5rg2A4V5o9Br1Bbctk8" TargetMode="External"/><Relationship Id="rId60" Type="http://schemas.openxmlformats.org/officeDocument/2006/relationships/hyperlink" Target="https://drive.google.com/drive/u/0/folders/1V-1CBJLrGBf9z0ePhvAoQ7N5yOIdVgkT" TargetMode="External"/><Relationship Id="rId81" Type="http://schemas.openxmlformats.org/officeDocument/2006/relationships/hyperlink" Target="https://drive.google.com/drive/u/0/folders/1gaKNfmRjHWtMa_srRXD9i5k6JEL2yLvH" TargetMode="External"/><Relationship Id="rId135" Type="http://schemas.openxmlformats.org/officeDocument/2006/relationships/hyperlink" Target="https://drive.google.com/drive/u/0/folders/1MfBCYKgwGJRqnIGDsGwhfqsHff8zR5Na" TargetMode="External"/><Relationship Id="rId156" Type="http://schemas.openxmlformats.org/officeDocument/2006/relationships/hyperlink" Target="mailto:sandra.lesmes@terminaldetransporte.gov.co,estefania.guzman@terminaldetransporte.gov.co,maryuri.zabala@terminaldetransporte.gov.co" TargetMode="External"/><Relationship Id="rId177" Type="http://schemas.openxmlformats.org/officeDocument/2006/relationships/hyperlink" Target="mailto:julio.mosquera@terminaldetransporte.gov.co,Jesus.duarte@terminaldetransporte.gov.co,marcela.angarita@terminaldetransporte.gov.co" TargetMode="External"/><Relationship Id="rId198" Type="http://schemas.openxmlformats.org/officeDocument/2006/relationships/hyperlink" Target="mailto:julio.mosquera@terminaldetransporte.gov.co" TargetMode="External"/><Relationship Id="rId202" Type="http://schemas.openxmlformats.org/officeDocument/2006/relationships/hyperlink" Target="https://drive.google.com/drive/folders/1dVIXNf5G28_lZXG6_1OvkD5LdRMhZfFh" TargetMode="External"/><Relationship Id="rId223" Type="http://schemas.openxmlformats.org/officeDocument/2006/relationships/hyperlink" Target="mailto:julio.mosquera@terminaldetransporte.gov.co,marcela.angarita@terminaldetransporte.gov.co" TargetMode="External"/><Relationship Id="rId18" Type="http://schemas.openxmlformats.org/officeDocument/2006/relationships/hyperlink" Target="https://drive.google.com/drive/folders/1wssdaaOSXud2wt0bfMzeATOo5yrGz9Qc" TargetMode="External"/><Relationship Id="rId39" Type="http://schemas.openxmlformats.org/officeDocument/2006/relationships/hyperlink" Target="https://drive.google.com/drive/u/0/folders/1RBbzUA_Kx85Y-3N7RSuArZKtpt561GH8" TargetMode="External"/><Relationship Id="rId50" Type="http://schemas.openxmlformats.org/officeDocument/2006/relationships/hyperlink" Target="https://drive.google.com/drive/folders/1VybHjunUUBWAaMv1PPQnzdPVPAXhpDHj" TargetMode="External"/><Relationship Id="rId104" Type="http://schemas.openxmlformats.org/officeDocument/2006/relationships/hyperlink" Target="https://drive.google.com/drive/u/0/folders/1VhF8wPMaHy6ROGzSXGlcMyxb2BD0ki_t" TargetMode="External"/><Relationship Id="rId125" Type="http://schemas.openxmlformats.org/officeDocument/2006/relationships/hyperlink" Target="https://drive.google.com/drive/u/0/folders/1tcvOo9S99q8p5l9ucOivESVwyDJEz92b" TargetMode="External"/><Relationship Id="rId146" Type="http://schemas.openxmlformats.org/officeDocument/2006/relationships/hyperlink" Target="mailto:carolina.bueno@terminaldetransporte.gov.co,paola.copete@terminaldetransporte.gov.co,paola.copete@terminaldetransporte.gov.co,maryuri.zabala@terminaldetransporte.gov.co,jenny.gomez@terminaldetransporte.gov.co,estefania.guzman@terminaldetransporte.gov.co" TargetMode="External"/><Relationship Id="rId167" Type="http://schemas.openxmlformats.org/officeDocument/2006/relationships/hyperlink" Target="mailto:linda.florez@terminaldetransporte.gov.co,jeimmy.torres@terminaldetransporte.gov.co" TargetMode="External"/><Relationship Id="rId188" Type="http://schemas.openxmlformats.org/officeDocument/2006/relationships/hyperlink" Target="mailto:andres.panqueva@terminaldetransporte.gov.co,christian.pardo@terminaldetransporte.gov.co" TargetMode="External"/><Relationship Id="rId71" Type="http://schemas.openxmlformats.org/officeDocument/2006/relationships/hyperlink" Target="https://drive.google.com/drive/folders/1GpaBFKsVzrCvygBAZ8dAsu6iYyANz_q9" TargetMode="External"/><Relationship Id="rId92" Type="http://schemas.openxmlformats.org/officeDocument/2006/relationships/hyperlink" Target="https://drive.google.com/drive/u/0/folders/1NCoq6j59tDmQD0dvnAmNtia7Df4ZOGKA" TargetMode="External"/><Relationship Id="rId213" Type="http://schemas.openxmlformats.org/officeDocument/2006/relationships/hyperlink" Target="https://drive.google.com/drive/folders/1Afq4hRmfYWdzMWWbhGS7CZeE-ezwSB48" TargetMode="External"/><Relationship Id="rId2" Type="http://schemas.openxmlformats.org/officeDocument/2006/relationships/hyperlink" Target="https://drive.google.com/drive/folders/1j3QIk587UocE3xYkhNc8raokdQfof0ME" TargetMode="External"/><Relationship Id="rId29" Type="http://schemas.openxmlformats.org/officeDocument/2006/relationships/hyperlink" Target="https://drive.google.com/drive/u/0/folders/1kXSJCWZ1ybkIxlC5BeUn8S_EcGZEkMO2" TargetMode="External"/><Relationship Id="rId40" Type="http://schemas.openxmlformats.org/officeDocument/2006/relationships/hyperlink" Target="https://drive.google.com/drive/folders/1t416_BuyywLEoVdvLUOxZIXE0opJfmm3" TargetMode="External"/><Relationship Id="rId115" Type="http://schemas.openxmlformats.org/officeDocument/2006/relationships/hyperlink" Target="https://drive.google.com/drive/folders/1rCSxB6vTAnnveo-Vo3MfMLSxbBj-y6hb" TargetMode="External"/><Relationship Id="rId136" Type="http://schemas.openxmlformats.org/officeDocument/2006/relationships/hyperlink" Target="https://drive.google.com/drive/folders/1ms8IJ3vOjgODCx2w_oPi7vuohLhy95Y-" TargetMode="External"/><Relationship Id="rId157" Type="http://schemas.openxmlformats.org/officeDocument/2006/relationships/hyperlink" Target="mailto:sandra.lesmes@terminaldetransporte.gov.co,estefania.guzman@terminaldetransporte.gov.co,maryuri.zabala@terminaldetransporte.gov.co" TargetMode="External"/><Relationship Id="rId178" Type="http://schemas.openxmlformats.org/officeDocument/2006/relationships/hyperlink" Target="mailto:julio.mosquera@terminaldetransporte.gov.co,Jesus.duarte@terminaldetransporte.gov.co,marcela.angarita@terminaldetransporte.gov.co" TargetMode="External"/><Relationship Id="rId61" Type="http://schemas.openxmlformats.org/officeDocument/2006/relationships/hyperlink" Target="https://drive.google.com/drive/u/0/folders/1m6YEBioUcoJd4GuQOHb47DBxmiOFDaIL" TargetMode="External"/><Relationship Id="rId82" Type="http://schemas.openxmlformats.org/officeDocument/2006/relationships/hyperlink" Target="https://drive.google.com/drive/folders/1AaO5moNRfI5SUEm9dckFhktes7ONYou3" TargetMode="External"/><Relationship Id="rId199" Type="http://schemas.openxmlformats.org/officeDocument/2006/relationships/hyperlink" Target="https://drive.google.com/drive/folders/1qYEk3nOQIqtejK_gSoeioebvhdNLAYqs" TargetMode="External"/><Relationship Id="rId203" Type="http://schemas.openxmlformats.org/officeDocument/2006/relationships/hyperlink" Target="mailto:diana.ortiz@terminaldetransporte.gov.co,linda.florez@terminaldetransporte.gov.co" TargetMode="External"/><Relationship Id="rId19" Type="http://schemas.openxmlformats.org/officeDocument/2006/relationships/hyperlink" Target="https://drive.google.com/drive/folders/1NA8uXnGiIGC7qCLjOcZu_lBEuwwqdROJ" TargetMode="External"/><Relationship Id="rId224" Type="http://schemas.openxmlformats.org/officeDocument/2006/relationships/hyperlink" Target="mailto:julio.mosquera@terminaldetransporte.gov.co,marcela.angarita@terminaldetransporte.gov.co,estefania.guzman@terminaldetransporte.gov.co,maryuri.zabala@terminaldetransporte.gov.co" TargetMode="External"/><Relationship Id="rId30" Type="http://schemas.openxmlformats.org/officeDocument/2006/relationships/hyperlink" Target="https://drive.google.com/drive/u/0/folders/13kR72lHvA6jJHQ79-ILGiIwV0gdc7Iu3" TargetMode="External"/><Relationship Id="rId105" Type="http://schemas.openxmlformats.org/officeDocument/2006/relationships/hyperlink" Target="https://drive.google.com/drive/u/0/folders/1VhF8wPMaHy6ROGzSXGlcMyxb2BD0ki_t" TargetMode="External"/><Relationship Id="rId126" Type="http://schemas.openxmlformats.org/officeDocument/2006/relationships/hyperlink" Target="https://drive.google.com/drive/u/0/folders/1YmSRhVyp56zmP55tOajgB5DZnGHgQvIL" TargetMode="External"/><Relationship Id="rId147" Type="http://schemas.openxmlformats.org/officeDocument/2006/relationships/hyperlink" Target="mailto:carolina.bueno@terminaldetransporte.gov.co,paola.copete@terminaldetransporte.gov.co,paola.copete@terminaldetransporte.gov.co,jenny.gomez@terminaldetransporte.gov.co" TargetMode="External"/><Relationship Id="rId168" Type="http://schemas.openxmlformats.org/officeDocument/2006/relationships/hyperlink" Target="mailto:linda.florez@terminaldetransporte.gov.co,jeimmy.torres@terminaldetransporte.gov.co" TargetMode="External"/><Relationship Id="rId51" Type="http://schemas.openxmlformats.org/officeDocument/2006/relationships/hyperlink" Target="https://drive.google.com/drive/folders/1v1SJX52Y9C9H4uoOjOmx1hbWI9_AAwsP" TargetMode="External"/><Relationship Id="rId72" Type="http://schemas.openxmlformats.org/officeDocument/2006/relationships/hyperlink" Target="https://drive.google.com/drive/folders/1ISJ99Ma_npLMCUzIIctwAAs1PY8LGVBi" TargetMode="External"/><Relationship Id="rId93" Type="http://schemas.openxmlformats.org/officeDocument/2006/relationships/hyperlink" Target="https://drive.google.com/drive/u/0/folders/104iUEjosT4F55Fv9qeOZBtjwKOBH0Aci" TargetMode="External"/><Relationship Id="rId189" Type="http://schemas.openxmlformats.org/officeDocument/2006/relationships/hyperlink" Target="mailto:carolina.bueno@terminaldetransporte.gov.co,paola.copete@terminaldetransporte.gov.co,paola.copete@terminaldetransporte.gov.co,jenny.gomez@terminaldetransporte.gov.co" TargetMode="External"/><Relationship Id="rId3" Type="http://schemas.openxmlformats.org/officeDocument/2006/relationships/hyperlink" Target="https://drive.google.com/drive/folders/15iQdy1LKvRipakDFPCHgprafF1-0IZF3" TargetMode="External"/><Relationship Id="rId214" Type="http://schemas.openxmlformats.org/officeDocument/2006/relationships/hyperlink" Target="https://drive.google.com/drive/folders/1wSL4XlIHGv8uOTq5sSTsedm1RT80KwKu"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https://drive.google.com/drive/u/0/folders/1ucwpor3S-25aEio3SElJgNVcIRIfx_5W" TargetMode="External"/><Relationship Id="rId13" Type="http://schemas.openxmlformats.org/officeDocument/2006/relationships/hyperlink" Target="https://drive.google.com/drive/u/0/folders/1SrnDqx1EYjwKyHx_JPYU4cVoWtNKTfpE" TargetMode="External"/><Relationship Id="rId18" Type="http://schemas.openxmlformats.org/officeDocument/2006/relationships/hyperlink" Target="https://drive.google.com/drive/u/0/folders/1pW62h0-RBoT92fZl4gJDARgAPn33GJyI" TargetMode="External"/><Relationship Id="rId3" Type="http://schemas.openxmlformats.org/officeDocument/2006/relationships/hyperlink" Target="https://drive.google.com/drive/u/0/folders/1jRj8EFrZYKR9wEJbX-stB3AAQsrLPoC6" TargetMode="External"/><Relationship Id="rId21" Type="http://schemas.openxmlformats.org/officeDocument/2006/relationships/hyperlink" Target="https://drive.google.com/drive/u/0/folders/1AMXlCHP3-blXnuaFADftQV-7zXZTQhOr" TargetMode="External"/><Relationship Id="rId7" Type="http://schemas.openxmlformats.org/officeDocument/2006/relationships/hyperlink" Target="https://drive.google.com/drive/u/0/folders/1Io-mpD0Ren7SSsBcX5vo3uE97BDOVJbl" TargetMode="External"/><Relationship Id="rId12" Type="http://schemas.openxmlformats.org/officeDocument/2006/relationships/hyperlink" Target="https://drive.google.com/drive/u/0/folders/1UNP-hmpviN1fzkxIr4qyl40FscjB5p_0" TargetMode="External"/><Relationship Id="rId17" Type="http://schemas.openxmlformats.org/officeDocument/2006/relationships/hyperlink" Target="https://drive.google.com/drive/u/0/folders/1EO-gzxzGL7GkT8xFrDqs0huRS5mEDvYh" TargetMode="External"/><Relationship Id="rId2" Type="http://schemas.openxmlformats.org/officeDocument/2006/relationships/hyperlink" Target="https://drive.google.com/drive/u/0/folders/1ZuQ9_C8JMrbUBsLnOOmS2erg4fMauuwH" TargetMode="External"/><Relationship Id="rId16" Type="http://schemas.openxmlformats.org/officeDocument/2006/relationships/hyperlink" Target="https://drive.google.com/drive/u/0/folders/1hSjSJhBE_qf-Ria7BVm4brpS2pjf7CTh" TargetMode="External"/><Relationship Id="rId20" Type="http://schemas.openxmlformats.org/officeDocument/2006/relationships/hyperlink" Target="https://drive.google.com/drive/u/0/folders/1FOGhWGRE0oYsFILc18nNDZ_0AGgiJyU4" TargetMode="External"/><Relationship Id="rId1" Type="http://schemas.openxmlformats.org/officeDocument/2006/relationships/hyperlink" Target="https://drive.google.com/drive/u/0/folders/1uUaZyXtyntS1ZR4XtKniTF8hi3ocRKO3" TargetMode="External"/><Relationship Id="rId6" Type="http://schemas.openxmlformats.org/officeDocument/2006/relationships/hyperlink" Target="https://drive.google.com/drive/u/0/folders/1WavYaYY1cqn4Fy-CG4k23XGc-_JzE_ef" TargetMode="External"/><Relationship Id="rId11" Type="http://schemas.openxmlformats.org/officeDocument/2006/relationships/hyperlink" Target="https://drive.google.com/drive/u/0/folders/1w_DqJ00GVJB6-nzVYyR1LHivRnbTEP3y" TargetMode="External"/><Relationship Id="rId5" Type="http://schemas.openxmlformats.org/officeDocument/2006/relationships/hyperlink" Target="https://drive.google.com/drive/u/0/folders/1VGx_CXqteGaJj6lxq6NX1D0MBGrGCIEC" TargetMode="External"/><Relationship Id="rId15" Type="http://schemas.openxmlformats.org/officeDocument/2006/relationships/hyperlink" Target="https://drive.google.com/drive/u/0/folders/1CF3ERwdFSyIocY0dC69Rvp6n_APi57uv" TargetMode="External"/><Relationship Id="rId23" Type="http://schemas.openxmlformats.org/officeDocument/2006/relationships/hyperlink" Target="https://drive.google.com/drive/u/0/folders/1GQASjqFKHsmuASi0ijMQdBAEBZD4H8R1" TargetMode="External"/><Relationship Id="rId10" Type="http://schemas.openxmlformats.org/officeDocument/2006/relationships/hyperlink" Target="https://drive.google.com/drive/u/0/folders/1UYuP1J8A863hFYq4HbrQYhaReRus6bka" TargetMode="External"/><Relationship Id="rId19" Type="http://schemas.openxmlformats.org/officeDocument/2006/relationships/hyperlink" Target="https://drive.google.com/drive/u/0/folders/1110AzD8AxuMiQZ_s2B_iIFinnBkx3eIq" TargetMode="External"/><Relationship Id="rId4" Type="http://schemas.openxmlformats.org/officeDocument/2006/relationships/hyperlink" Target="https://drive.google.com/drive/u/0/folders/1jzqat7q2A6XOX5aqj-i_cdbRaBNbiY_0" TargetMode="External"/><Relationship Id="rId9" Type="http://schemas.openxmlformats.org/officeDocument/2006/relationships/hyperlink" Target="https://drive.google.com/drive/u/0/folders/12p07BvpGXoYDerlUIVGj1xBe2lYlT33n" TargetMode="External"/><Relationship Id="rId14" Type="http://schemas.openxmlformats.org/officeDocument/2006/relationships/hyperlink" Target="https://drive.google.com/drive/u/0/folders/1aP6hkTuBP2EZpYgqGnMjRNyvyleVSzrU" TargetMode="External"/><Relationship Id="rId22" Type="http://schemas.openxmlformats.org/officeDocument/2006/relationships/hyperlink" Target="https://drive.google.com/drive/u/0/folders/1GNwpEI0-e4hpd6zG-OQnHucYB6hNrS7a"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s://drive.google.com/drive/u/0/folders/1pak-yGsM7YD3nj2_5tOqdbWyAWLOsdgd" TargetMode="External"/><Relationship Id="rId13" Type="http://schemas.openxmlformats.org/officeDocument/2006/relationships/hyperlink" Target="https://drive.google.com/drive/u/0/folders/1_Y1Qq-J7-1PD82SzBiM-CtLDhfBaFiWz" TargetMode="External"/><Relationship Id="rId18" Type="http://schemas.openxmlformats.org/officeDocument/2006/relationships/hyperlink" Target="https://drive.google.com/drive/folders/1Aalc93qFTu8ou5rg2A4V5o9Br1Bbctk8" TargetMode="External"/><Relationship Id="rId26" Type="http://schemas.openxmlformats.org/officeDocument/2006/relationships/hyperlink" Target="https://drive.google.com/drive/u/0/folders/16qvkhydmiQkZAHbIfaOnAEAokJbfYTBo" TargetMode="External"/><Relationship Id="rId3" Type="http://schemas.openxmlformats.org/officeDocument/2006/relationships/hyperlink" Target="https://drive.google.com/drive/u/0/folders/1qM1MgdWS3cM7dSOvy6vSLyky2Lw153GR" TargetMode="External"/><Relationship Id="rId21" Type="http://schemas.openxmlformats.org/officeDocument/2006/relationships/hyperlink" Target="https://drive.google.com/drive/folders/1rCSxB6vTAnnveo-Vo3MfMLSxbBj-y6hb" TargetMode="External"/><Relationship Id="rId7" Type="http://schemas.openxmlformats.org/officeDocument/2006/relationships/hyperlink" Target="https://drive.google.com/drive/u/0/folders/104iUEjosT4F55Fv9qeOZBtjwKOBH0Aci" TargetMode="External"/><Relationship Id="rId12" Type="http://schemas.openxmlformats.org/officeDocument/2006/relationships/hyperlink" Target="https://drive.google.com/drive/u/0/folders/1_Y1Qq-J7-1PD82SzBiM-CtLDhfBaFiWz" TargetMode="External"/><Relationship Id="rId17" Type="http://schemas.openxmlformats.org/officeDocument/2006/relationships/hyperlink" Target="https://drive.google.com/drive/u/0/folders/1-wTHBAqsEvDtGobro6-Hp7NzPYFVnZTJ" TargetMode="External"/><Relationship Id="rId25" Type="http://schemas.openxmlformats.org/officeDocument/2006/relationships/hyperlink" Target="https://drive.google.com/drive/u/0/folders/1YmSRhVyp56zmP55tOajgB5DZnGHgQvIL" TargetMode="External"/><Relationship Id="rId2" Type="http://schemas.openxmlformats.org/officeDocument/2006/relationships/hyperlink" Target="https://drive.google.com/drive/folders/1ipCvItirLu48TTpUK5NUPAbU6IrM5L80" TargetMode="External"/><Relationship Id="rId16" Type="http://schemas.openxmlformats.org/officeDocument/2006/relationships/hyperlink" Target="https://drive.google.com/drive/u/0/folders/1-wTHBAqsEvDtGobro6-Hp7NzPYFVnZTJ" TargetMode="External"/><Relationship Id="rId20" Type="http://schemas.openxmlformats.org/officeDocument/2006/relationships/hyperlink" Target="https://drive.google.com/drive/folders/1rCSxB6vTAnnveo-Vo3MfMLSxbBj-y6hb" TargetMode="External"/><Relationship Id="rId29" Type="http://schemas.openxmlformats.org/officeDocument/2006/relationships/hyperlink" Target="https://drive.google.com/drive/u/0/folders/1jkppab-HKEWxhEH7khu-BbiMW3UulEz_" TargetMode="External"/><Relationship Id="rId1" Type="http://schemas.openxmlformats.org/officeDocument/2006/relationships/hyperlink" Target="https://drive.google.com/drive/folders/1ipCvItirLu48TTpUK5NUPAbU6IrM5L80" TargetMode="External"/><Relationship Id="rId6" Type="http://schemas.openxmlformats.org/officeDocument/2006/relationships/hyperlink" Target="https://drive.google.com/drive/u/0/folders/104iUEjosT4F55Fv9qeOZBtjwKOBH0Aci" TargetMode="External"/><Relationship Id="rId11" Type="http://schemas.openxmlformats.org/officeDocument/2006/relationships/hyperlink" Target="https://drive.google.com/drive/u/0/folders/1_Y1Qq-J7-1PD82SzBiM-CtLDhfBaFiWz" TargetMode="External"/><Relationship Id="rId24" Type="http://schemas.openxmlformats.org/officeDocument/2006/relationships/hyperlink" Target="https://drive.google.com/drive/u/0/folders/1YmSRhVyp56zmP55tOajgB5DZnGHgQvIL" TargetMode="External"/><Relationship Id="rId5" Type="http://schemas.openxmlformats.org/officeDocument/2006/relationships/hyperlink" Target="https://drive.google.com/drive/folders/1iy6UDLj3EChlzMQt-ee2DE_DAuMpwyZK" TargetMode="External"/><Relationship Id="rId15" Type="http://schemas.openxmlformats.org/officeDocument/2006/relationships/hyperlink" Target="https://drive.google.com/drive/u/0/folders/1_Y1Qq-J7-1PD82SzBiM-CtLDhfBaFiWz" TargetMode="External"/><Relationship Id="rId23" Type="http://schemas.openxmlformats.org/officeDocument/2006/relationships/hyperlink" Target="https://drive.google.com/drive/u/0/folders/1QAWC1xBK1MWu3buPGEfeN0Hadjl9cS0v" TargetMode="External"/><Relationship Id="rId28" Type="http://schemas.openxmlformats.org/officeDocument/2006/relationships/hyperlink" Target="https://drive.google.com/drive/u/0/folders/1IJU0YkqOggF1VAdcLlnBLnsK0D0UuQeb" TargetMode="External"/><Relationship Id="rId10" Type="http://schemas.openxmlformats.org/officeDocument/2006/relationships/hyperlink" Target="https://drive.google.com/drive/u/0/folders/1_Y1Qq-J7-1PD82SzBiM-CtLDhfBaFiWz" TargetMode="External"/><Relationship Id="rId19" Type="http://schemas.openxmlformats.org/officeDocument/2006/relationships/hyperlink" Target="https://drive.google.com/drive/folders/1rCSxB6vTAnnveo-Vo3MfMLSxbBj-y6hb" TargetMode="External"/><Relationship Id="rId4" Type="http://schemas.openxmlformats.org/officeDocument/2006/relationships/hyperlink" Target="https://drive.google.com/drive/folders/1iy6UDLj3EChlzMQt-ee2DE_DAuMpwyZK" TargetMode="External"/><Relationship Id="rId9" Type="http://schemas.openxmlformats.org/officeDocument/2006/relationships/hyperlink" Target="https://drive.google.com/drive/u/0/folders/1pak-yGsM7YD3nj2_5tOqdbWyAWLOsdgd" TargetMode="External"/><Relationship Id="rId14" Type="http://schemas.openxmlformats.org/officeDocument/2006/relationships/hyperlink" Target="https://drive.google.com/drive/u/0/folders/1_Y1Qq-J7-1PD82SzBiM-CtLDhfBaFiWz" TargetMode="External"/><Relationship Id="rId22" Type="http://schemas.openxmlformats.org/officeDocument/2006/relationships/hyperlink" Target="https://drive.google.com/drive/folders/1rCSxB6vTAnnveo-Vo3MfMLSxbBj-y6hb" TargetMode="External"/><Relationship Id="rId27" Type="http://schemas.openxmlformats.org/officeDocument/2006/relationships/hyperlink" Target="https://drive.google.com/drive/u/0/folders/16qvkhydmiQkZAHbIfaOnAEAokJbfYTBo" TargetMode="External"/></Relationships>
</file>

<file path=xl/worksheets/_rels/sheet12.xml.rels><?xml version="1.0" encoding="UTF-8" standalone="yes"?>
<Relationships xmlns="http://schemas.openxmlformats.org/package/2006/relationships"><Relationship Id="rId8" Type="http://schemas.openxmlformats.org/officeDocument/2006/relationships/hyperlink" Target="https://drive.google.com/drive/u/0/folders/1U9cTDhrtKysQ5qa8J1fASSnvtIJNxoAN" TargetMode="External"/><Relationship Id="rId3" Type="http://schemas.openxmlformats.org/officeDocument/2006/relationships/hyperlink" Target="https://drive.google.com/drive/folders/1AaO5moNRfI5SUEm9dckFhktes7ONYou3" TargetMode="External"/><Relationship Id="rId7" Type="http://schemas.openxmlformats.org/officeDocument/2006/relationships/hyperlink" Target="https://drive.google.com/drive/u/0/folders/1VhF8wPMaHy6ROGzSXGlcMyxb2BD0ki_t" TargetMode="External"/><Relationship Id="rId12" Type="http://schemas.openxmlformats.org/officeDocument/2006/relationships/hyperlink" Target="https://drive.google.com/drive/u/0/folders/1QAWC1xBK1MWu3buPGEfeN0Hadjl9cS0v" TargetMode="External"/><Relationship Id="rId2" Type="http://schemas.openxmlformats.org/officeDocument/2006/relationships/hyperlink" Target="https://drive.google.com/drive/u/0/folders/1XBpx28e8cg7NT_55LohMR7y5A1kxbhR-" TargetMode="External"/><Relationship Id="rId1" Type="http://schemas.openxmlformats.org/officeDocument/2006/relationships/hyperlink" Target="https://drive.google.com/drive/u/0/folders/1gaKNfmRjHWtMa_srRXD9i5k6JEL2yLvH" TargetMode="External"/><Relationship Id="rId6" Type="http://schemas.openxmlformats.org/officeDocument/2006/relationships/hyperlink" Target="https://drive.google.com/drive/u/0/folders/1VhF8wPMaHy6ROGzSXGlcMyxb2BD0ki_t" TargetMode="External"/><Relationship Id="rId11" Type="http://schemas.openxmlformats.org/officeDocument/2006/relationships/hyperlink" Target="https://drive.google.com/drive/u/0/folders/1NwxAaYlMjnpU9jD-vgxTURXIcxk5KBKD" TargetMode="External"/><Relationship Id="rId5" Type="http://schemas.openxmlformats.org/officeDocument/2006/relationships/hyperlink" Target="https://drive.google.com/drive/u/0/folders/1VhF8wPMaHy6ROGzSXGlcMyxb2BD0ki_t" TargetMode="External"/><Relationship Id="rId10" Type="http://schemas.openxmlformats.org/officeDocument/2006/relationships/hyperlink" Target="https://drive.google.com/drive/u/0/folders/1inuk8tfs9D8lcsOsSQKSJ3KvvdGewvdC" TargetMode="External"/><Relationship Id="rId4" Type="http://schemas.openxmlformats.org/officeDocument/2006/relationships/hyperlink" Target="https://drive.google.com/drive/u/0/folders/1VhF8wPMaHy6ROGzSXGlcMyxb2BD0ki_t" TargetMode="External"/><Relationship Id="rId9" Type="http://schemas.openxmlformats.org/officeDocument/2006/relationships/hyperlink" Target="https://drive.google.com/drive/u/0/folders/1U9cTDhrtKysQ5qa8J1fASSnvtIJNxoAN" TargetMode="External"/></Relationships>
</file>

<file path=xl/worksheets/_rels/sheet1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28F18-CCAC-4BCB-AC5B-60169F136165}">
  <sheetPr codeName="CajaNotas">
    <pageSetUpPr fitToPage="1"/>
  </sheetPr>
  <dimension ref="A1:S33"/>
  <sheetViews>
    <sheetView showGridLines="0" showRowColHeaders="0" zoomScaleNormal="100" workbookViewId="0">
      <selection activeCell="K30" sqref="K30"/>
    </sheetView>
  </sheetViews>
  <sheetFormatPr baseColWidth="10" defaultRowHeight="14.4"/>
  <cols>
    <col min="9" max="9" width="16.6640625" bestFit="1" customWidth="1"/>
    <col min="10" max="10" width="10.109375" customWidth="1"/>
    <col min="17" max="17" width="7.109375" customWidth="1"/>
  </cols>
  <sheetData>
    <row r="1" spans="1:19">
      <c r="A1" s="14"/>
      <c r="B1" s="14"/>
      <c r="C1" s="14"/>
      <c r="D1" s="14"/>
      <c r="E1" s="14"/>
      <c r="F1" s="14"/>
      <c r="G1" s="14"/>
      <c r="H1" s="14"/>
      <c r="I1" s="14"/>
      <c r="J1" s="14"/>
      <c r="K1" s="14"/>
      <c r="L1" s="14"/>
      <c r="M1" s="14"/>
      <c r="N1" s="14"/>
      <c r="O1" s="14"/>
      <c r="P1" s="14"/>
      <c r="Q1" s="14"/>
      <c r="R1" s="14"/>
      <c r="S1" s="14"/>
    </row>
    <row r="2" spans="1:19" ht="15.6">
      <c r="A2" s="17"/>
      <c r="B2" s="14"/>
      <c r="C2" s="14"/>
      <c r="D2" s="14"/>
      <c r="E2" s="14"/>
      <c r="F2" s="14"/>
      <c r="G2" s="14"/>
      <c r="H2" s="14"/>
      <c r="I2" s="14"/>
      <c r="J2" s="14"/>
      <c r="K2" s="14"/>
      <c r="L2" s="14"/>
      <c r="M2" s="14"/>
      <c r="N2" s="14"/>
      <c r="O2" s="14"/>
      <c r="P2" s="14"/>
      <c r="Q2" s="14"/>
      <c r="R2" s="14"/>
      <c r="S2" s="14"/>
    </row>
    <row r="3" spans="1:19">
      <c r="A3" s="14"/>
      <c r="B3" s="14"/>
      <c r="C3" s="14"/>
      <c r="D3" s="14"/>
      <c r="E3" s="14"/>
      <c r="F3" s="14"/>
      <c r="G3" s="14"/>
      <c r="H3" s="14"/>
      <c r="I3" s="14"/>
      <c r="J3" s="14"/>
      <c r="K3" s="14"/>
      <c r="L3" s="14"/>
      <c r="M3" s="14"/>
      <c r="N3" s="14"/>
      <c r="O3" s="14"/>
      <c r="P3" s="14"/>
      <c r="Q3" s="14"/>
      <c r="R3" s="14"/>
      <c r="S3" s="14"/>
    </row>
    <row r="29" spans="7:13">
      <c r="M29" s="58"/>
    </row>
    <row r="30" spans="7:13">
      <c r="G30" s="58"/>
      <c r="I30" s="58"/>
      <c r="L30" s="58"/>
    </row>
    <row r="31" spans="7:13">
      <c r="G31" s="59"/>
      <c r="H31" s="31"/>
      <c r="I31" s="60" t="s">
        <v>1845</v>
      </c>
    </row>
    <row r="33" spans="6:9">
      <c r="F33" s="163"/>
      <c r="G33" s="163"/>
      <c r="H33" s="163"/>
      <c r="I33" s="163"/>
    </row>
  </sheetData>
  <sheetProtection selectLockedCells="1" autoFilter="0" pivotTables="0"/>
  <pageMargins left="0.7" right="0.7" top="0.75" bottom="0.75" header="0.3" footer="0.3"/>
  <pageSetup scale="75" fitToHeight="0" orientation="landscape"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44241-B0B5-46DF-9AEB-8FDFD4466608}">
  <sheetPr codeName="Hoja7"/>
  <dimension ref="B2:H1131"/>
  <sheetViews>
    <sheetView showGridLines="0" workbookViewId="0">
      <selection activeCell="B2" sqref="B2"/>
    </sheetView>
  </sheetViews>
  <sheetFormatPr baseColWidth="10" defaultColWidth="11.5546875" defaultRowHeight="13.2"/>
  <cols>
    <col min="1" max="1" width="32.109375" style="55" customWidth="1"/>
    <col min="2" max="2" width="11.6640625" style="55" bestFit="1" customWidth="1"/>
    <col min="3" max="3" width="18.44140625" style="55" customWidth="1"/>
    <col min="4" max="4" width="11.6640625" style="55" customWidth="1"/>
    <col min="5" max="5" width="11.5546875" style="55"/>
    <col min="6" max="8" width="25.77734375" style="129" customWidth="1"/>
    <col min="9" max="16384" width="11.5546875" style="55"/>
  </cols>
  <sheetData>
    <row r="2" spans="2:7">
      <c r="B2" s="57" t="s">
        <v>612</v>
      </c>
      <c r="C2" s="57" t="s">
        <v>613</v>
      </c>
      <c r="D2" s="57" t="s">
        <v>614</v>
      </c>
      <c r="E2" s="57" t="s">
        <v>615</v>
      </c>
      <c r="F2" s="128" t="s">
        <v>616</v>
      </c>
      <c r="G2" s="128" t="s">
        <v>617</v>
      </c>
    </row>
    <row r="3" spans="2:7" ht="26.4">
      <c r="B3" s="56">
        <v>46128</v>
      </c>
      <c r="C3" s="69">
        <v>46128.598622685182</v>
      </c>
      <c r="D3" s="55" t="s">
        <v>680</v>
      </c>
      <c r="E3" s="55" t="s">
        <v>681</v>
      </c>
      <c r="G3" s="129" t="s">
        <v>679</v>
      </c>
    </row>
    <row r="4" spans="2:7" ht="303.60000000000002">
      <c r="B4" s="56">
        <v>46129</v>
      </c>
      <c r="C4" s="69">
        <v>46129.394525462965</v>
      </c>
      <c r="D4" s="55" t="s">
        <v>684</v>
      </c>
      <c r="E4" s="55" t="s">
        <v>685</v>
      </c>
      <c r="F4" s="129" t="s">
        <v>123</v>
      </c>
      <c r="G4" s="129" t="s">
        <v>451</v>
      </c>
    </row>
    <row r="5" spans="2:7">
      <c r="B5" s="56">
        <v>46129</v>
      </c>
      <c r="C5" s="69">
        <v>46129.395092592589</v>
      </c>
      <c r="D5" s="55" t="s">
        <v>684</v>
      </c>
      <c r="E5" s="55" t="s">
        <v>686</v>
      </c>
      <c r="F5" s="130">
        <v>46022</v>
      </c>
      <c r="G5" s="130">
        <v>46171</v>
      </c>
    </row>
    <row r="6" spans="2:7">
      <c r="B6" s="56">
        <v>46129</v>
      </c>
      <c r="C6" s="69">
        <v>46129.395115740743</v>
      </c>
      <c r="D6" s="55" t="s">
        <v>684</v>
      </c>
      <c r="E6" s="55" t="s">
        <v>687</v>
      </c>
      <c r="F6" s="129" t="s">
        <v>33</v>
      </c>
      <c r="G6" s="129" t="s">
        <v>201</v>
      </c>
    </row>
    <row r="7" spans="2:7">
      <c r="B7" s="56">
        <v>46129</v>
      </c>
      <c r="C7" s="69">
        <v>46129.491608796299</v>
      </c>
      <c r="D7" s="55" t="s">
        <v>689</v>
      </c>
      <c r="E7" s="55" t="s">
        <v>681</v>
      </c>
      <c r="G7" s="129" t="s">
        <v>688</v>
      </c>
    </row>
    <row r="8" spans="2:7">
      <c r="B8" s="56">
        <v>46129</v>
      </c>
      <c r="C8" s="69">
        <v>46129.491655092592</v>
      </c>
      <c r="D8" s="55" t="s">
        <v>689</v>
      </c>
      <c r="E8" s="55" t="s">
        <v>681</v>
      </c>
      <c r="G8" s="130" t="s">
        <v>690</v>
      </c>
    </row>
    <row r="9" spans="2:7" ht="26.4">
      <c r="B9" s="56">
        <v>46129</v>
      </c>
      <c r="C9" s="69">
        <v>46129.491770833331</v>
      </c>
      <c r="D9" s="55" t="s">
        <v>689</v>
      </c>
      <c r="E9" s="55" t="s">
        <v>681</v>
      </c>
      <c r="F9" s="130"/>
      <c r="G9" s="130" t="s">
        <v>691</v>
      </c>
    </row>
    <row r="10" spans="2:7" ht="26.4">
      <c r="B10" s="56">
        <v>46129</v>
      </c>
      <c r="C10" s="69">
        <v>46129.49181712963</v>
      </c>
      <c r="D10" s="55" t="s">
        <v>689</v>
      </c>
      <c r="E10" s="55" t="s">
        <v>681</v>
      </c>
      <c r="G10" s="130" t="s">
        <v>692</v>
      </c>
    </row>
    <row r="11" spans="2:7" ht="39.6">
      <c r="B11" s="56">
        <v>46129</v>
      </c>
      <c r="C11" s="69">
        <v>46129.492256944446</v>
      </c>
      <c r="D11" s="55" t="s">
        <v>689</v>
      </c>
      <c r="E11" s="55" t="s">
        <v>681</v>
      </c>
      <c r="F11" s="130"/>
      <c r="G11" s="130" t="s">
        <v>693</v>
      </c>
    </row>
    <row r="12" spans="2:7">
      <c r="B12" s="56">
        <v>46129</v>
      </c>
      <c r="C12" s="69">
        <v>46129.494988425926</v>
      </c>
      <c r="D12" s="55" t="s">
        <v>695</v>
      </c>
      <c r="E12" s="55" t="s">
        <v>696</v>
      </c>
      <c r="G12" s="130" t="s">
        <v>694</v>
      </c>
    </row>
    <row r="13" spans="2:7" ht="26.4">
      <c r="B13" s="56">
        <v>46129</v>
      </c>
      <c r="C13" s="69">
        <v>46129.495706018519</v>
      </c>
      <c r="D13" s="55" t="s">
        <v>695</v>
      </c>
      <c r="E13" s="55" t="s">
        <v>697</v>
      </c>
      <c r="G13" s="129" t="s">
        <v>210</v>
      </c>
    </row>
    <row r="14" spans="2:7" ht="39.6">
      <c r="B14" s="56">
        <v>46129</v>
      </c>
      <c r="C14" s="69">
        <v>46129.496527777781</v>
      </c>
      <c r="D14" s="55" t="s">
        <v>695</v>
      </c>
      <c r="E14" s="55" t="s">
        <v>699</v>
      </c>
      <c r="G14" s="130" t="s">
        <v>698</v>
      </c>
    </row>
    <row r="15" spans="2:7">
      <c r="B15" s="56">
        <v>46129</v>
      </c>
      <c r="C15" s="69">
        <v>46129.49659722222</v>
      </c>
      <c r="D15" s="55" t="s">
        <v>695</v>
      </c>
      <c r="E15" s="55" t="s">
        <v>701</v>
      </c>
      <c r="G15" s="130" t="s">
        <v>700</v>
      </c>
    </row>
    <row r="16" spans="2:7">
      <c r="B16" s="56">
        <v>46129</v>
      </c>
      <c r="C16" s="69">
        <v>46129.496932870374</v>
      </c>
      <c r="D16" s="55" t="s">
        <v>695</v>
      </c>
      <c r="E16" s="55" t="s">
        <v>701</v>
      </c>
      <c r="F16" s="129" t="s">
        <v>700</v>
      </c>
      <c r="G16" s="130"/>
    </row>
    <row r="17" spans="2:7" ht="100.2" customHeight="1">
      <c r="B17" s="56">
        <v>46129</v>
      </c>
      <c r="C17" s="69">
        <v>46129.497002314813</v>
      </c>
      <c r="D17" s="55" t="s">
        <v>695</v>
      </c>
      <c r="E17" s="55" t="s">
        <v>699</v>
      </c>
      <c r="F17" s="129" t="s">
        <v>698</v>
      </c>
      <c r="G17" s="130" t="s">
        <v>702</v>
      </c>
    </row>
    <row r="18" spans="2:7" ht="39.6">
      <c r="B18" s="56">
        <v>46129</v>
      </c>
      <c r="C18" s="69">
        <v>46129.497662037036</v>
      </c>
      <c r="D18" s="55" t="s">
        <v>695</v>
      </c>
      <c r="E18" s="55" t="s">
        <v>697</v>
      </c>
      <c r="F18" s="129" t="s">
        <v>210</v>
      </c>
      <c r="G18" s="130" t="s">
        <v>703</v>
      </c>
    </row>
    <row r="19" spans="2:7" ht="39.6">
      <c r="B19" s="56">
        <v>46129</v>
      </c>
      <c r="C19" s="69">
        <v>46129.497881944444</v>
      </c>
      <c r="D19" s="55" t="s">
        <v>695</v>
      </c>
      <c r="E19" s="55" t="s">
        <v>697</v>
      </c>
      <c r="F19" s="129" t="s">
        <v>703</v>
      </c>
      <c r="G19" s="130" t="s">
        <v>704</v>
      </c>
    </row>
    <row r="20" spans="2:7" ht="92.4">
      <c r="B20" s="56">
        <v>46129</v>
      </c>
      <c r="C20" s="69">
        <v>46129.498969907407</v>
      </c>
      <c r="D20" s="55" t="s">
        <v>695</v>
      </c>
      <c r="E20" s="55" t="s">
        <v>706</v>
      </c>
      <c r="G20" s="130" t="s">
        <v>705</v>
      </c>
    </row>
    <row r="21" spans="2:7" ht="92.4">
      <c r="B21" s="56">
        <v>46129</v>
      </c>
      <c r="C21" s="69">
        <v>46129.499432870369</v>
      </c>
      <c r="D21" s="55" t="s">
        <v>695</v>
      </c>
      <c r="E21" s="55" t="s">
        <v>706</v>
      </c>
      <c r="F21" s="129" t="s">
        <v>705</v>
      </c>
      <c r="G21" s="129" t="s">
        <v>707</v>
      </c>
    </row>
    <row r="22" spans="2:7" ht="52.8">
      <c r="B22" s="56">
        <v>46129</v>
      </c>
      <c r="C22" s="69">
        <v>46129.500324074077</v>
      </c>
      <c r="D22" s="55" t="s">
        <v>695</v>
      </c>
      <c r="E22" s="55" t="s">
        <v>699</v>
      </c>
      <c r="F22" s="129" t="s">
        <v>702</v>
      </c>
      <c r="G22" s="130" t="s">
        <v>708</v>
      </c>
    </row>
    <row r="23" spans="2:7" ht="52.8">
      <c r="B23" s="56">
        <v>46129</v>
      </c>
      <c r="C23" s="69">
        <v>46129.500474537039</v>
      </c>
      <c r="D23" s="55" t="s">
        <v>695</v>
      </c>
      <c r="E23" s="55" t="s">
        <v>699</v>
      </c>
      <c r="F23" s="129" t="s">
        <v>708</v>
      </c>
      <c r="G23" s="129" t="s">
        <v>709</v>
      </c>
    </row>
    <row r="24" spans="2:7" ht="52.8">
      <c r="B24" s="56">
        <v>46129</v>
      </c>
      <c r="C24" s="69">
        <v>46129.500578703701</v>
      </c>
      <c r="D24" s="55" t="s">
        <v>695</v>
      </c>
      <c r="E24" s="55" t="s">
        <v>699</v>
      </c>
      <c r="F24" s="129" t="s">
        <v>709</v>
      </c>
      <c r="G24" s="130" t="s">
        <v>710</v>
      </c>
    </row>
    <row r="25" spans="2:7">
      <c r="B25" s="56">
        <v>46129</v>
      </c>
      <c r="C25" s="69">
        <v>46129.501828703702</v>
      </c>
      <c r="D25" s="55" t="s">
        <v>713</v>
      </c>
      <c r="E25" s="55" t="s">
        <v>714</v>
      </c>
      <c r="G25" s="129" t="s">
        <v>712</v>
      </c>
    </row>
    <row r="26" spans="2:7" ht="52.8">
      <c r="B26" s="56">
        <v>46129</v>
      </c>
      <c r="C26" s="69">
        <v>46129.502662037034</v>
      </c>
      <c r="D26" s="55" t="s">
        <v>713</v>
      </c>
      <c r="E26" s="55" t="s">
        <v>699</v>
      </c>
      <c r="F26" s="129" t="s">
        <v>710</v>
      </c>
      <c r="G26" s="130" t="s">
        <v>715</v>
      </c>
    </row>
    <row r="27" spans="2:7" ht="79.2">
      <c r="B27" s="56">
        <v>46129</v>
      </c>
      <c r="C27" s="69">
        <v>46129.522870370369</v>
      </c>
      <c r="D27" s="55" t="s">
        <v>713</v>
      </c>
      <c r="E27" s="55" t="s">
        <v>717</v>
      </c>
      <c r="F27" s="129" t="s">
        <v>707</v>
      </c>
      <c r="G27" s="129" t="s">
        <v>718</v>
      </c>
    </row>
    <row r="28" spans="2:7" ht="39.6">
      <c r="B28" s="56">
        <v>46129</v>
      </c>
      <c r="C28" s="69">
        <v>46129.523865740739</v>
      </c>
      <c r="D28" s="55" t="s">
        <v>713</v>
      </c>
      <c r="E28" s="55" t="s">
        <v>720</v>
      </c>
      <c r="F28" s="129" t="s">
        <v>715</v>
      </c>
      <c r="G28" s="130" t="s">
        <v>719</v>
      </c>
    </row>
    <row r="29" spans="2:7">
      <c r="B29" s="56">
        <v>46129</v>
      </c>
      <c r="C29" s="69">
        <v>46129.526076388887</v>
      </c>
      <c r="D29" s="55" t="s">
        <v>721</v>
      </c>
      <c r="E29" s="55" t="s">
        <v>686</v>
      </c>
      <c r="G29" s="129" t="s">
        <v>694</v>
      </c>
    </row>
    <row r="30" spans="2:7" ht="39.6">
      <c r="B30" s="56">
        <v>46129</v>
      </c>
      <c r="C30" s="69">
        <v>46129.529560185183</v>
      </c>
      <c r="D30" s="55" t="s">
        <v>721</v>
      </c>
      <c r="E30" s="55" t="s">
        <v>723</v>
      </c>
      <c r="F30" s="129" t="s">
        <v>704</v>
      </c>
      <c r="G30" s="130" t="s">
        <v>722</v>
      </c>
    </row>
    <row r="31" spans="2:7" ht="52.8">
      <c r="B31" s="56">
        <v>46129</v>
      </c>
      <c r="C31" s="69">
        <v>46129.529976851853</v>
      </c>
      <c r="D31" s="55" t="s">
        <v>721</v>
      </c>
      <c r="E31" s="55" t="s">
        <v>725</v>
      </c>
      <c r="F31" s="129" t="s">
        <v>704</v>
      </c>
      <c r="G31" s="130" t="s">
        <v>724</v>
      </c>
    </row>
    <row r="32" spans="2:7" ht="92.4">
      <c r="B32" s="56">
        <v>46129</v>
      </c>
      <c r="C32" s="69">
        <v>46129.530405092592</v>
      </c>
      <c r="D32" s="55" t="s">
        <v>721</v>
      </c>
      <c r="E32" s="55" t="s">
        <v>726</v>
      </c>
      <c r="F32" s="129" t="s">
        <v>718</v>
      </c>
      <c r="G32" s="130" t="s">
        <v>727</v>
      </c>
    </row>
    <row r="33" spans="2:7" ht="105.6">
      <c r="B33" s="56">
        <v>46129</v>
      </c>
      <c r="C33" s="69">
        <v>46129.530601851853</v>
      </c>
      <c r="D33" s="55" t="s">
        <v>721</v>
      </c>
      <c r="E33" s="55" t="s">
        <v>726</v>
      </c>
      <c r="F33" s="129" t="s">
        <v>727</v>
      </c>
      <c r="G33" s="130" t="s">
        <v>729</v>
      </c>
    </row>
    <row r="34" spans="2:7" ht="52.8">
      <c r="B34" s="56">
        <v>46129</v>
      </c>
      <c r="C34" s="69">
        <v>46129.531400462962</v>
      </c>
      <c r="D34" s="55" t="s">
        <v>721</v>
      </c>
      <c r="E34" s="55" t="s">
        <v>699</v>
      </c>
      <c r="F34" s="129" t="s">
        <v>715</v>
      </c>
      <c r="G34" s="130" t="s">
        <v>730</v>
      </c>
    </row>
    <row r="35" spans="2:7" ht="52.8">
      <c r="B35" s="56">
        <v>46129</v>
      </c>
      <c r="C35" s="69">
        <v>46129.531585648147</v>
      </c>
      <c r="D35" s="55" t="s">
        <v>721</v>
      </c>
      <c r="E35" s="55" t="s">
        <v>699</v>
      </c>
      <c r="F35" s="129" t="s">
        <v>730</v>
      </c>
      <c r="G35" s="130" t="s">
        <v>731</v>
      </c>
    </row>
    <row r="36" spans="2:7" ht="39.6">
      <c r="B36" s="56">
        <v>46129</v>
      </c>
      <c r="C36" s="69">
        <v>46129.549178240741</v>
      </c>
      <c r="D36" s="55" t="s">
        <v>721</v>
      </c>
      <c r="E36" s="55" t="s">
        <v>720</v>
      </c>
      <c r="F36" s="129" t="s">
        <v>719</v>
      </c>
      <c r="G36" s="130" t="s">
        <v>715</v>
      </c>
    </row>
    <row r="37" spans="2:7" ht="52.8">
      <c r="B37" s="56">
        <v>46129</v>
      </c>
      <c r="C37" s="69">
        <v>46129.549479166664</v>
      </c>
      <c r="D37" s="55" t="s">
        <v>721</v>
      </c>
      <c r="E37" s="55" t="s">
        <v>720</v>
      </c>
      <c r="F37" s="130" t="s">
        <v>715</v>
      </c>
      <c r="G37" s="130" t="s">
        <v>732</v>
      </c>
    </row>
    <row r="38" spans="2:7">
      <c r="B38" s="56">
        <v>46130</v>
      </c>
      <c r="C38" s="69">
        <v>46130.748425925929</v>
      </c>
      <c r="D38" s="55" t="s">
        <v>734</v>
      </c>
      <c r="E38" s="55" t="s">
        <v>735</v>
      </c>
      <c r="G38" s="130" t="s">
        <v>733</v>
      </c>
    </row>
    <row r="39" spans="2:7">
      <c r="B39" s="56">
        <v>46130</v>
      </c>
      <c r="C39" s="69">
        <v>46130.748425925929</v>
      </c>
      <c r="D39" s="55" t="s">
        <v>734</v>
      </c>
      <c r="E39" s="55" t="s">
        <v>735</v>
      </c>
      <c r="F39" s="130"/>
      <c r="G39" s="130" t="s">
        <v>733</v>
      </c>
    </row>
    <row r="40" spans="2:7">
      <c r="B40" s="56">
        <v>46130</v>
      </c>
      <c r="C40" s="69">
        <v>46130.748472222222</v>
      </c>
      <c r="D40" s="55" t="s">
        <v>734</v>
      </c>
      <c r="E40" s="55" t="s">
        <v>736</v>
      </c>
      <c r="F40" s="129" t="s">
        <v>733</v>
      </c>
      <c r="G40" s="130"/>
    </row>
    <row r="41" spans="2:7">
      <c r="B41" s="56">
        <v>46130</v>
      </c>
      <c r="C41" s="69">
        <v>46130.748738425929</v>
      </c>
      <c r="D41" s="55" t="s">
        <v>734</v>
      </c>
      <c r="E41" s="55" t="s">
        <v>735</v>
      </c>
      <c r="F41" s="130" t="s">
        <v>733</v>
      </c>
      <c r="G41" s="130" t="s">
        <v>737</v>
      </c>
    </row>
    <row r="42" spans="2:7">
      <c r="B42" s="56">
        <v>46130</v>
      </c>
      <c r="C42" s="69">
        <v>46130.748807870368</v>
      </c>
      <c r="D42" s="55" t="s">
        <v>734</v>
      </c>
      <c r="E42" s="55" t="s">
        <v>739</v>
      </c>
      <c r="G42" s="130" t="s">
        <v>738</v>
      </c>
    </row>
    <row r="43" spans="2:7">
      <c r="B43" s="56">
        <v>46130</v>
      </c>
      <c r="C43" s="69">
        <v>46130.748865740738</v>
      </c>
      <c r="D43" s="55" t="s">
        <v>734</v>
      </c>
      <c r="E43" s="55" t="s">
        <v>741</v>
      </c>
      <c r="F43" s="130"/>
      <c r="G43" s="130" t="s">
        <v>740</v>
      </c>
    </row>
    <row r="44" spans="2:7">
      <c r="B44" s="56">
        <v>46130</v>
      </c>
      <c r="C44" s="69">
        <v>46130.748900462961</v>
      </c>
      <c r="D44" s="55" t="s">
        <v>734</v>
      </c>
      <c r="E44" s="55" t="s">
        <v>743</v>
      </c>
      <c r="G44" s="130" t="s">
        <v>742</v>
      </c>
    </row>
    <row r="45" spans="2:7">
      <c r="B45" s="56">
        <v>46130</v>
      </c>
      <c r="C45" s="69">
        <v>46130.74895833333</v>
      </c>
      <c r="D45" s="55" t="s">
        <v>734</v>
      </c>
      <c r="E45" s="55" t="s">
        <v>745</v>
      </c>
      <c r="F45" s="130"/>
      <c r="G45" s="130" t="s">
        <v>744</v>
      </c>
    </row>
    <row r="46" spans="2:7">
      <c r="B46" s="56">
        <v>46130</v>
      </c>
      <c r="C46" s="69">
        <v>46130.759618055556</v>
      </c>
      <c r="D46" s="55" t="s">
        <v>684</v>
      </c>
      <c r="E46" s="55" t="s">
        <v>746</v>
      </c>
      <c r="F46" s="130">
        <v>46387</v>
      </c>
      <c r="G46" s="130"/>
    </row>
    <row r="47" spans="2:7">
      <c r="B47" s="56">
        <v>46130</v>
      </c>
      <c r="C47" s="69">
        <v>46130.763657407406</v>
      </c>
      <c r="D47" s="55" t="s">
        <v>734</v>
      </c>
      <c r="E47" s="55" t="s">
        <v>747</v>
      </c>
      <c r="G47" s="130">
        <v>46144</v>
      </c>
    </row>
    <row r="48" spans="2:7">
      <c r="B48" s="56">
        <v>46130</v>
      </c>
      <c r="C48" s="69">
        <v>46130.763668981483</v>
      </c>
      <c r="D48" s="55" t="s">
        <v>734</v>
      </c>
      <c r="E48" s="55" t="s">
        <v>747</v>
      </c>
      <c r="G48" s="130">
        <v>46144</v>
      </c>
    </row>
    <row r="49" spans="2:7">
      <c r="B49" s="56">
        <v>46130</v>
      </c>
      <c r="C49" s="69">
        <v>46130.763738425929</v>
      </c>
      <c r="D49" s="55" t="s">
        <v>734</v>
      </c>
      <c r="E49" s="55" t="s">
        <v>747</v>
      </c>
      <c r="F49" s="132">
        <v>46144</v>
      </c>
      <c r="G49" s="130" t="s">
        <v>748</v>
      </c>
    </row>
    <row r="50" spans="2:7">
      <c r="B50" s="56">
        <v>46130</v>
      </c>
      <c r="C50" s="69">
        <v>46130.763912037037</v>
      </c>
      <c r="D50" s="55" t="s">
        <v>734</v>
      </c>
      <c r="E50" s="55" t="s">
        <v>747</v>
      </c>
      <c r="F50" s="129" t="s">
        <v>748</v>
      </c>
      <c r="G50" s="130" t="s">
        <v>749</v>
      </c>
    </row>
    <row r="51" spans="2:7">
      <c r="B51" s="56">
        <v>46131</v>
      </c>
      <c r="C51" s="69">
        <v>46131.441030092596</v>
      </c>
      <c r="D51" s="55" t="s">
        <v>684</v>
      </c>
      <c r="E51" s="55" t="s">
        <v>750</v>
      </c>
      <c r="G51" s="130" t="s">
        <v>201</v>
      </c>
    </row>
    <row r="52" spans="2:7">
      <c r="B52" s="56">
        <v>46131</v>
      </c>
      <c r="C52" s="69">
        <v>46131.441180555557</v>
      </c>
      <c r="D52" s="55" t="s">
        <v>684</v>
      </c>
      <c r="E52" s="55" t="s">
        <v>687</v>
      </c>
      <c r="F52" s="129" t="s">
        <v>201</v>
      </c>
      <c r="G52" s="130" t="s">
        <v>20</v>
      </c>
    </row>
    <row r="53" spans="2:7">
      <c r="B53" s="56">
        <v>46131</v>
      </c>
      <c r="C53" s="69">
        <v>46131.442465277774</v>
      </c>
      <c r="D53" s="55" t="s">
        <v>684</v>
      </c>
      <c r="E53" s="55" t="s">
        <v>687</v>
      </c>
      <c r="F53" s="129" t="s">
        <v>20</v>
      </c>
      <c r="G53" s="130" t="s">
        <v>201</v>
      </c>
    </row>
    <row r="54" spans="2:7">
      <c r="B54" s="56">
        <v>46131</v>
      </c>
      <c r="C54" s="69">
        <v>46131.442499999997</v>
      </c>
      <c r="D54" s="55" t="s">
        <v>684</v>
      </c>
      <c r="E54" s="55" t="s">
        <v>750</v>
      </c>
      <c r="F54" s="129" t="s">
        <v>201</v>
      </c>
      <c r="G54" s="130"/>
    </row>
    <row r="55" spans="2:7" ht="26.4">
      <c r="B55" s="56">
        <v>46132</v>
      </c>
      <c r="C55" s="69">
        <v>46132.602002314816</v>
      </c>
      <c r="D55" s="55" t="s">
        <v>721</v>
      </c>
      <c r="E55" s="55" t="s">
        <v>752</v>
      </c>
      <c r="G55" s="130" t="s">
        <v>751</v>
      </c>
    </row>
    <row r="56" spans="2:7" ht="26.4">
      <c r="B56" s="56">
        <v>46132</v>
      </c>
      <c r="C56" s="69">
        <v>46132.602453703701</v>
      </c>
      <c r="D56" s="55" t="s">
        <v>721</v>
      </c>
      <c r="E56" s="55" t="s">
        <v>753</v>
      </c>
      <c r="G56" s="129" t="s">
        <v>751</v>
      </c>
    </row>
    <row r="57" spans="2:7" ht="39.6">
      <c r="B57" s="56">
        <v>46132</v>
      </c>
      <c r="C57" s="69">
        <v>46132.605208333334</v>
      </c>
      <c r="D57" s="55" t="s">
        <v>721</v>
      </c>
      <c r="E57" s="55" t="s">
        <v>754</v>
      </c>
      <c r="G57" s="130" t="s">
        <v>755</v>
      </c>
    </row>
    <row r="58" spans="2:7" ht="26.4">
      <c r="B58" s="56">
        <v>46132</v>
      </c>
      <c r="C58" s="69">
        <v>46132.608240740738</v>
      </c>
      <c r="D58" s="55" t="s">
        <v>721</v>
      </c>
      <c r="E58" s="55" t="s">
        <v>757</v>
      </c>
      <c r="G58" s="130" t="s">
        <v>756</v>
      </c>
    </row>
    <row r="59" spans="2:7" ht="26.4">
      <c r="B59" s="56">
        <v>46132</v>
      </c>
      <c r="C59" s="69">
        <v>46132.617210648146</v>
      </c>
      <c r="D59" s="55" t="s">
        <v>721</v>
      </c>
      <c r="E59" s="55" t="s">
        <v>758</v>
      </c>
      <c r="G59" s="129" t="s">
        <v>756</v>
      </c>
    </row>
    <row r="60" spans="2:7" ht="92.4">
      <c r="B60" s="56">
        <v>46135</v>
      </c>
      <c r="C60" s="69">
        <v>46135.38789351852</v>
      </c>
      <c r="D60" s="55" t="s">
        <v>721</v>
      </c>
      <c r="E60" s="55" t="s">
        <v>717</v>
      </c>
      <c r="F60" s="129" t="s">
        <v>718</v>
      </c>
      <c r="G60" s="130" t="s">
        <v>759</v>
      </c>
    </row>
    <row r="61" spans="2:7" ht="79.2">
      <c r="B61" s="56">
        <v>46135</v>
      </c>
      <c r="C61" s="69">
        <v>46135.388113425928</v>
      </c>
      <c r="D61" s="55" t="s">
        <v>721</v>
      </c>
      <c r="E61" s="55" t="s">
        <v>717</v>
      </c>
      <c r="G61" s="130" t="s">
        <v>718</v>
      </c>
    </row>
    <row r="62" spans="2:7">
      <c r="B62" s="56">
        <v>46135</v>
      </c>
      <c r="C62" s="69">
        <v>46135.520613425928</v>
      </c>
      <c r="D62" s="55" t="s">
        <v>684</v>
      </c>
      <c r="E62" s="55" t="s">
        <v>760</v>
      </c>
      <c r="F62" s="129" t="s">
        <v>201</v>
      </c>
      <c r="G62" s="130" t="s">
        <v>33</v>
      </c>
    </row>
    <row r="63" spans="2:7">
      <c r="B63" s="56">
        <v>46135</v>
      </c>
      <c r="C63" s="69">
        <v>46135.520671296297</v>
      </c>
      <c r="D63" s="55" t="s">
        <v>684</v>
      </c>
      <c r="E63" s="55" t="s">
        <v>761</v>
      </c>
      <c r="F63" s="129" t="s">
        <v>201</v>
      </c>
      <c r="G63" s="130" t="s">
        <v>33</v>
      </c>
    </row>
    <row r="64" spans="2:7">
      <c r="B64" s="56">
        <v>46139</v>
      </c>
      <c r="C64" s="69">
        <v>46139.594606481478</v>
      </c>
      <c r="D64" s="55" t="s">
        <v>721</v>
      </c>
      <c r="E64" s="55" t="s">
        <v>764</v>
      </c>
      <c r="G64" s="130" t="s">
        <v>763</v>
      </c>
    </row>
    <row r="65" spans="2:7">
      <c r="B65" s="56">
        <v>46139</v>
      </c>
      <c r="C65" s="69">
        <v>46139.594953703701</v>
      </c>
      <c r="D65" s="55" t="s">
        <v>721</v>
      </c>
      <c r="E65" s="55" t="s">
        <v>766</v>
      </c>
      <c r="G65" s="129" t="s">
        <v>765</v>
      </c>
    </row>
    <row r="66" spans="2:7">
      <c r="B66" s="56">
        <v>46139</v>
      </c>
      <c r="C66" s="69">
        <v>46139.595069444447</v>
      </c>
      <c r="D66" s="55" t="s">
        <v>721</v>
      </c>
      <c r="E66" s="55" t="s">
        <v>766</v>
      </c>
      <c r="F66" s="129" t="s">
        <v>765</v>
      </c>
      <c r="G66" s="130" t="s">
        <v>767</v>
      </c>
    </row>
    <row r="67" spans="2:7" ht="39.6">
      <c r="B67" s="56">
        <v>46139</v>
      </c>
      <c r="C67" s="69">
        <v>46139.597592592596</v>
      </c>
      <c r="D67" s="55" t="s">
        <v>721</v>
      </c>
      <c r="E67" s="55" t="s">
        <v>769</v>
      </c>
      <c r="G67" s="130" t="s">
        <v>768</v>
      </c>
    </row>
    <row r="68" spans="2:7" ht="39.6">
      <c r="B68" s="56">
        <v>46139</v>
      </c>
      <c r="C68" s="69">
        <v>46139.597881944443</v>
      </c>
      <c r="D68" s="55" t="s">
        <v>721</v>
      </c>
      <c r="E68" s="55" t="s">
        <v>769</v>
      </c>
      <c r="F68" s="129" t="s">
        <v>768</v>
      </c>
      <c r="G68" s="129" t="s">
        <v>770</v>
      </c>
    </row>
    <row r="69" spans="2:7" ht="39.6">
      <c r="B69" s="56">
        <v>46139</v>
      </c>
      <c r="C69" s="69">
        <v>46139.602546296293</v>
      </c>
      <c r="D69" s="55" t="s">
        <v>721</v>
      </c>
      <c r="E69" s="55" t="s">
        <v>772</v>
      </c>
      <c r="G69" s="130" t="s">
        <v>771</v>
      </c>
    </row>
    <row r="70" spans="2:7" ht="39.6">
      <c r="B70" s="56">
        <v>46139</v>
      </c>
      <c r="C70" s="69">
        <v>46139.609351851854</v>
      </c>
      <c r="D70" s="55" t="s">
        <v>721</v>
      </c>
      <c r="E70" s="55" t="s">
        <v>769</v>
      </c>
      <c r="F70" s="129" t="s">
        <v>770</v>
      </c>
      <c r="G70" s="129" t="s">
        <v>773</v>
      </c>
    </row>
    <row r="71" spans="2:7">
      <c r="B71" s="56">
        <v>46153</v>
      </c>
      <c r="C71" s="69">
        <v>46153.402812499997</v>
      </c>
      <c r="D71" s="55" t="s">
        <v>721</v>
      </c>
      <c r="E71" s="55" t="s">
        <v>776</v>
      </c>
      <c r="F71" s="129" t="s">
        <v>33</v>
      </c>
      <c r="G71" s="130" t="s">
        <v>201</v>
      </c>
    </row>
    <row r="72" spans="2:7">
      <c r="B72" s="56">
        <v>46153</v>
      </c>
      <c r="C72" s="69">
        <v>46153.40284722222</v>
      </c>
      <c r="D72" s="55" t="s">
        <v>721</v>
      </c>
      <c r="E72" s="55" t="s">
        <v>777</v>
      </c>
      <c r="F72" s="129" t="s">
        <v>33</v>
      </c>
      <c r="G72" s="130" t="s">
        <v>201</v>
      </c>
    </row>
    <row r="73" spans="2:7">
      <c r="B73" s="56">
        <v>46153</v>
      </c>
      <c r="C73" s="69">
        <v>46153.403009259258</v>
      </c>
      <c r="D73" s="55" t="s">
        <v>721</v>
      </c>
      <c r="E73" s="55" t="s">
        <v>778</v>
      </c>
      <c r="F73" s="129" t="s">
        <v>33</v>
      </c>
      <c r="G73" s="130" t="s">
        <v>20</v>
      </c>
    </row>
    <row r="74" spans="2:7">
      <c r="B74" s="56">
        <v>46153</v>
      </c>
      <c r="C74" s="69">
        <v>46153.403356481482</v>
      </c>
      <c r="D74" s="55" t="s">
        <v>721</v>
      </c>
      <c r="E74" s="55" t="s">
        <v>779</v>
      </c>
      <c r="F74" s="129" t="s">
        <v>33</v>
      </c>
      <c r="G74" s="129" t="s">
        <v>20</v>
      </c>
    </row>
    <row r="75" spans="2:7">
      <c r="B75" s="56">
        <v>46153</v>
      </c>
      <c r="C75" s="69">
        <v>46153.403425925928</v>
      </c>
      <c r="D75" s="55" t="s">
        <v>721</v>
      </c>
      <c r="E75" s="55" t="s">
        <v>780</v>
      </c>
      <c r="F75" s="129" t="s">
        <v>33</v>
      </c>
      <c r="G75" s="129" t="s">
        <v>20</v>
      </c>
    </row>
    <row r="76" spans="2:7">
      <c r="B76" s="56">
        <v>46153</v>
      </c>
      <c r="C76" s="69">
        <v>46153.419398148151</v>
      </c>
      <c r="D76" s="55" t="s">
        <v>721</v>
      </c>
      <c r="E76" s="55" t="s">
        <v>782</v>
      </c>
      <c r="F76" s="129" t="s">
        <v>33</v>
      </c>
      <c r="G76" s="130" t="s">
        <v>781</v>
      </c>
    </row>
    <row r="77" spans="2:7">
      <c r="B77" s="56">
        <v>46153</v>
      </c>
      <c r="C77" s="69">
        <v>46153.419456018521</v>
      </c>
      <c r="D77" s="55" t="s">
        <v>721</v>
      </c>
      <c r="E77" s="55" t="s">
        <v>782</v>
      </c>
      <c r="F77" s="129" t="s">
        <v>781</v>
      </c>
      <c r="G77" s="129" t="s">
        <v>20</v>
      </c>
    </row>
    <row r="78" spans="2:7">
      <c r="B78" s="56">
        <v>46153</v>
      </c>
      <c r="C78" s="69">
        <v>46153.41951388889</v>
      </c>
      <c r="D78" s="55" t="s">
        <v>721</v>
      </c>
      <c r="E78" s="55" t="s">
        <v>784</v>
      </c>
      <c r="G78" s="129" t="s">
        <v>783</v>
      </c>
    </row>
    <row r="79" spans="2:7">
      <c r="B79" s="56">
        <v>46153</v>
      </c>
      <c r="C79" s="69">
        <v>46153.419571759259</v>
      </c>
      <c r="D79" s="55" t="s">
        <v>721</v>
      </c>
      <c r="E79" s="55" t="s">
        <v>785</v>
      </c>
      <c r="G79" s="129" t="s">
        <v>201</v>
      </c>
    </row>
    <row r="80" spans="2:7">
      <c r="B80" s="56">
        <v>46153</v>
      </c>
      <c r="C80" s="69">
        <v>46153.419675925928</v>
      </c>
      <c r="D80" s="55" t="s">
        <v>721</v>
      </c>
      <c r="E80" s="55" t="s">
        <v>786</v>
      </c>
      <c r="F80" s="129" t="s">
        <v>33</v>
      </c>
      <c r="G80" s="129" t="s">
        <v>201</v>
      </c>
    </row>
    <row r="81" spans="2:7">
      <c r="B81" s="56">
        <v>46153</v>
      </c>
      <c r="C81" s="69">
        <v>46153.419687499998</v>
      </c>
      <c r="D81" s="55" t="s">
        <v>721</v>
      </c>
      <c r="E81" s="55" t="s">
        <v>785</v>
      </c>
      <c r="F81" s="129" t="s">
        <v>201</v>
      </c>
    </row>
    <row r="82" spans="2:7">
      <c r="B82" s="56">
        <v>46153</v>
      </c>
      <c r="C82" s="69">
        <v>46153.419803240744</v>
      </c>
      <c r="D82" s="55" t="s">
        <v>721</v>
      </c>
      <c r="E82" s="55" t="s">
        <v>787</v>
      </c>
      <c r="F82" s="129" t="s">
        <v>33</v>
      </c>
      <c r="G82" s="130" t="s">
        <v>20</v>
      </c>
    </row>
    <row r="83" spans="2:7" ht="39.6">
      <c r="B83" s="56">
        <v>46153</v>
      </c>
      <c r="C83" s="69">
        <v>46153.426446759258</v>
      </c>
      <c r="D83" s="55" t="s">
        <v>721</v>
      </c>
      <c r="E83" s="55" t="s">
        <v>789</v>
      </c>
      <c r="F83" s="129" t="s">
        <v>719</v>
      </c>
      <c r="G83" s="130" t="s">
        <v>788</v>
      </c>
    </row>
    <row r="84" spans="2:7" ht="39.6">
      <c r="B84" s="56">
        <v>46153</v>
      </c>
      <c r="C84" s="69">
        <v>46153.465983796297</v>
      </c>
      <c r="D84" s="55" t="s">
        <v>721</v>
      </c>
      <c r="E84" s="55" t="s">
        <v>791</v>
      </c>
      <c r="F84" s="129" t="s">
        <v>755</v>
      </c>
      <c r="G84" s="129" t="s">
        <v>790</v>
      </c>
    </row>
    <row r="85" spans="2:7" ht="26.4">
      <c r="B85" s="56">
        <v>46153</v>
      </c>
      <c r="C85" s="69">
        <v>46153.466319444444</v>
      </c>
      <c r="D85" s="55" t="s">
        <v>721</v>
      </c>
      <c r="E85" s="55" t="s">
        <v>793</v>
      </c>
      <c r="F85" s="129" t="s">
        <v>756</v>
      </c>
      <c r="G85" s="129" t="s">
        <v>794</v>
      </c>
    </row>
    <row r="86" spans="2:7" ht="26.4">
      <c r="B86" s="56">
        <v>46153</v>
      </c>
      <c r="C86" s="69">
        <v>46153.46638888889</v>
      </c>
      <c r="D86" s="55" t="s">
        <v>721</v>
      </c>
      <c r="E86" s="55" t="s">
        <v>795</v>
      </c>
      <c r="F86" s="129" t="s">
        <v>756</v>
      </c>
      <c r="G86" s="129" t="s">
        <v>794</v>
      </c>
    </row>
    <row r="87" spans="2:7">
      <c r="B87" s="56">
        <v>46154</v>
      </c>
      <c r="C87" s="69">
        <v>46154.674733796295</v>
      </c>
      <c r="D87" s="55" t="s">
        <v>721</v>
      </c>
      <c r="E87" s="55" t="s">
        <v>797</v>
      </c>
      <c r="G87" s="129" t="s">
        <v>796</v>
      </c>
    </row>
    <row r="88" spans="2:7" ht="66">
      <c r="B88" s="56">
        <v>46178</v>
      </c>
      <c r="C88" s="69">
        <v>46178.459861111114</v>
      </c>
      <c r="D88" s="55" t="s">
        <v>684</v>
      </c>
      <c r="E88" s="55" t="s">
        <v>799</v>
      </c>
      <c r="F88" s="129" t="s">
        <v>32</v>
      </c>
      <c r="G88" s="130" t="s">
        <v>798</v>
      </c>
    </row>
    <row r="89" spans="2:7" ht="52.8">
      <c r="B89" s="56">
        <v>46178</v>
      </c>
      <c r="C89" s="69">
        <v>46178.459988425922</v>
      </c>
      <c r="D89" s="55" t="s">
        <v>684</v>
      </c>
      <c r="E89" s="55" t="s">
        <v>799</v>
      </c>
      <c r="F89" s="129" t="s">
        <v>798</v>
      </c>
      <c r="G89" s="129" t="s">
        <v>800</v>
      </c>
    </row>
    <row r="90" spans="2:7" ht="52.8">
      <c r="B90" s="56">
        <v>46178</v>
      </c>
      <c r="C90" s="69">
        <v>46178.460023148145</v>
      </c>
      <c r="D90" s="55" t="s">
        <v>684</v>
      </c>
      <c r="E90" s="55" t="s">
        <v>801</v>
      </c>
      <c r="F90" s="129" t="s">
        <v>35</v>
      </c>
      <c r="G90" s="130" t="s">
        <v>800</v>
      </c>
    </row>
    <row r="91" spans="2:7">
      <c r="B91" s="56">
        <v>46178</v>
      </c>
      <c r="C91" s="69">
        <v>46178.460069444445</v>
      </c>
      <c r="D91" s="55" t="s">
        <v>684</v>
      </c>
      <c r="E91" s="55" t="s">
        <v>802</v>
      </c>
      <c r="F91" s="129" t="s">
        <v>33</v>
      </c>
      <c r="G91" s="130" t="s">
        <v>201</v>
      </c>
    </row>
    <row r="92" spans="2:7">
      <c r="B92" s="56">
        <v>46178</v>
      </c>
      <c r="C92" s="69">
        <v>46178.460081018522</v>
      </c>
      <c r="D92" s="55" t="s">
        <v>684</v>
      </c>
      <c r="E92" s="55" t="s">
        <v>803</v>
      </c>
      <c r="F92" s="129" t="s">
        <v>33</v>
      </c>
      <c r="G92" s="129" t="s">
        <v>201</v>
      </c>
    </row>
    <row r="93" spans="2:7" ht="105.6">
      <c r="B93" s="56">
        <v>46178</v>
      </c>
      <c r="C93" s="69">
        <v>46178.460509259261</v>
      </c>
      <c r="D93" s="55" t="s">
        <v>684</v>
      </c>
      <c r="E93" s="55" t="s">
        <v>799</v>
      </c>
      <c r="F93" s="129" t="s">
        <v>800</v>
      </c>
      <c r="G93" s="129" t="s">
        <v>804</v>
      </c>
    </row>
    <row r="94" spans="2:7" ht="105.6">
      <c r="B94" s="56">
        <v>46178</v>
      </c>
      <c r="C94" s="69">
        <v>46178.460543981484</v>
      </c>
      <c r="D94" s="55" t="s">
        <v>684</v>
      </c>
      <c r="E94" s="55" t="s">
        <v>801</v>
      </c>
      <c r="F94" s="129" t="s">
        <v>800</v>
      </c>
      <c r="G94" s="129" t="s">
        <v>804</v>
      </c>
    </row>
    <row r="95" spans="2:7">
      <c r="B95" s="56">
        <v>46178</v>
      </c>
      <c r="C95" s="69">
        <v>46178.460625</v>
      </c>
      <c r="D95" s="55" t="s">
        <v>684</v>
      </c>
      <c r="E95" s="55" t="s">
        <v>696</v>
      </c>
      <c r="F95" s="130">
        <v>46008</v>
      </c>
      <c r="G95" s="130">
        <v>46203</v>
      </c>
    </row>
    <row r="96" spans="2:7">
      <c r="B96" s="56">
        <v>46178</v>
      </c>
      <c r="C96" s="69">
        <v>46178.460706018515</v>
      </c>
      <c r="D96" s="55" t="s">
        <v>684</v>
      </c>
      <c r="E96" s="55" t="s">
        <v>805</v>
      </c>
      <c r="F96" s="130">
        <v>46022</v>
      </c>
      <c r="G96" s="130">
        <v>46203</v>
      </c>
    </row>
    <row r="97" spans="2:7" ht="158.4">
      <c r="B97" s="56">
        <v>46178</v>
      </c>
      <c r="C97" s="69">
        <v>46178.464108796295</v>
      </c>
      <c r="D97" s="55" t="s">
        <v>684</v>
      </c>
      <c r="E97" s="55" t="s">
        <v>807</v>
      </c>
      <c r="F97" s="129" t="s">
        <v>146</v>
      </c>
      <c r="G97" s="129" t="s">
        <v>806</v>
      </c>
    </row>
    <row r="98" spans="2:7">
      <c r="B98" s="56">
        <v>46178</v>
      </c>
      <c r="C98" s="69">
        <v>46178.464178240742</v>
      </c>
      <c r="D98" s="55" t="s">
        <v>684</v>
      </c>
      <c r="E98" s="55" t="s">
        <v>808</v>
      </c>
      <c r="F98" s="129" t="s">
        <v>33</v>
      </c>
      <c r="G98" s="130" t="s">
        <v>20</v>
      </c>
    </row>
    <row r="99" spans="2:7" ht="158.4">
      <c r="B99" s="56">
        <v>46178</v>
      </c>
      <c r="C99" s="69">
        <v>46178.464259259257</v>
      </c>
      <c r="D99" s="55" t="s">
        <v>684</v>
      </c>
      <c r="E99" s="55" t="s">
        <v>809</v>
      </c>
      <c r="F99" s="129" t="s">
        <v>146</v>
      </c>
      <c r="G99" s="129" t="s">
        <v>806</v>
      </c>
    </row>
    <row r="100" spans="2:7">
      <c r="B100" s="56">
        <v>46178</v>
      </c>
      <c r="C100" s="69">
        <v>46178.46429398148</v>
      </c>
      <c r="D100" s="55" t="s">
        <v>684</v>
      </c>
      <c r="E100" s="55" t="s">
        <v>810</v>
      </c>
      <c r="F100" s="129" t="s">
        <v>33</v>
      </c>
      <c r="G100" s="129" t="s">
        <v>20</v>
      </c>
    </row>
    <row r="101" spans="2:7" ht="158.4">
      <c r="B101" s="56">
        <v>46178</v>
      </c>
      <c r="C101" s="69">
        <v>46178.464375000003</v>
      </c>
      <c r="D101" s="55" t="s">
        <v>684</v>
      </c>
      <c r="E101" s="55" t="s">
        <v>811</v>
      </c>
      <c r="F101" s="129" t="s">
        <v>146</v>
      </c>
      <c r="G101" s="129" t="s">
        <v>806</v>
      </c>
    </row>
    <row r="102" spans="2:7">
      <c r="B102" s="56">
        <v>46178</v>
      </c>
      <c r="C102" s="69">
        <v>46178.464409722219</v>
      </c>
      <c r="D102" s="55" t="s">
        <v>684</v>
      </c>
      <c r="E102" s="55" t="s">
        <v>812</v>
      </c>
      <c r="F102" s="129" t="s">
        <v>33</v>
      </c>
      <c r="G102" s="129" t="s">
        <v>20</v>
      </c>
    </row>
    <row r="103" spans="2:7" ht="66">
      <c r="B103" s="56">
        <v>46178</v>
      </c>
      <c r="C103" s="69">
        <v>46178.46769675926</v>
      </c>
      <c r="D103" s="55" t="s">
        <v>684</v>
      </c>
      <c r="E103" s="55" t="s">
        <v>814</v>
      </c>
      <c r="F103" s="129" t="s">
        <v>235</v>
      </c>
      <c r="G103" s="129" t="s">
        <v>813</v>
      </c>
    </row>
    <row r="104" spans="2:7" ht="39.6">
      <c r="B104" s="56">
        <v>46178</v>
      </c>
      <c r="C104" s="69">
        <v>46178.467766203707</v>
      </c>
      <c r="D104" s="55" t="s">
        <v>721</v>
      </c>
      <c r="E104" s="55" t="s">
        <v>815</v>
      </c>
      <c r="F104" s="129" t="s">
        <v>235</v>
      </c>
      <c r="G104" s="129" t="s">
        <v>751</v>
      </c>
    </row>
    <row r="105" spans="2:7" ht="79.2">
      <c r="B105" s="56">
        <v>46178</v>
      </c>
      <c r="C105" s="69">
        <v>46178.467858796299</v>
      </c>
      <c r="D105" s="55" t="s">
        <v>684</v>
      </c>
      <c r="E105" s="55" t="s">
        <v>814</v>
      </c>
      <c r="F105" s="129" t="s">
        <v>235</v>
      </c>
      <c r="G105" s="130" t="s">
        <v>816</v>
      </c>
    </row>
    <row r="106" spans="2:7">
      <c r="B106" s="56">
        <v>46178</v>
      </c>
      <c r="C106" s="69">
        <v>46178.467928240738</v>
      </c>
      <c r="D106" s="55" t="s">
        <v>684</v>
      </c>
      <c r="E106" s="55" t="s">
        <v>817</v>
      </c>
      <c r="F106" s="130">
        <v>46079</v>
      </c>
      <c r="G106" s="130">
        <v>46203</v>
      </c>
    </row>
    <row r="107" spans="2:7">
      <c r="B107" s="56">
        <v>46178</v>
      </c>
      <c r="C107" s="69">
        <v>46178.467974537038</v>
      </c>
      <c r="D107" s="55" t="s">
        <v>684</v>
      </c>
      <c r="E107" s="55" t="s">
        <v>818</v>
      </c>
      <c r="F107" s="129" t="s">
        <v>33</v>
      </c>
      <c r="G107" s="129" t="s">
        <v>201</v>
      </c>
    </row>
    <row r="108" spans="2:7">
      <c r="B108" s="56">
        <v>46178</v>
      </c>
      <c r="C108" s="69">
        <v>46178.468136574076</v>
      </c>
      <c r="D108" s="55" t="s">
        <v>684</v>
      </c>
      <c r="E108" s="55" t="s">
        <v>819</v>
      </c>
      <c r="F108" s="130">
        <v>46079</v>
      </c>
      <c r="G108" s="130">
        <v>46203</v>
      </c>
    </row>
    <row r="109" spans="2:7" ht="79.2">
      <c r="B109" s="56">
        <v>46178</v>
      </c>
      <c r="C109" s="69">
        <v>46178.468171296299</v>
      </c>
      <c r="D109" s="55" t="s">
        <v>684</v>
      </c>
      <c r="E109" s="55" t="s">
        <v>820</v>
      </c>
      <c r="F109" s="129" t="s">
        <v>237</v>
      </c>
      <c r="G109" s="129" t="s">
        <v>816</v>
      </c>
    </row>
    <row r="110" spans="2:7">
      <c r="B110" s="56">
        <v>46178</v>
      </c>
      <c r="C110" s="69">
        <v>46178.468206018515</v>
      </c>
      <c r="D110" s="55" t="s">
        <v>684</v>
      </c>
      <c r="E110" s="55" t="s">
        <v>821</v>
      </c>
      <c r="F110" s="129" t="s">
        <v>33</v>
      </c>
      <c r="G110" s="129" t="s">
        <v>201</v>
      </c>
    </row>
    <row r="111" spans="2:7" ht="66">
      <c r="B111" s="56">
        <v>46178</v>
      </c>
      <c r="C111" s="69">
        <v>46178.469166666669</v>
      </c>
      <c r="D111" s="55" t="s">
        <v>684</v>
      </c>
      <c r="E111" s="55" t="s">
        <v>823</v>
      </c>
      <c r="F111" s="129" t="s">
        <v>293</v>
      </c>
      <c r="G111" s="129" t="s">
        <v>822</v>
      </c>
    </row>
    <row r="112" spans="2:7">
      <c r="B112" s="56">
        <v>46178</v>
      </c>
      <c r="C112" s="69">
        <v>46178.469201388885</v>
      </c>
      <c r="D112" s="55" t="s">
        <v>684</v>
      </c>
      <c r="E112" s="55" t="s">
        <v>824</v>
      </c>
      <c r="F112" s="129" t="s">
        <v>33</v>
      </c>
      <c r="G112" s="130" t="s">
        <v>20</v>
      </c>
    </row>
    <row r="113" spans="2:7" ht="66">
      <c r="B113" s="56">
        <v>46178</v>
      </c>
      <c r="C113" s="69">
        <v>46178.473726851851</v>
      </c>
      <c r="D113" s="55" t="s">
        <v>684</v>
      </c>
      <c r="E113" s="55" t="s">
        <v>826</v>
      </c>
      <c r="F113" s="129" t="s">
        <v>384</v>
      </c>
      <c r="G113" s="129" t="s">
        <v>825</v>
      </c>
    </row>
    <row r="114" spans="2:7">
      <c r="B114" s="56">
        <v>46178</v>
      </c>
      <c r="C114" s="69">
        <v>46178.473900462966</v>
      </c>
      <c r="D114" s="55" t="s">
        <v>684</v>
      </c>
      <c r="E114" s="55" t="s">
        <v>827</v>
      </c>
      <c r="F114" s="129" t="s">
        <v>33</v>
      </c>
      <c r="G114" s="129" t="s">
        <v>20</v>
      </c>
    </row>
    <row r="115" spans="2:7" ht="198">
      <c r="B115" s="56">
        <v>46178</v>
      </c>
      <c r="C115" s="69">
        <v>46178.474907407406</v>
      </c>
      <c r="D115" s="55" t="s">
        <v>684</v>
      </c>
      <c r="E115" s="55" t="s">
        <v>829</v>
      </c>
      <c r="F115" s="129" t="s">
        <v>396</v>
      </c>
      <c r="G115" s="129" t="s">
        <v>828</v>
      </c>
    </row>
    <row r="116" spans="2:7" ht="198">
      <c r="B116" s="56">
        <v>46178</v>
      </c>
      <c r="C116" s="69">
        <v>46178.475173611114</v>
      </c>
      <c r="D116" s="55" t="s">
        <v>684</v>
      </c>
      <c r="E116" s="55" t="s">
        <v>829</v>
      </c>
      <c r="F116" s="129" t="s">
        <v>396</v>
      </c>
      <c r="G116" s="129" t="s">
        <v>830</v>
      </c>
    </row>
    <row r="117" spans="2:7">
      <c r="B117" s="56">
        <v>46178</v>
      </c>
      <c r="C117" s="69">
        <v>46178.475185185183</v>
      </c>
      <c r="D117" s="55" t="s">
        <v>684</v>
      </c>
      <c r="E117" s="55" t="s">
        <v>831</v>
      </c>
      <c r="F117" s="129" t="s">
        <v>33</v>
      </c>
      <c r="G117" s="129" t="s">
        <v>20</v>
      </c>
    </row>
    <row r="118" spans="2:7" ht="198">
      <c r="B118" s="56">
        <v>46178</v>
      </c>
      <c r="C118" s="69">
        <v>46178.475243055553</v>
      </c>
      <c r="D118" s="55" t="s">
        <v>684</v>
      </c>
      <c r="E118" s="55" t="s">
        <v>832</v>
      </c>
      <c r="F118" s="129" t="s">
        <v>396</v>
      </c>
      <c r="G118" s="129" t="s">
        <v>830</v>
      </c>
    </row>
    <row r="119" spans="2:7">
      <c r="B119" s="56">
        <v>46178</v>
      </c>
      <c r="C119" s="69">
        <v>46178.475266203706</v>
      </c>
      <c r="D119" s="55" t="s">
        <v>684</v>
      </c>
      <c r="E119" s="55" t="s">
        <v>833</v>
      </c>
      <c r="F119" s="129" t="s">
        <v>33</v>
      </c>
      <c r="G119" s="130" t="s">
        <v>20</v>
      </c>
    </row>
    <row r="120" spans="2:7">
      <c r="B120" s="56">
        <v>46178</v>
      </c>
      <c r="C120" s="69">
        <v>46178.484513888892</v>
      </c>
      <c r="D120" s="55" t="s">
        <v>684</v>
      </c>
      <c r="E120" s="55" t="s">
        <v>834</v>
      </c>
      <c r="G120" s="130">
        <v>46178</v>
      </c>
    </row>
    <row r="121" spans="2:7">
      <c r="B121" s="56">
        <v>46178</v>
      </c>
      <c r="C121" s="69">
        <v>46178.484583333331</v>
      </c>
      <c r="D121" s="55" t="s">
        <v>684</v>
      </c>
      <c r="E121" s="55" t="s">
        <v>835</v>
      </c>
      <c r="G121" s="130">
        <v>46178</v>
      </c>
    </row>
    <row r="122" spans="2:7">
      <c r="B122" s="56">
        <v>46178</v>
      </c>
      <c r="C122" s="69">
        <v>46178.484629629631</v>
      </c>
      <c r="D122" s="55" t="s">
        <v>684</v>
      </c>
      <c r="E122" s="55" t="s">
        <v>836</v>
      </c>
      <c r="G122" s="130">
        <v>46178</v>
      </c>
    </row>
    <row r="123" spans="2:7">
      <c r="B123" s="56">
        <v>46178</v>
      </c>
      <c r="C123" s="69">
        <v>46178.487164351849</v>
      </c>
      <c r="D123" s="55" t="s">
        <v>684</v>
      </c>
      <c r="E123" s="55" t="s">
        <v>837</v>
      </c>
      <c r="G123" s="130">
        <v>46178</v>
      </c>
    </row>
    <row r="124" spans="2:7">
      <c r="B124" s="56">
        <v>46178</v>
      </c>
      <c r="C124" s="69">
        <v>46178.487511574072</v>
      </c>
      <c r="D124" s="55" t="s">
        <v>684</v>
      </c>
      <c r="E124" s="55" t="s">
        <v>838</v>
      </c>
      <c r="G124" s="130">
        <v>46178</v>
      </c>
    </row>
    <row r="125" spans="2:7">
      <c r="B125" s="56">
        <v>46178</v>
      </c>
      <c r="C125" s="69">
        <v>46178.487581018519</v>
      </c>
      <c r="D125" s="55" t="s">
        <v>684</v>
      </c>
      <c r="E125" s="55" t="s">
        <v>839</v>
      </c>
      <c r="G125" s="130">
        <v>46178</v>
      </c>
    </row>
    <row r="126" spans="2:7" ht="211.2">
      <c r="B126" s="56">
        <v>46178</v>
      </c>
      <c r="C126" s="69">
        <v>46178.490173611113</v>
      </c>
      <c r="D126" s="55" t="s">
        <v>684</v>
      </c>
      <c r="E126" s="55" t="s">
        <v>841</v>
      </c>
      <c r="G126" s="130" t="s">
        <v>840</v>
      </c>
    </row>
    <row r="127" spans="2:7">
      <c r="B127" s="56">
        <v>46178</v>
      </c>
      <c r="C127" s="69">
        <v>46178.490335648145</v>
      </c>
      <c r="D127" s="55" t="s">
        <v>684</v>
      </c>
      <c r="E127" s="55" t="s">
        <v>842</v>
      </c>
      <c r="F127" s="129" t="s">
        <v>201</v>
      </c>
      <c r="G127" s="129" t="s">
        <v>20</v>
      </c>
    </row>
    <row r="128" spans="2:7">
      <c r="B128" s="56">
        <v>46178</v>
      </c>
      <c r="C128" s="69">
        <v>46178.49082175926</v>
      </c>
      <c r="D128" s="55" t="s">
        <v>684</v>
      </c>
      <c r="E128" s="55" t="s">
        <v>843</v>
      </c>
      <c r="G128" s="130">
        <v>46178</v>
      </c>
    </row>
    <row r="129" spans="2:7" ht="184.8">
      <c r="B129" s="56">
        <v>46178</v>
      </c>
      <c r="C129" s="69">
        <v>46178.500752314816</v>
      </c>
      <c r="D129" s="55" t="s">
        <v>684</v>
      </c>
      <c r="E129" s="55" t="s">
        <v>845</v>
      </c>
      <c r="F129" s="129" t="s">
        <v>374</v>
      </c>
      <c r="G129" s="129" t="s">
        <v>844</v>
      </c>
    </row>
    <row r="130" spans="2:7" ht="52.8">
      <c r="B130" s="56">
        <v>46178</v>
      </c>
      <c r="C130" s="69">
        <v>46178.500810185185</v>
      </c>
      <c r="D130" s="55" t="s">
        <v>684</v>
      </c>
      <c r="E130" s="55" t="s">
        <v>845</v>
      </c>
      <c r="F130" s="129" t="s">
        <v>844</v>
      </c>
      <c r="G130" s="129" t="s">
        <v>846</v>
      </c>
    </row>
    <row r="131" spans="2:7">
      <c r="B131" s="56">
        <v>46178</v>
      </c>
      <c r="C131" s="69">
        <v>46178.500821759262</v>
      </c>
      <c r="D131" s="55" t="s">
        <v>684</v>
      </c>
      <c r="E131" s="55" t="s">
        <v>847</v>
      </c>
      <c r="F131" s="129" t="s">
        <v>201</v>
      </c>
      <c r="G131" s="129" t="s">
        <v>20</v>
      </c>
    </row>
    <row r="132" spans="2:7">
      <c r="B132" s="56">
        <v>46178</v>
      </c>
      <c r="C132" s="69">
        <v>46178.500868055555</v>
      </c>
      <c r="D132" s="55" t="s">
        <v>684</v>
      </c>
      <c r="E132" s="55" t="s">
        <v>848</v>
      </c>
      <c r="F132" s="129" t="s">
        <v>201</v>
      </c>
      <c r="G132" s="129" t="s">
        <v>33</v>
      </c>
    </row>
    <row r="133" spans="2:7">
      <c r="B133" s="56">
        <v>46178</v>
      </c>
      <c r="C133" s="69">
        <v>46178.501030092593</v>
      </c>
      <c r="D133" s="55" t="s">
        <v>684</v>
      </c>
      <c r="E133" s="55" t="s">
        <v>849</v>
      </c>
      <c r="G133" s="130">
        <v>46178</v>
      </c>
    </row>
    <row r="134" spans="2:7" ht="66">
      <c r="B134" s="56">
        <v>46178</v>
      </c>
      <c r="C134" s="69">
        <v>46178.502951388888</v>
      </c>
      <c r="D134" s="55" t="s">
        <v>684</v>
      </c>
      <c r="E134" s="55" t="s">
        <v>851</v>
      </c>
      <c r="F134" s="129" t="s">
        <v>380</v>
      </c>
      <c r="G134" s="130" t="s">
        <v>850</v>
      </c>
    </row>
    <row r="135" spans="2:7" ht="66">
      <c r="B135" s="56">
        <v>46178</v>
      </c>
      <c r="C135" s="69">
        <v>46178.503425925926</v>
      </c>
      <c r="D135" s="55" t="s">
        <v>684</v>
      </c>
      <c r="E135" s="55" t="s">
        <v>851</v>
      </c>
      <c r="F135" s="129" t="s">
        <v>850</v>
      </c>
      <c r="G135" s="129" t="s">
        <v>852</v>
      </c>
    </row>
    <row r="136" spans="2:7">
      <c r="B136" s="56">
        <v>46178</v>
      </c>
      <c r="C136" s="69">
        <v>46178.503449074073</v>
      </c>
      <c r="D136" s="55" t="s">
        <v>684</v>
      </c>
      <c r="E136" s="55" t="s">
        <v>853</v>
      </c>
      <c r="F136" s="129" t="s">
        <v>201</v>
      </c>
      <c r="G136" s="129" t="s">
        <v>20</v>
      </c>
    </row>
    <row r="137" spans="2:7">
      <c r="B137" s="56">
        <v>46178</v>
      </c>
      <c r="C137" s="69">
        <v>46178.503530092596</v>
      </c>
      <c r="D137" s="55" t="s">
        <v>684</v>
      </c>
      <c r="E137" s="55" t="s">
        <v>854</v>
      </c>
      <c r="G137" s="130">
        <v>46178</v>
      </c>
    </row>
    <row r="138" spans="2:7" ht="92.4">
      <c r="B138" s="56">
        <v>46178</v>
      </c>
      <c r="C138" s="69">
        <v>46178.505312499998</v>
      </c>
      <c r="D138" s="55" t="s">
        <v>684</v>
      </c>
      <c r="E138" s="55" t="s">
        <v>856</v>
      </c>
      <c r="G138" s="129" t="s">
        <v>855</v>
      </c>
    </row>
    <row r="139" spans="2:7">
      <c r="B139" s="56">
        <v>46178</v>
      </c>
      <c r="C139" s="69">
        <v>46178.505335648151</v>
      </c>
      <c r="D139" s="55" t="s">
        <v>684</v>
      </c>
      <c r="E139" s="55" t="s">
        <v>857</v>
      </c>
      <c r="F139" s="129" t="s">
        <v>201</v>
      </c>
      <c r="G139" s="129" t="s">
        <v>20</v>
      </c>
    </row>
    <row r="140" spans="2:7">
      <c r="B140" s="56">
        <v>46178</v>
      </c>
      <c r="C140" s="69">
        <v>46178.505428240744</v>
      </c>
      <c r="D140" s="55" t="s">
        <v>684</v>
      </c>
      <c r="E140" s="55" t="s">
        <v>858</v>
      </c>
      <c r="G140" s="130">
        <v>46178</v>
      </c>
    </row>
    <row r="141" spans="2:7" ht="52.8">
      <c r="B141" s="56">
        <v>46178</v>
      </c>
      <c r="C141" s="69">
        <v>46178.506724537037</v>
      </c>
      <c r="D141" s="55" t="s">
        <v>684</v>
      </c>
      <c r="E141" s="55" t="s">
        <v>860</v>
      </c>
      <c r="G141" s="129" t="s">
        <v>859</v>
      </c>
    </row>
    <row r="142" spans="2:7" ht="92.4">
      <c r="B142" s="56">
        <v>46178</v>
      </c>
      <c r="C142" s="69">
        <v>46178.506932870368</v>
      </c>
      <c r="D142" s="55" t="s">
        <v>684</v>
      </c>
      <c r="E142" s="55" t="s">
        <v>860</v>
      </c>
      <c r="F142" s="129" t="s">
        <v>859</v>
      </c>
      <c r="G142" s="129" t="s">
        <v>861</v>
      </c>
    </row>
    <row r="143" spans="2:7">
      <c r="B143" s="56">
        <v>46178</v>
      </c>
      <c r="C143" s="69">
        <v>46178.507071759261</v>
      </c>
      <c r="D143" s="55" t="s">
        <v>684</v>
      </c>
      <c r="E143" s="55" t="s">
        <v>862</v>
      </c>
      <c r="F143" s="130">
        <v>46173</v>
      </c>
      <c r="G143" s="130">
        <v>46234</v>
      </c>
    </row>
    <row r="144" spans="2:7">
      <c r="B144" s="56">
        <v>46178</v>
      </c>
      <c r="C144" s="69">
        <v>46178.507407407407</v>
      </c>
      <c r="D144" s="55" t="s">
        <v>684</v>
      </c>
      <c r="E144" s="55" t="s">
        <v>863</v>
      </c>
      <c r="F144" s="130">
        <v>46173</v>
      </c>
      <c r="G144" s="130">
        <v>46234</v>
      </c>
    </row>
    <row r="145" spans="2:7" ht="92.4">
      <c r="B145" s="56">
        <v>46178</v>
      </c>
      <c r="C145" s="69">
        <v>46178.507453703707</v>
      </c>
      <c r="D145" s="55" t="s">
        <v>684</v>
      </c>
      <c r="E145" s="55" t="s">
        <v>864</v>
      </c>
      <c r="G145" s="129" t="s">
        <v>861</v>
      </c>
    </row>
    <row r="146" spans="2:7">
      <c r="B146" s="56">
        <v>46178</v>
      </c>
      <c r="C146" s="69">
        <v>46178.507928240739</v>
      </c>
      <c r="D146" s="55" t="s">
        <v>684</v>
      </c>
      <c r="E146" s="55" t="s">
        <v>865</v>
      </c>
      <c r="F146" s="130">
        <v>46173</v>
      </c>
      <c r="G146" s="130">
        <v>46234</v>
      </c>
    </row>
    <row r="147" spans="2:7" ht="92.4">
      <c r="B147" s="56">
        <v>46178</v>
      </c>
      <c r="C147" s="69">
        <v>46178.507951388892</v>
      </c>
      <c r="D147" s="55" t="s">
        <v>684</v>
      </c>
      <c r="E147" s="55" t="s">
        <v>866</v>
      </c>
      <c r="G147" s="129" t="s">
        <v>861</v>
      </c>
    </row>
    <row r="148" spans="2:7" ht="92.4">
      <c r="B148" s="56">
        <v>46178</v>
      </c>
      <c r="C148" s="69">
        <v>46178.508449074077</v>
      </c>
      <c r="D148" s="55" t="s">
        <v>684</v>
      </c>
      <c r="E148" s="55" t="s">
        <v>856</v>
      </c>
      <c r="F148" s="129" t="s">
        <v>855</v>
      </c>
      <c r="G148" s="129" t="s">
        <v>867</v>
      </c>
    </row>
    <row r="149" spans="2:7" ht="92.4">
      <c r="B149" s="56">
        <v>46178</v>
      </c>
      <c r="C149" s="69">
        <v>46178.508611111109</v>
      </c>
      <c r="D149" s="55" t="s">
        <v>684</v>
      </c>
      <c r="E149" s="55" t="s">
        <v>868</v>
      </c>
      <c r="G149" s="129" t="s">
        <v>867</v>
      </c>
    </row>
    <row r="150" spans="2:7" ht="105.6">
      <c r="B150" s="56">
        <v>46178</v>
      </c>
      <c r="C150" s="69">
        <v>46178.509340277778</v>
      </c>
      <c r="D150" s="55" t="s">
        <v>684</v>
      </c>
      <c r="E150" s="55" t="s">
        <v>868</v>
      </c>
      <c r="F150" s="129" t="s">
        <v>867</v>
      </c>
      <c r="G150" s="129" t="s">
        <v>869</v>
      </c>
    </row>
    <row r="151" spans="2:7">
      <c r="B151" s="56">
        <v>46178</v>
      </c>
      <c r="C151" s="69">
        <v>46178.509456018517</v>
      </c>
      <c r="D151" s="55" t="s">
        <v>684</v>
      </c>
      <c r="E151" s="55" t="s">
        <v>870</v>
      </c>
      <c r="F151" s="129" t="s">
        <v>201</v>
      </c>
      <c r="G151" s="130" t="s">
        <v>20</v>
      </c>
    </row>
    <row r="152" spans="2:7">
      <c r="B152" s="56">
        <v>46178</v>
      </c>
      <c r="C152" s="69">
        <v>46178.510335648149</v>
      </c>
      <c r="D152" s="55" t="s">
        <v>684</v>
      </c>
      <c r="E152" s="55" t="s">
        <v>871</v>
      </c>
      <c r="G152" s="130">
        <v>46178</v>
      </c>
    </row>
    <row r="153" spans="2:7" ht="132">
      <c r="B153" s="56">
        <v>46178</v>
      </c>
      <c r="C153" s="69">
        <v>46178.52511574074</v>
      </c>
      <c r="D153" s="55" t="s">
        <v>684</v>
      </c>
      <c r="E153" s="55" t="s">
        <v>874</v>
      </c>
      <c r="G153" s="130" t="s">
        <v>873</v>
      </c>
    </row>
    <row r="154" spans="2:7">
      <c r="B154" s="56">
        <v>46178</v>
      </c>
      <c r="C154" s="69">
        <v>46178.52516203704</v>
      </c>
      <c r="D154" s="55" t="s">
        <v>684</v>
      </c>
      <c r="E154" s="55" t="s">
        <v>875</v>
      </c>
      <c r="F154" s="130" t="s">
        <v>33</v>
      </c>
      <c r="G154" s="129" t="s">
        <v>20</v>
      </c>
    </row>
    <row r="155" spans="2:7">
      <c r="B155" s="56">
        <v>46178</v>
      </c>
      <c r="C155" s="69">
        <v>46178.525289351855</v>
      </c>
      <c r="D155" s="55" t="s">
        <v>684</v>
      </c>
      <c r="E155" s="55" t="s">
        <v>876</v>
      </c>
      <c r="F155" s="130"/>
      <c r="G155" s="130">
        <v>46178</v>
      </c>
    </row>
    <row r="156" spans="2:7" ht="26.4">
      <c r="B156" s="56">
        <v>46181</v>
      </c>
      <c r="C156" s="69">
        <v>46181.812789351854</v>
      </c>
      <c r="D156" s="55" t="s">
        <v>734</v>
      </c>
      <c r="E156" s="55" t="s">
        <v>877</v>
      </c>
      <c r="F156" s="130">
        <v>0</v>
      </c>
      <c r="G156" s="130" t="s">
        <v>14</v>
      </c>
    </row>
    <row r="157" spans="2:7" ht="26.4">
      <c r="B157" s="56">
        <v>46182</v>
      </c>
      <c r="C157" s="69">
        <v>46182.619097222225</v>
      </c>
      <c r="D157" s="55" t="s">
        <v>684</v>
      </c>
      <c r="E157" s="55" t="s">
        <v>879</v>
      </c>
      <c r="F157" s="130"/>
      <c r="G157" s="129" t="s">
        <v>878</v>
      </c>
    </row>
    <row r="158" spans="2:7" ht="26.4">
      <c r="B158" s="56">
        <v>46182</v>
      </c>
      <c r="C158" s="69">
        <v>46182.619606481479</v>
      </c>
      <c r="D158" s="55" t="s">
        <v>684</v>
      </c>
      <c r="E158" s="55" t="s">
        <v>881</v>
      </c>
      <c r="G158" s="130" t="s">
        <v>880</v>
      </c>
    </row>
    <row r="159" spans="2:7" ht="39.6">
      <c r="B159" s="56">
        <v>46182</v>
      </c>
      <c r="C159" s="69">
        <v>46182.619756944441</v>
      </c>
      <c r="D159" s="55" t="s">
        <v>684</v>
      </c>
      <c r="E159" s="55" t="s">
        <v>879</v>
      </c>
      <c r="F159" s="130" t="s">
        <v>878</v>
      </c>
      <c r="G159" s="130" t="s">
        <v>882</v>
      </c>
    </row>
    <row r="160" spans="2:7">
      <c r="B160" s="56">
        <v>46183</v>
      </c>
      <c r="C160" s="69">
        <v>46183.572546296295</v>
      </c>
      <c r="D160" s="55" t="s">
        <v>684</v>
      </c>
      <c r="E160" s="55" t="s">
        <v>886</v>
      </c>
      <c r="F160" s="129" t="s">
        <v>201</v>
      </c>
      <c r="G160" s="130" t="s">
        <v>33</v>
      </c>
    </row>
    <row r="161" spans="2:7">
      <c r="B161" s="56">
        <v>46183</v>
      </c>
      <c r="C161" s="69">
        <v>46183.572581018518</v>
      </c>
      <c r="D161" s="55" t="s">
        <v>684</v>
      </c>
      <c r="E161" s="55" t="s">
        <v>887</v>
      </c>
      <c r="F161" s="130" t="s">
        <v>201</v>
      </c>
      <c r="G161" s="130" t="s">
        <v>33</v>
      </c>
    </row>
    <row r="162" spans="2:7">
      <c r="B162" s="56">
        <v>46183</v>
      </c>
      <c r="C162" s="69">
        <v>46183.572592592594</v>
      </c>
      <c r="D162" s="55" t="s">
        <v>684</v>
      </c>
      <c r="E162" s="55" t="s">
        <v>888</v>
      </c>
      <c r="F162" s="129" t="s">
        <v>201</v>
      </c>
      <c r="G162" s="129" t="s">
        <v>33</v>
      </c>
    </row>
    <row r="163" spans="2:7">
      <c r="B163" s="56">
        <v>46183</v>
      </c>
      <c r="C163" s="69">
        <v>46183.572870370372</v>
      </c>
      <c r="D163" s="55" t="s">
        <v>684</v>
      </c>
      <c r="E163" s="55" t="s">
        <v>889</v>
      </c>
      <c r="F163" s="129" t="s">
        <v>201</v>
      </c>
      <c r="G163" s="130" t="s">
        <v>33</v>
      </c>
    </row>
    <row r="164" spans="2:7">
      <c r="B164" s="56">
        <v>46183</v>
      </c>
      <c r="C164" s="69">
        <v>46183.602060185185</v>
      </c>
      <c r="D164" s="55" t="s">
        <v>890</v>
      </c>
      <c r="E164" s="55" t="s">
        <v>891</v>
      </c>
      <c r="G164" s="130" t="s">
        <v>572</v>
      </c>
    </row>
    <row r="165" spans="2:7">
      <c r="B165" s="56">
        <v>46183</v>
      </c>
      <c r="C165" s="69">
        <v>46183.602129629631</v>
      </c>
      <c r="D165" s="55" t="s">
        <v>890</v>
      </c>
      <c r="E165" s="55" t="s">
        <v>891</v>
      </c>
      <c r="F165" s="129" t="s">
        <v>572</v>
      </c>
      <c r="G165" s="130" t="s">
        <v>1</v>
      </c>
    </row>
    <row r="166" spans="2:7" ht="52.8">
      <c r="B166" s="56">
        <v>46183</v>
      </c>
      <c r="C166" s="69">
        <v>46183.602280092593</v>
      </c>
      <c r="D166" s="55" t="s">
        <v>890</v>
      </c>
      <c r="E166" s="55" t="s">
        <v>892</v>
      </c>
      <c r="F166" s="130"/>
      <c r="G166" s="130" t="s">
        <v>306</v>
      </c>
    </row>
    <row r="167" spans="2:7" ht="26.4">
      <c r="B167" s="56">
        <v>46183</v>
      </c>
      <c r="C167" s="69">
        <v>46183.602546296293</v>
      </c>
      <c r="D167" s="55" t="s">
        <v>890</v>
      </c>
      <c r="E167" s="55" t="s">
        <v>893</v>
      </c>
      <c r="F167" s="130"/>
      <c r="G167" s="130" t="s">
        <v>360</v>
      </c>
    </row>
    <row r="168" spans="2:7" ht="52.8">
      <c r="B168" s="56">
        <v>46183</v>
      </c>
      <c r="C168" s="69">
        <v>46183.602650462963</v>
      </c>
      <c r="D168" s="55" t="s">
        <v>890</v>
      </c>
      <c r="E168" s="55" t="s">
        <v>894</v>
      </c>
      <c r="F168" s="130"/>
      <c r="G168" s="130" t="s">
        <v>419</v>
      </c>
    </row>
    <row r="169" spans="2:7">
      <c r="B169" s="56">
        <v>46183</v>
      </c>
      <c r="C169" s="69">
        <v>46183.602766203701</v>
      </c>
      <c r="D169" s="55" t="s">
        <v>890</v>
      </c>
      <c r="E169" s="55" t="s">
        <v>895</v>
      </c>
      <c r="G169" s="129">
        <v>3</v>
      </c>
    </row>
    <row r="170" spans="2:7">
      <c r="B170" s="56">
        <v>46183</v>
      </c>
      <c r="C170" s="69">
        <v>46183.602812500001</v>
      </c>
      <c r="D170" s="55" t="s">
        <v>890</v>
      </c>
      <c r="E170" s="55" t="s">
        <v>896</v>
      </c>
      <c r="G170" s="129">
        <v>7</v>
      </c>
    </row>
    <row r="171" spans="2:7">
      <c r="B171" s="56">
        <v>46183</v>
      </c>
      <c r="C171" s="69">
        <v>46183.602858796294</v>
      </c>
      <c r="D171" s="55" t="s">
        <v>890</v>
      </c>
      <c r="E171" s="55" t="s">
        <v>897</v>
      </c>
      <c r="G171" s="129">
        <v>10</v>
      </c>
    </row>
    <row r="172" spans="2:7">
      <c r="B172" s="56">
        <v>46183</v>
      </c>
      <c r="C172" s="69">
        <v>46183.603009259263</v>
      </c>
      <c r="D172" s="55" t="s">
        <v>890</v>
      </c>
      <c r="E172" s="55" t="s">
        <v>898</v>
      </c>
      <c r="G172" s="129" t="s">
        <v>585</v>
      </c>
    </row>
    <row r="173" spans="2:7" ht="409.6">
      <c r="B173" s="56">
        <v>46183</v>
      </c>
      <c r="C173" s="69">
        <v>46183.617696759262</v>
      </c>
      <c r="D173" s="55" t="s">
        <v>689</v>
      </c>
      <c r="E173" s="55" t="s">
        <v>899</v>
      </c>
      <c r="F173" s="129" t="s">
        <v>883</v>
      </c>
      <c r="G173" s="129" t="s">
        <v>900</v>
      </c>
    </row>
    <row r="174" spans="2:7">
      <c r="B174" s="56">
        <v>46183</v>
      </c>
      <c r="C174" s="69">
        <v>46183.638993055552</v>
      </c>
      <c r="D174" s="55" t="s">
        <v>684</v>
      </c>
      <c r="E174" s="55" t="s">
        <v>901</v>
      </c>
      <c r="F174" s="129" t="s">
        <v>201</v>
      </c>
      <c r="G174" s="129" t="s">
        <v>33</v>
      </c>
    </row>
    <row r="175" spans="2:7">
      <c r="B175" s="56">
        <v>46183</v>
      </c>
      <c r="C175" s="69">
        <v>46183.639386574076</v>
      </c>
      <c r="D175" s="55" t="s">
        <v>684</v>
      </c>
      <c r="E175" s="55" t="s">
        <v>902</v>
      </c>
      <c r="F175" s="129" t="s">
        <v>201</v>
      </c>
      <c r="G175" s="129" t="s">
        <v>33</v>
      </c>
    </row>
    <row r="176" spans="2:7">
      <c r="B176" s="56">
        <v>46183</v>
      </c>
      <c r="C176" s="69">
        <v>46183.639398148145</v>
      </c>
      <c r="D176" s="55" t="s">
        <v>684</v>
      </c>
      <c r="E176" s="55" t="s">
        <v>903</v>
      </c>
      <c r="F176" s="129" t="s">
        <v>201</v>
      </c>
      <c r="G176" s="130" t="s">
        <v>33</v>
      </c>
    </row>
    <row r="177" spans="2:7">
      <c r="B177" s="56">
        <v>46183</v>
      </c>
      <c r="C177" s="69">
        <v>46183.639421296299</v>
      </c>
      <c r="D177" s="55" t="s">
        <v>684</v>
      </c>
      <c r="E177" s="55" t="s">
        <v>904</v>
      </c>
      <c r="F177" s="130" t="s">
        <v>201</v>
      </c>
      <c r="G177" s="129" t="s">
        <v>33</v>
      </c>
    </row>
    <row r="178" spans="2:7">
      <c r="B178" s="56">
        <v>46183</v>
      </c>
      <c r="C178" s="69">
        <v>46183.639664351853</v>
      </c>
      <c r="D178" s="55" t="s">
        <v>684</v>
      </c>
      <c r="E178" s="55" t="s">
        <v>905</v>
      </c>
      <c r="F178" s="129" t="s">
        <v>201</v>
      </c>
      <c r="G178" s="129" t="s">
        <v>33</v>
      </c>
    </row>
    <row r="179" spans="2:7">
      <c r="B179" s="56">
        <v>46183</v>
      </c>
      <c r="C179" s="69">
        <v>46183.639699074076</v>
      </c>
      <c r="D179" s="55" t="s">
        <v>684</v>
      </c>
      <c r="E179" s="55" t="s">
        <v>906</v>
      </c>
      <c r="F179" s="129" t="s">
        <v>201</v>
      </c>
      <c r="G179" s="129" t="s">
        <v>33</v>
      </c>
    </row>
    <row r="180" spans="2:7" ht="39.6">
      <c r="B180" s="56">
        <v>46183</v>
      </c>
      <c r="C180" s="69">
        <v>46183.646458333336</v>
      </c>
      <c r="D180" s="55" t="s">
        <v>689</v>
      </c>
      <c r="E180" s="55" t="s">
        <v>907</v>
      </c>
      <c r="F180" s="129" t="s">
        <v>14</v>
      </c>
      <c r="G180" s="129" t="s">
        <v>461</v>
      </c>
    </row>
    <row r="181" spans="2:7" ht="26.4">
      <c r="B181" s="56">
        <v>46183</v>
      </c>
      <c r="C181" s="69">
        <v>46183.646469907406</v>
      </c>
      <c r="D181" s="55" t="s">
        <v>689</v>
      </c>
      <c r="E181" s="55" t="s">
        <v>908</v>
      </c>
      <c r="F181" s="129" t="s">
        <v>14</v>
      </c>
      <c r="G181" s="129" t="s">
        <v>181</v>
      </c>
    </row>
    <row r="182" spans="2:7" ht="39.6">
      <c r="B182" s="56">
        <v>46183</v>
      </c>
      <c r="C182" s="69">
        <v>46183.646527777775</v>
      </c>
      <c r="D182" s="55" t="s">
        <v>689</v>
      </c>
      <c r="E182" s="55" t="s">
        <v>909</v>
      </c>
      <c r="F182" s="129" t="s">
        <v>1</v>
      </c>
      <c r="G182" s="129" t="s">
        <v>461</v>
      </c>
    </row>
    <row r="183" spans="2:7" ht="26.4">
      <c r="B183" s="56">
        <v>46183</v>
      </c>
      <c r="C183" s="69">
        <v>46183.646527777775</v>
      </c>
      <c r="D183" s="55" t="s">
        <v>689</v>
      </c>
      <c r="E183" s="55" t="s">
        <v>910</v>
      </c>
      <c r="F183" s="129" t="s">
        <v>1</v>
      </c>
      <c r="G183" s="129" t="s">
        <v>112</v>
      </c>
    </row>
    <row r="184" spans="2:7" ht="66">
      <c r="B184" s="56">
        <v>46183</v>
      </c>
      <c r="C184" s="69">
        <v>46183.668657407405</v>
      </c>
      <c r="D184" s="55" t="s">
        <v>890</v>
      </c>
      <c r="E184" s="55" t="s">
        <v>892</v>
      </c>
      <c r="G184" s="129" t="s">
        <v>471</v>
      </c>
    </row>
    <row r="185" spans="2:7" ht="52.8">
      <c r="B185" s="56">
        <v>46183</v>
      </c>
      <c r="C185" s="69">
        <v>46183.668796296297</v>
      </c>
      <c r="D185" s="55" t="s">
        <v>890</v>
      </c>
      <c r="E185" s="55" t="s">
        <v>893</v>
      </c>
      <c r="F185" s="130"/>
      <c r="G185" s="129" t="s">
        <v>306</v>
      </c>
    </row>
    <row r="186" spans="2:7" ht="26.4">
      <c r="B186" s="56">
        <v>46183</v>
      </c>
      <c r="C186" s="69">
        <v>46183.669247685182</v>
      </c>
      <c r="D186" s="55" t="s">
        <v>890</v>
      </c>
      <c r="E186" s="55" t="s">
        <v>894</v>
      </c>
      <c r="F186" s="130"/>
      <c r="G186" s="130" t="s">
        <v>360</v>
      </c>
    </row>
    <row r="187" spans="2:7" ht="52.8">
      <c r="B187" s="56">
        <v>46183</v>
      </c>
      <c r="C187" s="69">
        <v>46183.669386574074</v>
      </c>
      <c r="D187" s="55" t="s">
        <v>890</v>
      </c>
      <c r="E187" s="55" t="s">
        <v>894</v>
      </c>
      <c r="F187" s="129" t="s">
        <v>360</v>
      </c>
      <c r="G187" s="129" t="s">
        <v>911</v>
      </c>
    </row>
    <row r="188" spans="2:7" ht="66">
      <c r="B188" s="56">
        <v>46183</v>
      </c>
      <c r="C188" s="69">
        <v>46183.669421296298</v>
      </c>
      <c r="D188" s="55" t="s">
        <v>890</v>
      </c>
      <c r="E188" s="55" t="s">
        <v>894</v>
      </c>
      <c r="F188" s="129" t="s">
        <v>911</v>
      </c>
      <c r="G188" s="129" t="s">
        <v>912</v>
      </c>
    </row>
    <row r="189" spans="2:7" ht="66">
      <c r="B189" s="56">
        <v>46183</v>
      </c>
      <c r="C189" s="69">
        <v>46183.669745370367</v>
      </c>
      <c r="D189" s="55" t="s">
        <v>890</v>
      </c>
      <c r="E189" s="55" t="s">
        <v>894</v>
      </c>
      <c r="F189" s="129" t="s">
        <v>912</v>
      </c>
      <c r="G189" s="129" t="s">
        <v>913</v>
      </c>
    </row>
    <row r="190" spans="2:7" ht="52.8">
      <c r="B190" s="56">
        <v>46183</v>
      </c>
      <c r="C190" s="69">
        <v>46183.670081018521</v>
      </c>
      <c r="D190" s="55" t="s">
        <v>890</v>
      </c>
      <c r="E190" s="55" t="s">
        <v>898</v>
      </c>
      <c r="G190" s="129" t="s">
        <v>419</v>
      </c>
    </row>
    <row r="191" spans="2:7" ht="52.8">
      <c r="B191" s="56">
        <v>46183</v>
      </c>
      <c r="C191" s="69">
        <v>46183.670300925929</v>
      </c>
      <c r="D191" s="55" t="s">
        <v>890</v>
      </c>
      <c r="E191" s="55" t="s">
        <v>914</v>
      </c>
      <c r="G191" s="129" t="s">
        <v>419</v>
      </c>
    </row>
    <row r="192" spans="2:7">
      <c r="B192" s="56">
        <v>46183</v>
      </c>
      <c r="C192" s="69">
        <v>46183.67119212963</v>
      </c>
      <c r="D192" s="55" t="s">
        <v>890</v>
      </c>
      <c r="E192" s="55" t="s">
        <v>915</v>
      </c>
      <c r="G192" s="129">
        <v>6</v>
      </c>
    </row>
    <row r="193" spans="2:7">
      <c r="B193" s="56">
        <v>46183</v>
      </c>
      <c r="C193" s="69">
        <v>46183.671215277776</v>
      </c>
      <c r="D193" s="55" t="s">
        <v>890</v>
      </c>
      <c r="E193" s="55" t="s">
        <v>916</v>
      </c>
      <c r="G193" s="129">
        <v>13</v>
      </c>
    </row>
    <row r="194" spans="2:7">
      <c r="B194" s="56">
        <v>46183</v>
      </c>
      <c r="C194" s="69">
        <v>46183.671238425923</v>
      </c>
      <c r="D194" s="55" t="s">
        <v>890</v>
      </c>
      <c r="E194" s="55" t="s">
        <v>917</v>
      </c>
      <c r="G194" s="129">
        <v>3</v>
      </c>
    </row>
    <row r="195" spans="2:7">
      <c r="B195" s="56">
        <v>46183</v>
      </c>
      <c r="C195" s="69">
        <v>46183.671261574076</v>
      </c>
      <c r="D195" s="55" t="s">
        <v>890</v>
      </c>
      <c r="E195" s="55" t="s">
        <v>918</v>
      </c>
      <c r="G195" s="129">
        <v>22</v>
      </c>
    </row>
    <row r="196" spans="2:7">
      <c r="B196" s="56">
        <v>46183</v>
      </c>
      <c r="C196" s="69">
        <v>46183.671423611115</v>
      </c>
      <c r="D196" s="55" t="s">
        <v>890</v>
      </c>
      <c r="E196" s="55" t="s">
        <v>919</v>
      </c>
      <c r="G196" s="129" t="s">
        <v>585</v>
      </c>
    </row>
    <row r="197" spans="2:7">
      <c r="B197" s="56">
        <v>46183</v>
      </c>
      <c r="C197" s="69">
        <v>46183.69458333333</v>
      </c>
      <c r="D197" s="55" t="s">
        <v>684</v>
      </c>
      <c r="E197" s="55" t="s">
        <v>686</v>
      </c>
      <c r="F197" s="130">
        <v>46171</v>
      </c>
      <c r="G197" s="130">
        <v>46203</v>
      </c>
    </row>
    <row r="198" spans="2:7">
      <c r="B198" s="56">
        <v>46183</v>
      </c>
      <c r="C198" s="69">
        <v>46183.694918981484</v>
      </c>
      <c r="D198" s="55" t="s">
        <v>689</v>
      </c>
      <c r="E198" s="55" t="s">
        <v>920</v>
      </c>
      <c r="F198" s="130">
        <v>46171</v>
      </c>
      <c r="G198" s="130">
        <v>46203</v>
      </c>
    </row>
    <row r="199" spans="2:7">
      <c r="B199" s="56">
        <v>46184</v>
      </c>
      <c r="C199" s="69">
        <v>46184.367037037038</v>
      </c>
      <c r="D199" s="55" t="s">
        <v>684</v>
      </c>
      <c r="E199" s="55" t="s">
        <v>922</v>
      </c>
      <c r="G199" s="129" t="s">
        <v>921</v>
      </c>
    </row>
    <row r="200" spans="2:7" ht="52.8">
      <c r="B200" s="56">
        <v>46195</v>
      </c>
      <c r="C200" s="69">
        <v>46195.405995370369</v>
      </c>
      <c r="D200" s="55" t="s">
        <v>684</v>
      </c>
      <c r="E200" s="55" t="s">
        <v>924</v>
      </c>
      <c r="G200" s="129" t="s">
        <v>923</v>
      </c>
    </row>
    <row r="201" spans="2:7" ht="52.8">
      <c r="B201" s="56">
        <v>46195</v>
      </c>
      <c r="C201" s="69">
        <v>46195.406226851854</v>
      </c>
      <c r="D201" s="55" t="s">
        <v>684</v>
      </c>
      <c r="E201" s="55" t="s">
        <v>924</v>
      </c>
      <c r="F201" s="129" t="s">
        <v>923</v>
      </c>
      <c r="G201" s="129" t="s">
        <v>925</v>
      </c>
    </row>
    <row r="202" spans="2:7" ht="52.8">
      <c r="B202" s="56">
        <v>46195</v>
      </c>
      <c r="C202" s="69">
        <v>46195.406909722224</v>
      </c>
      <c r="D202" s="55" t="s">
        <v>684</v>
      </c>
      <c r="E202" s="55" t="s">
        <v>927</v>
      </c>
      <c r="G202" s="129" t="s">
        <v>926</v>
      </c>
    </row>
    <row r="203" spans="2:7" ht="409.6">
      <c r="B203" s="56">
        <v>46195</v>
      </c>
      <c r="C203" s="69">
        <v>46195.407013888886</v>
      </c>
      <c r="D203" s="55" t="s">
        <v>684</v>
      </c>
      <c r="E203" s="55" t="s">
        <v>929</v>
      </c>
      <c r="G203" s="129" t="s">
        <v>928</v>
      </c>
    </row>
    <row r="204" spans="2:7" ht="409.6">
      <c r="B204" s="56">
        <v>46195</v>
      </c>
      <c r="C204" s="69">
        <v>46195.407465277778</v>
      </c>
      <c r="D204" s="55" t="s">
        <v>684</v>
      </c>
      <c r="E204" s="55" t="s">
        <v>929</v>
      </c>
      <c r="F204" s="129" t="s">
        <v>928</v>
      </c>
      <c r="G204" s="129" t="s">
        <v>930</v>
      </c>
    </row>
    <row r="205" spans="2:7">
      <c r="B205" s="56">
        <v>46195</v>
      </c>
      <c r="C205" s="69">
        <v>46195.408101851855</v>
      </c>
      <c r="D205" s="55" t="s">
        <v>684</v>
      </c>
      <c r="E205" s="55" t="s">
        <v>931</v>
      </c>
      <c r="G205" s="129" t="s">
        <v>254</v>
      </c>
    </row>
    <row r="206" spans="2:7" ht="184.8">
      <c r="B206" s="56">
        <v>46195</v>
      </c>
      <c r="C206" s="69">
        <v>46195.408530092594</v>
      </c>
      <c r="D206" s="55" t="s">
        <v>684</v>
      </c>
      <c r="E206" s="55" t="s">
        <v>933</v>
      </c>
      <c r="G206" s="129" t="s">
        <v>932</v>
      </c>
    </row>
    <row r="207" spans="2:7" ht="26.4">
      <c r="B207" s="56">
        <v>46195</v>
      </c>
      <c r="C207" s="69">
        <v>46195.408726851849</v>
      </c>
      <c r="D207" s="55" t="s">
        <v>684</v>
      </c>
      <c r="E207" s="55" t="s">
        <v>934</v>
      </c>
      <c r="G207" s="129" t="s">
        <v>115</v>
      </c>
    </row>
    <row r="208" spans="2:7">
      <c r="B208" s="56">
        <v>46195</v>
      </c>
      <c r="C208" s="69">
        <v>46195.408865740741</v>
      </c>
      <c r="D208" s="55" t="s">
        <v>684</v>
      </c>
      <c r="E208" s="55" t="s">
        <v>935</v>
      </c>
      <c r="G208" s="130">
        <v>46191</v>
      </c>
    </row>
    <row r="209" spans="2:7">
      <c r="B209" s="56">
        <v>46195</v>
      </c>
      <c r="C209" s="69">
        <v>46195.408958333333</v>
      </c>
      <c r="D209" s="55" t="s">
        <v>684</v>
      </c>
      <c r="E209" s="55" t="s">
        <v>936</v>
      </c>
      <c r="G209" s="130">
        <v>46204</v>
      </c>
    </row>
    <row r="210" spans="2:7" ht="39.6">
      <c r="B210" s="56">
        <v>46195</v>
      </c>
      <c r="C210" s="69">
        <v>46195.410243055558</v>
      </c>
      <c r="D210" s="55" t="s">
        <v>684</v>
      </c>
      <c r="E210" s="55" t="s">
        <v>938</v>
      </c>
      <c r="G210" s="129" t="s">
        <v>937</v>
      </c>
    </row>
    <row r="211" spans="2:7">
      <c r="B211" s="56">
        <v>46195</v>
      </c>
      <c r="C211" s="69">
        <v>46195.410416666666</v>
      </c>
      <c r="D211" s="55" t="s">
        <v>684</v>
      </c>
      <c r="E211" s="55" t="s">
        <v>939</v>
      </c>
      <c r="G211" s="129" t="s">
        <v>20</v>
      </c>
    </row>
    <row r="212" spans="2:7" ht="409.6">
      <c r="B212" s="56">
        <v>46195</v>
      </c>
      <c r="C212" s="69">
        <v>46195.411597222221</v>
      </c>
      <c r="D212" s="55" t="s">
        <v>684</v>
      </c>
      <c r="E212" s="55" t="s">
        <v>941</v>
      </c>
      <c r="G212" s="129" t="s">
        <v>940</v>
      </c>
    </row>
    <row r="213" spans="2:7" ht="409.6">
      <c r="B213" s="56">
        <v>46195</v>
      </c>
      <c r="C213" s="69">
        <v>46195.412800925929</v>
      </c>
      <c r="D213" s="55" t="s">
        <v>684</v>
      </c>
      <c r="E213" s="55" t="s">
        <v>941</v>
      </c>
      <c r="F213" s="129" t="s">
        <v>940</v>
      </c>
      <c r="G213" s="129" t="s">
        <v>944</v>
      </c>
    </row>
    <row r="214" spans="2:7" ht="52.8">
      <c r="B214" s="56">
        <v>46195</v>
      </c>
      <c r="C214" s="69">
        <v>46195.412939814814</v>
      </c>
      <c r="D214" s="55" t="s">
        <v>684</v>
      </c>
      <c r="E214" s="55" t="s">
        <v>946</v>
      </c>
      <c r="G214" s="129" t="s">
        <v>945</v>
      </c>
    </row>
    <row r="215" spans="2:7" ht="52.8">
      <c r="B215" s="56">
        <v>46195</v>
      </c>
      <c r="C215" s="69">
        <v>46195.413437499999</v>
      </c>
      <c r="D215" s="55" t="s">
        <v>684</v>
      </c>
      <c r="E215" s="55" t="s">
        <v>947</v>
      </c>
      <c r="G215" s="129" t="s">
        <v>945</v>
      </c>
    </row>
    <row r="216" spans="2:7" ht="52.8">
      <c r="B216" s="56">
        <v>46195</v>
      </c>
      <c r="C216" s="69">
        <v>46195.413599537038</v>
      </c>
      <c r="D216" s="55" t="s">
        <v>684</v>
      </c>
      <c r="E216" s="55" t="s">
        <v>947</v>
      </c>
      <c r="F216" s="129" t="s">
        <v>945</v>
      </c>
    </row>
    <row r="217" spans="2:7">
      <c r="B217" s="56">
        <v>46195</v>
      </c>
      <c r="C217" s="69">
        <v>46195.413854166669</v>
      </c>
      <c r="D217" s="55" t="s">
        <v>684</v>
      </c>
      <c r="E217" s="55" t="s">
        <v>948</v>
      </c>
      <c r="G217" s="129" t="s">
        <v>188</v>
      </c>
    </row>
    <row r="218" spans="2:7" ht="250.8">
      <c r="B218" s="56">
        <v>46195</v>
      </c>
      <c r="C218" s="69">
        <v>46195.414097222223</v>
      </c>
      <c r="D218" s="55" t="s">
        <v>684</v>
      </c>
      <c r="E218" s="55" t="s">
        <v>949</v>
      </c>
      <c r="G218" s="129" t="s">
        <v>884</v>
      </c>
    </row>
    <row r="219" spans="2:7" ht="26.4">
      <c r="B219" s="56">
        <v>46195</v>
      </c>
      <c r="C219" s="69">
        <v>46195.414641203701</v>
      </c>
      <c r="D219" s="55" t="s">
        <v>684</v>
      </c>
      <c r="E219" s="55" t="s">
        <v>951</v>
      </c>
      <c r="G219" s="129" t="s">
        <v>950</v>
      </c>
    </row>
    <row r="220" spans="2:7">
      <c r="B220" s="56">
        <v>46195</v>
      </c>
      <c r="C220" s="69">
        <v>46195.41474537037</v>
      </c>
      <c r="D220" s="55" t="s">
        <v>684</v>
      </c>
      <c r="E220" s="55" t="s">
        <v>953</v>
      </c>
      <c r="G220" s="129" t="s">
        <v>952</v>
      </c>
    </row>
    <row r="221" spans="2:7">
      <c r="B221" s="56">
        <v>46195</v>
      </c>
      <c r="C221" s="69">
        <v>46195.414872685185</v>
      </c>
      <c r="D221" s="55" t="s">
        <v>684</v>
      </c>
      <c r="E221" s="55" t="s">
        <v>954</v>
      </c>
      <c r="G221" s="130">
        <v>46161</v>
      </c>
    </row>
    <row r="222" spans="2:7" ht="39.6">
      <c r="B222" s="56">
        <v>46195</v>
      </c>
      <c r="C222" s="69">
        <v>46195.415138888886</v>
      </c>
      <c r="D222" s="55" t="s">
        <v>684</v>
      </c>
      <c r="E222" s="55" t="s">
        <v>956</v>
      </c>
      <c r="G222" s="129" t="s">
        <v>955</v>
      </c>
    </row>
    <row r="223" spans="2:7">
      <c r="B223" s="56">
        <v>46195</v>
      </c>
      <c r="C223" s="69">
        <v>46195.415370370371</v>
      </c>
      <c r="D223" s="55" t="s">
        <v>684</v>
      </c>
      <c r="E223" s="55" t="s">
        <v>957</v>
      </c>
      <c r="G223" s="129" t="s">
        <v>33</v>
      </c>
    </row>
    <row r="224" spans="2:7" ht="409.6">
      <c r="B224" s="56">
        <v>46195</v>
      </c>
      <c r="C224" s="69">
        <v>46195.415775462963</v>
      </c>
      <c r="D224" s="55" t="s">
        <v>684</v>
      </c>
      <c r="E224" s="55" t="s">
        <v>958</v>
      </c>
      <c r="G224" s="129" t="s">
        <v>885</v>
      </c>
    </row>
    <row r="225" spans="2:7" ht="409.6">
      <c r="B225" s="56">
        <v>46195</v>
      </c>
      <c r="C225" s="69">
        <v>46195.416388888887</v>
      </c>
      <c r="D225" s="55" t="s">
        <v>684</v>
      </c>
      <c r="E225" s="55" t="s">
        <v>958</v>
      </c>
      <c r="F225" s="129" t="s">
        <v>885</v>
      </c>
      <c r="G225" s="129" t="s">
        <v>960</v>
      </c>
    </row>
    <row r="226" spans="2:7" ht="79.2">
      <c r="B226" s="56">
        <v>46195</v>
      </c>
      <c r="C226" s="69">
        <v>46195.416493055556</v>
      </c>
      <c r="D226" s="55" t="s">
        <v>684</v>
      </c>
      <c r="E226" s="55" t="s">
        <v>947</v>
      </c>
      <c r="G226" s="129" t="s">
        <v>961</v>
      </c>
    </row>
    <row r="227" spans="2:7">
      <c r="B227" s="56">
        <v>46195</v>
      </c>
      <c r="C227" s="69">
        <v>46195.416597222225</v>
      </c>
      <c r="D227" s="55" t="s">
        <v>684</v>
      </c>
      <c r="E227" s="55" t="s">
        <v>962</v>
      </c>
      <c r="G227" s="129" t="s">
        <v>188</v>
      </c>
    </row>
    <row r="228" spans="2:7" ht="409.6">
      <c r="B228" s="56">
        <v>46195</v>
      </c>
      <c r="C228" s="69">
        <v>46195.417361111111</v>
      </c>
      <c r="D228" s="55" t="s">
        <v>684</v>
      </c>
      <c r="E228" s="55" t="s">
        <v>964</v>
      </c>
      <c r="G228" s="129" t="s">
        <v>963</v>
      </c>
    </row>
    <row r="229" spans="2:7" ht="409.6">
      <c r="B229" s="56">
        <v>46195</v>
      </c>
      <c r="C229" s="69">
        <v>46195.417916666665</v>
      </c>
      <c r="D229" s="55" t="s">
        <v>684</v>
      </c>
      <c r="E229" s="55" t="s">
        <v>964</v>
      </c>
      <c r="F229" s="129" t="s">
        <v>963</v>
      </c>
      <c r="G229" s="129" t="s">
        <v>965</v>
      </c>
    </row>
    <row r="230" spans="2:7" ht="26.4">
      <c r="B230" s="56">
        <v>46195</v>
      </c>
      <c r="C230" s="69">
        <v>46195.418506944443</v>
      </c>
      <c r="D230" s="55" t="s">
        <v>684</v>
      </c>
      <c r="E230" s="55" t="s">
        <v>966</v>
      </c>
      <c r="G230" s="129" t="s">
        <v>190</v>
      </c>
    </row>
    <row r="231" spans="2:7">
      <c r="B231" s="56">
        <v>46195</v>
      </c>
      <c r="C231" s="69">
        <v>46195.418738425928</v>
      </c>
      <c r="D231" s="55" t="s">
        <v>684</v>
      </c>
      <c r="E231" s="55" t="s">
        <v>967</v>
      </c>
      <c r="F231" s="130"/>
      <c r="G231" s="130">
        <v>46235</v>
      </c>
    </row>
    <row r="232" spans="2:7">
      <c r="B232" s="56">
        <v>46195</v>
      </c>
      <c r="C232" s="69">
        <v>46195.41883101852</v>
      </c>
      <c r="D232" s="55" t="s">
        <v>684</v>
      </c>
      <c r="E232" s="55" t="s">
        <v>968</v>
      </c>
      <c r="F232" s="130"/>
      <c r="G232" s="130">
        <v>46357</v>
      </c>
    </row>
    <row r="233" spans="2:7" ht="39.6">
      <c r="B233" s="56">
        <v>46195</v>
      </c>
      <c r="C233" s="69">
        <v>46195.419027777774</v>
      </c>
      <c r="D233" s="55" t="s">
        <v>684</v>
      </c>
      <c r="E233" s="55" t="s">
        <v>879</v>
      </c>
      <c r="F233" s="130"/>
      <c r="G233" s="130" t="s">
        <v>969</v>
      </c>
    </row>
    <row r="234" spans="2:7" ht="303.60000000000002">
      <c r="B234" s="56">
        <v>46195</v>
      </c>
      <c r="C234" s="69">
        <v>46195.419305555559</v>
      </c>
      <c r="D234" s="55" t="s">
        <v>684</v>
      </c>
      <c r="E234" s="55" t="s">
        <v>971</v>
      </c>
      <c r="F234" s="130"/>
      <c r="G234" s="130" t="s">
        <v>970</v>
      </c>
    </row>
    <row r="235" spans="2:7" ht="303.60000000000002">
      <c r="B235" s="56">
        <v>46195</v>
      </c>
      <c r="C235" s="69">
        <v>46195.419340277775</v>
      </c>
      <c r="D235" s="55" t="s">
        <v>684</v>
      </c>
      <c r="E235" s="55" t="s">
        <v>971</v>
      </c>
      <c r="F235" s="129" t="s">
        <v>970</v>
      </c>
    </row>
    <row r="236" spans="2:7" ht="303.60000000000002">
      <c r="B236" s="56">
        <v>46195</v>
      </c>
      <c r="C236" s="69">
        <v>46195.419374999998</v>
      </c>
      <c r="D236" s="55" t="s">
        <v>684</v>
      </c>
      <c r="E236" s="55" t="s">
        <v>972</v>
      </c>
      <c r="G236" s="129" t="s">
        <v>970</v>
      </c>
    </row>
    <row r="237" spans="2:7" ht="303.60000000000002">
      <c r="B237" s="56">
        <v>46195</v>
      </c>
      <c r="C237" s="69">
        <v>46195.419699074075</v>
      </c>
      <c r="D237" s="55" t="s">
        <v>684</v>
      </c>
      <c r="E237" s="55" t="s">
        <v>972</v>
      </c>
      <c r="F237" s="129" t="s">
        <v>970</v>
      </c>
      <c r="G237" s="129" t="s">
        <v>974</v>
      </c>
    </row>
    <row r="238" spans="2:7" ht="52.8">
      <c r="B238" s="56">
        <v>46195</v>
      </c>
      <c r="C238" s="69">
        <v>46195.419791666667</v>
      </c>
      <c r="D238" s="55" t="s">
        <v>684</v>
      </c>
      <c r="E238" s="55" t="s">
        <v>971</v>
      </c>
      <c r="G238" s="129" t="s">
        <v>975</v>
      </c>
    </row>
    <row r="239" spans="2:7">
      <c r="B239" s="56">
        <v>46195</v>
      </c>
      <c r="C239" s="69">
        <v>46195.420069444444</v>
      </c>
      <c r="D239" s="55" t="s">
        <v>684</v>
      </c>
      <c r="E239" s="55" t="s">
        <v>976</v>
      </c>
      <c r="G239" s="129" t="s">
        <v>188</v>
      </c>
    </row>
    <row r="240" spans="2:7" ht="224.4">
      <c r="B240" s="56">
        <v>46195</v>
      </c>
      <c r="C240" s="69">
        <v>46195.420254629629</v>
      </c>
      <c r="D240" s="55" t="s">
        <v>684</v>
      </c>
      <c r="E240" s="55" t="s">
        <v>978</v>
      </c>
      <c r="G240" s="129" t="s">
        <v>977</v>
      </c>
    </row>
    <row r="241" spans="2:7" ht="26.4">
      <c r="B241" s="56">
        <v>46195</v>
      </c>
      <c r="C241" s="69">
        <v>46195.420416666668</v>
      </c>
      <c r="D241" s="55" t="s">
        <v>684</v>
      </c>
      <c r="E241" s="55" t="s">
        <v>979</v>
      </c>
      <c r="G241" s="129" t="s">
        <v>115</v>
      </c>
    </row>
    <row r="242" spans="2:7">
      <c r="B242" s="56">
        <v>46195</v>
      </c>
      <c r="C242" s="69">
        <v>46195.420555555553</v>
      </c>
      <c r="D242" s="55" t="s">
        <v>684</v>
      </c>
      <c r="E242" s="55" t="s">
        <v>980</v>
      </c>
      <c r="G242" s="130">
        <v>46191</v>
      </c>
    </row>
    <row r="243" spans="2:7">
      <c r="B243" s="56">
        <v>46195</v>
      </c>
      <c r="C243" s="69">
        <v>46195.420636574076</v>
      </c>
      <c r="D243" s="55" t="s">
        <v>684</v>
      </c>
      <c r="E243" s="55" t="s">
        <v>981</v>
      </c>
      <c r="G243" s="130">
        <v>46113</v>
      </c>
    </row>
    <row r="244" spans="2:7" ht="39.6">
      <c r="B244" s="56">
        <v>46195</v>
      </c>
      <c r="C244" s="69">
        <v>46195.42082175926</v>
      </c>
      <c r="D244" s="55" t="s">
        <v>684</v>
      </c>
      <c r="E244" s="55" t="s">
        <v>983</v>
      </c>
      <c r="G244" s="129" t="s">
        <v>982</v>
      </c>
    </row>
    <row r="245" spans="2:7">
      <c r="B245" s="56">
        <v>46195</v>
      </c>
      <c r="C245" s="69">
        <v>46195.42150462963</v>
      </c>
      <c r="D245" s="55" t="s">
        <v>684</v>
      </c>
      <c r="E245" s="55" t="s">
        <v>984</v>
      </c>
      <c r="G245" s="129" t="s">
        <v>201</v>
      </c>
    </row>
    <row r="246" spans="2:7">
      <c r="B246" s="56">
        <v>46195</v>
      </c>
      <c r="C246" s="69">
        <v>46195.421643518515</v>
      </c>
      <c r="D246" s="55" t="s">
        <v>684</v>
      </c>
      <c r="E246" s="55" t="s">
        <v>985</v>
      </c>
      <c r="G246" s="129" t="s">
        <v>33</v>
      </c>
    </row>
    <row r="247" spans="2:7">
      <c r="B247" s="56">
        <v>46195</v>
      </c>
      <c r="C247" s="69">
        <v>46195.421886574077</v>
      </c>
      <c r="D247" s="55" t="s">
        <v>684</v>
      </c>
      <c r="E247" s="55" t="s">
        <v>986</v>
      </c>
      <c r="F247" s="129">
        <v>162</v>
      </c>
    </row>
    <row r="248" spans="2:7">
      <c r="B248" s="56">
        <v>46195</v>
      </c>
      <c r="C248" s="69">
        <v>46195.422893518517</v>
      </c>
      <c r="D248" s="55" t="s">
        <v>684</v>
      </c>
      <c r="E248" s="55" t="s">
        <v>939</v>
      </c>
      <c r="F248" s="129" t="s">
        <v>20</v>
      </c>
      <c r="G248" s="129" t="s">
        <v>201</v>
      </c>
    </row>
    <row r="249" spans="2:7">
      <c r="B249" s="56">
        <v>46195</v>
      </c>
      <c r="C249" s="69">
        <v>46195.431087962963</v>
      </c>
      <c r="D249" s="55" t="s">
        <v>890</v>
      </c>
      <c r="E249" s="55" t="s">
        <v>987</v>
      </c>
      <c r="G249" s="129">
        <v>2025</v>
      </c>
    </row>
    <row r="250" spans="2:7">
      <c r="B250" s="56">
        <v>46195</v>
      </c>
      <c r="C250" s="69">
        <v>46195.431886574072</v>
      </c>
      <c r="D250" s="55" t="s">
        <v>890</v>
      </c>
      <c r="E250" s="55" t="s">
        <v>988</v>
      </c>
      <c r="G250" s="129">
        <v>4</v>
      </c>
    </row>
    <row r="251" spans="2:7">
      <c r="B251" s="56">
        <v>46195</v>
      </c>
      <c r="C251" s="69">
        <v>46195.432152777779</v>
      </c>
      <c r="D251" s="55" t="s">
        <v>890</v>
      </c>
      <c r="E251" s="55" t="s">
        <v>989</v>
      </c>
      <c r="G251" s="129">
        <v>4</v>
      </c>
    </row>
    <row r="252" spans="2:7">
      <c r="B252" s="56">
        <v>46195</v>
      </c>
      <c r="C252" s="69">
        <v>46195.432245370372</v>
      </c>
      <c r="D252" s="55" t="s">
        <v>890</v>
      </c>
      <c r="E252" s="55" t="s">
        <v>990</v>
      </c>
      <c r="G252" s="129">
        <v>2</v>
      </c>
    </row>
    <row r="253" spans="2:7">
      <c r="B253" s="56">
        <v>46195</v>
      </c>
      <c r="C253" s="69">
        <v>46195.432337962964</v>
      </c>
      <c r="D253" s="55" t="s">
        <v>890</v>
      </c>
      <c r="E253" s="55" t="s">
        <v>991</v>
      </c>
      <c r="G253" s="129">
        <v>2</v>
      </c>
    </row>
    <row r="254" spans="2:7">
      <c r="B254" s="56">
        <v>46195</v>
      </c>
      <c r="C254" s="69">
        <v>46195.432743055557</v>
      </c>
      <c r="D254" s="55" t="s">
        <v>890</v>
      </c>
      <c r="E254" s="55" t="s">
        <v>992</v>
      </c>
      <c r="F254" s="129">
        <v>145</v>
      </c>
    </row>
    <row r="255" spans="2:7">
      <c r="B255" s="56">
        <v>46195</v>
      </c>
      <c r="C255" s="69">
        <v>46195.432766203703</v>
      </c>
      <c r="D255" s="55" t="s">
        <v>890</v>
      </c>
      <c r="E255" s="55" t="s">
        <v>993</v>
      </c>
      <c r="F255" s="129">
        <v>32</v>
      </c>
    </row>
    <row r="256" spans="2:7">
      <c r="B256" s="56">
        <v>46195</v>
      </c>
      <c r="C256" s="69">
        <v>46195.43277777778</v>
      </c>
      <c r="D256" s="55" t="s">
        <v>890</v>
      </c>
      <c r="E256" s="55" t="s">
        <v>994</v>
      </c>
      <c r="F256" s="129">
        <v>13</v>
      </c>
    </row>
    <row r="257" spans="2:7">
      <c r="B257" s="56">
        <v>46195</v>
      </c>
      <c r="C257" s="69">
        <v>46195.432789351849</v>
      </c>
      <c r="D257" s="55" t="s">
        <v>890</v>
      </c>
      <c r="E257" s="55" t="s">
        <v>995</v>
      </c>
      <c r="F257" s="129">
        <v>100</v>
      </c>
    </row>
    <row r="258" spans="2:7">
      <c r="B258" s="56">
        <v>46195</v>
      </c>
      <c r="C258" s="69">
        <v>46195.432812500003</v>
      </c>
      <c r="D258" s="55" t="s">
        <v>890</v>
      </c>
      <c r="E258" s="55" t="s">
        <v>996</v>
      </c>
      <c r="F258" s="129">
        <v>1</v>
      </c>
    </row>
    <row r="259" spans="2:7">
      <c r="B259" s="56">
        <v>46195</v>
      </c>
      <c r="C259" s="69">
        <v>46195.432824074072</v>
      </c>
      <c r="D259" s="55" t="s">
        <v>890</v>
      </c>
      <c r="E259" s="55" t="s">
        <v>997</v>
      </c>
      <c r="F259" s="129">
        <v>101</v>
      </c>
    </row>
    <row r="260" spans="2:7">
      <c r="B260" s="56">
        <v>46195</v>
      </c>
      <c r="C260" s="69">
        <v>46195.432893518519</v>
      </c>
      <c r="D260" s="55" t="s">
        <v>890</v>
      </c>
      <c r="E260" s="55" t="s">
        <v>997</v>
      </c>
      <c r="G260" s="129">
        <v>105</v>
      </c>
    </row>
    <row r="261" spans="2:7">
      <c r="B261" s="56">
        <v>46195</v>
      </c>
      <c r="C261" s="69">
        <v>46195.432928240742</v>
      </c>
      <c r="D261" s="55" t="s">
        <v>890</v>
      </c>
      <c r="E261" s="55" t="s">
        <v>992</v>
      </c>
      <c r="G261" s="129">
        <v>149</v>
      </c>
    </row>
    <row r="262" spans="2:7">
      <c r="B262" s="56">
        <v>46195</v>
      </c>
      <c r="C262" s="69">
        <v>46195.432951388888</v>
      </c>
      <c r="D262" s="55" t="s">
        <v>890</v>
      </c>
      <c r="E262" s="55" t="s">
        <v>993</v>
      </c>
      <c r="G262" s="129">
        <v>34</v>
      </c>
    </row>
    <row r="263" spans="2:7">
      <c r="B263" s="56">
        <v>46195</v>
      </c>
      <c r="C263" s="69">
        <v>46195.432986111111</v>
      </c>
      <c r="D263" s="55" t="s">
        <v>890</v>
      </c>
      <c r="E263" s="55" t="s">
        <v>994</v>
      </c>
      <c r="G263" s="129">
        <v>15</v>
      </c>
    </row>
    <row r="264" spans="2:7">
      <c r="B264" s="56">
        <v>46195</v>
      </c>
      <c r="C264" s="69">
        <v>46195.433009259257</v>
      </c>
      <c r="D264" s="55" t="s">
        <v>890</v>
      </c>
      <c r="E264" s="55" t="s">
        <v>995</v>
      </c>
      <c r="G264" s="129">
        <v>100</v>
      </c>
    </row>
    <row r="265" spans="2:7">
      <c r="B265" s="56">
        <v>46195</v>
      </c>
      <c r="C265" s="69">
        <v>46195.43304398148</v>
      </c>
      <c r="D265" s="55" t="s">
        <v>890</v>
      </c>
      <c r="E265" s="55" t="s">
        <v>996</v>
      </c>
      <c r="G265" s="129">
        <v>1</v>
      </c>
    </row>
    <row r="266" spans="2:7" ht="26.4">
      <c r="B266" s="56">
        <v>46195</v>
      </c>
      <c r="C266" s="69">
        <v>46195.435925925929</v>
      </c>
      <c r="D266" s="55" t="s">
        <v>890</v>
      </c>
      <c r="E266" s="55" t="s">
        <v>717</v>
      </c>
      <c r="G266" s="129" t="s">
        <v>998</v>
      </c>
    </row>
    <row r="267" spans="2:7" ht="26.4">
      <c r="B267" s="56">
        <v>46195</v>
      </c>
      <c r="C267" s="69">
        <v>46195.436111111114</v>
      </c>
      <c r="D267" s="55" t="s">
        <v>890</v>
      </c>
      <c r="E267" s="55" t="s">
        <v>999</v>
      </c>
      <c r="F267" s="129" t="s">
        <v>950</v>
      </c>
      <c r="G267" s="129">
        <v>1</v>
      </c>
    </row>
    <row r="268" spans="2:7">
      <c r="B268" s="56">
        <v>46195</v>
      </c>
      <c r="C268" s="69">
        <v>46195.436249999999</v>
      </c>
      <c r="D268" s="55" t="s">
        <v>890</v>
      </c>
      <c r="E268" s="55" t="s">
        <v>1000</v>
      </c>
      <c r="G268" s="129">
        <v>1</v>
      </c>
    </row>
    <row r="269" spans="2:7">
      <c r="B269" s="56">
        <v>46195</v>
      </c>
      <c r="C269" s="69">
        <v>46195.436666666668</v>
      </c>
      <c r="D269" s="55" t="s">
        <v>890</v>
      </c>
      <c r="E269" s="55" t="s">
        <v>1001</v>
      </c>
      <c r="G269" s="129">
        <v>133</v>
      </c>
    </row>
    <row r="270" spans="2:7">
      <c r="B270" s="56">
        <v>46195</v>
      </c>
      <c r="C270" s="69">
        <v>46195.436712962961</v>
      </c>
      <c r="D270" s="55" t="s">
        <v>890</v>
      </c>
      <c r="E270" s="55" t="s">
        <v>1002</v>
      </c>
      <c r="G270" s="129">
        <v>33</v>
      </c>
    </row>
    <row r="271" spans="2:7">
      <c r="B271" s="56">
        <v>46195</v>
      </c>
      <c r="C271" s="69">
        <v>46195.436736111114</v>
      </c>
      <c r="D271" s="55" t="s">
        <v>890</v>
      </c>
      <c r="E271" s="55" t="s">
        <v>1003</v>
      </c>
      <c r="G271" s="129">
        <v>7</v>
      </c>
    </row>
    <row r="272" spans="2:7">
      <c r="B272" s="56">
        <v>46195</v>
      </c>
      <c r="C272" s="69">
        <v>46195.436759259261</v>
      </c>
      <c r="D272" s="55" t="s">
        <v>890</v>
      </c>
      <c r="E272" s="55" t="s">
        <v>1004</v>
      </c>
      <c r="G272" s="129">
        <v>93</v>
      </c>
    </row>
    <row r="273" spans="2:7">
      <c r="B273" s="56">
        <v>46195</v>
      </c>
      <c r="C273" s="69">
        <v>46195.436782407407</v>
      </c>
      <c r="D273" s="55" t="s">
        <v>890</v>
      </c>
      <c r="E273" s="55" t="s">
        <v>1005</v>
      </c>
      <c r="G273" s="129">
        <v>1</v>
      </c>
    </row>
    <row r="274" spans="2:7">
      <c r="B274" s="56">
        <v>46196</v>
      </c>
      <c r="C274" s="69">
        <v>46196.461770833332</v>
      </c>
      <c r="D274" s="55" t="s">
        <v>684</v>
      </c>
      <c r="E274" s="55" t="s">
        <v>1015</v>
      </c>
      <c r="G274" s="129" t="s">
        <v>667</v>
      </c>
    </row>
    <row r="275" spans="2:7">
      <c r="B275" s="56">
        <v>46196</v>
      </c>
      <c r="C275" s="69">
        <v>46196.461793981478</v>
      </c>
      <c r="D275" s="55" t="s">
        <v>684</v>
      </c>
      <c r="E275" s="55" t="s">
        <v>1016</v>
      </c>
      <c r="G275" s="129" t="s">
        <v>667</v>
      </c>
    </row>
    <row r="276" spans="2:7">
      <c r="B276" s="56">
        <v>46196</v>
      </c>
      <c r="C276" s="69">
        <v>46196.461805555555</v>
      </c>
      <c r="D276" s="55" t="s">
        <v>684</v>
      </c>
      <c r="E276" s="55" t="s">
        <v>1017</v>
      </c>
      <c r="G276" s="129" t="s">
        <v>667</v>
      </c>
    </row>
    <row r="277" spans="2:7">
      <c r="B277" s="56">
        <v>46196</v>
      </c>
      <c r="C277" s="69">
        <v>46196.461828703701</v>
      </c>
      <c r="D277" s="55" t="s">
        <v>684</v>
      </c>
      <c r="E277" s="55" t="s">
        <v>1018</v>
      </c>
      <c r="G277" s="129" t="s">
        <v>667</v>
      </c>
    </row>
    <row r="278" spans="2:7" ht="39.6">
      <c r="B278" s="56">
        <v>46196</v>
      </c>
      <c r="C278" s="69">
        <v>46196.463229166664</v>
      </c>
      <c r="D278" s="55" t="s">
        <v>684</v>
      </c>
      <c r="E278" s="55" t="s">
        <v>1020</v>
      </c>
      <c r="G278" s="129" t="s">
        <v>1019</v>
      </c>
    </row>
    <row r="279" spans="2:7" ht="39.6">
      <c r="B279" s="56">
        <v>46196</v>
      </c>
      <c r="C279" s="69">
        <v>46196.463518518518</v>
      </c>
      <c r="D279" s="55" t="s">
        <v>684</v>
      </c>
      <c r="E279" s="55" t="s">
        <v>1021</v>
      </c>
      <c r="G279" s="129" t="s">
        <v>1019</v>
      </c>
    </row>
    <row r="280" spans="2:7" ht="52.8">
      <c r="B280" s="56">
        <v>46196</v>
      </c>
      <c r="C280" s="69">
        <v>46196.464201388888</v>
      </c>
      <c r="D280" s="55" t="s">
        <v>684</v>
      </c>
      <c r="E280" s="55" t="s">
        <v>1023</v>
      </c>
      <c r="G280" s="129" t="s">
        <v>1022</v>
      </c>
    </row>
    <row r="281" spans="2:7" ht="39.6">
      <c r="B281" s="56">
        <v>46196</v>
      </c>
      <c r="C281" s="69">
        <v>46196.464699074073</v>
      </c>
      <c r="D281" s="55" t="s">
        <v>684</v>
      </c>
      <c r="E281" s="55" t="s">
        <v>1025</v>
      </c>
      <c r="G281" s="129" t="s">
        <v>1024</v>
      </c>
    </row>
    <row r="282" spans="2:7">
      <c r="B282" s="56">
        <v>46196</v>
      </c>
      <c r="C282" s="69">
        <v>46196.500902777778</v>
      </c>
      <c r="D282" s="55" t="s">
        <v>684</v>
      </c>
      <c r="E282" s="55" t="s">
        <v>957</v>
      </c>
      <c r="F282" s="129" t="s">
        <v>33</v>
      </c>
      <c r="G282" s="129" t="s">
        <v>20</v>
      </c>
    </row>
    <row r="283" spans="2:7" ht="66">
      <c r="B283" s="56">
        <v>46196</v>
      </c>
      <c r="C283" s="69">
        <v>46196.505046296297</v>
      </c>
      <c r="D283" s="55" t="s">
        <v>684</v>
      </c>
      <c r="E283" s="55" t="s">
        <v>1027</v>
      </c>
      <c r="G283" s="129" t="s">
        <v>1028</v>
      </c>
    </row>
    <row r="284" spans="2:7" ht="26.4">
      <c r="B284" s="56">
        <v>46210</v>
      </c>
      <c r="C284" s="69">
        <v>46210.525231481479</v>
      </c>
      <c r="D284" s="55" t="s">
        <v>684</v>
      </c>
      <c r="E284" s="55" t="s">
        <v>1029</v>
      </c>
      <c r="G284" s="130" t="s">
        <v>180</v>
      </c>
    </row>
    <row r="285" spans="2:7" ht="26.4">
      <c r="B285" s="56">
        <v>46210</v>
      </c>
      <c r="C285" s="69">
        <v>46210.525300925925</v>
      </c>
      <c r="D285" s="55" t="s">
        <v>684</v>
      </c>
      <c r="E285" s="55" t="s">
        <v>1029</v>
      </c>
      <c r="G285" s="130" t="s">
        <v>1030</v>
      </c>
    </row>
    <row r="286" spans="2:7">
      <c r="B286" s="56">
        <v>46210</v>
      </c>
      <c r="C286" s="69">
        <v>46210.526319444441</v>
      </c>
      <c r="D286" s="55" t="s">
        <v>684</v>
      </c>
      <c r="E286" s="55" t="s">
        <v>1032</v>
      </c>
      <c r="G286" s="129" t="s">
        <v>1031</v>
      </c>
    </row>
    <row r="287" spans="2:7" ht="26.4">
      <c r="B287" s="56">
        <v>46210</v>
      </c>
      <c r="C287" s="69">
        <v>46210.526516203703</v>
      </c>
      <c r="D287" s="55" t="s">
        <v>684</v>
      </c>
      <c r="E287" s="55" t="s">
        <v>1034</v>
      </c>
      <c r="G287" s="129" t="s">
        <v>1033</v>
      </c>
    </row>
    <row r="288" spans="2:7" ht="409.6">
      <c r="B288" s="56">
        <v>46210</v>
      </c>
      <c r="C288" s="69">
        <v>46210.526643518519</v>
      </c>
      <c r="D288" s="55" t="s">
        <v>684</v>
      </c>
      <c r="E288" s="55" t="s">
        <v>1036</v>
      </c>
      <c r="G288" s="130" t="s">
        <v>1035</v>
      </c>
    </row>
    <row r="289" spans="2:7" ht="409.6">
      <c r="B289" s="56">
        <v>46210</v>
      </c>
      <c r="C289" s="69">
        <v>46210.526712962965</v>
      </c>
      <c r="D289" s="55" t="s">
        <v>684</v>
      </c>
      <c r="E289" s="55" t="s">
        <v>1036</v>
      </c>
      <c r="F289" s="129" t="s">
        <v>1035</v>
      </c>
      <c r="G289" s="130" t="s">
        <v>1037</v>
      </c>
    </row>
    <row r="290" spans="2:7" ht="26.4">
      <c r="B290" s="56">
        <v>46210</v>
      </c>
      <c r="C290" s="69">
        <v>46210.52884259259</v>
      </c>
      <c r="D290" s="55" t="s">
        <v>684</v>
      </c>
      <c r="E290" s="55" t="s">
        <v>1032</v>
      </c>
      <c r="F290" s="129" t="s">
        <v>1031</v>
      </c>
      <c r="G290" s="129" t="s">
        <v>1039</v>
      </c>
    </row>
    <row r="291" spans="2:7" ht="145.19999999999999">
      <c r="B291" s="56">
        <v>46210</v>
      </c>
      <c r="C291" s="69">
        <v>46210.529270833336</v>
      </c>
      <c r="D291" s="55" t="s">
        <v>684</v>
      </c>
      <c r="E291" s="55" t="s">
        <v>1041</v>
      </c>
      <c r="G291" s="129" t="s">
        <v>1040</v>
      </c>
    </row>
    <row r="292" spans="2:7" ht="184.8">
      <c r="B292" s="56">
        <v>46210</v>
      </c>
      <c r="C292" s="69">
        <v>46210.529502314814</v>
      </c>
      <c r="D292" s="55" t="s">
        <v>684</v>
      </c>
      <c r="E292" s="55" t="s">
        <v>1041</v>
      </c>
      <c r="F292" s="129" t="s">
        <v>1040</v>
      </c>
      <c r="G292" s="129" t="s">
        <v>1043</v>
      </c>
    </row>
    <row r="293" spans="2:7" ht="26.4">
      <c r="B293" s="56">
        <v>46210</v>
      </c>
      <c r="C293" s="69">
        <v>46210.530219907407</v>
      </c>
      <c r="D293" s="55" t="s">
        <v>684</v>
      </c>
      <c r="E293" s="55" t="s">
        <v>1044</v>
      </c>
      <c r="G293" s="129" t="s">
        <v>148</v>
      </c>
    </row>
    <row r="294" spans="2:7">
      <c r="B294" s="56">
        <v>46210</v>
      </c>
      <c r="C294" s="69">
        <v>46210.530335648145</v>
      </c>
      <c r="D294" s="55" t="s">
        <v>684</v>
      </c>
      <c r="E294" s="55" t="s">
        <v>1045</v>
      </c>
      <c r="G294" s="130">
        <v>46204</v>
      </c>
    </row>
    <row r="295" spans="2:7">
      <c r="B295" s="56">
        <v>46210</v>
      </c>
      <c r="C295" s="69">
        <v>46210.530416666668</v>
      </c>
      <c r="D295" s="55" t="s">
        <v>684</v>
      </c>
      <c r="E295" s="55" t="s">
        <v>1046</v>
      </c>
      <c r="G295" s="130">
        <v>46295</v>
      </c>
    </row>
    <row r="296" spans="2:7">
      <c r="B296" s="56">
        <v>46210</v>
      </c>
      <c r="C296" s="69">
        <v>46210.530601851853</v>
      </c>
      <c r="D296" s="55" t="s">
        <v>684</v>
      </c>
      <c r="E296" s="55" t="s">
        <v>1047</v>
      </c>
      <c r="G296" s="129" t="s">
        <v>201</v>
      </c>
    </row>
    <row r="297" spans="2:7" ht="26.4">
      <c r="B297" s="56">
        <v>46210</v>
      </c>
      <c r="C297" s="69">
        <v>46210.530995370369</v>
      </c>
      <c r="D297" s="55" t="s">
        <v>684</v>
      </c>
      <c r="E297" s="55" t="s">
        <v>1049</v>
      </c>
      <c r="G297" s="129" t="s">
        <v>1048</v>
      </c>
    </row>
    <row r="298" spans="2:7" ht="211.2">
      <c r="B298" s="56">
        <v>46210</v>
      </c>
      <c r="C298" s="69">
        <v>46210.531145833331</v>
      </c>
      <c r="D298" s="55" t="s">
        <v>684</v>
      </c>
      <c r="E298" s="55" t="s">
        <v>1051</v>
      </c>
      <c r="G298" s="129" t="s">
        <v>1050</v>
      </c>
    </row>
    <row r="299" spans="2:7" ht="105.6">
      <c r="B299" s="56">
        <v>46210</v>
      </c>
      <c r="C299" s="69">
        <v>46210.531458333331</v>
      </c>
      <c r="D299" s="55" t="s">
        <v>684</v>
      </c>
      <c r="E299" s="55" t="s">
        <v>1053</v>
      </c>
      <c r="G299" s="129" t="s">
        <v>1052</v>
      </c>
    </row>
    <row r="300" spans="2:7" ht="26.4">
      <c r="B300" s="56">
        <v>46210</v>
      </c>
      <c r="C300" s="69">
        <v>46210.531550925924</v>
      </c>
      <c r="D300" s="55" t="s">
        <v>684</v>
      </c>
      <c r="E300" s="55" t="s">
        <v>1054</v>
      </c>
      <c r="G300" s="129" t="s">
        <v>148</v>
      </c>
    </row>
    <row r="301" spans="2:7">
      <c r="B301" s="56">
        <v>46210</v>
      </c>
      <c r="C301" s="69">
        <v>46210.531643518516</v>
      </c>
      <c r="D301" s="55" t="s">
        <v>684</v>
      </c>
      <c r="E301" s="55" t="s">
        <v>1055</v>
      </c>
      <c r="G301" s="130">
        <v>46204</v>
      </c>
    </row>
    <row r="302" spans="2:7">
      <c r="B302" s="56">
        <v>46210</v>
      </c>
      <c r="C302" s="69">
        <v>46210.531701388885</v>
      </c>
      <c r="D302" s="55" t="s">
        <v>684</v>
      </c>
      <c r="E302" s="55" t="s">
        <v>1056</v>
      </c>
      <c r="G302" s="130">
        <v>46264</v>
      </c>
    </row>
    <row r="303" spans="2:7">
      <c r="B303" s="56">
        <v>46210</v>
      </c>
      <c r="C303" s="69">
        <v>46210.531747685185</v>
      </c>
      <c r="D303" s="55" t="s">
        <v>684</v>
      </c>
      <c r="E303" s="55" t="s">
        <v>1057</v>
      </c>
      <c r="G303" s="129" t="s">
        <v>201</v>
      </c>
    </row>
    <row r="304" spans="2:7" ht="52.8">
      <c r="B304" s="56">
        <v>46210</v>
      </c>
      <c r="C304" s="69">
        <v>46210.536087962966</v>
      </c>
      <c r="D304" s="55" t="s">
        <v>684</v>
      </c>
      <c r="E304" s="55" t="s">
        <v>1059</v>
      </c>
      <c r="G304" s="129" t="s">
        <v>1058</v>
      </c>
    </row>
    <row r="305" spans="2:7" ht="409.6">
      <c r="B305" s="56">
        <v>46210</v>
      </c>
      <c r="C305" s="69">
        <v>46210.536180555559</v>
      </c>
      <c r="D305" s="55" t="s">
        <v>684</v>
      </c>
      <c r="E305" s="55" t="s">
        <v>1061</v>
      </c>
      <c r="G305" s="129" t="s">
        <v>1060</v>
      </c>
    </row>
    <row r="306" spans="2:7" ht="92.4">
      <c r="B306" s="56">
        <v>46210</v>
      </c>
      <c r="C306" s="69">
        <v>46210.536412037036</v>
      </c>
      <c r="D306" s="55" t="s">
        <v>684</v>
      </c>
      <c r="E306" s="55" t="s">
        <v>1063</v>
      </c>
      <c r="G306" s="129" t="s">
        <v>1062</v>
      </c>
    </row>
    <row r="307" spans="2:7" ht="26.4">
      <c r="B307" s="56">
        <v>46210</v>
      </c>
      <c r="C307" s="69">
        <v>46210.536504629628</v>
      </c>
      <c r="D307" s="55" t="s">
        <v>684</v>
      </c>
      <c r="E307" s="55" t="s">
        <v>1064</v>
      </c>
      <c r="G307" s="129" t="s">
        <v>148</v>
      </c>
    </row>
    <row r="308" spans="2:7" ht="79.2">
      <c r="B308" s="56">
        <v>46210</v>
      </c>
      <c r="C308" s="69">
        <v>46210.537442129629</v>
      </c>
      <c r="D308" s="55" t="s">
        <v>684</v>
      </c>
      <c r="E308" s="55" t="s">
        <v>1077</v>
      </c>
      <c r="F308" s="129" t="s">
        <v>1065</v>
      </c>
      <c r="G308" s="129" t="s">
        <v>1076</v>
      </c>
    </row>
    <row r="309" spans="2:7">
      <c r="B309" s="56">
        <v>46210</v>
      </c>
      <c r="C309" s="69">
        <v>46210.537476851852</v>
      </c>
      <c r="D309" s="55" t="s">
        <v>684</v>
      </c>
      <c r="E309" s="55" t="s">
        <v>1079</v>
      </c>
      <c r="F309" s="129" t="s">
        <v>1066</v>
      </c>
      <c r="G309" s="129" t="s">
        <v>1078</v>
      </c>
    </row>
    <row r="310" spans="2:7" ht="39.6">
      <c r="B310" s="56">
        <v>46210</v>
      </c>
      <c r="C310" s="69">
        <v>46210.537557870368</v>
      </c>
      <c r="D310" s="55" t="s">
        <v>684</v>
      </c>
      <c r="E310" s="55" t="s">
        <v>1081</v>
      </c>
      <c r="F310" s="129" t="s">
        <v>1067</v>
      </c>
      <c r="G310" s="129" t="s">
        <v>1080</v>
      </c>
    </row>
    <row r="311" spans="2:7" ht="66">
      <c r="B311" s="56">
        <v>46210</v>
      </c>
      <c r="C311" s="69">
        <v>46210.537604166668</v>
      </c>
      <c r="D311" s="55" t="s">
        <v>684</v>
      </c>
      <c r="E311" s="55" t="s">
        <v>1083</v>
      </c>
      <c r="F311" s="129" t="s">
        <v>1068</v>
      </c>
      <c r="G311" s="129" t="s">
        <v>1082</v>
      </c>
    </row>
    <row r="312" spans="2:7" ht="26.4">
      <c r="B312" s="56">
        <v>46210</v>
      </c>
      <c r="C312" s="69">
        <v>46210.537708333337</v>
      </c>
      <c r="D312" s="55" t="s">
        <v>684</v>
      </c>
      <c r="E312" s="55" t="s">
        <v>1085</v>
      </c>
      <c r="F312" s="129" t="s">
        <v>1069</v>
      </c>
      <c r="G312" s="129" t="s">
        <v>1084</v>
      </c>
    </row>
    <row r="313" spans="2:7" ht="79.2">
      <c r="B313" s="56">
        <v>46210</v>
      </c>
      <c r="C313" s="69">
        <v>46210.537743055553</v>
      </c>
      <c r="D313" s="55" t="s">
        <v>684</v>
      </c>
      <c r="E313" s="55" t="s">
        <v>1087</v>
      </c>
      <c r="F313" s="130" t="s">
        <v>1070</v>
      </c>
      <c r="G313" s="130" t="s">
        <v>1086</v>
      </c>
    </row>
    <row r="314" spans="2:7" ht="79.2">
      <c r="B314" s="56">
        <v>46210</v>
      </c>
      <c r="C314" s="69">
        <v>46210.537824074076</v>
      </c>
      <c r="D314" s="55" t="s">
        <v>684</v>
      </c>
      <c r="E314" s="55" t="s">
        <v>1089</v>
      </c>
      <c r="F314" s="129" t="s">
        <v>1071</v>
      </c>
      <c r="G314" s="129" t="s">
        <v>1088</v>
      </c>
    </row>
    <row r="315" spans="2:7" ht="79.2">
      <c r="B315" s="56">
        <v>46210</v>
      </c>
      <c r="C315" s="69">
        <v>46210.537858796299</v>
      </c>
      <c r="D315" s="55" t="s">
        <v>684</v>
      </c>
      <c r="E315" s="55" t="s">
        <v>1091</v>
      </c>
      <c r="F315" s="129" t="s">
        <v>1072</v>
      </c>
      <c r="G315" s="129" t="s">
        <v>1090</v>
      </c>
    </row>
    <row r="316" spans="2:7" ht="39.6">
      <c r="B316" s="56">
        <v>46210</v>
      </c>
      <c r="C316" s="69">
        <v>46210.537905092591</v>
      </c>
      <c r="D316" s="55" t="s">
        <v>684</v>
      </c>
      <c r="E316" s="55" t="s">
        <v>1093</v>
      </c>
      <c r="F316" s="129" t="s">
        <v>1073</v>
      </c>
      <c r="G316" s="130" t="s">
        <v>1092</v>
      </c>
    </row>
    <row r="317" spans="2:7" ht="52.8">
      <c r="B317" s="56">
        <v>46210</v>
      </c>
      <c r="C317" s="69">
        <v>46210.537951388891</v>
      </c>
      <c r="D317" s="55" t="s">
        <v>684</v>
      </c>
      <c r="E317" s="55" t="s">
        <v>1095</v>
      </c>
      <c r="F317" s="129" t="s">
        <v>1074</v>
      </c>
      <c r="G317" s="130" t="s">
        <v>1094</v>
      </c>
    </row>
    <row r="318" spans="2:7" ht="52.8">
      <c r="B318" s="56">
        <v>46210</v>
      </c>
      <c r="C318" s="69">
        <v>46210.537986111114</v>
      </c>
      <c r="D318" s="55" t="s">
        <v>684</v>
      </c>
      <c r="E318" s="55" t="s">
        <v>1097</v>
      </c>
      <c r="F318" s="129" t="s">
        <v>1075</v>
      </c>
      <c r="G318" s="130" t="s">
        <v>1096</v>
      </c>
    </row>
    <row r="319" spans="2:7" ht="118.8">
      <c r="B319" s="56">
        <v>46210</v>
      </c>
      <c r="C319" s="69">
        <v>46210.54078703704</v>
      </c>
      <c r="D319" s="55" t="s">
        <v>684</v>
      </c>
      <c r="E319" s="55" t="s">
        <v>1118</v>
      </c>
      <c r="F319" s="129" t="s">
        <v>1119</v>
      </c>
      <c r="G319" s="130" t="s">
        <v>1120</v>
      </c>
    </row>
    <row r="320" spans="2:7" ht="79.2">
      <c r="B320" s="56">
        <v>46210</v>
      </c>
      <c r="C320" s="69">
        <v>46210.540856481479</v>
      </c>
      <c r="D320" s="55" t="s">
        <v>684</v>
      </c>
      <c r="E320" s="55" t="s">
        <v>1122</v>
      </c>
      <c r="F320" s="129" t="s">
        <v>1109</v>
      </c>
      <c r="G320" s="130" t="s">
        <v>1121</v>
      </c>
    </row>
    <row r="321" spans="2:7" ht="118.8">
      <c r="B321" s="56">
        <v>46210</v>
      </c>
      <c r="C321" s="69">
        <v>46210.540902777779</v>
      </c>
      <c r="D321" s="55" t="s">
        <v>684</v>
      </c>
      <c r="E321" s="55" t="s">
        <v>1124</v>
      </c>
      <c r="F321" s="129" t="s">
        <v>1110</v>
      </c>
      <c r="G321" s="130" t="s">
        <v>1123</v>
      </c>
    </row>
    <row r="322" spans="2:7" ht="171.6">
      <c r="B322" s="56">
        <v>46210</v>
      </c>
      <c r="C322" s="69">
        <v>46210.540949074071</v>
      </c>
      <c r="D322" s="55" t="s">
        <v>684</v>
      </c>
      <c r="E322" s="55" t="s">
        <v>1126</v>
      </c>
      <c r="F322" s="129" t="s">
        <v>1111</v>
      </c>
      <c r="G322" s="130" t="s">
        <v>1125</v>
      </c>
    </row>
    <row r="323" spans="2:7" ht="132">
      <c r="B323" s="56">
        <v>46210</v>
      </c>
      <c r="C323" s="69">
        <v>46210.541030092594</v>
      </c>
      <c r="D323" s="55" t="s">
        <v>684</v>
      </c>
      <c r="E323" s="55" t="s">
        <v>1127</v>
      </c>
      <c r="F323" s="129" t="s">
        <v>1128</v>
      </c>
      <c r="G323" s="130" t="s">
        <v>1129</v>
      </c>
    </row>
    <row r="324" spans="2:7" ht="105.6">
      <c r="B324" s="56">
        <v>46210</v>
      </c>
      <c r="C324" s="69">
        <v>46210.541076388887</v>
      </c>
      <c r="D324" s="55" t="s">
        <v>684</v>
      </c>
      <c r="E324" s="55" t="s">
        <v>1131</v>
      </c>
      <c r="F324" s="129" t="s">
        <v>1112</v>
      </c>
      <c r="G324" s="130" t="s">
        <v>1130</v>
      </c>
    </row>
    <row r="325" spans="2:7" ht="79.2">
      <c r="B325" s="56">
        <v>46210</v>
      </c>
      <c r="C325" s="69">
        <v>46210.541134259256</v>
      </c>
      <c r="D325" s="55" t="s">
        <v>684</v>
      </c>
      <c r="E325" s="55" t="s">
        <v>1133</v>
      </c>
      <c r="F325" s="129" t="s">
        <v>1113</v>
      </c>
      <c r="G325" s="130" t="s">
        <v>1132</v>
      </c>
    </row>
    <row r="326" spans="2:7" ht="79.2">
      <c r="B326" s="56">
        <v>46210</v>
      </c>
      <c r="C326" s="69">
        <v>46210.541168981479</v>
      </c>
      <c r="D326" s="55" t="s">
        <v>684</v>
      </c>
      <c r="E326" s="55" t="s">
        <v>1135</v>
      </c>
      <c r="F326" s="129" t="s">
        <v>1114</v>
      </c>
      <c r="G326" s="130" t="s">
        <v>1134</v>
      </c>
    </row>
    <row r="327" spans="2:7" ht="92.4">
      <c r="B327" s="56">
        <v>46210</v>
      </c>
      <c r="C327" s="69">
        <v>46210.541261574072</v>
      </c>
      <c r="D327" s="55" t="s">
        <v>684</v>
      </c>
      <c r="E327" s="55" t="s">
        <v>1137</v>
      </c>
      <c r="F327" s="129" t="s">
        <v>1115</v>
      </c>
      <c r="G327" s="130" t="s">
        <v>1136</v>
      </c>
    </row>
    <row r="328" spans="2:7" ht="92.4">
      <c r="B328" s="56">
        <v>46210</v>
      </c>
      <c r="C328" s="69">
        <v>46210.541296296295</v>
      </c>
      <c r="D328" s="55" t="s">
        <v>684</v>
      </c>
      <c r="E328" s="55" t="s">
        <v>1139</v>
      </c>
      <c r="F328" s="129" t="s">
        <v>1116</v>
      </c>
      <c r="G328" s="130" t="s">
        <v>1138</v>
      </c>
    </row>
    <row r="329" spans="2:7" ht="118.8">
      <c r="B329" s="56">
        <v>46210</v>
      </c>
      <c r="C329" s="69">
        <v>46210.541342592594</v>
      </c>
      <c r="D329" s="55" t="s">
        <v>684</v>
      </c>
      <c r="E329" s="55" t="s">
        <v>1141</v>
      </c>
      <c r="F329" s="129" t="s">
        <v>1117</v>
      </c>
      <c r="G329" s="130" t="s">
        <v>1140</v>
      </c>
    </row>
    <row r="330" spans="2:7" ht="211.2">
      <c r="B330" s="56">
        <v>46210</v>
      </c>
      <c r="C330" s="69">
        <v>46210.541759259257</v>
      </c>
      <c r="D330" s="55" t="s">
        <v>684</v>
      </c>
      <c r="E330" s="55" t="s">
        <v>1051</v>
      </c>
      <c r="F330" s="129" t="s">
        <v>1050</v>
      </c>
      <c r="G330" s="130" t="s">
        <v>1143</v>
      </c>
    </row>
    <row r="331" spans="2:7" ht="409.6">
      <c r="B331" s="56">
        <v>46210</v>
      </c>
      <c r="C331" s="69">
        <v>46210.541851851849</v>
      </c>
      <c r="D331" s="55" t="s">
        <v>684</v>
      </c>
      <c r="E331" s="55" t="s">
        <v>1061</v>
      </c>
      <c r="F331" s="129" t="s">
        <v>1060</v>
      </c>
      <c r="G331" s="130" t="s">
        <v>1145</v>
      </c>
    </row>
    <row r="332" spans="2:7" ht="409.6">
      <c r="B332" s="56">
        <v>46210</v>
      </c>
      <c r="C332" s="69">
        <v>46210.541956018518</v>
      </c>
      <c r="D332" s="55" t="s">
        <v>684</v>
      </c>
      <c r="E332" s="55" t="s">
        <v>1147</v>
      </c>
      <c r="F332" s="129" t="s">
        <v>1098</v>
      </c>
      <c r="G332" s="130" t="s">
        <v>1148</v>
      </c>
    </row>
    <row r="333" spans="2:7" ht="409.6">
      <c r="B333" s="56">
        <v>46210</v>
      </c>
      <c r="C333" s="69">
        <v>46210.542025462964</v>
      </c>
      <c r="D333" s="55" t="s">
        <v>684</v>
      </c>
      <c r="E333" s="55" t="s">
        <v>1150</v>
      </c>
      <c r="F333" s="129" t="s">
        <v>1099</v>
      </c>
      <c r="G333" s="130" t="s">
        <v>1151</v>
      </c>
    </row>
    <row r="334" spans="2:7" ht="409.6">
      <c r="B334" s="56">
        <v>46210</v>
      </c>
      <c r="C334" s="69">
        <v>46210.54210648148</v>
      </c>
      <c r="D334" s="55" t="s">
        <v>684</v>
      </c>
      <c r="E334" s="55" t="s">
        <v>1153</v>
      </c>
      <c r="F334" s="129" t="s">
        <v>1100</v>
      </c>
      <c r="G334" s="130" t="s">
        <v>1154</v>
      </c>
    </row>
    <row r="335" spans="2:7" ht="356.4">
      <c r="B335" s="56">
        <v>46210</v>
      </c>
      <c r="C335" s="69">
        <v>46210.542187500003</v>
      </c>
      <c r="D335" s="55" t="s">
        <v>684</v>
      </c>
      <c r="E335" s="55" t="s">
        <v>1156</v>
      </c>
      <c r="F335" s="129" t="s">
        <v>1101</v>
      </c>
      <c r="G335" s="129" t="s">
        <v>1157</v>
      </c>
    </row>
    <row r="336" spans="2:7" ht="198">
      <c r="B336" s="56">
        <v>46210</v>
      </c>
      <c r="C336" s="69">
        <v>46210.542268518519</v>
      </c>
      <c r="D336" s="55" t="s">
        <v>684</v>
      </c>
      <c r="E336" s="55" t="s">
        <v>1159</v>
      </c>
      <c r="F336" s="129" t="s">
        <v>1102</v>
      </c>
      <c r="G336" s="129" t="s">
        <v>1160</v>
      </c>
    </row>
    <row r="337" spans="2:7" ht="330">
      <c r="B337" s="56">
        <v>46210</v>
      </c>
      <c r="C337" s="69">
        <v>46210.542349537034</v>
      </c>
      <c r="D337" s="55" t="s">
        <v>684</v>
      </c>
      <c r="E337" s="55" t="s">
        <v>1162</v>
      </c>
      <c r="F337" s="129" t="s">
        <v>1103</v>
      </c>
      <c r="G337" s="129" t="s">
        <v>1163</v>
      </c>
    </row>
    <row r="338" spans="2:7" ht="356.4">
      <c r="B338" s="56">
        <v>46210</v>
      </c>
      <c r="C338" s="69">
        <v>46210.542442129627</v>
      </c>
      <c r="D338" s="55" t="s">
        <v>684</v>
      </c>
      <c r="E338" s="55" t="s">
        <v>1165</v>
      </c>
      <c r="F338" s="129" t="s">
        <v>1104</v>
      </c>
      <c r="G338" s="129" t="s">
        <v>1166</v>
      </c>
    </row>
    <row r="339" spans="2:7" ht="409.6">
      <c r="B339" s="56">
        <v>46210</v>
      </c>
      <c r="C339" s="69">
        <v>46210.542523148149</v>
      </c>
      <c r="D339" s="55" t="s">
        <v>684</v>
      </c>
      <c r="E339" s="55" t="s">
        <v>1168</v>
      </c>
      <c r="F339" s="129" t="s">
        <v>1105</v>
      </c>
      <c r="G339" s="129" t="s">
        <v>1169</v>
      </c>
    </row>
    <row r="340" spans="2:7" ht="343.2">
      <c r="B340" s="56">
        <v>46210</v>
      </c>
      <c r="C340" s="69">
        <v>46210.542615740742</v>
      </c>
      <c r="D340" s="55" t="s">
        <v>684</v>
      </c>
      <c r="E340" s="55" t="s">
        <v>1171</v>
      </c>
      <c r="F340" s="129" t="s">
        <v>1106</v>
      </c>
      <c r="G340" s="129" t="s">
        <v>1172</v>
      </c>
    </row>
    <row r="341" spans="2:7" ht="224.4">
      <c r="B341" s="56">
        <v>46210</v>
      </c>
      <c r="C341" s="69">
        <v>46210.542685185188</v>
      </c>
      <c r="D341" s="55" t="s">
        <v>684</v>
      </c>
      <c r="E341" s="55" t="s">
        <v>1174</v>
      </c>
      <c r="F341" s="129" t="s">
        <v>1107</v>
      </c>
      <c r="G341" s="129" t="s">
        <v>1175</v>
      </c>
    </row>
    <row r="342" spans="2:7" ht="409.6">
      <c r="B342" s="56">
        <v>46210</v>
      </c>
      <c r="C342" s="69">
        <v>46210.542766203704</v>
      </c>
      <c r="D342" s="55" t="s">
        <v>684</v>
      </c>
      <c r="E342" s="55" t="s">
        <v>1177</v>
      </c>
      <c r="F342" s="129" t="s">
        <v>1108</v>
      </c>
      <c r="G342" s="129" t="s">
        <v>1178</v>
      </c>
    </row>
    <row r="343" spans="2:7" ht="26.4">
      <c r="B343" s="56">
        <v>46210</v>
      </c>
      <c r="C343" s="69">
        <v>46210.543356481481</v>
      </c>
      <c r="D343" s="55" t="s">
        <v>684</v>
      </c>
      <c r="E343" s="55" t="s">
        <v>1179</v>
      </c>
      <c r="G343" s="129" t="s">
        <v>148</v>
      </c>
    </row>
    <row r="344" spans="2:7" ht="66">
      <c r="B344" s="56">
        <v>46210</v>
      </c>
      <c r="C344" s="69">
        <v>46210.544074074074</v>
      </c>
      <c r="D344" s="55" t="s">
        <v>684</v>
      </c>
      <c r="E344" s="55" t="s">
        <v>1179</v>
      </c>
      <c r="F344" s="129" t="s">
        <v>148</v>
      </c>
      <c r="G344" s="129" t="s">
        <v>1180</v>
      </c>
    </row>
    <row r="345" spans="2:7" ht="79.2">
      <c r="B345" s="56">
        <v>46210</v>
      </c>
      <c r="C345" s="69">
        <v>46210.544398148151</v>
      </c>
      <c r="D345" s="55" t="s">
        <v>684</v>
      </c>
      <c r="E345" s="55" t="s">
        <v>1179</v>
      </c>
      <c r="F345" s="129" t="s">
        <v>1180</v>
      </c>
      <c r="G345" s="129" t="s">
        <v>1181</v>
      </c>
    </row>
    <row r="346" spans="2:7" ht="26.4">
      <c r="B346" s="56">
        <v>46210</v>
      </c>
      <c r="C346" s="69">
        <v>46210.544548611113</v>
      </c>
      <c r="D346" s="55" t="s">
        <v>684</v>
      </c>
      <c r="E346" s="55" t="s">
        <v>1182</v>
      </c>
      <c r="G346" s="129" t="s">
        <v>148</v>
      </c>
    </row>
    <row r="347" spans="2:7" ht="79.2">
      <c r="B347" s="56">
        <v>46210</v>
      </c>
      <c r="C347" s="69">
        <v>46210.544594907406</v>
      </c>
      <c r="D347" s="55" t="s">
        <v>684</v>
      </c>
      <c r="E347" s="55" t="s">
        <v>1183</v>
      </c>
      <c r="G347" s="129" t="s">
        <v>1181</v>
      </c>
    </row>
    <row r="348" spans="2:7">
      <c r="B348" s="56">
        <v>46210</v>
      </c>
      <c r="C348" s="69">
        <v>46210.547638888886</v>
      </c>
      <c r="D348" s="55" t="s">
        <v>684</v>
      </c>
      <c r="E348" s="55" t="s">
        <v>1184</v>
      </c>
      <c r="G348" s="129" t="s">
        <v>254</v>
      </c>
    </row>
    <row r="349" spans="2:7">
      <c r="B349" s="56">
        <v>46210</v>
      </c>
      <c r="C349" s="69">
        <v>46210.547662037039</v>
      </c>
      <c r="D349" s="55" t="s">
        <v>684</v>
      </c>
      <c r="E349" s="55" t="s">
        <v>1185</v>
      </c>
      <c r="F349" s="130"/>
      <c r="G349" s="130" t="s">
        <v>254</v>
      </c>
    </row>
    <row r="350" spans="2:7">
      <c r="B350" s="56">
        <v>46210</v>
      </c>
      <c r="C350" s="69">
        <v>46210.547673611109</v>
      </c>
      <c r="D350" s="55" t="s">
        <v>684</v>
      </c>
      <c r="E350" s="55" t="s">
        <v>1186</v>
      </c>
      <c r="G350" s="129" t="s">
        <v>254</v>
      </c>
    </row>
    <row r="351" spans="2:7">
      <c r="B351" s="56">
        <v>46210</v>
      </c>
      <c r="C351" s="69">
        <v>46210.54787037037</v>
      </c>
      <c r="D351" s="55" t="s">
        <v>684</v>
      </c>
      <c r="E351" s="55" t="s">
        <v>1187</v>
      </c>
      <c r="G351" s="129" t="s">
        <v>254</v>
      </c>
    </row>
    <row r="352" spans="2:7">
      <c r="B352" s="56">
        <v>46210</v>
      </c>
      <c r="C352" s="69">
        <v>46210.54791666667</v>
      </c>
      <c r="D352" s="55" t="s">
        <v>684</v>
      </c>
      <c r="E352" s="55" t="s">
        <v>1188</v>
      </c>
      <c r="G352" s="130" t="s">
        <v>254</v>
      </c>
    </row>
    <row r="353" spans="2:7">
      <c r="B353" s="56">
        <v>46210</v>
      </c>
      <c r="C353" s="69">
        <v>46210.547974537039</v>
      </c>
      <c r="D353" s="55" t="s">
        <v>684</v>
      </c>
      <c r="E353" s="55" t="s">
        <v>1189</v>
      </c>
      <c r="F353" s="130"/>
      <c r="G353" s="129" t="s">
        <v>254</v>
      </c>
    </row>
    <row r="354" spans="2:7">
      <c r="B354" s="56">
        <v>46210</v>
      </c>
      <c r="C354" s="69">
        <v>46210.548009259262</v>
      </c>
      <c r="D354" s="55" t="s">
        <v>684</v>
      </c>
      <c r="E354" s="55" t="s">
        <v>1190</v>
      </c>
      <c r="G354" s="130" t="s">
        <v>254</v>
      </c>
    </row>
    <row r="355" spans="2:7">
      <c r="B355" s="56">
        <v>46210</v>
      </c>
      <c r="C355" s="69">
        <v>46210.548067129632</v>
      </c>
      <c r="D355" s="55" t="s">
        <v>684</v>
      </c>
      <c r="E355" s="55" t="s">
        <v>1191</v>
      </c>
      <c r="F355" s="130"/>
      <c r="G355" s="129" t="s">
        <v>254</v>
      </c>
    </row>
    <row r="356" spans="2:7">
      <c r="B356" s="56">
        <v>46210</v>
      </c>
      <c r="C356" s="69">
        <v>46210.548090277778</v>
      </c>
      <c r="D356" s="55" t="s">
        <v>684</v>
      </c>
      <c r="E356" s="55" t="s">
        <v>1192</v>
      </c>
      <c r="G356" s="129" t="s">
        <v>254</v>
      </c>
    </row>
    <row r="357" spans="2:7">
      <c r="B357" s="56">
        <v>46210</v>
      </c>
      <c r="C357" s="69">
        <v>46210.548148148147</v>
      </c>
      <c r="D357" s="55" t="s">
        <v>684</v>
      </c>
      <c r="E357" s="55" t="s">
        <v>1193</v>
      </c>
      <c r="G357" s="129" t="s">
        <v>254</v>
      </c>
    </row>
    <row r="358" spans="2:7">
      <c r="B358" s="56">
        <v>46210</v>
      </c>
      <c r="C358" s="69">
        <v>46210.548194444447</v>
      </c>
      <c r="D358" s="55" t="s">
        <v>684</v>
      </c>
      <c r="E358" s="55" t="s">
        <v>1194</v>
      </c>
      <c r="G358" s="129" t="s">
        <v>254</v>
      </c>
    </row>
    <row r="359" spans="2:7">
      <c r="B359" s="56">
        <v>46210</v>
      </c>
      <c r="C359" s="69">
        <v>46210.54828703704</v>
      </c>
      <c r="D359" s="55" t="s">
        <v>684</v>
      </c>
      <c r="E359" s="55" t="s">
        <v>1195</v>
      </c>
      <c r="G359" s="129" t="s">
        <v>188</v>
      </c>
    </row>
    <row r="360" spans="2:7">
      <c r="B360" s="56">
        <v>46210</v>
      </c>
      <c r="C360" s="69">
        <v>46210.548321759263</v>
      </c>
      <c r="D360" s="55" t="s">
        <v>684</v>
      </c>
      <c r="E360" s="55" t="s">
        <v>1196</v>
      </c>
      <c r="G360" s="129" t="s">
        <v>188</v>
      </c>
    </row>
    <row r="361" spans="2:7">
      <c r="B361" s="56">
        <v>46210</v>
      </c>
      <c r="C361" s="69">
        <v>46210.548368055555</v>
      </c>
      <c r="D361" s="55" t="s">
        <v>684</v>
      </c>
      <c r="E361" s="55" t="s">
        <v>1197</v>
      </c>
      <c r="G361" s="129" t="s">
        <v>254</v>
      </c>
    </row>
    <row r="362" spans="2:7" ht="39.6">
      <c r="B362" s="56">
        <v>46210</v>
      </c>
      <c r="C362" s="69">
        <v>46210.554548611108</v>
      </c>
      <c r="D362" s="55" t="s">
        <v>1199</v>
      </c>
      <c r="E362" s="55" t="s">
        <v>1200</v>
      </c>
      <c r="G362" s="129" t="s">
        <v>1198</v>
      </c>
    </row>
    <row r="363" spans="2:7" ht="39.6">
      <c r="B363" s="56">
        <v>46210</v>
      </c>
      <c r="C363" s="69">
        <v>46210.613240740742</v>
      </c>
      <c r="D363" s="55" t="s">
        <v>684</v>
      </c>
      <c r="E363" s="55" t="s">
        <v>881</v>
      </c>
      <c r="G363" s="129" t="s">
        <v>1201</v>
      </c>
    </row>
    <row r="364" spans="2:7" ht="39.6">
      <c r="B364" s="56">
        <v>46210</v>
      </c>
      <c r="C364" s="69">
        <v>46210.613379629627</v>
      </c>
      <c r="D364" s="55" t="s">
        <v>684</v>
      </c>
      <c r="E364" s="55" t="s">
        <v>1203</v>
      </c>
      <c r="G364" s="129" t="s">
        <v>1202</v>
      </c>
    </row>
    <row r="365" spans="2:7" ht="52.8">
      <c r="B365" s="56">
        <v>46210</v>
      </c>
      <c r="C365" s="69">
        <v>46210.613495370373</v>
      </c>
      <c r="D365" s="55" t="s">
        <v>684</v>
      </c>
      <c r="E365" s="55" t="s">
        <v>1205</v>
      </c>
      <c r="G365" s="129" t="s">
        <v>1204</v>
      </c>
    </row>
    <row r="366" spans="2:7" ht="39.6">
      <c r="B366" s="56">
        <v>46210</v>
      </c>
      <c r="C366" s="69">
        <v>46210.613622685189</v>
      </c>
      <c r="D366" s="55" t="s">
        <v>684</v>
      </c>
      <c r="E366" s="55" t="s">
        <v>1207</v>
      </c>
      <c r="G366" s="129" t="s">
        <v>1206</v>
      </c>
    </row>
    <row r="367" spans="2:7" ht="39.6">
      <c r="B367" s="56">
        <v>46210</v>
      </c>
      <c r="C367" s="69">
        <v>46210.613738425927</v>
      </c>
      <c r="D367" s="55" t="s">
        <v>684</v>
      </c>
      <c r="E367" s="55" t="s">
        <v>1209</v>
      </c>
      <c r="G367" s="129" t="s">
        <v>1208</v>
      </c>
    </row>
    <row r="368" spans="2:7" ht="39.6">
      <c r="B368" s="56">
        <v>46210</v>
      </c>
      <c r="C368" s="69">
        <v>46210.613865740743</v>
      </c>
      <c r="D368" s="55" t="s">
        <v>684</v>
      </c>
      <c r="E368" s="55" t="s">
        <v>1211</v>
      </c>
      <c r="G368" s="129" t="s">
        <v>1210</v>
      </c>
    </row>
    <row r="369" spans="2:7" ht="39.6">
      <c r="B369" s="56">
        <v>46210</v>
      </c>
      <c r="C369" s="69">
        <v>46210.613969907405</v>
      </c>
      <c r="D369" s="55" t="s">
        <v>684</v>
      </c>
      <c r="E369" s="55" t="s">
        <v>1213</v>
      </c>
      <c r="G369" s="129" t="s">
        <v>1212</v>
      </c>
    </row>
    <row r="370" spans="2:7" ht="39.6">
      <c r="B370" s="56">
        <v>46210</v>
      </c>
      <c r="C370" s="69">
        <v>46210.614074074074</v>
      </c>
      <c r="D370" s="55" t="s">
        <v>684</v>
      </c>
      <c r="E370" s="55" t="s">
        <v>1215</v>
      </c>
      <c r="G370" s="129" t="s">
        <v>1214</v>
      </c>
    </row>
    <row r="371" spans="2:7" ht="52.8">
      <c r="B371" s="56">
        <v>46210</v>
      </c>
      <c r="C371" s="69">
        <v>46210.614189814813</v>
      </c>
      <c r="D371" s="55" t="s">
        <v>684</v>
      </c>
      <c r="E371" s="55" t="s">
        <v>1217</v>
      </c>
      <c r="G371" s="129" t="s">
        <v>1216</v>
      </c>
    </row>
    <row r="372" spans="2:7" ht="39.6">
      <c r="B372" s="56">
        <v>46210</v>
      </c>
      <c r="C372" s="69">
        <v>46210.614293981482</v>
      </c>
      <c r="D372" s="55" t="s">
        <v>684</v>
      </c>
      <c r="E372" s="55" t="s">
        <v>1219</v>
      </c>
      <c r="G372" s="129" t="s">
        <v>1218</v>
      </c>
    </row>
    <row r="373" spans="2:7" ht="39.6">
      <c r="B373" s="56">
        <v>46210</v>
      </c>
      <c r="C373" s="69">
        <v>46210.614490740743</v>
      </c>
      <c r="D373" s="55" t="s">
        <v>684</v>
      </c>
      <c r="E373" s="55" t="s">
        <v>1221</v>
      </c>
      <c r="G373" s="129" t="s">
        <v>1220</v>
      </c>
    </row>
    <row r="374" spans="2:7" ht="39.6">
      <c r="B374" s="56">
        <v>46210</v>
      </c>
      <c r="C374" s="69">
        <v>46210.614629629628</v>
      </c>
      <c r="D374" s="55" t="s">
        <v>684</v>
      </c>
      <c r="E374" s="55" t="s">
        <v>1223</v>
      </c>
      <c r="G374" s="129" t="s">
        <v>1222</v>
      </c>
    </row>
    <row r="375" spans="2:7" ht="52.8">
      <c r="B375" s="56">
        <v>46210</v>
      </c>
      <c r="C375" s="69">
        <v>46210.614756944444</v>
      </c>
      <c r="D375" s="55" t="s">
        <v>684</v>
      </c>
      <c r="E375" s="55" t="s">
        <v>1225</v>
      </c>
      <c r="G375" s="129" t="s">
        <v>1224</v>
      </c>
    </row>
    <row r="376" spans="2:7" ht="39.6">
      <c r="B376" s="56">
        <v>46210</v>
      </c>
      <c r="C376" s="69">
        <v>46210.614895833336</v>
      </c>
      <c r="D376" s="55" t="s">
        <v>684</v>
      </c>
      <c r="E376" s="55" t="s">
        <v>1227</v>
      </c>
      <c r="G376" s="129" t="s">
        <v>1226</v>
      </c>
    </row>
    <row r="377" spans="2:7">
      <c r="B377" s="56">
        <v>46210</v>
      </c>
      <c r="C377" s="69">
        <v>46210.616030092591</v>
      </c>
      <c r="D377" s="55" t="s">
        <v>684</v>
      </c>
      <c r="E377" s="55" t="s">
        <v>1228</v>
      </c>
      <c r="G377" s="129" t="s">
        <v>669</v>
      </c>
    </row>
    <row r="378" spans="2:7">
      <c r="B378" s="56">
        <v>46210</v>
      </c>
      <c r="C378" s="69">
        <v>46210.616053240738</v>
      </c>
      <c r="D378" s="55" t="s">
        <v>684</v>
      </c>
      <c r="E378" s="55" t="s">
        <v>1229</v>
      </c>
      <c r="G378" s="129" t="s">
        <v>669</v>
      </c>
    </row>
    <row r="379" spans="2:7">
      <c r="B379" s="56">
        <v>46210</v>
      </c>
      <c r="C379" s="69">
        <v>46210.616053240738</v>
      </c>
      <c r="D379" s="55" t="s">
        <v>684</v>
      </c>
      <c r="E379" s="55" t="s">
        <v>1230</v>
      </c>
      <c r="G379" s="129" t="s">
        <v>669</v>
      </c>
    </row>
    <row r="380" spans="2:7">
      <c r="B380" s="56">
        <v>46210</v>
      </c>
      <c r="C380" s="69">
        <v>46210.616064814814</v>
      </c>
      <c r="D380" s="55" t="s">
        <v>684</v>
      </c>
      <c r="E380" s="55" t="s">
        <v>1231</v>
      </c>
      <c r="G380" s="129" t="s">
        <v>669</v>
      </c>
    </row>
    <row r="381" spans="2:7">
      <c r="B381" s="56">
        <v>46210</v>
      </c>
      <c r="C381" s="69">
        <v>46210.616076388891</v>
      </c>
      <c r="D381" s="55" t="s">
        <v>684</v>
      </c>
      <c r="E381" s="55" t="s">
        <v>1232</v>
      </c>
      <c r="G381" s="129" t="s">
        <v>669</v>
      </c>
    </row>
    <row r="382" spans="2:7">
      <c r="B382" s="56">
        <v>46210</v>
      </c>
      <c r="C382" s="69">
        <v>46210.616087962961</v>
      </c>
      <c r="D382" s="55" t="s">
        <v>684</v>
      </c>
      <c r="E382" s="55" t="s">
        <v>1233</v>
      </c>
      <c r="G382" s="129" t="s">
        <v>669</v>
      </c>
    </row>
    <row r="383" spans="2:7">
      <c r="B383" s="56">
        <v>46210</v>
      </c>
      <c r="C383" s="69">
        <v>46210.616099537037</v>
      </c>
      <c r="D383" s="55" t="s">
        <v>684</v>
      </c>
      <c r="E383" s="55" t="s">
        <v>1234</v>
      </c>
      <c r="G383" s="129" t="s">
        <v>669</v>
      </c>
    </row>
    <row r="384" spans="2:7">
      <c r="B384" s="56">
        <v>46210</v>
      </c>
      <c r="C384" s="69">
        <v>46210.616111111114</v>
      </c>
      <c r="D384" s="55" t="s">
        <v>684</v>
      </c>
      <c r="E384" s="55" t="s">
        <v>1235</v>
      </c>
      <c r="G384" s="129" t="s">
        <v>669</v>
      </c>
    </row>
    <row r="385" spans="2:7">
      <c r="B385" s="56">
        <v>46210</v>
      </c>
      <c r="C385" s="69">
        <v>46210.616122685184</v>
      </c>
      <c r="D385" s="55" t="s">
        <v>684</v>
      </c>
      <c r="E385" s="55" t="s">
        <v>1236</v>
      </c>
      <c r="G385" s="129" t="s">
        <v>669</v>
      </c>
    </row>
    <row r="386" spans="2:7">
      <c r="B386" s="56">
        <v>46210</v>
      </c>
      <c r="C386" s="69">
        <v>46210.61613425926</v>
      </c>
      <c r="D386" s="55" t="s">
        <v>684</v>
      </c>
      <c r="E386" s="55" t="s">
        <v>1237</v>
      </c>
      <c r="G386" s="129" t="s">
        <v>669</v>
      </c>
    </row>
    <row r="387" spans="2:7">
      <c r="B387" s="56">
        <v>46210</v>
      </c>
      <c r="C387" s="69">
        <v>46210.61614583333</v>
      </c>
      <c r="D387" s="55" t="s">
        <v>684</v>
      </c>
      <c r="E387" s="55" t="s">
        <v>1238</v>
      </c>
      <c r="G387" s="129" t="s">
        <v>669</v>
      </c>
    </row>
    <row r="388" spans="2:7">
      <c r="B388" s="56">
        <v>46210</v>
      </c>
      <c r="C388" s="69">
        <v>46210.616157407407</v>
      </c>
      <c r="D388" s="55" t="s">
        <v>684</v>
      </c>
      <c r="E388" s="55" t="s">
        <v>1239</v>
      </c>
      <c r="G388" s="129" t="s">
        <v>669</v>
      </c>
    </row>
    <row r="389" spans="2:7">
      <c r="B389" s="56">
        <v>46210</v>
      </c>
      <c r="C389" s="69">
        <v>46210.616168981483</v>
      </c>
      <c r="D389" s="55" t="s">
        <v>684</v>
      </c>
      <c r="E389" s="55" t="s">
        <v>1240</v>
      </c>
      <c r="G389" s="129" t="s">
        <v>669</v>
      </c>
    </row>
    <row r="390" spans="2:7">
      <c r="B390" s="56">
        <v>46210</v>
      </c>
      <c r="C390" s="69">
        <v>46210.616180555553</v>
      </c>
      <c r="D390" s="55" t="s">
        <v>684</v>
      </c>
      <c r="E390" s="55" t="s">
        <v>1241</v>
      </c>
      <c r="G390" s="129" t="s">
        <v>669</v>
      </c>
    </row>
    <row r="391" spans="2:7" ht="39.6">
      <c r="B391" s="56">
        <v>46210</v>
      </c>
      <c r="C391" s="69">
        <v>46210.616388888891</v>
      </c>
      <c r="D391" s="55" t="s">
        <v>1199</v>
      </c>
      <c r="E391" s="55" t="s">
        <v>1200</v>
      </c>
      <c r="F391" s="129" t="s">
        <v>1198</v>
      </c>
      <c r="G391" s="129" t="s">
        <v>1242</v>
      </c>
    </row>
    <row r="392" spans="2:7" ht="26.4">
      <c r="B392" s="56">
        <v>46211</v>
      </c>
      <c r="C392" s="69">
        <v>46211.449236111112</v>
      </c>
      <c r="D392" s="55" t="s">
        <v>890</v>
      </c>
      <c r="E392" s="55" t="s">
        <v>1243</v>
      </c>
      <c r="G392" s="129" t="s">
        <v>581</v>
      </c>
    </row>
    <row r="393" spans="2:7" ht="26.4">
      <c r="B393" s="56">
        <v>46211</v>
      </c>
      <c r="C393" s="69">
        <v>46211.450995370367</v>
      </c>
      <c r="D393" s="55" t="s">
        <v>890</v>
      </c>
      <c r="E393" s="55" t="s">
        <v>1243</v>
      </c>
      <c r="F393" s="129" t="s">
        <v>581</v>
      </c>
    </row>
    <row r="394" spans="2:7">
      <c r="B394" s="56">
        <v>46211</v>
      </c>
      <c r="C394" s="69">
        <v>46211.452627314815</v>
      </c>
      <c r="D394" s="55" t="s">
        <v>890</v>
      </c>
      <c r="E394" s="55" t="s">
        <v>1244</v>
      </c>
      <c r="F394" s="129">
        <v>161</v>
      </c>
    </row>
    <row r="395" spans="2:7">
      <c r="B395" s="56">
        <v>46211</v>
      </c>
      <c r="C395" s="69">
        <v>46211.452650462961</v>
      </c>
      <c r="D395" s="55" t="s">
        <v>890</v>
      </c>
      <c r="E395" s="55" t="s">
        <v>1245</v>
      </c>
      <c r="F395" s="129">
        <v>46</v>
      </c>
    </row>
    <row r="396" spans="2:7">
      <c r="B396" s="56">
        <v>46211</v>
      </c>
      <c r="C396" s="69">
        <v>46211.452673611115</v>
      </c>
      <c r="D396" s="55" t="s">
        <v>890</v>
      </c>
      <c r="E396" s="55" t="s">
        <v>1246</v>
      </c>
      <c r="F396" s="129">
        <v>14</v>
      </c>
    </row>
    <row r="397" spans="2:7">
      <c r="B397" s="56">
        <v>46211</v>
      </c>
      <c r="C397" s="69">
        <v>46211.452685185184</v>
      </c>
      <c r="D397" s="55" t="s">
        <v>890</v>
      </c>
      <c r="E397" s="55" t="s">
        <v>1247</v>
      </c>
      <c r="F397" s="129">
        <v>101</v>
      </c>
    </row>
    <row r="398" spans="2:7">
      <c r="B398" s="56">
        <v>46211</v>
      </c>
      <c r="C398" s="69">
        <v>46211.452696759261</v>
      </c>
      <c r="D398" s="55" t="s">
        <v>890</v>
      </c>
      <c r="E398" s="55" t="s">
        <v>1248</v>
      </c>
      <c r="F398" s="129">
        <v>1</v>
      </c>
    </row>
    <row r="399" spans="2:7">
      <c r="B399" s="56">
        <v>46211</v>
      </c>
      <c r="C399" s="69">
        <v>46211.452800925923</v>
      </c>
      <c r="D399" s="55" t="s">
        <v>890</v>
      </c>
      <c r="E399" s="55" t="s">
        <v>1244</v>
      </c>
      <c r="G399" s="129">
        <v>161</v>
      </c>
    </row>
    <row r="400" spans="2:7">
      <c r="B400" s="56">
        <v>46211</v>
      </c>
      <c r="C400" s="69">
        <v>46211.452881944446</v>
      </c>
      <c r="D400" s="55" t="s">
        <v>890</v>
      </c>
      <c r="E400" s="55" t="s">
        <v>1245</v>
      </c>
      <c r="G400" s="129">
        <v>45</v>
      </c>
    </row>
    <row r="401" spans="2:7">
      <c r="B401" s="56">
        <v>46211</v>
      </c>
      <c r="C401" s="69">
        <v>46211.452974537038</v>
      </c>
      <c r="D401" s="55" t="s">
        <v>890</v>
      </c>
      <c r="E401" s="55" t="s">
        <v>1245</v>
      </c>
      <c r="F401" s="129">
        <v>45</v>
      </c>
      <c r="G401" s="129">
        <v>46</v>
      </c>
    </row>
    <row r="402" spans="2:7">
      <c r="B402" s="56">
        <v>46211</v>
      </c>
      <c r="C402" s="69">
        <v>46211.453043981484</v>
      </c>
      <c r="D402" s="55" t="s">
        <v>890</v>
      </c>
      <c r="E402" s="55" t="s">
        <v>1246</v>
      </c>
      <c r="G402" s="129">
        <v>14</v>
      </c>
    </row>
    <row r="403" spans="2:7">
      <c r="B403" s="56">
        <v>46211</v>
      </c>
      <c r="C403" s="69">
        <v>46211.453125</v>
      </c>
      <c r="D403" s="55" t="s">
        <v>890</v>
      </c>
      <c r="E403" s="55" t="s">
        <v>1247</v>
      </c>
      <c r="G403" s="129">
        <v>101</v>
      </c>
    </row>
    <row r="404" spans="2:7">
      <c r="B404" s="56">
        <v>46211</v>
      </c>
      <c r="C404" s="69">
        <v>46211.453194444446</v>
      </c>
      <c r="D404" s="55" t="s">
        <v>890</v>
      </c>
      <c r="E404" s="55" t="s">
        <v>1248</v>
      </c>
      <c r="G404" s="129">
        <v>1</v>
      </c>
    </row>
    <row r="405" spans="2:7" ht="39.6">
      <c r="B405" s="56">
        <v>46211</v>
      </c>
      <c r="C405" s="69">
        <v>46211.454814814817</v>
      </c>
      <c r="D405" s="55" t="s">
        <v>890</v>
      </c>
      <c r="E405" s="55" t="s">
        <v>1250</v>
      </c>
      <c r="G405" s="129" t="s">
        <v>1249</v>
      </c>
    </row>
    <row r="406" spans="2:7" ht="52.8">
      <c r="B406" s="56">
        <v>46211</v>
      </c>
      <c r="C406" s="69">
        <v>46211.454907407409</v>
      </c>
      <c r="D406" s="55" t="s">
        <v>890</v>
      </c>
      <c r="E406" s="55" t="s">
        <v>1250</v>
      </c>
      <c r="F406" s="129" t="s">
        <v>1249</v>
      </c>
      <c r="G406" s="129" t="s">
        <v>1251</v>
      </c>
    </row>
    <row r="407" spans="2:7">
      <c r="B407" s="56">
        <v>46211</v>
      </c>
      <c r="C407" s="69">
        <v>46211.455011574071</v>
      </c>
      <c r="D407" s="55" t="s">
        <v>890</v>
      </c>
      <c r="E407" s="55" t="s">
        <v>1252</v>
      </c>
      <c r="G407" s="129">
        <v>2</v>
      </c>
    </row>
    <row r="408" spans="2:7">
      <c r="B408" s="56">
        <v>46211</v>
      </c>
      <c r="C408" s="69">
        <v>46211.455092592594</v>
      </c>
      <c r="D408" s="55" t="s">
        <v>890</v>
      </c>
      <c r="E408" s="55" t="s">
        <v>1253</v>
      </c>
      <c r="G408" s="129">
        <v>2</v>
      </c>
    </row>
    <row r="409" spans="2:7">
      <c r="B409" s="56">
        <v>46211</v>
      </c>
      <c r="C409" s="69">
        <v>46211.455474537041</v>
      </c>
      <c r="D409" s="55" t="s">
        <v>890</v>
      </c>
      <c r="E409" s="55" t="s">
        <v>1254</v>
      </c>
      <c r="F409" s="129">
        <v>16</v>
      </c>
    </row>
    <row r="410" spans="2:7">
      <c r="B410" s="56">
        <v>46211</v>
      </c>
      <c r="C410" s="69">
        <v>46211.455671296295</v>
      </c>
      <c r="D410" s="55" t="s">
        <v>890</v>
      </c>
      <c r="E410" s="55" t="s">
        <v>1254</v>
      </c>
      <c r="G410" s="129">
        <v>18</v>
      </c>
    </row>
    <row r="411" spans="2:7">
      <c r="B411" s="56">
        <v>46211</v>
      </c>
      <c r="C411" s="69">
        <v>46211.455706018518</v>
      </c>
      <c r="D411" s="55" t="s">
        <v>890</v>
      </c>
      <c r="E411" s="55" t="s">
        <v>1255</v>
      </c>
      <c r="G411" s="129">
        <v>3</v>
      </c>
    </row>
    <row r="412" spans="2:7">
      <c r="B412" s="56">
        <v>46211</v>
      </c>
      <c r="C412" s="69">
        <v>46211.455740740741</v>
      </c>
      <c r="D412" s="55" t="s">
        <v>890</v>
      </c>
      <c r="E412" s="55" t="s">
        <v>1256</v>
      </c>
      <c r="G412" s="129">
        <v>8</v>
      </c>
    </row>
    <row r="413" spans="2:7">
      <c r="B413" s="56">
        <v>46211</v>
      </c>
      <c r="C413" s="69">
        <v>46211.455775462964</v>
      </c>
      <c r="D413" s="55" t="s">
        <v>890</v>
      </c>
      <c r="E413" s="55" t="s">
        <v>1257</v>
      </c>
      <c r="G413" s="129">
        <v>7</v>
      </c>
    </row>
    <row r="414" spans="2:7">
      <c r="B414" s="56">
        <v>46211</v>
      </c>
      <c r="C414" s="69">
        <v>46211.456076388888</v>
      </c>
      <c r="D414" s="55" t="s">
        <v>890</v>
      </c>
      <c r="E414" s="55" t="s">
        <v>1258</v>
      </c>
      <c r="G414" s="129">
        <v>2026</v>
      </c>
    </row>
    <row r="415" spans="2:7">
      <c r="B415" s="56">
        <v>46211</v>
      </c>
      <c r="C415" s="69">
        <v>46211.457245370373</v>
      </c>
      <c r="D415" s="55" t="s">
        <v>890</v>
      </c>
      <c r="E415" s="55" t="s">
        <v>997</v>
      </c>
      <c r="G415" s="129">
        <v>14</v>
      </c>
    </row>
    <row r="416" spans="2:7">
      <c r="B416" s="56">
        <v>46211</v>
      </c>
      <c r="C416" s="69">
        <v>46211.457314814812</v>
      </c>
      <c r="D416" s="55" t="s">
        <v>890</v>
      </c>
      <c r="E416" s="55" t="s">
        <v>992</v>
      </c>
      <c r="G416" s="129">
        <v>14</v>
      </c>
    </row>
    <row r="417" spans="2:7">
      <c r="B417" s="56">
        <v>46211</v>
      </c>
      <c r="C417" s="69">
        <v>46211.457372685189</v>
      </c>
      <c r="D417" s="55" t="s">
        <v>890</v>
      </c>
      <c r="E417" s="55" t="s">
        <v>993</v>
      </c>
      <c r="G417" s="129">
        <v>14</v>
      </c>
    </row>
    <row r="418" spans="2:7">
      <c r="B418" s="56">
        <v>46211</v>
      </c>
      <c r="C418" s="69">
        <v>46211.457824074074</v>
      </c>
      <c r="D418" s="55" t="s">
        <v>890</v>
      </c>
      <c r="E418" s="55" t="s">
        <v>1259</v>
      </c>
      <c r="G418" s="129">
        <v>119</v>
      </c>
    </row>
    <row r="419" spans="2:7">
      <c r="B419" s="56">
        <v>46211</v>
      </c>
      <c r="C419" s="69">
        <v>46211.45784722222</v>
      </c>
      <c r="D419" s="55" t="s">
        <v>890</v>
      </c>
      <c r="E419" s="55" t="s">
        <v>1260</v>
      </c>
      <c r="G419" s="129">
        <v>163</v>
      </c>
    </row>
    <row r="420" spans="2:7">
      <c r="B420" s="56">
        <v>46211</v>
      </c>
      <c r="C420" s="69">
        <v>46211.457881944443</v>
      </c>
      <c r="D420" s="55" t="s">
        <v>890</v>
      </c>
      <c r="E420" s="55" t="s">
        <v>1261</v>
      </c>
      <c r="G420" s="130">
        <v>48</v>
      </c>
    </row>
    <row r="421" spans="2:7">
      <c r="B421" s="56">
        <v>46211</v>
      </c>
      <c r="C421" s="69">
        <v>46211.457905092589</v>
      </c>
      <c r="D421" s="55" t="s">
        <v>890</v>
      </c>
      <c r="E421" s="55" t="s">
        <v>1262</v>
      </c>
      <c r="G421" s="129">
        <v>14</v>
      </c>
    </row>
    <row r="422" spans="2:7">
      <c r="B422" s="56">
        <v>46211</v>
      </c>
      <c r="C422" s="69">
        <v>46211.457928240743</v>
      </c>
      <c r="D422" s="55" t="s">
        <v>890</v>
      </c>
      <c r="E422" s="55" t="s">
        <v>1263</v>
      </c>
      <c r="G422" s="129">
        <v>101</v>
      </c>
    </row>
    <row r="423" spans="2:7">
      <c r="B423" s="56">
        <v>46211</v>
      </c>
      <c r="C423" s="69">
        <v>46211.457951388889</v>
      </c>
      <c r="D423" s="55" t="s">
        <v>890</v>
      </c>
      <c r="E423" s="55" t="s">
        <v>1264</v>
      </c>
      <c r="G423" s="129">
        <v>1</v>
      </c>
    </row>
    <row r="424" spans="2:7" ht="52.8">
      <c r="B424" s="56">
        <v>46211</v>
      </c>
      <c r="C424" s="69">
        <v>46211.460370370369</v>
      </c>
      <c r="D424" s="55" t="s">
        <v>684</v>
      </c>
      <c r="E424" s="55" t="s">
        <v>1266</v>
      </c>
      <c r="G424" s="129" t="s">
        <v>1265</v>
      </c>
    </row>
    <row r="425" spans="2:7" ht="92.4">
      <c r="B425" s="56">
        <v>46211</v>
      </c>
      <c r="C425" s="69">
        <v>46211.461909722224</v>
      </c>
      <c r="D425" s="55" t="s">
        <v>684</v>
      </c>
      <c r="E425" s="55" t="s">
        <v>1268</v>
      </c>
      <c r="G425" s="129" t="s">
        <v>1267</v>
      </c>
    </row>
    <row r="426" spans="2:7" ht="92.4">
      <c r="B426" s="56">
        <v>46211</v>
      </c>
      <c r="C426" s="69">
        <v>46211.462071759262</v>
      </c>
      <c r="D426" s="55" t="s">
        <v>684</v>
      </c>
      <c r="E426" s="55" t="s">
        <v>1269</v>
      </c>
      <c r="G426" s="129" t="s">
        <v>1267</v>
      </c>
    </row>
    <row r="427" spans="2:7" ht="52.8">
      <c r="B427" s="56">
        <v>46211</v>
      </c>
      <c r="C427" s="69">
        <v>46211.462175925924</v>
      </c>
      <c r="D427" s="55" t="s">
        <v>684</v>
      </c>
      <c r="E427" s="55" t="s">
        <v>1270</v>
      </c>
      <c r="G427" s="129" t="s">
        <v>1265</v>
      </c>
    </row>
    <row r="428" spans="2:7">
      <c r="B428" s="56">
        <v>46229</v>
      </c>
      <c r="C428" s="69">
        <v>46229.791516203702</v>
      </c>
      <c r="D428" s="55" t="s">
        <v>684</v>
      </c>
      <c r="E428" s="55" t="s">
        <v>1273</v>
      </c>
      <c r="F428" s="129" t="s">
        <v>201</v>
      </c>
      <c r="G428" s="129" t="s">
        <v>20</v>
      </c>
    </row>
    <row r="429" spans="2:7">
      <c r="B429" s="56">
        <v>46229</v>
      </c>
      <c r="C429" s="69">
        <v>46229.792384259257</v>
      </c>
      <c r="D429" s="55" t="s">
        <v>684</v>
      </c>
      <c r="E429" s="55" t="s">
        <v>1273</v>
      </c>
      <c r="F429" s="129" t="s">
        <v>20</v>
      </c>
      <c r="G429" s="129" t="s">
        <v>201</v>
      </c>
    </row>
    <row r="430" spans="2:7">
      <c r="B430" s="56">
        <v>46229</v>
      </c>
      <c r="C430" s="69">
        <v>46229.801539351851</v>
      </c>
      <c r="D430" s="55" t="s">
        <v>684</v>
      </c>
      <c r="E430" s="55" t="s">
        <v>1275</v>
      </c>
      <c r="G430" s="129" t="s">
        <v>1274</v>
      </c>
    </row>
    <row r="431" spans="2:7">
      <c r="B431" s="56">
        <v>46229</v>
      </c>
      <c r="C431" s="69">
        <v>46229.801562499997</v>
      </c>
      <c r="D431" s="55" t="s">
        <v>684</v>
      </c>
      <c r="E431" s="55" t="s">
        <v>901</v>
      </c>
      <c r="G431" s="129" t="s">
        <v>33</v>
      </c>
    </row>
    <row r="432" spans="2:7" ht="66">
      <c r="B432" s="56">
        <v>46229</v>
      </c>
      <c r="C432" s="69">
        <v>46229.80159722222</v>
      </c>
      <c r="D432" s="55" t="s">
        <v>684</v>
      </c>
      <c r="E432" s="55" t="s">
        <v>1276</v>
      </c>
      <c r="G432" s="129" t="s">
        <v>445</v>
      </c>
    </row>
    <row r="433" spans="2:7" ht="39.6">
      <c r="B433" s="56">
        <v>46229</v>
      </c>
      <c r="C433" s="69">
        <v>46229.801620370374</v>
      </c>
      <c r="D433" s="55" t="s">
        <v>684</v>
      </c>
      <c r="E433" s="55" t="s">
        <v>1277</v>
      </c>
      <c r="G433" s="129" t="s">
        <v>444</v>
      </c>
    </row>
    <row r="434" spans="2:7" ht="39.6">
      <c r="B434" s="56">
        <v>46229</v>
      </c>
      <c r="C434" s="69">
        <v>46229.80164351852</v>
      </c>
      <c r="D434" s="55" t="s">
        <v>684</v>
      </c>
      <c r="E434" s="55" t="s">
        <v>1279</v>
      </c>
      <c r="G434" s="129" t="s">
        <v>1278</v>
      </c>
    </row>
    <row r="435" spans="2:7">
      <c r="B435" s="56">
        <v>46229</v>
      </c>
      <c r="C435" s="69">
        <v>46229.805358796293</v>
      </c>
      <c r="D435" s="55" t="s">
        <v>684</v>
      </c>
      <c r="E435" s="55" t="s">
        <v>1280</v>
      </c>
      <c r="G435" s="129" t="s">
        <v>1274</v>
      </c>
    </row>
    <row r="436" spans="2:7">
      <c r="B436" s="56">
        <v>46229</v>
      </c>
      <c r="C436" s="69">
        <v>46229.805393518516</v>
      </c>
      <c r="D436" s="55" t="s">
        <v>684</v>
      </c>
      <c r="E436" s="55" t="s">
        <v>848</v>
      </c>
      <c r="G436" s="129" t="s">
        <v>33</v>
      </c>
    </row>
    <row r="437" spans="2:7" ht="66">
      <c r="B437" s="56">
        <v>46229</v>
      </c>
      <c r="C437" s="69">
        <v>46229.805428240739</v>
      </c>
      <c r="D437" s="55" t="s">
        <v>684</v>
      </c>
      <c r="E437" s="55" t="s">
        <v>1281</v>
      </c>
      <c r="G437" s="129" t="s">
        <v>371</v>
      </c>
    </row>
    <row r="438" spans="2:7" ht="52.8">
      <c r="B438" s="56">
        <v>46229</v>
      </c>
      <c r="C438" s="69">
        <v>46229.805451388886</v>
      </c>
      <c r="D438" s="55" t="s">
        <v>684</v>
      </c>
      <c r="E438" s="55" t="s">
        <v>1282</v>
      </c>
      <c r="G438" s="129" t="s">
        <v>370</v>
      </c>
    </row>
    <row r="439" spans="2:7" ht="237.6">
      <c r="B439" s="56">
        <v>46229</v>
      </c>
      <c r="C439" s="69">
        <v>46229.805462962962</v>
      </c>
      <c r="D439" s="55" t="s">
        <v>684</v>
      </c>
      <c r="E439" s="55" t="s">
        <v>1284</v>
      </c>
      <c r="G439" s="129" t="s">
        <v>1283</v>
      </c>
    </row>
    <row r="440" spans="2:7">
      <c r="B440" s="56">
        <v>46229</v>
      </c>
      <c r="C440" s="69">
        <v>46229.807916666665</v>
      </c>
      <c r="D440" s="55" t="s">
        <v>684</v>
      </c>
      <c r="E440" s="55" t="s">
        <v>1285</v>
      </c>
      <c r="G440" s="130">
        <v>46229</v>
      </c>
    </row>
    <row r="441" spans="2:7">
      <c r="B441" s="56">
        <v>46229</v>
      </c>
      <c r="C441" s="69">
        <v>46229.807962962965</v>
      </c>
      <c r="D441" s="55" t="s">
        <v>684</v>
      </c>
      <c r="E441" s="55" t="s">
        <v>1273</v>
      </c>
      <c r="F441" s="129" t="s">
        <v>201</v>
      </c>
      <c r="G441" s="129" t="s">
        <v>20</v>
      </c>
    </row>
    <row r="442" spans="2:7">
      <c r="B442" s="56">
        <v>46229</v>
      </c>
      <c r="C442" s="69">
        <v>46229.815092592595</v>
      </c>
      <c r="D442" s="55" t="s">
        <v>734</v>
      </c>
      <c r="E442" s="55" t="s">
        <v>1292</v>
      </c>
      <c r="F442" s="129" t="s">
        <v>1290</v>
      </c>
      <c r="G442" s="129" t="s">
        <v>1291</v>
      </c>
    </row>
    <row r="443" spans="2:7">
      <c r="B443" s="56">
        <v>46229</v>
      </c>
      <c r="C443" s="69">
        <v>46229.817071759258</v>
      </c>
      <c r="D443" s="55" t="s">
        <v>1294</v>
      </c>
      <c r="E443" s="55" t="s">
        <v>1295</v>
      </c>
      <c r="G443" s="129" t="s">
        <v>1293</v>
      </c>
    </row>
    <row r="444" spans="2:7">
      <c r="B444" s="56">
        <v>46229</v>
      </c>
      <c r="C444" s="69">
        <v>46229.817094907405</v>
      </c>
      <c r="D444" s="55" t="s">
        <v>1294</v>
      </c>
      <c r="E444" s="55" t="s">
        <v>1297</v>
      </c>
      <c r="G444" s="129" t="s">
        <v>1296</v>
      </c>
    </row>
    <row r="445" spans="2:7">
      <c r="B445" s="56">
        <v>46229</v>
      </c>
      <c r="C445" s="69">
        <v>46229.817152777781</v>
      </c>
      <c r="D445" s="55" t="s">
        <v>1294</v>
      </c>
      <c r="E445" s="55" t="s">
        <v>1299</v>
      </c>
      <c r="G445" s="129" t="s">
        <v>1298</v>
      </c>
    </row>
    <row r="446" spans="2:7">
      <c r="B446" s="56">
        <v>46229</v>
      </c>
      <c r="C446" s="69">
        <v>46229.817175925928</v>
      </c>
      <c r="D446" s="55" t="s">
        <v>1294</v>
      </c>
      <c r="E446" s="55" t="s">
        <v>1301</v>
      </c>
      <c r="G446" s="129" t="s">
        <v>1300</v>
      </c>
    </row>
    <row r="447" spans="2:7">
      <c r="B447" s="56">
        <v>46229</v>
      </c>
      <c r="C447" s="69">
        <v>46229.817210648151</v>
      </c>
      <c r="D447" s="55" t="s">
        <v>1294</v>
      </c>
      <c r="E447" s="55" t="s">
        <v>1303</v>
      </c>
      <c r="G447" s="129" t="s">
        <v>1302</v>
      </c>
    </row>
    <row r="448" spans="2:7">
      <c r="B448" s="56">
        <v>46229</v>
      </c>
      <c r="C448" s="69">
        <v>46229.817245370374</v>
      </c>
      <c r="D448" s="55" t="s">
        <v>1294</v>
      </c>
      <c r="E448" s="55" t="s">
        <v>1305</v>
      </c>
      <c r="G448" s="129" t="s">
        <v>1304</v>
      </c>
    </row>
    <row r="449" spans="2:7">
      <c r="B449" s="56">
        <v>46229</v>
      </c>
      <c r="C449" s="69">
        <v>46229.817777777775</v>
      </c>
      <c r="D449" s="55" t="s">
        <v>1294</v>
      </c>
      <c r="E449" s="55" t="s">
        <v>1306</v>
      </c>
      <c r="G449" s="129">
        <v>1</v>
      </c>
    </row>
    <row r="450" spans="2:7">
      <c r="B450" s="56">
        <v>46229</v>
      </c>
      <c r="C450" s="69">
        <v>46229.821180555555</v>
      </c>
      <c r="D450" s="55" t="s">
        <v>684</v>
      </c>
      <c r="E450" s="55" t="s">
        <v>1273</v>
      </c>
      <c r="F450" s="129" t="s">
        <v>20</v>
      </c>
      <c r="G450" s="129" t="s">
        <v>201</v>
      </c>
    </row>
    <row r="451" spans="2:7">
      <c r="B451" s="56">
        <v>46229</v>
      </c>
      <c r="C451" s="69">
        <v>46229.821203703701</v>
      </c>
      <c r="D451" s="55" t="s">
        <v>684</v>
      </c>
      <c r="E451" s="55" t="s">
        <v>1285</v>
      </c>
      <c r="F451" s="130">
        <v>46229</v>
      </c>
    </row>
    <row r="452" spans="2:7">
      <c r="B452" s="56">
        <v>46230</v>
      </c>
      <c r="C452" s="69">
        <v>46230.440462962964</v>
      </c>
      <c r="D452" s="55" t="s">
        <v>684</v>
      </c>
      <c r="E452" s="55" t="s">
        <v>802</v>
      </c>
      <c r="F452" s="129" t="s">
        <v>201</v>
      </c>
      <c r="G452" s="129" t="s">
        <v>20</v>
      </c>
    </row>
    <row r="453" spans="2:7" ht="118.8">
      <c r="B453" s="56">
        <v>46230</v>
      </c>
      <c r="C453" s="69">
        <v>46230.444756944446</v>
      </c>
      <c r="D453" s="55" t="s">
        <v>684</v>
      </c>
      <c r="E453" s="55" t="s">
        <v>814</v>
      </c>
      <c r="F453" s="129" t="s">
        <v>816</v>
      </c>
      <c r="G453" s="129" t="s">
        <v>1308</v>
      </c>
    </row>
    <row r="454" spans="2:7">
      <c r="B454" s="56">
        <v>46230</v>
      </c>
      <c r="C454" s="69">
        <v>46230.444814814815</v>
      </c>
      <c r="D454" s="55" t="s">
        <v>684</v>
      </c>
      <c r="E454" s="55" t="s">
        <v>818</v>
      </c>
      <c r="F454" s="129" t="s">
        <v>201</v>
      </c>
      <c r="G454" s="129" t="s">
        <v>33</v>
      </c>
    </row>
    <row r="455" spans="2:7">
      <c r="B455" s="56">
        <v>46230</v>
      </c>
      <c r="C455" s="69">
        <v>46230.444930555554</v>
      </c>
      <c r="D455" s="55" t="s">
        <v>684</v>
      </c>
      <c r="E455" s="55" t="s">
        <v>821</v>
      </c>
      <c r="F455" s="129" t="s">
        <v>201</v>
      </c>
      <c r="G455" s="129" t="s">
        <v>33</v>
      </c>
    </row>
    <row r="456" spans="2:7" ht="237.6">
      <c r="B456" s="56">
        <v>46230</v>
      </c>
      <c r="C456" s="69">
        <v>46230.445138888892</v>
      </c>
      <c r="D456" s="55" t="s">
        <v>684</v>
      </c>
      <c r="E456" s="55" t="s">
        <v>1284</v>
      </c>
      <c r="F456" s="129" t="s">
        <v>1283</v>
      </c>
      <c r="G456" s="129" t="s">
        <v>1309</v>
      </c>
    </row>
    <row r="457" spans="2:7" ht="26.4">
      <c r="B457" s="56">
        <v>46230</v>
      </c>
      <c r="C457" s="69">
        <v>46230.445625</v>
      </c>
      <c r="D457" s="55" t="s">
        <v>684</v>
      </c>
      <c r="E457" s="55" t="s">
        <v>1310</v>
      </c>
      <c r="F457" s="129" t="s">
        <v>408</v>
      </c>
    </row>
    <row r="458" spans="2:7">
      <c r="B458" s="56">
        <v>46230</v>
      </c>
      <c r="C458" s="69">
        <v>46230.446932870371</v>
      </c>
      <c r="D458" s="55" t="s">
        <v>684</v>
      </c>
      <c r="E458" s="55" t="s">
        <v>1311</v>
      </c>
      <c r="F458" s="129" t="s">
        <v>201</v>
      </c>
      <c r="G458" s="129" t="s">
        <v>33</v>
      </c>
    </row>
    <row r="459" spans="2:7">
      <c r="B459" s="56">
        <v>46230</v>
      </c>
      <c r="C459" s="69">
        <v>46230.447291666664</v>
      </c>
      <c r="D459" s="55" t="s">
        <v>684</v>
      </c>
      <c r="E459" s="55" t="s">
        <v>1312</v>
      </c>
      <c r="F459" s="129" t="s">
        <v>201</v>
      </c>
      <c r="G459" s="129" t="s">
        <v>33</v>
      </c>
    </row>
    <row r="460" spans="2:7">
      <c r="B460" s="56">
        <v>46230</v>
      </c>
      <c r="C460" s="69">
        <v>46230.447743055556</v>
      </c>
      <c r="D460" s="55" t="s">
        <v>684</v>
      </c>
      <c r="E460" s="55" t="s">
        <v>1313</v>
      </c>
      <c r="F460" s="129" t="s">
        <v>201</v>
      </c>
      <c r="G460" s="129" t="s">
        <v>33</v>
      </c>
    </row>
    <row r="461" spans="2:7">
      <c r="B461" s="56">
        <v>46230</v>
      </c>
      <c r="C461" s="69">
        <v>46230.447962962964</v>
      </c>
      <c r="D461" s="55" t="s">
        <v>684</v>
      </c>
      <c r="E461" s="55" t="s">
        <v>1314</v>
      </c>
      <c r="F461" s="129" t="s">
        <v>201</v>
      </c>
      <c r="G461" s="129" t="s">
        <v>33</v>
      </c>
    </row>
    <row r="462" spans="2:7">
      <c r="B462" s="56">
        <v>46230</v>
      </c>
      <c r="C462" s="69">
        <v>46230.448171296295</v>
      </c>
      <c r="D462" s="55" t="s">
        <v>684</v>
      </c>
      <c r="E462" s="55" t="s">
        <v>1315</v>
      </c>
      <c r="F462" s="129" t="s">
        <v>201</v>
      </c>
      <c r="G462" s="129" t="s">
        <v>33</v>
      </c>
    </row>
    <row r="463" spans="2:7">
      <c r="B463" s="56">
        <v>46232</v>
      </c>
      <c r="C463" s="69">
        <v>46232.707696759258</v>
      </c>
      <c r="D463" s="55" t="s">
        <v>684</v>
      </c>
      <c r="E463" s="55" t="s">
        <v>1316</v>
      </c>
      <c r="F463" s="129" t="s">
        <v>201</v>
      </c>
      <c r="G463" s="129" t="s">
        <v>33</v>
      </c>
    </row>
    <row r="464" spans="2:7">
      <c r="B464" s="56">
        <v>46232</v>
      </c>
      <c r="C464" s="69">
        <v>46232.707835648151</v>
      </c>
      <c r="D464" s="55" t="s">
        <v>684</v>
      </c>
      <c r="E464" s="55" t="s">
        <v>1317</v>
      </c>
      <c r="F464" s="129" t="s">
        <v>201</v>
      </c>
      <c r="G464" s="129" t="s">
        <v>33</v>
      </c>
    </row>
    <row r="465" spans="2:7">
      <c r="B465" s="56">
        <v>46232</v>
      </c>
      <c r="C465" s="69">
        <v>46232.708020833335</v>
      </c>
      <c r="D465" s="55" t="s">
        <v>684</v>
      </c>
      <c r="E465" s="55" t="s">
        <v>1318</v>
      </c>
      <c r="F465" s="129" t="s">
        <v>201</v>
      </c>
      <c r="G465" s="129" t="s">
        <v>33</v>
      </c>
    </row>
    <row r="466" spans="2:7">
      <c r="B466" s="56">
        <v>46232</v>
      </c>
      <c r="C466" s="69">
        <v>46232.70815972222</v>
      </c>
      <c r="D466" s="55" t="s">
        <v>684</v>
      </c>
      <c r="E466" s="55" t="s">
        <v>1319</v>
      </c>
      <c r="F466" s="129" t="s">
        <v>201</v>
      </c>
      <c r="G466" s="129" t="s">
        <v>33</v>
      </c>
    </row>
    <row r="467" spans="2:7">
      <c r="B467" s="56">
        <v>46232</v>
      </c>
      <c r="C467" s="69">
        <v>46232.708275462966</v>
      </c>
      <c r="D467" s="55" t="s">
        <v>684</v>
      </c>
      <c r="E467" s="55" t="s">
        <v>1320</v>
      </c>
      <c r="F467" s="129" t="s">
        <v>201</v>
      </c>
      <c r="G467" s="129" t="s">
        <v>33</v>
      </c>
    </row>
    <row r="468" spans="2:7">
      <c r="B468" s="56">
        <v>46232</v>
      </c>
      <c r="C468" s="69">
        <v>46232.708402777775</v>
      </c>
      <c r="D468" s="55" t="s">
        <v>684</v>
      </c>
      <c r="E468" s="55" t="s">
        <v>1321</v>
      </c>
      <c r="F468" s="129" t="s">
        <v>201</v>
      </c>
      <c r="G468" s="129" t="s">
        <v>33</v>
      </c>
    </row>
    <row r="469" spans="2:7">
      <c r="B469" s="56">
        <v>46232</v>
      </c>
      <c r="C469" s="69">
        <v>46232.708692129629</v>
      </c>
      <c r="D469" s="55" t="s">
        <v>684</v>
      </c>
      <c r="E469" s="55" t="s">
        <v>939</v>
      </c>
      <c r="F469" s="129" t="s">
        <v>201</v>
      </c>
      <c r="G469" s="129" t="s">
        <v>33</v>
      </c>
    </row>
    <row r="470" spans="2:7">
      <c r="B470" s="56">
        <v>46232</v>
      </c>
      <c r="C470" s="69">
        <v>46232.961481481485</v>
      </c>
      <c r="D470" s="55" t="s">
        <v>684</v>
      </c>
      <c r="E470" s="55" t="s">
        <v>803</v>
      </c>
      <c r="F470" s="129" t="s">
        <v>201</v>
      </c>
      <c r="G470" s="129" t="s">
        <v>33</v>
      </c>
    </row>
    <row r="471" spans="2:7">
      <c r="B471" s="56">
        <v>46232</v>
      </c>
      <c r="C471" s="69">
        <v>46232.961574074077</v>
      </c>
      <c r="D471" s="55" t="s">
        <v>684</v>
      </c>
      <c r="E471" s="55" t="s">
        <v>687</v>
      </c>
      <c r="F471" s="129" t="s">
        <v>201</v>
      </c>
      <c r="G471" s="129" t="s">
        <v>33</v>
      </c>
    </row>
    <row r="472" spans="2:7">
      <c r="B472" s="56">
        <v>46233</v>
      </c>
      <c r="C472" s="69">
        <v>46233.618750000001</v>
      </c>
      <c r="D472" s="55" t="s">
        <v>684</v>
      </c>
      <c r="E472" s="55" t="s">
        <v>1311</v>
      </c>
      <c r="F472" s="129" t="s">
        <v>33</v>
      </c>
      <c r="G472" s="129" t="s">
        <v>20</v>
      </c>
    </row>
    <row r="473" spans="2:7">
      <c r="B473" s="56">
        <v>46233</v>
      </c>
      <c r="C473" s="69">
        <v>46233.619467592594</v>
      </c>
      <c r="D473" s="55" t="s">
        <v>684</v>
      </c>
      <c r="E473" s="55" t="s">
        <v>1313</v>
      </c>
      <c r="F473" s="129" t="s">
        <v>33</v>
      </c>
      <c r="G473" s="129" t="s">
        <v>20</v>
      </c>
    </row>
    <row r="474" spans="2:7">
      <c r="B474" s="56">
        <v>46233</v>
      </c>
      <c r="C474" s="69">
        <v>46233.619791666664</v>
      </c>
      <c r="D474" s="55" t="s">
        <v>684</v>
      </c>
      <c r="E474" s="55" t="s">
        <v>1314</v>
      </c>
      <c r="F474" s="129" t="s">
        <v>33</v>
      </c>
      <c r="G474" s="129" t="s">
        <v>20</v>
      </c>
    </row>
    <row r="475" spans="2:7" ht="66">
      <c r="B475" s="56">
        <v>46233</v>
      </c>
      <c r="C475" s="69">
        <v>46233.620925925927</v>
      </c>
      <c r="D475" s="55" t="s">
        <v>684</v>
      </c>
      <c r="E475" s="55" t="s">
        <v>1323</v>
      </c>
      <c r="G475" s="129" t="s">
        <v>1322</v>
      </c>
    </row>
    <row r="476" spans="2:7" ht="66">
      <c r="B476" s="56">
        <v>46233</v>
      </c>
      <c r="C476" s="69">
        <v>46233.621516203704</v>
      </c>
      <c r="D476" s="55" t="s">
        <v>684</v>
      </c>
      <c r="E476" s="55" t="s">
        <v>1325</v>
      </c>
      <c r="G476" s="129" t="s">
        <v>1324</v>
      </c>
    </row>
    <row r="477" spans="2:7" ht="52.8">
      <c r="B477" s="56">
        <v>46233</v>
      </c>
      <c r="C477" s="69">
        <v>46233.622604166667</v>
      </c>
      <c r="D477" s="55" t="s">
        <v>684</v>
      </c>
      <c r="E477" s="55" t="s">
        <v>1327</v>
      </c>
      <c r="G477" s="129" t="s">
        <v>1326</v>
      </c>
    </row>
    <row r="478" spans="2:7">
      <c r="B478" s="56">
        <v>46233</v>
      </c>
      <c r="C478" s="69">
        <v>46233.636666666665</v>
      </c>
      <c r="D478" s="55" t="s">
        <v>684</v>
      </c>
      <c r="E478" s="55" t="s">
        <v>1329</v>
      </c>
      <c r="G478" s="129" t="s">
        <v>1328</v>
      </c>
    </row>
    <row r="479" spans="2:7" ht="92.4">
      <c r="B479" s="56">
        <v>46233</v>
      </c>
      <c r="C479" s="69">
        <v>46233.637094907404</v>
      </c>
      <c r="D479" s="55" t="s">
        <v>684</v>
      </c>
      <c r="E479" s="55" t="s">
        <v>1329</v>
      </c>
      <c r="F479" s="129" t="s">
        <v>1328</v>
      </c>
      <c r="G479" s="129" t="s">
        <v>1330</v>
      </c>
    </row>
    <row r="480" spans="2:7">
      <c r="B480" s="56">
        <v>46233</v>
      </c>
      <c r="C480" s="69">
        <v>46233.637118055558</v>
      </c>
      <c r="D480" s="55" t="s">
        <v>684</v>
      </c>
      <c r="E480" s="55" t="s">
        <v>1312</v>
      </c>
      <c r="F480" s="129" t="s">
        <v>33</v>
      </c>
      <c r="G480" s="129" t="s">
        <v>20</v>
      </c>
    </row>
    <row r="481" spans="2:7">
      <c r="B481" s="56">
        <v>46236</v>
      </c>
      <c r="C481" s="69">
        <v>46236.649398148147</v>
      </c>
      <c r="D481" s="55" t="s">
        <v>684</v>
      </c>
      <c r="E481" s="55" t="s">
        <v>1331</v>
      </c>
      <c r="F481" s="129" t="s">
        <v>201</v>
      </c>
      <c r="G481" s="129" t="s">
        <v>33</v>
      </c>
    </row>
    <row r="482" spans="2:7">
      <c r="B482" s="56">
        <v>46236</v>
      </c>
      <c r="C482" s="69">
        <v>46236.649421296293</v>
      </c>
      <c r="D482" s="55" t="s">
        <v>684</v>
      </c>
      <c r="E482" s="55" t="s">
        <v>1332</v>
      </c>
      <c r="F482" s="129" t="s">
        <v>201</v>
      </c>
      <c r="G482" s="129" t="s">
        <v>33</v>
      </c>
    </row>
    <row r="483" spans="2:7">
      <c r="B483" s="56">
        <v>46236</v>
      </c>
      <c r="C483" s="69">
        <v>46236.64943287037</v>
      </c>
      <c r="D483" s="55" t="s">
        <v>684</v>
      </c>
      <c r="E483" s="55" t="s">
        <v>1333</v>
      </c>
      <c r="F483" s="129" t="s">
        <v>201</v>
      </c>
      <c r="G483" s="129" t="s">
        <v>33</v>
      </c>
    </row>
    <row r="484" spans="2:7" ht="105.6">
      <c r="B484" s="56">
        <v>46244</v>
      </c>
      <c r="C484" s="69">
        <v>46244.617962962962</v>
      </c>
      <c r="D484" s="55" t="s">
        <v>684</v>
      </c>
      <c r="E484" s="55" t="s">
        <v>864</v>
      </c>
      <c r="F484" s="129" t="s">
        <v>861</v>
      </c>
      <c r="G484" s="129" t="s">
        <v>1334</v>
      </c>
    </row>
    <row r="485" spans="2:7" ht="105.6">
      <c r="B485" s="56">
        <v>46244</v>
      </c>
      <c r="C485" s="69">
        <v>46244.618032407408</v>
      </c>
      <c r="D485" s="55" t="s">
        <v>684</v>
      </c>
      <c r="E485" s="55" t="s">
        <v>860</v>
      </c>
      <c r="F485" s="129" t="s">
        <v>861</v>
      </c>
      <c r="G485" s="129" t="s">
        <v>1334</v>
      </c>
    </row>
    <row r="486" spans="2:7" ht="105.6">
      <c r="B486" s="56">
        <v>46244</v>
      </c>
      <c r="C486" s="69">
        <v>46244.618078703701</v>
      </c>
      <c r="D486" s="55" t="s">
        <v>684</v>
      </c>
      <c r="E486" s="55" t="s">
        <v>866</v>
      </c>
      <c r="F486" s="129" t="s">
        <v>861</v>
      </c>
      <c r="G486" s="129" t="s">
        <v>1334</v>
      </c>
    </row>
    <row r="487" spans="2:7">
      <c r="B487" s="56">
        <v>46244</v>
      </c>
      <c r="C487" s="69">
        <v>46244.618194444447</v>
      </c>
      <c r="D487" s="55" t="s">
        <v>684</v>
      </c>
      <c r="E487" s="55" t="s">
        <v>863</v>
      </c>
      <c r="F487" s="130">
        <v>46234</v>
      </c>
      <c r="G487" s="130">
        <v>46295</v>
      </c>
    </row>
    <row r="488" spans="2:7">
      <c r="B488" s="56">
        <v>46244</v>
      </c>
      <c r="C488" s="69">
        <v>46244.618321759262</v>
      </c>
      <c r="D488" s="55" t="s">
        <v>684</v>
      </c>
      <c r="E488" s="55" t="s">
        <v>862</v>
      </c>
      <c r="F488" s="130">
        <v>46234</v>
      </c>
      <c r="G488" s="130">
        <v>46295</v>
      </c>
    </row>
    <row r="489" spans="2:7">
      <c r="B489" s="56">
        <v>46244</v>
      </c>
      <c r="C489" s="69">
        <v>46244.618425925924</v>
      </c>
      <c r="D489" s="55" t="s">
        <v>684</v>
      </c>
      <c r="E489" s="55" t="s">
        <v>865</v>
      </c>
      <c r="F489" s="130">
        <v>46234</v>
      </c>
      <c r="G489" s="130">
        <v>46295</v>
      </c>
    </row>
    <row r="490" spans="2:7">
      <c r="B490" s="56">
        <v>46244</v>
      </c>
      <c r="C490" s="69">
        <v>46244.618495370371</v>
      </c>
      <c r="D490" s="55" t="s">
        <v>684</v>
      </c>
      <c r="E490" s="55" t="s">
        <v>1331</v>
      </c>
      <c r="F490" s="129" t="s">
        <v>33</v>
      </c>
      <c r="G490" s="129" t="s">
        <v>201</v>
      </c>
    </row>
    <row r="491" spans="2:7">
      <c r="B491" s="56">
        <v>46244</v>
      </c>
      <c r="C491" s="69">
        <v>46244.618506944447</v>
      </c>
      <c r="D491" s="55" t="s">
        <v>684</v>
      </c>
      <c r="E491" s="55" t="s">
        <v>1332</v>
      </c>
      <c r="F491" s="129" t="s">
        <v>33</v>
      </c>
      <c r="G491" s="129" t="s">
        <v>201</v>
      </c>
    </row>
    <row r="492" spans="2:7">
      <c r="B492" s="56">
        <v>46244</v>
      </c>
      <c r="C492" s="69">
        <v>46244.618530092594</v>
      </c>
      <c r="D492" s="55" t="s">
        <v>684</v>
      </c>
      <c r="E492" s="55" t="s">
        <v>1333</v>
      </c>
      <c r="F492" s="129" t="s">
        <v>33</v>
      </c>
      <c r="G492" s="129" t="s">
        <v>201</v>
      </c>
    </row>
    <row r="493" spans="2:7">
      <c r="B493" s="56">
        <v>46255</v>
      </c>
      <c r="C493" s="69">
        <v>46255.4684375</v>
      </c>
      <c r="D493" s="55" t="s">
        <v>1294</v>
      </c>
      <c r="E493" s="55" t="s">
        <v>1335</v>
      </c>
      <c r="F493" s="129">
        <v>0</v>
      </c>
      <c r="G493" s="129">
        <v>8</v>
      </c>
    </row>
    <row r="494" spans="2:7">
      <c r="B494" s="56">
        <v>46255</v>
      </c>
      <c r="C494" s="69">
        <v>46255.512962962966</v>
      </c>
      <c r="D494" s="55" t="s">
        <v>684</v>
      </c>
      <c r="E494" s="55" t="s">
        <v>747</v>
      </c>
      <c r="G494" s="129" t="s">
        <v>1336</v>
      </c>
    </row>
    <row r="495" spans="2:7">
      <c r="B495" s="56">
        <v>46255</v>
      </c>
      <c r="C495" s="69">
        <v>46255.512997685182</v>
      </c>
      <c r="D495" s="55" t="s">
        <v>684</v>
      </c>
      <c r="E495" s="55" t="s">
        <v>1337</v>
      </c>
      <c r="G495" s="129" t="s">
        <v>612</v>
      </c>
    </row>
    <row r="496" spans="2:7">
      <c r="B496" s="56">
        <v>46255</v>
      </c>
      <c r="C496" s="69">
        <v>46255.513182870367</v>
      </c>
      <c r="D496" s="55" t="s">
        <v>684</v>
      </c>
      <c r="E496" s="55" t="s">
        <v>1339</v>
      </c>
      <c r="G496" s="129" t="s">
        <v>1338</v>
      </c>
    </row>
    <row r="497" spans="2:7">
      <c r="B497" s="56">
        <v>46255</v>
      </c>
      <c r="C497" s="69">
        <v>46255.51326388889</v>
      </c>
      <c r="D497" s="55" t="s">
        <v>684</v>
      </c>
      <c r="E497" s="55" t="s">
        <v>1341</v>
      </c>
      <c r="G497" s="129" t="s">
        <v>1340</v>
      </c>
    </row>
    <row r="498" spans="2:7">
      <c r="B498" s="56">
        <v>46255</v>
      </c>
      <c r="C498" s="69">
        <v>46255.513321759259</v>
      </c>
      <c r="D498" s="55" t="s">
        <v>684</v>
      </c>
      <c r="E498" s="55" t="s">
        <v>1342</v>
      </c>
      <c r="G498" s="129" t="s">
        <v>11</v>
      </c>
    </row>
    <row r="499" spans="2:7">
      <c r="B499" s="56">
        <v>46255</v>
      </c>
      <c r="C499" s="69">
        <v>46255.513402777775</v>
      </c>
      <c r="D499" s="55" t="s">
        <v>684</v>
      </c>
      <c r="E499" s="55" t="s">
        <v>1344</v>
      </c>
      <c r="G499" s="129" t="s">
        <v>1343</v>
      </c>
    </row>
    <row r="500" spans="2:7">
      <c r="B500" s="56">
        <v>46255</v>
      </c>
      <c r="C500" s="69">
        <v>46255.51357638889</v>
      </c>
      <c r="D500" s="55" t="s">
        <v>684</v>
      </c>
      <c r="E500" s="55" t="s">
        <v>1337</v>
      </c>
      <c r="F500" s="129" t="s">
        <v>612</v>
      </c>
      <c r="G500" s="129" t="s">
        <v>1345</v>
      </c>
    </row>
    <row r="501" spans="2:7">
      <c r="B501" s="56">
        <v>46255</v>
      </c>
      <c r="C501" s="69">
        <v>46255.515162037038</v>
      </c>
      <c r="D501" s="55" t="s">
        <v>684</v>
      </c>
      <c r="E501" s="55" t="s">
        <v>1346</v>
      </c>
      <c r="G501" s="129">
        <v>20265000026423</v>
      </c>
    </row>
    <row r="502" spans="2:7">
      <c r="B502" s="56">
        <v>46255</v>
      </c>
      <c r="C502" s="69">
        <v>46255.515474537038</v>
      </c>
      <c r="D502" s="55" t="s">
        <v>684</v>
      </c>
      <c r="E502" s="55" t="s">
        <v>1347</v>
      </c>
      <c r="G502" s="130">
        <v>46233</v>
      </c>
    </row>
    <row r="503" spans="2:7">
      <c r="B503" s="56">
        <v>46255</v>
      </c>
      <c r="C503" s="69">
        <v>46255.515775462962</v>
      </c>
      <c r="D503" s="55" t="s">
        <v>684</v>
      </c>
      <c r="E503" s="55" t="s">
        <v>1348</v>
      </c>
      <c r="G503" s="129" t="s">
        <v>589</v>
      </c>
    </row>
    <row r="504" spans="2:7" ht="79.2">
      <c r="B504" s="56">
        <v>46255</v>
      </c>
      <c r="C504" s="69">
        <v>46255.515949074077</v>
      </c>
      <c r="D504" s="55" t="s">
        <v>684</v>
      </c>
      <c r="E504" s="55" t="s">
        <v>1350</v>
      </c>
      <c r="G504" s="129" t="s">
        <v>1349</v>
      </c>
    </row>
    <row r="505" spans="2:7" ht="79.2">
      <c r="B505" s="56">
        <v>46255</v>
      </c>
      <c r="C505" s="69">
        <v>46255.516099537039</v>
      </c>
      <c r="D505" s="55" t="s">
        <v>684</v>
      </c>
      <c r="E505" s="55" t="s">
        <v>1350</v>
      </c>
      <c r="F505" s="129" t="s">
        <v>1349</v>
      </c>
      <c r="G505" s="129" t="s">
        <v>1351</v>
      </c>
    </row>
    <row r="506" spans="2:7">
      <c r="B506" s="56">
        <v>46255</v>
      </c>
      <c r="C506" s="69">
        <v>46255.516689814816</v>
      </c>
      <c r="D506" s="55" t="s">
        <v>684</v>
      </c>
      <c r="E506" s="55" t="s">
        <v>1342</v>
      </c>
      <c r="F506" s="129" t="s">
        <v>11</v>
      </c>
      <c r="G506" s="129" t="s">
        <v>1352</v>
      </c>
    </row>
    <row r="507" spans="2:7">
      <c r="B507" s="56">
        <v>46255</v>
      </c>
      <c r="C507" s="69">
        <v>46255.516736111109</v>
      </c>
      <c r="D507" s="55" t="s">
        <v>684</v>
      </c>
      <c r="E507" s="55" t="s">
        <v>1354</v>
      </c>
      <c r="G507" s="129" t="s">
        <v>1353</v>
      </c>
    </row>
    <row r="508" spans="2:7" ht="39.6">
      <c r="B508" s="56">
        <v>46255</v>
      </c>
      <c r="C508" s="69">
        <v>46255.519525462965</v>
      </c>
      <c r="D508" s="55" t="s">
        <v>684</v>
      </c>
      <c r="E508" s="55" t="s">
        <v>1356</v>
      </c>
      <c r="G508" s="129" t="s">
        <v>1355</v>
      </c>
    </row>
    <row r="509" spans="2:7">
      <c r="B509" s="56">
        <v>46255</v>
      </c>
      <c r="C509" s="69">
        <v>46255.530497685184</v>
      </c>
      <c r="D509" s="55" t="s">
        <v>684</v>
      </c>
      <c r="E509" s="55" t="s">
        <v>922</v>
      </c>
      <c r="F509" s="129" t="s">
        <v>921</v>
      </c>
    </row>
    <row r="510" spans="2:7">
      <c r="B510" s="56">
        <v>46263</v>
      </c>
      <c r="C510" s="69">
        <v>46263.80809027778</v>
      </c>
      <c r="D510" s="55" t="s">
        <v>1359</v>
      </c>
      <c r="E510" s="55" t="s">
        <v>1360</v>
      </c>
      <c r="G510" s="129">
        <v>2025</v>
      </c>
    </row>
    <row r="511" spans="2:7">
      <c r="B511" s="56">
        <v>46263</v>
      </c>
      <c r="C511" s="69">
        <v>46263.808252314811</v>
      </c>
      <c r="D511" s="55" t="s">
        <v>1359</v>
      </c>
      <c r="E511" s="55" t="s">
        <v>1360</v>
      </c>
      <c r="G511" s="129">
        <v>2025</v>
      </c>
    </row>
    <row r="512" spans="2:7" ht="26.4">
      <c r="B512" s="56">
        <v>46263</v>
      </c>
      <c r="C512" s="69">
        <v>46263.808368055557</v>
      </c>
      <c r="D512" s="55" t="s">
        <v>1359</v>
      </c>
      <c r="E512" s="55" t="s">
        <v>1362</v>
      </c>
      <c r="G512" s="129" t="s">
        <v>1361</v>
      </c>
    </row>
    <row r="513" spans="2:7" ht="26.4">
      <c r="B513" s="56">
        <v>46263</v>
      </c>
      <c r="C513" s="69">
        <v>46263.808425925927</v>
      </c>
      <c r="D513" s="55" t="s">
        <v>1359</v>
      </c>
      <c r="E513" s="55" t="s">
        <v>1362</v>
      </c>
      <c r="F513" s="129" t="s">
        <v>1361</v>
      </c>
      <c r="G513" s="129" t="s">
        <v>1363</v>
      </c>
    </row>
    <row r="514" spans="2:7" ht="39.6">
      <c r="B514" s="56">
        <v>46263</v>
      </c>
      <c r="C514" s="69">
        <v>46263.808541666665</v>
      </c>
      <c r="D514" s="55" t="s">
        <v>1359</v>
      </c>
      <c r="E514" s="55" t="s">
        <v>1365</v>
      </c>
      <c r="G514" s="129" t="s">
        <v>1364</v>
      </c>
    </row>
    <row r="515" spans="2:7" ht="39.6">
      <c r="B515" s="56">
        <v>46263</v>
      </c>
      <c r="C515" s="69">
        <v>46263.809606481482</v>
      </c>
      <c r="D515" s="55" t="s">
        <v>1359</v>
      </c>
      <c r="E515" s="55" t="s">
        <v>1367</v>
      </c>
      <c r="G515" s="129" t="s">
        <v>1366</v>
      </c>
    </row>
    <row r="516" spans="2:7" ht="39.6">
      <c r="B516" s="56">
        <v>46263</v>
      </c>
      <c r="C516" s="69">
        <v>46263.809675925928</v>
      </c>
      <c r="D516" s="55" t="s">
        <v>1359</v>
      </c>
      <c r="E516" s="55" t="s">
        <v>1367</v>
      </c>
      <c r="F516" s="129" t="s">
        <v>1366</v>
      </c>
      <c r="G516" s="129" t="s">
        <v>1368</v>
      </c>
    </row>
    <row r="517" spans="2:7">
      <c r="B517" s="56">
        <v>46263</v>
      </c>
      <c r="C517" s="69">
        <v>46263.809756944444</v>
      </c>
      <c r="D517" s="55" t="s">
        <v>1359</v>
      </c>
      <c r="E517" s="55" t="s">
        <v>1369</v>
      </c>
      <c r="G517" s="129">
        <v>2025</v>
      </c>
    </row>
    <row r="518" spans="2:7" ht="39.6">
      <c r="B518" s="56">
        <v>46263</v>
      </c>
      <c r="C518" s="69">
        <v>46263.809872685182</v>
      </c>
      <c r="D518" s="55" t="s">
        <v>1359</v>
      </c>
      <c r="E518" s="55" t="s">
        <v>697</v>
      </c>
      <c r="G518" s="129" t="s">
        <v>1370</v>
      </c>
    </row>
    <row r="519" spans="2:7" ht="39.6">
      <c r="B519" s="56">
        <v>46263</v>
      </c>
      <c r="C519" s="69">
        <v>46263.811157407406</v>
      </c>
      <c r="D519" s="55" t="s">
        <v>1359</v>
      </c>
      <c r="E519" s="55" t="s">
        <v>699</v>
      </c>
      <c r="G519" s="129" t="s">
        <v>1371</v>
      </c>
    </row>
    <row r="520" spans="2:7" ht="26.4">
      <c r="B520" s="56">
        <v>46263</v>
      </c>
      <c r="C520" s="69">
        <v>46263.811284722222</v>
      </c>
      <c r="D520" s="55" t="s">
        <v>1359</v>
      </c>
      <c r="E520" s="55" t="s">
        <v>1373</v>
      </c>
      <c r="G520" s="129" t="s">
        <v>1372</v>
      </c>
    </row>
    <row r="521" spans="2:7">
      <c r="B521" s="56">
        <v>46263</v>
      </c>
      <c r="C521" s="69">
        <v>46263.811319444445</v>
      </c>
      <c r="D521" s="55" t="s">
        <v>1359</v>
      </c>
      <c r="E521" s="55" t="s">
        <v>1374</v>
      </c>
      <c r="G521" s="129">
        <v>2025</v>
      </c>
    </row>
    <row r="522" spans="2:7" ht="26.4">
      <c r="B522" s="56">
        <v>46263</v>
      </c>
      <c r="C522" s="69">
        <v>46263.811412037037</v>
      </c>
      <c r="D522" s="55" t="s">
        <v>1359</v>
      </c>
      <c r="E522" s="55" t="s">
        <v>1373</v>
      </c>
      <c r="F522" s="129" t="s">
        <v>1372</v>
      </c>
      <c r="G522" s="129" t="s">
        <v>1375</v>
      </c>
    </row>
    <row r="523" spans="2:7" ht="39.6">
      <c r="B523" s="56">
        <v>46263</v>
      </c>
      <c r="C523" s="69">
        <v>46263.812210648146</v>
      </c>
      <c r="D523" s="55" t="s">
        <v>1359</v>
      </c>
      <c r="E523" s="55" t="s">
        <v>701</v>
      </c>
      <c r="G523" s="129" t="s">
        <v>1376</v>
      </c>
    </row>
    <row r="524" spans="2:7" ht="26.4">
      <c r="B524" s="56">
        <v>46263</v>
      </c>
      <c r="C524" s="69">
        <v>46263.812337962961</v>
      </c>
      <c r="D524" s="55" t="s">
        <v>1359</v>
      </c>
      <c r="E524" s="55" t="s">
        <v>910</v>
      </c>
      <c r="G524" s="129" t="s">
        <v>1377</v>
      </c>
    </row>
    <row r="525" spans="2:7" ht="26.4">
      <c r="B525" s="56">
        <v>46263</v>
      </c>
      <c r="C525" s="69">
        <v>46263.812384259261</v>
      </c>
      <c r="D525" s="55" t="s">
        <v>1359</v>
      </c>
      <c r="E525" s="55" t="s">
        <v>910</v>
      </c>
      <c r="F525" s="129" t="s">
        <v>1377</v>
      </c>
      <c r="G525" s="129" t="s">
        <v>1378</v>
      </c>
    </row>
    <row r="526" spans="2:7">
      <c r="B526" s="56">
        <v>46263</v>
      </c>
      <c r="C526" s="69">
        <v>46263.812442129631</v>
      </c>
      <c r="D526" s="55" t="s">
        <v>1359</v>
      </c>
      <c r="E526" s="55" t="s">
        <v>1379</v>
      </c>
      <c r="G526" s="129">
        <v>2025</v>
      </c>
    </row>
    <row r="527" spans="2:7" ht="39.6">
      <c r="B527" s="56">
        <v>46263</v>
      </c>
      <c r="C527" s="69">
        <v>46263.813449074078</v>
      </c>
      <c r="D527" s="55" t="s">
        <v>1359</v>
      </c>
      <c r="E527" s="55" t="s">
        <v>908</v>
      </c>
      <c r="G527" s="129" t="s">
        <v>477</v>
      </c>
    </row>
    <row r="528" spans="2:7">
      <c r="B528" s="56">
        <v>46263</v>
      </c>
      <c r="C528" s="69">
        <v>46263.813472222224</v>
      </c>
      <c r="D528" s="55" t="s">
        <v>1359</v>
      </c>
      <c r="E528" s="55" t="s">
        <v>1380</v>
      </c>
      <c r="G528" s="129">
        <v>2025</v>
      </c>
    </row>
    <row r="529" spans="2:7" ht="39.6">
      <c r="B529" s="56">
        <v>46263</v>
      </c>
      <c r="C529" s="69">
        <v>46263.813576388886</v>
      </c>
      <c r="D529" s="55" t="s">
        <v>1359</v>
      </c>
      <c r="E529" s="55" t="s">
        <v>706</v>
      </c>
      <c r="G529" s="129" t="s">
        <v>1381</v>
      </c>
    </row>
    <row r="530" spans="2:7" ht="52.8">
      <c r="B530" s="56">
        <v>46263</v>
      </c>
      <c r="C530" s="69">
        <v>46263.814606481479</v>
      </c>
      <c r="D530" s="55" t="s">
        <v>1359</v>
      </c>
      <c r="E530" s="55" t="s">
        <v>1383</v>
      </c>
      <c r="G530" s="129" t="s">
        <v>1382</v>
      </c>
    </row>
    <row r="531" spans="2:7" ht="52.8">
      <c r="B531" s="56">
        <v>46263</v>
      </c>
      <c r="C531" s="69">
        <v>46263.814733796295</v>
      </c>
      <c r="D531" s="55" t="s">
        <v>1359</v>
      </c>
      <c r="E531" s="55" t="s">
        <v>1383</v>
      </c>
      <c r="F531" s="129" t="s">
        <v>1382</v>
      </c>
      <c r="G531" s="129" t="s">
        <v>1384</v>
      </c>
    </row>
    <row r="532" spans="2:7">
      <c r="B532" s="56">
        <v>46263</v>
      </c>
      <c r="C532" s="69">
        <v>46263.814756944441</v>
      </c>
      <c r="D532" s="55" t="s">
        <v>1359</v>
      </c>
      <c r="E532" s="55" t="s">
        <v>1385</v>
      </c>
      <c r="G532" s="129">
        <v>2025</v>
      </c>
    </row>
    <row r="533" spans="2:7" ht="39.6">
      <c r="B533" s="56">
        <v>46263</v>
      </c>
      <c r="C533" s="69">
        <v>46263.814849537041</v>
      </c>
      <c r="D533" s="55" t="s">
        <v>1359</v>
      </c>
      <c r="E533" s="55" t="s">
        <v>714</v>
      </c>
      <c r="G533" s="129" t="s">
        <v>1386</v>
      </c>
    </row>
    <row r="534" spans="2:7">
      <c r="B534" s="56">
        <v>46263</v>
      </c>
      <c r="C534" s="69">
        <v>46263.81521990741</v>
      </c>
      <c r="D534" s="55" t="s">
        <v>1359</v>
      </c>
      <c r="E534" s="55" t="s">
        <v>1387</v>
      </c>
      <c r="G534" s="129">
        <v>2025</v>
      </c>
    </row>
    <row r="535" spans="2:7" ht="39.6">
      <c r="B535" s="56">
        <v>46263</v>
      </c>
      <c r="C535" s="69">
        <v>46263.815324074072</v>
      </c>
      <c r="D535" s="55" t="s">
        <v>1359</v>
      </c>
      <c r="E535" s="55" t="s">
        <v>1389</v>
      </c>
      <c r="G535" s="129" t="s">
        <v>1388</v>
      </c>
    </row>
    <row r="536" spans="2:7" ht="39.6">
      <c r="B536" s="56">
        <v>46263</v>
      </c>
      <c r="C536" s="69">
        <v>46263.815416666665</v>
      </c>
      <c r="D536" s="55" t="s">
        <v>1359</v>
      </c>
      <c r="E536" s="55" t="s">
        <v>1391</v>
      </c>
      <c r="G536" s="129" t="s">
        <v>1390</v>
      </c>
    </row>
    <row r="537" spans="2:7" ht="52.8">
      <c r="B537" s="56">
        <v>46263</v>
      </c>
      <c r="C537" s="69">
        <v>46263.816087962965</v>
      </c>
      <c r="D537" s="55" t="s">
        <v>1359</v>
      </c>
      <c r="E537" s="55" t="s">
        <v>1391</v>
      </c>
      <c r="F537" s="129" t="s">
        <v>1390</v>
      </c>
      <c r="G537" s="129" t="s">
        <v>1392</v>
      </c>
    </row>
    <row r="538" spans="2:7" ht="79.2">
      <c r="B538" s="56">
        <v>46263</v>
      </c>
      <c r="C538" s="69">
        <v>46263.816435185188</v>
      </c>
      <c r="D538" s="55" t="s">
        <v>1359</v>
      </c>
      <c r="E538" s="55" t="s">
        <v>1394</v>
      </c>
      <c r="G538" s="129" t="s">
        <v>1393</v>
      </c>
    </row>
    <row r="539" spans="2:7" ht="79.2">
      <c r="B539" s="56">
        <v>46263</v>
      </c>
      <c r="C539" s="69">
        <v>46263.81653935185</v>
      </c>
      <c r="D539" s="55" t="s">
        <v>1359</v>
      </c>
      <c r="E539" s="55" t="s">
        <v>1394</v>
      </c>
      <c r="F539" s="129" t="s">
        <v>1393</v>
      </c>
      <c r="G539" s="129" t="s">
        <v>1395</v>
      </c>
    </row>
    <row r="540" spans="2:7">
      <c r="B540" s="56">
        <v>46263</v>
      </c>
      <c r="C540" s="69">
        <v>46263.816574074073</v>
      </c>
      <c r="D540" s="55" t="s">
        <v>1359</v>
      </c>
      <c r="E540" s="55" t="s">
        <v>1396</v>
      </c>
      <c r="G540" s="129">
        <v>2025</v>
      </c>
    </row>
    <row r="541" spans="2:7" ht="39.6">
      <c r="B541" s="56">
        <v>46263</v>
      </c>
      <c r="C541" s="69">
        <v>46263.816817129627</v>
      </c>
      <c r="D541" s="55" t="s">
        <v>1359</v>
      </c>
      <c r="E541" s="55" t="s">
        <v>1398</v>
      </c>
      <c r="G541" s="129" t="s">
        <v>1397</v>
      </c>
    </row>
    <row r="542" spans="2:7" ht="26.4">
      <c r="B542" s="56">
        <v>46263</v>
      </c>
      <c r="C542" s="69">
        <v>46263.818078703705</v>
      </c>
      <c r="D542" s="55" t="s">
        <v>1359</v>
      </c>
      <c r="E542" s="55" t="s">
        <v>1400</v>
      </c>
      <c r="G542" s="129" t="s">
        <v>1399</v>
      </c>
    </row>
    <row r="543" spans="2:7">
      <c r="B543" s="56">
        <v>46263</v>
      </c>
      <c r="C543" s="69">
        <v>46263.818113425928</v>
      </c>
      <c r="D543" s="55" t="s">
        <v>1359</v>
      </c>
      <c r="E543" s="55" t="s">
        <v>1401</v>
      </c>
      <c r="G543" s="129">
        <v>2025</v>
      </c>
    </row>
    <row r="544" spans="2:7" ht="39.6">
      <c r="B544" s="56">
        <v>46263</v>
      </c>
      <c r="C544" s="69">
        <v>46263.818449074075</v>
      </c>
      <c r="D544" s="55" t="s">
        <v>1359</v>
      </c>
      <c r="E544" s="55" t="s">
        <v>1403</v>
      </c>
      <c r="G544" s="129" t="s">
        <v>1402</v>
      </c>
    </row>
    <row r="545" spans="2:7" ht="39.6">
      <c r="B545" s="56">
        <v>46263</v>
      </c>
      <c r="C545" s="69">
        <v>46263.81927083333</v>
      </c>
      <c r="D545" s="55" t="s">
        <v>1359</v>
      </c>
      <c r="E545" s="55" t="s">
        <v>1405</v>
      </c>
      <c r="G545" s="129" t="s">
        <v>1404</v>
      </c>
    </row>
    <row r="546" spans="2:7">
      <c r="B546" s="56">
        <v>46263</v>
      </c>
      <c r="C546" s="69">
        <v>46263.819305555553</v>
      </c>
      <c r="D546" s="55" t="s">
        <v>1359</v>
      </c>
      <c r="E546" s="55" t="s">
        <v>1406</v>
      </c>
      <c r="G546" s="129">
        <v>2025</v>
      </c>
    </row>
    <row r="547" spans="2:7" ht="26.4">
      <c r="B547" s="56">
        <v>46263</v>
      </c>
      <c r="C547" s="69">
        <v>46263.819849537038</v>
      </c>
      <c r="D547" s="55" t="s">
        <v>1359</v>
      </c>
      <c r="E547" s="55" t="s">
        <v>1408</v>
      </c>
      <c r="G547" s="129" t="s">
        <v>1407</v>
      </c>
    </row>
    <row r="548" spans="2:7" ht="26.4">
      <c r="B548" s="56">
        <v>46263</v>
      </c>
      <c r="C548" s="69">
        <v>46263.820335648146</v>
      </c>
      <c r="D548" s="55" t="s">
        <v>1359</v>
      </c>
      <c r="E548" s="55" t="s">
        <v>1410</v>
      </c>
      <c r="G548" s="129" t="s">
        <v>1409</v>
      </c>
    </row>
    <row r="549" spans="2:7">
      <c r="B549" s="56">
        <v>46263</v>
      </c>
      <c r="C549" s="69">
        <v>46263.8203587963</v>
      </c>
      <c r="D549" s="55" t="s">
        <v>1359</v>
      </c>
      <c r="E549" s="55" t="s">
        <v>1411</v>
      </c>
      <c r="G549" s="129">
        <v>2025</v>
      </c>
    </row>
    <row r="550" spans="2:7" ht="39.6">
      <c r="B550" s="56">
        <v>46263</v>
      </c>
      <c r="C550" s="69">
        <v>46263.820543981485</v>
      </c>
      <c r="D550" s="55" t="s">
        <v>1359</v>
      </c>
      <c r="E550" s="55" t="s">
        <v>1413</v>
      </c>
      <c r="G550" s="129" t="s">
        <v>1412</v>
      </c>
    </row>
    <row r="551" spans="2:7" ht="52.8">
      <c r="B551" s="56">
        <v>46263</v>
      </c>
      <c r="C551" s="69">
        <v>46263.82130787037</v>
      </c>
      <c r="D551" s="55" t="s">
        <v>1359</v>
      </c>
      <c r="E551" s="55" t="s">
        <v>1415</v>
      </c>
      <c r="G551" s="129" t="s">
        <v>1414</v>
      </c>
    </row>
    <row r="552" spans="2:7">
      <c r="B552" s="56">
        <v>46263</v>
      </c>
      <c r="C552" s="69">
        <v>46263.82167824074</v>
      </c>
      <c r="D552" s="55" t="s">
        <v>1359</v>
      </c>
      <c r="E552" s="55" t="s">
        <v>1417</v>
      </c>
      <c r="G552" s="129" t="s">
        <v>1416</v>
      </c>
    </row>
    <row r="553" spans="2:7">
      <c r="B553" s="56">
        <v>46263</v>
      </c>
      <c r="C553" s="69">
        <v>46263.821701388886</v>
      </c>
      <c r="D553" s="55" t="s">
        <v>1359</v>
      </c>
      <c r="E553" s="55" t="s">
        <v>1418</v>
      </c>
      <c r="G553" s="129">
        <v>2025</v>
      </c>
    </row>
    <row r="554" spans="2:7">
      <c r="B554" s="56">
        <v>46263</v>
      </c>
      <c r="C554" s="69">
        <v>46263.822222222225</v>
      </c>
      <c r="D554" s="55" t="s">
        <v>1359</v>
      </c>
      <c r="E554" s="55" t="s">
        <v>1420</v>
      </c>
      <c r="G554" s="129" t="s">
        <v>1419</v>
      </c>
    </row>
    <row r="555" spans="2:7">
      <c r="B555" s="56">
        <v>46263</v>
      </c>
      <c r="C555" s="69">
        <v>46263.822233796294</v>
      </c>
      <c r="D555" s="55" t="s">
        <v>1359</v>
      </c>
      <c r="E555" s="55" t="s">
        <v>1421</v>
      </c>
      <c r="G555" s="129">
        <v>2025</v>
      </c>
    </row>
    <row r="556" spans="2:7" ht="39.6">
      <c r="B556" s="56">
        <v>46263</v>
      </c>
      <c r="C556" s="69">
        <v>46263.82240740741</v>
      </c>
      <c r="D556" s="55" t="s">
        <v>1359</v>
      </c>
      <c r="E556" s="55" t="s">
        <v>1423</v>
      </c>
      <c r="G556" s="129" t="s">
        <v>1422</v>
      </c>
    </row>
    <row r="557" spans="2:7" ht="39.6">
      <c r="B557" s="56">
        <v>46263</v>
      </c>
      <c r="C557" s="69">
        <v>46263.822847222225</v>
      </c>
      <c r="D557" s="55" t="s">
        <v>1359</v>
      </c>
      <c r="E557" s="55" t="s">
        <v>1425</v>
      </c>
      <c r="G557" s="129" t="s">
        <v>1424</v>
      </c>
    </row>
    <row r="558" spans="2:7">
      <c r="B558" s="56">
        <v>46263</v>
      </c>
      <c r="C558" s="69">
        <v>46263.822893518518</v>
      </c>
      <c r="D558" s="55" t="s">
        <v>1359</v>
      </c>
      <c r="E558" s="55" t="s">
        <v>1426</v>
      </c>
      <c r="G558" s="129">
        <v>2025</v>
      </c>
    </row>
    <row r="559" spans="2:7" ht="39.6">
      <c r="B559" s="56">
        <v>46263</v>
      </c>
      <c r="C559" s="69">
        <v>46263.822939814818</v>
      </c>
      <c r="D559" s="55" t="s">
        <v>1359</v>
      </c>
      <c r="E559" s="55" t="s">
        <v>1425</v>
      </c>
      <c r="F559" s="129" t="s">
        <v>1424</v>
      </c>
      <c r="G559" s="129" t="s">
        <v>1427</v>
      </c>
    </row>
    <row r="560" spans="2:7" ht="39.6">
      <c r="B560" s="56">
        <v>46263</v>
      </c>
      <c r="C560" s="69">
        <v>46263.823136574072</v>
      </c>
      <c r="D560" s="55" t="s">
        <v>1359</v>
      </c>
      <c r="E560" s="55" t="s">
        <v>723</v>
      </c>
      <c r="G560" s="129" t="s">
        <v>1428</v>
      </c>
    </row>
    <row r="561" spans="2:7">
      <c r="B561" s="56">
        <v>46263</v>
      </c>
      <c r="C561" s="69">
        <v>46263.837685185186</v>
      </c>
      <c r="D561" s="55" t="s">
        <v>1359</v>
      </c>
      <c r="E561" s="55" t="s">
        <v>1360</v>
      </c>
      <c r="G561" s="129" t="s">
        <v>1429</v>
      </c>
    </row>
    <row r="562" spans="2:7">
      <c r="B562" s="56">
        <v>46263</v>
      </c>
      <c r="C562" s="69">
        <v>46263.837743055556</v>
      </c>
      <c r="D562" s="55" t="s">
        <v>1359</v>
      </c>
      <c r="E562" s="55" t="s">
        <v>1360</v>
      </c>
      <c r="G562" s="129">
        <v>2025</v>
      </c>
    </row>
    <row r="563" spans="2:7">
      <c r="B563" s="56">
        <v>46263</v>
      </c>
      <c r="C563" s="69">
        <v>46263.837951388887</v>
      </c>
      <c r="D563" s="55" t="s">
        <v>1359</v>
      </c>
      <c r="E563" s="55" t="s">
        <v>1360</v>
      </c>
      <c r="G563" s="129">
        <v>2024</v>
      </c>
    </row>
    <row r="564" spans="2:7" ht="26.4">
      <c r="B564" s="56">
        <v>46263</v>
      </c>
      <c r="C564" s="69">
        <v>46263.838969907411</v>
      </c>
      <c r="D564" s="55" t="s">
        <v>1359</v>
      </c>
      <c r="E564" s="55" t="s">
        <v>1362</v>
      </c>
      <c r="G564" s="129" t="s">
        <v>1430</v>
      </c>
    </row>
    <row r="565" spans="2:7" ht="39.6">
      <c r="B565" s="56">
        <v>46263</v>
      </c>
      <c r="C565" s="69">
        <v>46263.839050925926</v>
      </c>
      <c r="D565" s="55" t="s">
        <v>1359</v>
      </c>
      <c r="E565" s="55" t="s">
        <v>1365</v>
      </c>
      <c r="G565" s="129" t="s">
        <v>1431</v>
      </c>
    </row>
    <row r="566" spans="2:7">
      <c r="B566" s="56">
        <v>46263</v>
      </c>
      <c r="C566" s="69">
        <v>46263.839733796296</v>
      </c>
      <c r="D566" s="55" t="s">
        <v>1359</v>
      </c>
      <c r="E566" s="55" t="s">
        <v>1367</v>
      </c>
      <c r="G566" s="129" t="s">
        <v>1432</v>
      </c>
    </row>
    <row r="567" spans="2:7" ht="39.6">
      <c r="B567" s="56">
        <v>46263</v>
      </c>
      <c r="C567" s="69">
        <v>46263.839988425927</v>
      </c>
      <c r="D567" s="55" t="s">
        <v>1359</v>
      </c>
      <c r="E567" s="55" t="s">
        <v>697</v>
      </c>
      <c r="G567" s="129" t="s">
        <v>1433</v>
      </c>
    </row>
    <row r="568" spans="2:7" ht="26.4">
      <c r="B568" s="56">
        <v>46263</v>
      </c>
      <c r="C568" s="69">
        <v>46263.840543981481</v>
      </c>
      <c r="D568" s="55" t="s">
        <v>1359</v>
      </c>
      <c r="E568" s="55" t="s">
        <v>1373</v>
      </c>
      <c r="G568" s="129" t="s">
        <v>1434</v>
      </c>
    </row>
    <row r="569" spans="2:7" ht="26.4">
      <c r="B569" s="56">
        <v>46263</v>
      </c>
      <c r="C569" s="69">
        <v>46263.840671296297</v>
      </c>
      <c r="D569" s="55" t="s">
        <v>1359</v>
      </c>
      <c r="E569" s="55" t="s">
        <v>1373</v>
      </c>
      <c r="F569" s="129" t="s">
        <v>1434</v>
      </c>
      <c r="G569" s="129" t="s">
        <v>1435</v>
      </c>
    </row>
    <row r="570" spans="2:7" ht="52.8">
      <c r="B570" s="56">
        <v>46263</v>
      </c>
      <c r="C570" s="69">
        <v>46263.840775462966</v>
      </c>
      <c r="D570" s="55" t="s">
        <v>1359</v>
      </c>
      <c r="E570" s="55" t="s">
        <v>699</v>
      </c>
      <c r="G570" s="129" t="s">
        <v>1436</v>
      </c>
    </row>
    <row r="571" spans="2:7">
      <c r="B571" s="56">
        <v>46263</v>
      </c>
      <c r="C571" s="69">
        <v>46263.841504629629</v>
      </c>
      <c r="D571" s="55" t="s">
        <v>1359</v>
      </c>
      <c r="E571" s="55" t="s">
        <v>910</v>
      </c>
      <c r="G571" s="129" t="s">
        <v>1437</v>
      </c>
    </row>
    <row r="572" spans="2:7" ht="52.8">
      <c r="B572" s="56">
        <v>46263</v>
      </c>
      <c r="C572" s="69">
        <v>46263.841643518521</v>
      </c>
      <c r="D572" s="55" t="s">
        <v>1359</v>
      </c>
      <c r="E572" s="55" t="s">
        <v>701</v>
      </c>
      <c r="G572" s="129" t="s">
        <v>1438</v>
      </c>
    </row>
    <row r="573" spans="2:7">
      <c r="B573" s="56">
        <v>46263</v>
      </c>
      <c r="C573" s="69">
        <v>46263.842152777775</v>
      </c>
      <c r="D573" s="55" t="s">
        <v>1359</v>
      </c>
      <c r="E573" s="55" t="s">
        <v>908</v>
      </c>
      <c r="G573" s="129" t="s">
        <v>1439</v>
      </c>
    </row>
    <row r="574" spans="2:7" ht="39.6">
      <c r="B574" s="56">
        <v>46263</v>
      </c>
      <c r="C574" s="69">
        <v>46263.842291666668</v>
      </c>
      <c r="D574" s="55" t="s">
        <v>1359</v>
      </c>
      <c r="E574" s="55" t="s">
        <v>706</v>
      </c>
      <c r="G574" s="129" t="s">
        <v>1440</v>
      </c>
    </row>
    <row r="575" spans="2:7" ht="26.4">
      <c r="B575" s="56">
        <v>46263</v>
      </c>
      <c r="C575" s="69">
        <v>46263.843101851853</v>
      </c>
      <c r="D575" s="55" t="s">
        <v>1359</v>
      </c>
      <c r="E575" s="55" t="s">
        <v>1383</v>
      </c>
      <c r="G575" s="129" t="s">
        <v>1378</v>
      </c>
    </row>
    <row r="576" spans="2:7" ht="39.6">
      <c r="B576" s="56">
        <v>46263</v>
      </c>
      <c r="C576" s="69">
        <v>46263.843229166669</v>
      </c>
      <c r="D576" s="55" t="s">
        <v>1359</v>
      </c>
      <c r="E576" s="55" t="s">
        <v>714</v>
      </c>
      <c r="G576" s="129" t="s">
        <v>1441</v>
      </c>
    </row>
    <row r="577" spans="2:7" ht="26.4">
      <c r="B577" s="56">
        <v>46263</v>
      </c>
      <c r="C577" s="69">
        <v>46263.84375</v>
      </c>
      <c r="D577" s="55" t="s">
        <v>1359</v>
      </c>
      <c r="E577" s="55" t="s">
        <v>1389</v>
      </c>
      <c r="G577" s="129" t="s">
        <v>1442</v>
      </c>
    </row>
    <row r="578" spans="2:7" ht="26.4">
      <c r="B578" s="56">
        <v>46263</v>
      </c>
      <c r="C578" s="69">
        <v>46263.8437962963</v>
      </c>
      <c r="D578" s="55" t="s">
        <v>1359</v>
      </c>
      <c r="E578" s="55" t="s">
        <v>1389</v>
      </c>
      <c r="F578" s="129" t="s">
        <v>1442</v>
      </c>
      <c r="G578" s="129" t="s">
        <v>1443</v>
      </c>
    </row>
    <row r="579" spans="2:7" ht="39.6">
      <c r="B579" s="56">
        <v>46263</v>
      </c>
      <c r="C579" s="69">
        <v>46263.843946759262</v>
      </c>
      <c r="D579" s="55" t="s">
        <v>1359</v>
      </c>
      <c r="E579" s="55" t="s">
        <v>1391</v>
      </c>
      <c r="G579" s="129" t="s">
        <v>1444</v>
      </c>
    </row>
    <row r="580" spans="2:7" ht="39.6">
      <c r="B580" s="56">
        <v>46263</v>
      </c>
      <c r="C580" s="69">
        <v>46263.844560185185</v>
      </c>
      <c r="D580" s="55" t="s">
        <v>1359</v>
      </c>
      <c r="E580" s="55" t="s">
        <v>1394</v>
      </c>
      <c r="G580" s="129" t="s">
        <v>1445</v>
      </c>
    </row>
    <row r="581" spans="2:7" ht="39.6">
      <c r="B581" s="56">
        <v>46263</v>
      </c>
      <c r="C581" s="69">
        <v>46263.844641203701</v>
      </c>
      <c r="D581" s="55" t="s">
        <v>1359</v>
      </c>
      <c r="E581" s="55" t="s">
        <v>1394</v>
      </c>
      <c r="F581" s="129" t="s">
        <v>1445</v>
      </c>
      <c r="G581" s="129" t="s">
        <v>1446</v>
      </c>
    </row>
    <row r="582" spans="2:7" ht="52.8">
      <c r="B582" s="56">
        <v>46263</v>
      </c>
      <c r="C582" s="69">
        <v>46263.844768518517</v>
      </c>
      <c r="D582" s="55" t="s">
        <v>1359</v>
      </c>
      <c r="E582" s="55" t="s">
        <v>1398</v>
      </c>
      <c r="G582" s="129" t="s">
        <v>1447</v>
      </c>
    </row>
    <row r="583" spans="2:7" ht="26.4">
      <c r="B583" s="56">
        <v>46263</v>
      </c>
      <c r="C583" s="69">
        <v>46263.845266203702</v>
      </c>
      <c r="D583" s="55" t="s">
        <v>1359</v>
      </c>
      <c r="E583" s="55" t="s">
        <v>1400</v>
      </c>
      <c r="G583" s="129" t="s">
        <v>1363</v>
      </c>
    </row>
    <row r="584" spans="2:7" ht="39.6">
      <c r="B584" s="56">
        <v>46263</v>
      </c>
      <c r="C584" s="69">
        <v>46263.845416666663</v>
      </c>
      <c r="D584" s="55" t="s">
        <v>1359</v>
      </c>
      <c r="E584" s="55" t="s">
        <v>1403</v>
      </c>
      <c r="G584" s="129" t="s">
        <v>1448</v>
      </c>
    </row>
    <row r="585" spans="2:7">
      <c r="B585" s="56">
        <v>46263</v>
      </c>
      <c r="C585" s="69">
        <v>46263.876307870371</v>
      </c>
      <c r="D585" s="55" t="s">
        <v>1463</v>
      </c>
      <c r="E585" s="55" t="s">
        <v>1464</v>
      </c>
      <c r="G585" s="129" t="s">
        <v>11</v>
      </c>
    </row>
    <row r="586" spans="2:7">
      <c r="B586" s="56">
        <v>46263</v>
      </c>
      <c r="C586" s="69">
        <v>46263.876354166663</v>
      </c>
      <c r="D586" s="55" t="s">
        <v>1463</v>
      </c>
      <c r="E586" s="55" t="s">
        <v>1464</v>
      </c>
      <c r="F586" s="129" t="s">
        <v>1450</v>
      </c>
      <c r="G586" s="129" t="s">
        <v>11</v>
      </c>
    </row>
    <row r="587" spans="2:7">
      <c r="B587" s="56">
        <v>46263</v>
      </c>
      <c r="C587" s="69">
        <v>46263.876469907409</v>
      </c>
      <c r="D587" s="55" t="s">
        <v>1463</v>
      </c>
      <c r="E587" s="55" t="s">
        <v>1365</v>
      </c>
      <c r="G587" s="129" t="s">
        <v>20</v>
      </c>
    </row>
    <row r="588" spans="2:7">
      <c r="B588" s="56">
        <v>46263</v>
      </c>
      <c r="C588" s="69">
        <v>46263.876516203702</v>
      </c>
      <c r="D588" s="55" t="s">
        <v>1463</v>
      </c>
      <c r="E588" s="55" t="s">
        <v>697</v>
      </c>
      <c r="G588" s="129" t="s">
        <v>20</v>
      </c>
    </row>
    <row r="589" spans="2:7">
      <c r="B589" s="56">
        <v>46263</v>
      </c>
      <c r="C589" s="69">
        <v>46263.877233796295</v>
      </c>
      <c r="D589" s="55" t="s">
        <v>1463</v>
      </c>
      <c r="E589" s="55" t="s">
        <v>681</v>
      </c>
      <c r="G589" s="129" t="s">
        <v>1465</v>
      </c>
    </row>
    <row r="590" spans="2:7">
      <c r="B590" s="56">
        <v>46263</v>
      </c>
      <c r="C590" s="69">
        <v>46263.877349537041</v>
      </c>
      <c r="D590" s="55" t="s">
        <v>1463</v>
      </c>
      <c r="E590" s="55" t="s">
        <v>1360</v>
      </c>
      <c r="G590" s="129">
        <v>2025</v>
      </c>
    </row>
    <row r="591" spans="2:7">
      <c r="B591" s="56">
        <v>46263</v>
      </c>
      <c r="C591" s="69">
        <v>46263.877615740741</v>
      </c>
      <c r="D591" s="55" t="s">
        <v>1463</v>
      </c>
      <c r="E591" s="55" t="s">
        <v>1467</v>
      </c>
      <c r="G591" s="129" t="s">
        <v>1466</v>
      </c>
    </row>
    <row r="592" spans="2:7">
      <c r="B592" s="56">
        <v>46263</v>
      </c>
      <c r="C592" s="69">
        <v>46263.877789351849</v>
      </c>
      <c r="D592" s="55" t="s">
        <v>1463</v>
      </c>
      <c r="E592" s="55" t="s">
        <v>681</v>
      </c>
      <c r="F592" s="129" t="s">
        <v>1449</v>
      </c>
      <c r="G592" s="129" t="s">
        <v>1465</v>
      </c>
    </row>
    <row r="593" spans="2:7">
      <c r="B593" s="56">
        <v>46263</v>
      </c>
      <c r="C593" s="69">
        <v>46263.883553240739</v>
      </c>
      <c r="D593" s="55" t="s">
        <v>1463</v>
      </c>
      <c r="E593" s="55" t="s">
        <v>1362</v>
      </c>
      <c r="F593" s="129" t="s">
        <v>1451</v>
      </c>
      <c r="G593" s="129" t="s">
        <v>1477</v>
      </c>
    </row>
    <row r="594" spans="2:7" ht="26.4">
      <c r="B594" s="56">
        <v>46263</v>
      </c>
      <c r="C594" s="69">
        <v>46263.883587962962</v>
      </c>
      <c r="D594" s="55" t="s">
        <v>1463</v>
      </c>
      <c r="E594" s="55" t="s">
        <v>1367</v>
      </c>
      <c r="F594" s="129" t="s">
        <v>1452</v>
      </c>
      <c r="G594" s="129" t="s">
        <v>1478</v>
      </c>
    </row>
    <row r="595" spans="2:7" ht="39.6">
      <c r="B595" s="56">
        <v>46263</v>
      </c>
      <c r="C595" s="69">
        <v>46263.883622685185</v>
      </c>
      <c r="D595" s="55" t="s">
        <v>1463</v>
      </c>
      <c r="E595" s="55" t="s">
        <v>1373</v>
      </c>
      <c r="F595" s="129" t="s">
        <v>1453</v>
      </c>
      <c r="G595" s="129" t="s">
        <v>1479</v>
      </c>
    </row>
    <row r="596" spans="2:7" ht="26.4">
      <c r="B596" s="56">
        <v>46263</v>
      </c>
      <c r="C596" s="69">
        <v>46263.883645833332</v>
      </c>
      <c r="D596" s="55" t="s">
        <v>1463</v>
      </c>
      <c r="E596" s="55" t="s">
        <v>910</v>
      </c>
      <c r="F596" s="129" t="s">
        <v>1454</v>
      </c>
      <c r="G596" s="129" t="s">
        <v>1480</v>
      </c>
    </row>
    <row r="597" spans="2:7" ht="26.4">
      <c r="B597" s="56">
        <v>46263</v>
      </c>
      <c r="C597" s="69">
        <v>46263.883680555555</v>
      </c>
      <c r="D597" s="55" t="s">
        <v>1463</v>
      </c>
      <c r="E597" s="55" t="s">
        <v>908</v>
      </c>
      <c r="F597" s="129" t="s">
        <v>1455</v>
      </c>
      <c r="G597" s="129" t="s">
        <v>1481</v>
      </c>
    </row>
    <row r="598" spans="2:7" ht="26.4">
      <c r="B598" s="56">
        <v>46263</v>
      </c>
      <c r="C598" s="69">
        <v>46263.883703703701</v>
      </c>
      <c r="D598" s="55" t="s">
        <v>1463</v>
      </c>
      <c r="E598" s="55" t="s">
        <v>1389</v>
      </c>
      <c r="F598" s="129" t="s">
        <v>1457</v>
      </c>
      <c r="G598" s="129" t="s">
        <v>1482</v>
      </c>
    </row>
    <row r="599" spans="2:7">
      <c r="B599" s="56">
        <v>46263</v>
      </c>
      <c r="C599" s="69">
        <v>46263.883738425924</v>
      </c>
      <c r="D599" s="55" t="s">
        <v>1463</v>
      </c>
      <c r="E599" s="55" t="s">
        <v>1383</v>
      </c>
      <c r="F599" s="129" t="s">
        <v>1456</v>
      </c>
      <c r="G599" s="129" t="s">
        <v>1483</v>
      </c>
    </row>
    <row r="600" spans="2:7" ht="26.4">
      <c r="B600" s="56">
        <v>46263</v>
      </c>
      <c r="C600" s="69">
        <v>46263.883773148147</v>
      </c>
      <c r="D600" s="55" t="s">
        <v>1463</v>
      </c>
      <c r="E600" s="55" t="s">
        <v>1394</v>
      </c>
      <c r="F600" s="129" t="s">
        <v>1458</v>
      </c>
      <c r="G600" s="129" t="s">
        <v>1484</v>
      </c>
    </row>
    <row r="601" spans="2:7" ht="26.4">
      <c r="B601" s="56">
        <v>46263</v>
      </c>
      <c r="C601" s="69">
        <v>46263.88380787037</v>
      </c>
      <c r="D601" s="55" t="s">
        <v>1463</v>
      </c>
      <c r="E601" s="55" t="s">
        <v>1400</v>
      </c>
      <c r="F601" s="129" t="s">
        <v>1459</v>
      </c>
      <c r="G601" s="129" t="s">
        <v>1485</v>
      </c>
    </row>
    <row r="602" spans="2:7" ht="26.4">
      <c r="B602" s="56">
        <v>46263</v>
      </c>
      <c r="C602" s="69">
        <v>46263.883900462963</v>
      </c>
      <c r="D602" s="55" t="s">
        <v>1463</v>
      </c>
      <c r="E602" s="55" t="s">
        <v>1408</v>
      </c>
      <c r="F602" s="129" t="s">
        <v>1460</v>
      </c>
      <c r="G602" s="129" t="s">
        <v>1486</v>
      </c>
    </row>
    <row r="603" spans="2:7" ht="26.4">
      <c r="B603" s="56">
        <v>46263</v>
      </c>
      <c r="C603" s="69">
        <v>46263.883946759262</v>
      </c>
      <c r="D603" s="55" t="s">
        <v>1463</v>
      </c>
      <c r="E603" s="55" t="s">
        <v>1410</v>
      </c>
      <c r="F603" s="129" t="s">
        <v>1461</v>
      </c>
      <c r="G603" s="129" t="s">
        <v>1487</v>
      </c>
    </row>
    <row r="604" spans="2:7">
      <c r="B604" s="56">
        <v>46263</v>
      </c>
      <c r="C604" s="69">
        <v>46263.884004629632</v>
      </c>
      <c r="D604" s="55" t="s">
        <v>1463</v>
      </c>
      <c r="E604" s="55" t="s">
        <v>1417</v>
      </c>
      <c r="F604" s="129" t="s">
        <v>1462</v>
      </c>
      <c r="G604" s="129" t="s">
        <v>1488</v>
      </c>
    </row>
    <row r="605" spans="2:7">
      <c r="B605" s="56">
        <v>46263</v>
      </c>
      <c r="C605" s="69">
        <v>46263.884062500001</v>
      </c>
      <c r="D605" s="55" t="s">
        <v>1463</v>
      </c>
      <c r="E605" s="55" t="s">
        <v>1420</v>
      </c>
      <c r="F605" s="129" t="s">
        <v>1468</v>
      </c>
      <c r="G605" s="129" t="s">
        <v>1489</v>
      </c>
    </row>
    <row r="606" spans="2:7" ht="26.4">
      <c r="B606" s="56">
        <v>46263</v>
      </c>
      <c r="C606" s="69">
        <v>46263.884097222224</v>
      </c>
      <c r="D606" s="55" t="s">
        <v>1463</v>
      </c>
      <c r="E606" s="55" t="s">
        <v>1425</v>
      </c>
      <c r="F606" s="129" t="s">
        <v>1469</v>
      </c>
      <c r="G606" s="129" t="s">
        <v>1490</v>
      </c>
    </row>
    <row r="607" spans="2:7" ht="39.6">
      <c r="B607" s="56">
        <v>46263</v>
      </c>
      <c r="C607" s="69">
        <v>46263.884131944447</v>
      </c>
      <c r="D607" s="55" t="s">
        <v>1463</v>
      </c>
      <c r="E607" s="55" t="s">
        <v>1492</v>
      </c>
      <c r="F607" s="129" t="s">
        <v>1470</v>
      </c>
      <c r="G607" s="129" t="s">
        <v>1491</v>
      </c>
    </row>
    <row r="608" spans="2:7" ht="26.4">
      <c r="B608" s="56">
        <v>46263</v>
      </c>
      <c r="C608" s="69">
        <v>46263.884166666663</v>
      </c>
      <c r="D608" s="55" t="s">
        <v>1463</v>
      </c>
      <c r="E608" s="55" t="s">
        <v>1493</v>
      </c>
      <c r="F608" s="129" t="s">
        <v>1471</v>
      </c>
      <c r="G608" s="129" t="s">
        <v>1485</v>
      </c>
    </row>
    <row r="609" spans="2:7" ht="26.4">
      <c r="B609" s="56">
        <v>46263</v>
      </c>
      <c r="C609" s="69">
        <v>46263.884201388886</v>
      </c>
      <c r="D609" s="55" t="s">
        <v>1463</v>
      </c>
      <c r="E609" s="55" t="s">
        <v>1494</v>
      </c>
      <c r="F609" s="129" t="s">
        <v>1455</v>
      </c>
      <c r="G609" s="129" t="s">
        <v>1481</v>
      </c>
    </row>
    <row r="610" spans="2:7">
      <c r="B610" s="56">
        <v>46263</v>
      </c>
      <c r="C610" s="69">
        <v>46263.884236111109</v>
      </c>
      <c r="D610" s="55" t="s">
        <v>1463</v>
      </c>
      <c r="E610" s="55" t="s">
        <v>1495</v>
      </c>
      <c r="F610" s="129" t="s">
        <v>1456</v>
      </c>
      <c r="G610" s="129" t="s">
        <v>1483</v>
      </c>
    </row>
    <row r="611" spans="2:7" ht="26.4">
      <c r="B611" s="56">
        <v>46263</v>
      </c>
      <c r="C611" s="69">
        <v>46263.884270833332</v>
      </c>
      <c r="D611" s="55" t="s">
        <v>1463</v>
      </c>
      <c r="E611" s="55" t="s">
        <v>1497</v>
      </c>
      <c r="F611" s="129" t="s">
        <v>1472</v>
      </c>
      <c r="G611" s="129" t="s">
        <v>1496</v>
      </c>
    </row>
    <row r="612" spans="2:7" ht="26.4">
      <c r="B612" s="56">
        <v>46263</v>
      </c>
      <c r="C612" s="69">
        <v>46263.884317129632</v>
      </c>
      <c r="D612" s="55" t="s">
        <v>1463</v>
      </c>
      <c r="E612" s="55" t="s">
        <v>1498</v>
      </c>
      <c r="F612" s="129" t="s">
        <v>1458</v>
      </c>
      <c r="G612" s="129" t="s">
        <v>1484</v>
      </c>
    </row>
    <row r="613" spans="2:7" ht="26.4">
      <c r="B613" s="56">
        <v>46263</v>
      </c>
      <c r="C613" s="69">
        <v>46263.884351851855</v>
      </c>
      <c r="D613" s="55" t="s">
        <v>1463</v>
      </c>
      <c r="E613" s="55" t="s">
        <v>1500</v>
      </c>
      <c r="F613" s="129" t="s">
        <v>1473</v>
      </c>
      <c r="G613" s="129" t="s">
        <v>1499</v>
      </c>
    </row>
    <row r="614" spans="2:7" ht="26.4">
      <c r="B614" s="56">
        <v>46263</v>
      </c>
      <c r="C614" s="69">
        <v>46263.884386574071</v>
      </c>
      <c r="D614" s="55" t="s">
        <v>1463</v>
      </c>
      <c r="E614" s="55" t="s">
        <v>1502</v>
      </c>
      <c r="F614" s="129" t="s">
        <v>1474</v>
      </c>
      <c r="G614" s="129" t="s">
        <v>1501</v>
      </c>
    </row>
    <row r="615" spans="2:7" ht="26.4">
      <c r="B615" s="56">
        <v>46263</v>
      </c>
      <c r="C615" s="69">
        <v>46263.884421296294</v>
      </c>
      <c r="D615" s="55" t="s">
        <v>1463</v>
      </c>
      <c r="E615" s="55" t="s">
        <v>1504</v>
      </c>
      <c r="F615" s="129" t="s">
        <v>1475</v>
      </c>
      <c r="G615" s="129" t="s">
        <v>1503</v>
      </c>
    </row>
    <row r="616" spans="2:7" ht="26.4">
      <c r="B616" s="56">
        <v>46263</v>
      </c>
      <c r="C616" s="69">
        <v>46263.884456018517</v>
      </c>
      <c r="D616" s="55" t="s">
        <v>1463</v>
      </c>
      <c r="E616" s="55" t="s">
        <v>1506</v>
      </c>
      <c r="F616" s="129" t="s">
        <v>1476</v>
      </c>
      <c r="G616" s="129" t="s">
        <v>1505</v>
      </c>
    </row>
    <row r="617" spans="2:7">
      <c r="B617" s="56">
        <v>46263</v>
      </c>
      <c r="C617" s="69">
        <v>46263.884583333333</v>
      </c>
      <c r="D617" s="55" t="s">
        <v>1463</v>
      </c>
      <c r="E617" s="55" t="s">
        <v>1421</v>
      </c>
      <c r="G617" s="129">
        <v>2024</v>
      </c>
    </row>
    <row r="618" spans="2:7">
      <c r="B618" s="56">
        <v>46263</v>
      </c>
      <c r="C618" s="69">
        <v>46263.884687500002</v>
      </c>
      <c r="D618" s="55" t="s">
        <v>1463</v>
      </c>
      <c r="E618" s="55" t="s">
        <v>1423</v>
      </c>
      <c r="G618" s="129" t="s">
        <v>20</v>
      </c>
    </row>
    <row r="619" spans="2:7">
      <c r="B619" s="56">
        <v>46263</v>
      </c>
      <c r="C619" s="69">
        <v>46263.884768518517</v>
      </c>
      <c r="D619" s="55" t="s">
        <v>1463</v>
      </c>
      <c r="E619" s="55" t="s">
        <v>723</v>
      </c>
      <c r="G619" s="129" t="s">
        <v>20</v>
      </c>
    </row>
    <row r="620" spans="2:7">
      <c r="B620" s="56">
        <v>46263</v>
      </c>
      <c r="C620" s="69">
        <v>46263.885057870371</v>
      </c>
      <c r="D620" s="55" t="s">
        <v>1463</v>
      </c>
      <c r="E620" s="55" t="s">
        <v>1507</v>
      </c>
      <c r="G620" s="129" t="s">
        <v>20</v>
      </c>
    </row>
    <row r="621" spans="2:7">
      <c r="B621" s="56">
        <v>46263</v>
      </c>
      <c r="C621" s="69">
        <v>46263.885127314818</v>
      </c>
      <c r="D621" s="55" t="s">
        <v>1463</v>
      </c>
      <c r="E621" s="55" t="s">
        <v>1508</v>
      </c>
      <c r="G621" s="129" t="s">
        <v>20</v>
      </c>
    </row>
    <row r="622" spans="2:7">
      <c r="B622" s="56">
        <v>46263</v>
      </c>
      <c r="C622" s="69">
        <v>46263.886030092595</v>
      </c>
      <c r="D622" s="55" t="s">
        <v>1463</v>
      </c>
      <c r="E622" s="55" t="s">
        <v>1510</v>
      </c>
      <c r="G622" s="129" t="s">
        <v>1509</v>
      </c>
    </row>
    <row r="623" spans="2:7">
      <c r="B623" s="56">
        <v>46263</v>
      </c>
      <c r="C623" s="69">
        <v>46263.886053240742</v>
      </c>
      <c r="D623" s="55" t="s">
        <v>1463</v>
      </c>
      <c r="E623" s="55" t="s">
        <v>1511</v>
      </c>
      <c r="G623" s="129" t="s">
        <v>1509</v>
      </c>
    </row>
    <row r="624" spans="2:7">
      <c r="B624" s="56">
        <v>46263</v>
      </c>
      <c r="C624" s="69">
        <v>46263.886145833334</v>
      </c>
      <c r="D624" s="55" t="s">
        <v>1463</v>
      </c>
      <c r="E624" s="55" t="s">
        <v>1512</v>
      </c>
      <c r="G624" s="129" t="s">
        <v>1509</v>
      </c>
    </row>
    <row r="625" spans="2:7">
      <c r="B625" s="56">
        <v>46263</v>
      </c>
      <c r="C625" s="69">
        <v>46263.886365740742</v>
      </c>
      <c r="D625" s="55" t="s">
        <v>1463</v>
      </c>
      <c r="E625" s="55" t="s">
        <v>1421</v>
      </c>
      <c r="G625" s="129">
        <v>2025</v>
      </c>
    </row>
    <row r="626" spans="2:7">
      <c r="B626" s="56">
        <v>46263</v>
      </c>
      <c r="C626" s="69">
        <v>46263.886388888888</v>
      </c>
      <c r="D626" s="55" t="s">
        <v>1463</v>
      </c>
      <c r="E626" s="55" t="s">
        <v>1360</v>
      </c>
      <c r="G626" s="129">
        <v>2026</v>
      </c>
    </row>
    <row r="627" spans="2:7">
      <c r="B627" s="56">
        <v>46266</v>
      </c>
      <c r="C627" s="69">
        <v>46266.60052083333</v>
      </c>
      <c r="D627" s="55" t="s">
        <v>684</v>
      </c>
      <c r="E627" s="55" t="s">
        <v>745</v>
      </c>
      <c r="F627" s="129" t="s">
        <v>666</v>
      </c>
      <c r="G627" s="129" t="s">
        <v>670</v>
      </c>
    </row>
    <row r="628" spans="2:7">
      <c r="B628" s="56">
        <v>46267</v>
      </c>
      <c r="C628" s="69">
        <v>46267.678483796299</v>
      </c>
      <c r="D628" s="55" t="s">
        <v>684</v>
      </c>
      <c r="E628" s="55" t="s">
        <v>1057</v>
      </c>
      <c r="F628" s="129" t="s">
        <v>201</v>
      </c>
      <c r="G628" s="129" t="s">
        <v>33</v>
      </c>
    </row>
    <row r="629" spans="2:7">
      <c r="B629" s="56">
        <v>46267</v>
      </c>
      <c r="C629" s="69">
        <v>46267.678495370368</v>
      </c>
      <c r="D629" s="55" t="s">
        <v>684</v>
      </c>
      <c r="E629" s="55" t="s">
        <v>1513</v>
      </c>
      <c r="F629" s="129" t="s">
        <v>201</v>
      </c>
      <c r="G629" s="129" t="s">
        <v>33</v>
      </c>
    </row>
    <row r="630" spans="2:7">
      <c r="B630" s="56">
        <v>46267</v>
      </c>
      <c r="C630" s="69">
        <v>46267.678506944445</v>
      </c>
      <c r="D630" s="55" t="s">
        <v>684</v>
      </c>
      <c r="E630" s="55" t="s">
        <v>1514</v>
      </c>
      <c r="F630" s="129" t="s">
        <v>201</v>
      </c>
      <c r="G630" s="129" t="s">
        <v>33</v>
      </c>
    </row>
    <row r="631" spans="2:7">
      <c r="B631" s="56">
        <v>46267</v>
      </c>
      <c r="C631" s="69">
        <v>46267.678541666668</v>
      </c>
      <c r="D631" s="55" t="s">
        <v>684</v>
      </c>
      <c r="E631" s="55" t="s">
        <v>1515</v>
      </c>
      <c r="F631" s="129" t="s">
        <v>201</v>
      </c>
      <c r="G631" s="129" t="s">
        <v>33</v>
      </c>
    </row>
    <row r="632" spans="2:7">
      <c r="B632" s="56">
        <v>46267</v>
      </c>
      <c r="C632" s="69">
        <v>46267.678564814814</v>
      </c>
      <c r="D632" s="55" t="s">
        <v>684</v>
      </c>
      <c r="E632" s="55" t="s">
        <v>1516</v>
      </c>
      <c r="F632" s="129" t="s">
        <v>201</v>
      </c>
      <c r="G632" s="129" t="s">
        <v>33</v>
      </c>
    </row>
    <row r="633" spans="2:7">
      <c r="B633" s="56">
        <v>46267</v>
      </c>
      <c r="C633" s="69">
        <v>46267.678576388891</v>
      </c>
      <c r="D633" s="55" t="s">
        <v>684</v>
      </c>
      <c r="E633" s="55" t="s">
        <v>1517</v>
      </c>
      <c r="F633" s="129" t="s">
        <v>201</v>
      </c>
      <c r="G633" s="129" t="s">
        <v>33</v>
      </c>
    </row>
    <row r="634" spans="2:7">
      <c r="B634" s="56">
        <v>46267</v>
      </c>
      <c r="C634" s="69">
        <v>46267.678587962961</v>
      </c>
      <c r="D634" s="55" t="s">
        <v>684</v>
      </c>
      <c r="E634" s="55" t="s">
        <v>1518</v>
      </c>
      <c r="F634" s="129" t="s">
        <v>201</v>
      </c>
      <c r="G634" s="129" t="s">
        <v>33</v>
      </c>
    </row>
    <row r="635" spans="2:7">
      <c r="B635" s="56">
        <v>46267</v>
      </c>
      <c r="C635" s="69">
        <v>46267.678599537037</v>
      </c>
      <c r="D635" s="55" t="s">
        <v>684</v>
      </c>
      <c r="E635" s="55" t="s">
        <v>1519</v>
      </c>
      <c r="F635" s="129" t="s">
        <v>201</v>
      </c>
      <c r="G635" s="129" t="s">
        <v>33</v>
      </c>
    </row>
    <row r="636" spans="2:7" ht="132">
      <c r="B636" s="56">
        <v>46273</v>
      </c>
      <c r="C636" s="69">
        <v>46273.408680555556</v>
      </c>
      <c r="D636" s="55" t="s">
        <v>684</v>
      </c>
      <c r="E636" s="55" t="s">
        <v>706</v>
      </c>
      <c r="G636" s="129" t="s">
        <v>29</v>
      </c>
    </row>
    <row r="637" spans="2:7">
      <c r="B637" s="56">
        <v>46279</v>
      </c>
      <c r="C637" s="69">
        <v>46279.413969907408</v>
      </c>
      <c r="D637" s="55" t="s">
        <v>684</v>
      </c>
      <c r="E637" s="55" t="s">
        <v>1521</v>
      </c>
      <c r="G637" s="129" t="s">
        <v>1520</v>
      </c>
    </row>
    <row r="638" spans="2:7">
      <c r="B638" s="56">
        <v>46279</v>
      </c>
      <c r="C638" s="69">
        <v>46279.414050925923</v>
      </c>
      <c r="D638" s="55" t="s">
        <v>684</v>
      </c>
      <c r="E638" s="55" t="s">
        <v>1522</v>
      </c>
      <c r="G638" s="129" t="s">
        <v>1520</v>
      </c>
    </row>
    <row r="639" spans="2:7">
      <c r="B639" s="56">
        <v>46279</v>
      </c>
      <c r="C639" s="69">
        <v>46279.414826388886</v>
      </c>
      <c r="D639" s="55" t="s">
        <v>684</v>
      </c>
      <c r="E639" s="55" t="s">
        <v>1524</v>
      </c>
      <c r="G639" s="129" t="s">
        <v>1523</v>
      </c>
    </row>
    <row r="640" spans="2:7">
      <c r="B640" s="56">
        <v>46279</v>
      </c>
      <c r="C640" s="69">
        <v>46279.414895833332</v>
      </c>
      <c r="D640" s="55" t="s">
        <v>684</v>
      </c>
      <c r="E640" s="55" t="s">
        <v>1525</v>
      </c>
      <c r="G640" s="129" t="s">
        <v>1523</v>
      </c>
    </row>
    <row r="641" spans="2:7">
      <c r="B641" s="56">
        <v>46279</v>
      </c>
      <c r="C641" s="69">
        <v>46279.414965277778</v>
      </c>
      <c r="D641" s="55" t="s">
        <v>684</v>
      </c>
      <c r="E641" s="55" t="s">
        <v>1526</v>
      </c>
      <c r="G641" s="129" t="s">
        <v>1523</v>
      </c>
    </row>
    <row r="642" spans="2:7">
      <c r="B642" s="56">
        <v>46279</v>
      </c>
      <c r="C642" s="69">
        <v>46279.415023148147</v>
      </c>
      <c r="D642" s="55" t="s">
        <v>684</v>
      </c>
      <c r="E642" s="55" t="s">
        <v>1527</v>
      </c>
      <c r="G642" s="129" t="s">
        <v>1523</v>
      </c>
    </row>
    <row r="643" spans="2:7">
      <c r="B643" s="56">
        <v>46279</v>
      </c>
      <c r="C643" s="69">
        <v>46279.415081018517</v>
      </c>
      <c r="D643" s="55" t="s">
        <v>684</v>
      </c>
      <c r="E643" s="55" t="s">
        <v>1528</v>
      </c>
      <c r="G643" s="129" t="s">
        <v>1523</v>
      </c>
    </row>
    <row r="644" spans="2:7">
      <c r="B644" s="56">
        <v>46279</v>
      </c>
      <c r="C644" s="69">
        <v>46279.415127314816</v>
      </c>
      <c r="D644" s="55" t="s">
        <v>684</v>
      </c>
      <c r="E644" s="55" t="s">
        <v>1529</v>
      </c>
      <c r="G644" s="129" t="s">
        <v>1523</v>
      </c>
    </row>
    <row r="645" spans="2:7">
      <c r="B645" s="56">
        <v>46279</v>
      </c>
      <c r="C645" s="69">
        <v>46279.415138888886</v>
      </c>
      <c r="D645" s="55" t="s">
        <v>684</v>
      </c>
      <c r="E645" s="55" t="s">
        <v>1530</v>
      </c>
      <c r="G645" s="129" t="s">
        <v>1523</v>
      </c>
    </row>
    <row r="646" spans="2:7">
      <c r="B646" s="56">
        <v>46279</v>
      </c>
      <c r="C646" s="69">
        <v>46279.415162037039</v>
      </c>
      <c r="D646" s="55" t="s">
        <v>684</v>
      </c>
      <c r="E646" s="55" t="s">
        <v>1531</v>
      </c>
      <c r="G646" s="129" t="s">
        <v>1523</v>
      </c>
    </row>
    <row r="647" spans="2:7">
      <c r="B647" s="56">
        <v>46279</v>
      </c>
      <c r="C647" s="69">
        <v>46279.415219907409</v>
      </c>
      <c r="D647" s="55" t="s">
        <v>684</v>
      </c>
      <c r="E647" s="55" t="s">
        <v>1532</v>
      </c>
      <c r="G647" s="129" t="s">
        <v>1523</v>
      </c>
    </row>
    <row r="648" spans="2:7">
      <c r="B648" s="56">
        <v>46279</v>
      </c>
      <c r="C648" s="69">
        <v>46279.415243055555</v>
      </c>
      <c r="D648" s="55" t="s">
        <v>684</v>
      </c>
      <c r="E648" s="55" t="s">
        <v>1533</v>
      </c>
      <c r="G648" s="129" t="s">
        <v>1523</v>
      </c>
    </row>
    <row r="649" spans="2:7">
      <c r="B649" s="56">
        <v>46279</v>
      </c>
      <c r="C649" s="69">
        <v>46279.415289351855</v>
      </c>
      <c r="D649" s="55" t="s">
        <v>684</v>
      </c>
      <c r="E649" s="55" t="s">
        <v>1534</v>
      </c>
      <c r="G649" s="129" t="s">
        <v>1523</v>
      </c>
    </row>
    <row r="650" spans="2:7">
      <c r="B650" s="56">
        <v>46279</v>
      </c>
      <c r="C650" s="69">
        <v>46279.415324074071</v>
      </c>
      <c r="D650" s="55" t="s">
        <v>684</v>
      </c>
      <c r="E650" s="55" t="s">
        <v>1535</v>
      </c>
      <c r="G650" s="129" t="s">
        <v>1523</v>
      </c>
    </row>
    <row r="651" spans="2:7">
      <c r="B651" s="56">
        <v>46279</v>
      </c>
      <c r="C651" s="69">
        <v>46279.415416666663</v>
      </c>
      <c r="D651" s="55" t="s">
        <v>684</v>
      </c>
      <c r="E651" s="55" t="s">
        <v>1521</v>
      </c>
      <c r="F651" s="129" t="s">
        <v>1520</v>
      </c>
      <c r="G651" s="129" t="s">
        <v>1536</v>
      </c>
    </row>
    <row r="652" spans="2:7">
      <c r="B652" s="56">
        <v>46279</v>
      </c>
      <c r="C652" s="69">
        <v>46279.415439814817</v>
      </c>
      <c r="D652" s="55" t="s">
        <v>684</v>
      </c>
      <c r="E652" s="55" t="s">
        <v>1522</v>
      </c>
      <c r="F652" s="129" t="s">
        <v>1520</v>
      </c>
      <c r="G652" s="129" t="s">
        <v>1536</v>
      </c>
    </row>
    <row r="653" spans="2:7">
      <c r="B653" s="56">
        <v>46279</v>
      </c>
      <c r="C653" s="69">
        <v>46279.415717592594</v>
      </c>
      <c r="D653" s="55" t="s">
        <v>684</v>
      </c>
      <c r="E653" s="55" t="s">
        <v>1538</v>
      </c>
      <c r="F653" s="129" t="s">
        <v>667</v>
      </c>
      <c r="G653" s="129" t="s">
        <v>1537</v>
      </c>
    </row>
    <row r="654" spans="2:7">
      <c r="B654" s="56">
        <v>46279</v>
      </c>
      <c r="C654" s="69">
        <v>46279.41578703704</v>
      </c>
      <c r="D654" s="55" t="s">
        <v>684</v>
      </c>
      <c r="E654" s="55" t="s">
        <v>1539</v>
      </c>
      <c r="F654" s="129" t="s">
        <v>667</v>
      </c>
      <c r="G654" s="129" t="s">
        <v>1537</v>
      </c>
    </row>
    <row r="655" spans="2:7">
      <c r="B655" s="56">
        <v>46279</v>
      </c>
      <c r="C655" s="69">
        <v>46279.415821759256</v>
      </c>
      <c r="D655" s="55" t="s">
        <v>684</v>
      </c>
      <c r="E655" s="55" t="s">
        <v>1540</v>
      </c>
      <c r="F655" s="129" t="s">
        <v>667</v>
      </c>
      <c r="G655" s="129" t="s">
        <v>1537</v>
      </c>
    </row>
    <row r="656" spans="2:7">
      <c r="B656" s="56">
        <v>46279</v>
      </c>
      <c r="C656" s="69">
        <v>46279.415856481479</v>
      </c>
      <c r="D656" s="55" t="s">
        <v>684</v>
      </c>
      <c r="E656" s="55" t="s">
        <v>1541</v>
      </c>
      <c r="F656" s="129" t="s">
        <v>667</v>
      </c>
      <c r="G656" s="129" t="s">
        <v>1537</v>
      </c>
    </row>
    <row r="657" spans="2:7">
      <c r="B657" s="56">
        <v>46279</v>
      </c>
      <c r="C657" s="69">
        <v>46279.415891203702</v>
      </c>
      <c r="D657" s="55" t="s">
        <v>684</v>
      </c>
      <c r="E657" s="55" t="s">
        <v>1542</v>
      </c>
      <c r="F657" s="129" t="s">
        <v>667</v>
      </c>
      <c r="G657" s="129" t="s">
        <v>1537</v>
      </c>
    </row>
    <row r="658" spans="2:7">
      <c r="B658" s="56">
        <v>46279</v>
      </c>
      <c r="C658" s="69">
        <v>46279.415937500002</v>
      </c>
      <c r="D658" s="55" t="s">
        <v>684</v>
      </c>
      <c r="E658" s="55" t="s">
        <v>1543</v>
      </c>
      <c r="F658" s="129" t="s">
        <v>667</v>
      </c>
      <c r="G658" s="129" t="s">
        <v>1537</v>
      </c>
    </row>
    <row r="659" spans="2:7">
      <c r="B659" s="56">
        <v>46279</v>
      </c>
      <c r="C659" s="69">
        <v>46279.415972222225</v>
      </c>
      <c r="D659" s="55" t="s">
        <v>684</v>
      </c>
      <c r="E659" s="55" t="s">
        <v>1544</v>
      </c>
      <c r="F659" s="129" t="s">
        <v>667</v>
      </c>
      <c r="G659" s="129" t="s">
        <v>1537</v>
      </c>
    </row>
    <row r="660" spans="2:7">
      <c r="B660" s="56">
        <v>46279</v>
      </c>
      <c r="C660" s="69">
        <v>46279.415995370371</v>
      </c>
      <c r="D660" s="55" t="s">
        <v>684</v>
      </c>
      <c r="E660" s="55" t="s">
        <v>1545</v>
      </c>
      <c r="F660" s="129" t="s">
        <v>667</v>
      </c>
      <c r="G660" s="129" t="s">
        <v>1537</v>
      </c>
    </row>
    <row r="661" spans="2:7">
      <c r="B661" s="56">
        <v>46279</v>
      </c>
      <c r="C661" s="69">
        <v>46279.416018518517</v>
      </c>
      <c r="D661" s="55" t="s">
        <v>684</v>
      </c>
      <c r="E661" s="55" t="s">
        <v>1546</v>
      </c>
      <c r="F661" s="129" t="s">
        <v>667</v>
      </c>
      <c r="G661" s="129" t="s">
        <v>1537</v>
      </c>
    </row>
    <row r="662" spans="2:7">
      <c r="B662" s="56">
        <v>46279</v>
      </c>
      <c r="C662" s="69">
        <v>46279.416087962964</v>
      </c>
      <c r="D662" s="55" t="s">
        <v>684</v>
      </c>
      <c r="E662" s="55" t="s">
        <v>1547</v>
      </c>
      <c r="F662" s="129" t="s">
        <v>667</v>
      </c>
      <c r="G662" s="129" t="s">
        <v>1537</v>
      </c>
    </row>
    <row r="663" spans="2:7">
      <c r="B663" s="56">
        <v>46279</v>
      </c>
      <c r="C663" s="69">
        <v>46279.416122685187</v>
      </c>
      <c r="D663" s="55" t="s">
        <v>684</v>
      </c>
      <c r="E663" s="55" t="s">
        <v>1548</v>
      </c>
      <c r="F663" s="129" t="s">
        <v>667</v>
      </c>
      <c r="G663" s="129" t="s">
        <v>1537</v>
      </c>
    </row>
    <row r="664" spans="2:7">
      <c r="B664" s="56">
        <v>46279</v>
      </c>
      <c r="C664" s="69">
        <v>46279.416145833333</v>
      </c>
      <c r="D664" s="55" t="s">
        <v>684</v>
      </c>
      <c r="E664" s="55" t="s">
        <v>1549</v>
      </c>
      <c r="F664" s="129" t="s">
        <v>667</v>
      </c>
      <c r="G664" s="129" t="s">
        <v>1537</v>
      </c>
    </row>
    <row r="665" spans="2:7">
      <c r="B665" s="56">
        <v>46279</v>
      </c>
      <c r="C665" s="69">
        <v>46279.416226851848</v>
      </c>
      <c r="D665" s="55" t="s">
        <v>684</v>
      </c>
      <c r="E665" s="55" t="s">
        <v>1550</v>
      </c>
      <c r="F665" s="129" t="s">
        <v>667</v>
      </c>
      <c r="G665" s="129" t="s">
        <v>1537</v>
      </c>
    </row>
    <row r="666" spans="2:7">
      <c r="B666" s="56">
        <v>46279</v>
      </c>
      <c r="C666" s="69">
        <v>46279.416250000002</v>
      </c>
      <c r="D666" s="55" t="s">
        <v>684</v>
      </c>
      <c r="E666" s="55" t="s">
        <v>1551</v>
      </c>
      <c r="F666" s="129" t="s">
        <v>667</v>
      </c>
      <c r="G666" s="129" t="s">
        <v>1537</v>
      </c>
    </row>
    <row r="667" spans="2:7">
      <c r="B667" s="56">
        <v>46279</v>
      </c>
      <c r="C667" s="69">
        <v>46279.416284722225</v>
      </c>
      <c r="D667" s="55" t="s">
        <v>684</v>
      </c>
      <c r="E667" s="55" t="s">
        <v>1552</v>
      </c>
      <c r="F667" s="129" t="s">
        <v>667</v>
      </c>
      <c r="G667" s="129" t="s">
        <v>1537</v>
      </c>
    </row>
    <row r="668" spans="2:7">
      <c r="B668" s="56">
        <v>46279</v>
      </c>
      <c r="C668" s="69">
        <v>46279.416319444441</v>
      </c>
      <c r="D668" s="55" t="s">
        <v>684</v>
      </c>
      <c r="E668" s="55" t="s">
        <v>1553</v>
      </c>
      <c r="F668" s="129" t="s">
        <v>667</v>
      </c>
      <c r="G668" s="129" t="s">
        <v>1537</v>
      </c>
    </row>
    <row r="669" spans="2:7">
      <c r="B669" s="56">
        <v>46279</v>
      </c>
      <c r="C669" s="69">
        <v>46279.416365740741</v>
      </c>
      <c r="D669" s="55" t="s">
        <v>684</v>
      </c>
      <c r="E669" s="55" t="s">
        <v>1554</v>
      </c>
      <c r="F669" s="129" t="s">
        <v>667</v>
      </c>
      <c r="G669" s="129" t="s">
        <v>1537</v>
      </c>
    </row>
    <row r="670" spans="2:7">
      <c r="B670" s="56">
        <v>46279</v>
      </c>
      <c r="C670" s="69">
        <v>46279.416458333333</v>
      </c>
      <c r="D670" s="55" t="s">
        <v>684</v>
      </c>
      <c r="E670" s="55" t="s">
        <v>1555</v>
      </c>
      <c r="F670" s="129" t="s">
        <v>667</v>
      </c>
      <c r="G670" s="129" t="s">
        <v>1537</v>
      </c>
    </row>
    <row r="671" spans="2:7">
      <c r="B671" s="56">
        <v>46279</v>
      </c>
      <c r="C671" s="69">
        <v>46279.416493055556</v>
      </c>
      <c r="D671" s="55" t="s">
        <v>684</v>
      </c>
      <c r="E671" s="55" t="s">
        <v>1556</v>
      </c>
      <c r="F671" s="129" t="s">
        <v>667</v>
      </c>
      <c r="G671" s="129" t="s">
        <v>1537</v>
      </c>
    </row>
    <row r="672" spans="2:7">
      <c r="B672" s="56">
        <v>46279</v>
      </c>
      <c r="C672" s="69">
        <v>46279.416562500002</v>
      </c>
      <c r="D672" s="55" t="s">
        <v>684</v>
      </c>
      <c r="E672" s="55" t="s">
        <v>1557</v>
      </c>
      <c r="F672" s="129" t="s">
        <v>667</v>
      </c>
      <c r="G672" s="129" t="s">
        <v>1537</v>
      </c>
    </row>
    <row r="673" spans="2:7">
      <c r="B673" s="56">
        <v>46279</v>
      </c>
      <c r="C673" s="69">
        <v>46279.416585648149</v>
      </c>
      <c r="D673" s="55" t="s">
        <v>684</v>
      </c>
      <c r="E673" s="55" t="s">
        <v>1558</v>
      </c>
      <c r="F673" s="129" t="s">
        <v>667</v>
      </c>
      <c r="G673" s="129" t="s">
        <v>1537</v>
      </c>
    </row>
    <row r="674" spans="2:7">
      <c r="B674" s="56">
        <v>46279</v>
      </c>
      <c r="C674" s="69">
        <v>46279.416620370372</v>
      </c>
      <c r="D674" s="55" t="s">
        <v>684</v>
      </c>
      <c r="E674" s="55" t="s">
        <v>1559</v>
      </c>
      <c r="F674" s="129" t="s">
        <v>667</v>
      </c>
      <c r="G674" s="129" t="s">
        <v>1537</v>
      </c>
    </row>
    <row r="675" spans="2:7">
      <c r="B675" s="56">
        <v>46279</v>
      </c>
      <c r="C675" s="69">
        <v>46279.416701388887</v>
      </c>
      <c r="D675" s="55" t="s">
        <v>684</v>
      </c>
      <c r="E675" s="55" t="s">
        <v>1015</v>
      </c>
      <c r="F675" s="129" t="s">
        <v>667</v>
      </c>
      <c r="G675" s="129" t="s">
        <v>1537</v>
      </c>
    </row>
    <row r="676" spans="2:7">
      <c r="B676" s="56">
        <v>46279</v>
      </c>
      <c r="C676" s="69">
        <v>46279.416759259257</v>
      </c>
      <c r="D676" s="55" t="s">
        <v>684</v>
      </c>
      <c r="E676" s="55" t="s">
        <v>1017</v>
      </c>
      <c r="F676" s="129" t="s">
        <v>667</v>
      </c>
      <c r="G676" s="129" t="s">
        <v>1537</v>
      </c>
    </row>
    <row r="677" spans="2:7">
      <c r="B677" s="56">
        <v>46279</v>
      </c>
      <c r="C677" s="69">
        <v>46279.416863425926</v>
      </c>
      <c r="D677" s="55" t="s">
        <v>684</v>
      </c>
      <c r="E677" s="55" t="s">
        <v>1018</v>
      </c>
      <c r="F677" s="129" t="s">
        <v>667</v>
      </c>
      <c r="G677" s="129" t="s">
        <v>1537</v>
      </c>
    </row>
    <row r="678" spans="2:7">
      <c r="B678" s="56">
        <v>46279</v>
      </c>
      <c r="C678" s="69">
        <v>46279.417083333334</v>
      </c>
      <c r="D678" s="55" t="s">
        <v>684</v>
      </c>
      <c r="E678" s="55" t="s">
        <v>1561</v>
      </c>
      <c r="F678" s="129" t="s">
        <v>669</v>
      </c>
      <c r="G678" s="129" t="s">
        <v>1560</v>
      </c>
    </row>
    <row r="679" spans="2:7">
      <c r="B679" s="56">
        <v>46279</v>
      </c>
      <c r="C679" s="69">
        <v>46279.417118055557</v>
      </c>
      <c r="D679" s="55" t="s">
        <v>684</v>
      </c>
      <c r="E679" s="55" t="s">
        <v>1562</v>
      </c>
      <c r="F679" s="129" t="s">
        <v>669</v>
      </c>
      <c r="G679" s="129" t="s">
        <v>1560</v>
      </c>
    </row>
    <row r="680" spans="2:7">
      <c r="B680" s="56">
        <v>46279</v>
      </c>
      <c r="C680" s="69">
        <v>46279.417199074072</v>
      </c>
      <c r="D680" s="55" t="s">
        <v>684</v>
      </c>
      <c r="E680" s="55" t="s">
        <v>1563</v>
      </c>
      <c r="F680" s="129" t="s">
        <v>669</v>
      </c>
      <c r="G680" s="129" t="s">
        <v>1560</v>
      </c>
    </row>
    <row r="681" spans="2:7">
      <c r="B681" s="56">
        <v>46279</v>
      </c>
      <c r="C681" s="69">
        <v>46279.417222222219</v>
      </c>
      <c r="D681" s="55" t="s">
        <v>684</v>
      </c>
      <c r="E681" s="55" t="s">
        <v>1564</v>
      </c>
      <c r="F681" s="129" t="s">
        <v>669</v>
      </c>
      <c r="G681" s="129" t="s">
        <v>1560</v>
      </c>
    </row>
    <row r="682" spans="2:7">
      <c r="B682" s="56">
        <v>46279</v>
      </c>
      <c r="C682" s="69">
        <v>46279.417256944442</v>
      </c>
      <c r="D682" s="55" t="s">
        <v>684</v>
      </c>
      <c r="E682" s="55" t="s">
        <v>1565</v>
      </c>
      <c r="F682" s="129" t="s">
        <v>669</v>
      </c>
      <c r="G682" s="129" t="s">
        <v>1560</v>
      </c>
    </row>
    <row r="683" spans="2:7">
      <c r="B683" s="56">
        <v>46279</v>
      </c>
      <c r="C683" s="69">
        <v>46279.417326388888</v>
      </c>
      <c r="D683" s="55" t="s">
        <v>684</v>
      </c>
      <c r="E683" s="55" t="s">
        <v>1228</v>
      </c>
      <c r="F683" s="129" t="s">
        <v>669</v>
      </c>
      <c r="G683" s="129" t="s">
        <v>1560</v>
      </c>
    </row>
    <row r="684" spans="2:7">
      <c r="B684" s="56">
        <v>46279</v>
      </c>
      <c r="C684" s="69">
        <v>46279.417361111111</v>
      </c>
      <c r="D684" s="55" t="s">
        <v>684</v>
      </c>
      <c r="E684" s="55" t="s">
        <v>1229</v>
      </c>
      <c r="F684" s="129" t="s">
        <v>669</v>
      </c>
      <c r="G684" s="129" t="s">
        <v>1560</v>
      </c>
    </row>
    <row r="685" spans="2:7">
      <c r="B685" s="56">
        <v>46279</v>
      </c>
      <c r="C685" s="69">
        <v>46279.417453703703</v>
      </c>
      <c r="D685" s="55" t="s">
        <v>684</v>
      </c>
      <c r="E685" s="55" t="s">
        <v>1231</v>
      </c>
      <c r="F685" s="129" t="s">
        <v>669</v>
      </c>
      <c r="G685" s="129" t="s">
        <v>1560</v>
      </c>
    </row>
    <row r="686" spans="2:7">
      <c r="B686" s="56">
        <v>46279</v>
      </c>
      <c r="C686" s="69">
        <v>46279.417523148149</v>
      </c>
      <c r="D686" s="55" t="s">
        <v>684</v>
      </c>
      <c r="E686" s="55" t="s">
        <v>1230</v>
      </c>
      <c r="F686" s="129" t="s">
        <v>669</v>
      </c>
      <c r="G686" s="129" t="s">
        <v>1560</v>
      </c>
    </row>
    <row r="687" spans="2:7">
      <c r="B687" s="56">
        <v>46279</v>
      </c>
      <c r="C687" s="69">
        <v>46279.417650462965</v>
      </c>
      <c r="D687" s="55" t="s">
        <v>684</v>
      </c>
      <c r="E687" s="55" t="s">
        <v>1232</v>
      </c>
      <c r="F687" s="129" t="s">
        <v>669</v>
      </c>
      <c r="G687" s="129" t="s">
        <v>1560</v>
      </c>
    </row>
    <row r="688" spans="2:7">
      <c r="B688" s="56">
        <v>46279</v>
      </c>
      <c r="C688" s="69">
        <v>46279.417708333334</v>
      </c>
      <c r="D688" s="55" t="s">
        <v>684</v>
      </c>
      <c r="E688" s="55" t="s">
        <v>1233</v>
      </c>
      <c r="F688" s="129" t="s">
        <v>669</v>
      </c>
      <c r="G688" s="129" t="s">
        <v>1560</v>
      </c>
    </row>
    <row r="689" spans="2:7">
      <c r="B689" s="56">
        <v>46279</v>
      </c>
      <c r="C689" s="69">
        <v>46279.417731481481</v>
      </c>
      <c r="D689" s="55" t="s">
        <v>684</v>
      </c>
      <c r="E689" s="55" t="s">
        <v>1234</v>
      </c>
      <c r="F689" s="129" t="s">
        <v>669</v>
      </c>
      <c r="G689" s="129" t="s">
        <v>1560</v>
      </c>
    </row>
    <row r="690" spans="2:7">
      <c r="B690" s="56">
        <v>46279</v>
      </c>
      <c r="C690" s="69">
        <v>46279.417870370373</v>
      </c>
      <c r="D690" s="55" t="s">
        <v>684</v>
      </c>
      <c r="E690" s="55" t="s">
        <v>1235</v>
      </c>
      <c r="F690" s="129" t="s">
        <v>669</v>
      </c>
      <c r="G690" s="129" t="s">
        <v>1560</v>
      </c>
    </row>
    <row r="691" spans="2:7">
      <c r="B691" s="56">
        <v>46279</v>
      </c>
      <c r="C691" s="69">
        <v>46279.417905092596</v>
      </c>
      <c r="D691" s="55" t="s">
        <v>684</v>
      </c>
      <c r="E691" s="55" t="s">
        <v>1236</v>
      </c>
      <c r="F691" s="129" t="s">
        <v>669</v>
      </c>
      <c r="G691" s="129" t="s">
        <v>1560</v>
      </c>
    </row>
    <row r="692" spans="2:7">
      <c r="B692" s="56">
        <v>46279</v>
      </c>
      <c r="C692" s="69">
        <v>46279.417951388888</v>
      </c>
      <c r="D692" s="55" t="s">
        <v>684</v>
      </c>
      <c r="E692" s="55" t="s">
        <v>1237</v>
      </c>
      <c r="F692" s="129" t="s">
        <v>669</v>
      </c>
      <c r="G692" s="129" t="s">
        <v>1560</v>
      </c>
    </row>
    <row r="693" spans="2:7">
      <c r="B693" s="56">
        <v>46279</v>
      </c>
      <c r="C693" s="69">
        <v>46279.418078703704</v>
      </c>
      <c r="D693" s="55" t="s">
        <v>684</v>
      </c>
      <c r="E693" s="55" t="s">
        <v>1238</v>
      </c>
      <c r="F693" s="129" t="s">
        <v>669</v>
      </c>
      <c r="G693" s="129" t="s">
        <v>1560</v>
      </c>
    </row>
    <row r="694" spans="2:7">
      <c r="B694" s="56">
        <v>46279</v>
      </c>
      <c r="C694" s="69">
        <v>46279.41814814815</v>
      </c>
      <c r="D694" s="55" t="s">
        <v>684</v>
      </c>
      <c r="E694" s="55" t="s">
        <v>1239</v>
      </c>
      <c r="F694" s="129" t="s">
        <v>669</v>
      </c>
      <c r="G694" s="129" t="s">
        <v>1560</v>
      </c>
    </row>
    <row r="695" spans="2:7">
      <c r="B695" s="56">
        <v>46279</v>
      </c>
      <c r="C695" s="69">
        <v>46279.418194444443</v>
      </c>
      <c r="D695" s="55" t="s">
        <v>684</v>
      </c>
      <c r="E695" s="55" t="s">
        <v>1240</v>
      </c>
      <c r="F695" s="129" t="s">
        <v>669</v>
      </c>
      <c r="G695" s="129" t="s">
        <v>1560</v>
      </c>
    </row>
    <row r="696" spans="2:7">
      <c r="B696" s="56">
        <v>46279</v>
      </c>
      <c r="C696" s="69">
        <v>46279.418217592596</v>
      </c>
      <c r="D696" s="55" t="s">
        <v>684</v>
      </c>
      <c r="E696" s="55" t="s">
        <v>1241</v>
      </c>
      <c r="F696" s="129" t="s">
        <v>669</v>
      </c>
      <c r="G696" s="129" t="s">
        <v>1560</v>
      </c>
    </row>
    <row r="697" spans="2:7">
      <c r="B697" s="56">
        <v>46279</v>
      </c>
      <c r="C697" s="69">
        <v>46279.421041666668</v>
      </c>
      <c r="D697" s="55" t="s">
        <v>684</v>
      </c>
      <c r="E697" s="55" t="s">
        <v>1566</v>
      </c>
      <c r="F697" s="129" t="s">
        <v>667</v>
      </c>
      <c r="G697" s="129" t="s">
        <v>1537</v>
      </c>
    </row>
    <row r="698" spans="2:7">
      <c r="B698" s="56">
        <v>46279</v>
      </c>
      <c r="C698" s="69">
        <v>46279.421111111114</v>
      </c>
      <c r="D698" s="55" t="s">
        <v>684</v>
      </c>
      <c r="E698" s="55" t="s">
        <v>1567</v>
      </c>
      <c r="F698" s="129" t="s">
        <v>667</v>
      </c>
      <c r="G698" s="129" t="s">
        <v>1537</v>
      </c>
    </row>
    <row r="699" spans="2:7">
      <c r="B699" s="56">
        <v>46279</v>
      </c>
      <c r="C699" s="69">
        <v>46279.421180555553</v>
      </c>
      <c r="D699" s="55" t="s">
        <v>684</v>
      </c>
      <c r="E699" s="55" t="s">
        <v>1568</v>
      </c>
      <c r="F699" s="129" t="s">
        <v>667</v>
      </c>
      <c r="G699" s="129" t="s">
        <v>1537</v>
      </c>
    </row>
    <row r="700" spans="2:7">
      <c r="B700" s="56">
        <v>46279</v>
      </c>
      <c r="C700" s="69">
        <v>46279.421215277776</v>
      </c>
      <c r="D700" s="55" t="s">
        <v>684</v>
      </c>
      <c r="E700" s="55" t="s">
        <v>1569</v>
      </c>
      <c r="F700" s="129" t="s">
        <v>667</v>
      </c>
      <c r="G700" s="129" t="s">
        <v>1537</v>
      </c>
    </row>
    <row r="701" spans="2:7">
      <c r="B701" s="56">
        <v>46279</v>
      </c>
      <c r="C701" s="69">
        <v>46279.421261574076</v>
      </c>
      <c r="D701" s="55" t="s">
        <v>684</v>
      </c>
      <c r="E701" s="55" t="s">
        <v>1570</v>
      </c>
      <c r="F701" s="129" t="s">
        <v>667</v>
      </c>
      <c r="G701" s="129" t="s">
        <v>1537</v>
      </c>
    </row>
    <row r="702" spans="2:7">
      <c r="B702" s="56">
        <v>46279</v>
      </c>
      <c r="C702" s="69">
        <v>46279.421296296299</v>
      </c>
      <c r="D702" s="55" t="s">
        <v>684</v>
      </c>
      <c r="E702" s="55" t="s">
        <v>1571</v>
      </c>
      <c r="F702" s="129" t="s">
        <v>667</v>
      </c>
      <c r="G702" s="129" t="s">
        <v>1537</v>
      </c>
    </row>
    <row r="703" spans="2:7">
      <c r="B703" s="56">
        <v>46279</v>
      </c>
      <c r="C703" s="69">
        <v>46279.421319444446</v>
      </c>
      <c r="D703" s="55" t="s">
        <v>684</v>
      </c>
      <c r="E703" s="55" t="s">
        <v>1572</v>
      </c>
      <c r="F703" s="129" t="s">
        <v>667</v>
      </c>
      <c r="G703" s="129" t="s">
        <v>1537</v>
      </c>
    </row>
    <row r="704" spans="2:7">
      <c r="B704" s="56">
        <v>46279</v>
      </c>
      <c r="C704" s="69">
        <v>46279.421354166669</v>
      </c>
      <c r="D704" s="55" t="s">
        <v>684</v>
      </c>
      <c r="E704" s="55" t="s">
        <v>1573</v>
      </c>
      <c r="F704" s="129" t="s">
        <v>667</v>
      </c>
      <c r="G704" s="129" t="s">
        <v>1537</v>
      </c>
    </row>
    <row r="705" spans="2:7">
      <c r="B705" s="56">
        <v>46279</v>
      </c>
      <c r="C705" s="69">
        <v>46279.421412037038</v>
      </c>
      <c r="D705" s="55" t="s">
        <v>684</v>
      </c>
      <c r="E705" s="55" t="s">
        <v>1574</v>
      </c>
      <c r="F705" s="129" t="s">
        <v>667</v>
      </c>
      <c r="G705" s="129" t="s">
        <v>1537</v>
      </c>
    </row>
    <row r="706" spans="2:7">
      <c r="B706" s="56">
        <v>46279</v>
      </c>
      <c r="C706" s="69">
        <v>46279.421446759261</v>
      </c>
      <c r="D706" s="55" t="s">
        <v>684</v>
      </c>
      <c r="E706" s="55" t="s">
        <v>1016</v>
      </c>
      <c r="F706" s="129" t="s">
        <v>667</v>
      </c>
      <c r="G706" s="129" t="s">
        <v>1537</v>
      </c>
    </row>
    <row r="707" spans="2:7" ht="184.8">
      <c r="B707" s="56">
        <v>46280</v>
      </c>
      <c r="C707" s="69">
        <v>46280.489768518521</v>
      </c>
      <c r="D707" s="55" t="s">
        <v>684</v>
      </c>
      <c r="E707" s="55" t="s">
        <v>1576</v>
      </c>
      <c r="G707" s="129" t="s">
        <v>1575</v>
      </c>
    </row>
    <row r="708" spans="2:7" ht="39.6">
      <c r="B708" s="56">
        <v>46280</v>
      </c>
      <c r="C708" s="69">
        <v>46280.490243055552</v>
      </c>
      <c r="D708" s="55" t="s">
        <v>684</v>
      </c>
      <c r="E708" s="55" t="s">
        <v>1250</v>
      </c>
      <c r="G708" s="129" t="s">
        <v>562</v>
      </c>
    </row>
    <row r="709" spans="2:7" ht="66">
      <c r="B709" s="56">
        <v>46280</v>
      </c>
      <c r="C709" s="69">
        <v>46280.490543981483</v>
      </c>
      <c r="D709" s="55" t="s">
        <v>684</v>
      </c>
      <c r="E709" s="55" t="s">
        <v>1577</v>
      </c>
      <c r="G709" s="129" t="s">
        <v>568</v>
      </c>
    </row>
    <row r="710" spans="2:7" ht="66">
      <c r="B710" s="56">
        <v>46280</v>
      </c>
      <c r="C710" s="69">
        <v>46280.490567129629</v>
      </c>
      <c r="D710" s="55" t="s">
        <v>684</v>
      </c>
      <c r="E710" s="55" t="s">
        <v>1578</v>
      </c>
      <c r="G710" s="129" t="s">
        <v>568</v>
      </c>
    </row>
    <row r="711" spans="2:7" ht="92.4">
      <c r="B711" s="56">
        <v>46280</v>
      </c>
      <c r="C711" s="69">
        <v>46280.490798611114</v>
      </c>
      <c r="D711" s="55" t="s">
        <v>684</v>
      </c>
      <c r="E711" s="55" t="s">
        <v>1580</v>
      </c>
      <c r="G711" s="129" t="s">
        <v>1579</v>
      </c>
    </row>
    <row r="712" spans="2:7" ht="92.4">
      <c r="B712" s="56">
        <v>46280</v>
      </c>
      <c r="C712" s="69">
        <v>46280.49082175926</v>
      </c>
      <c r="D712" s="55" t="s">
        <v>684</v>
      </c>
      <c r="E712" s="55" t="s">
        <v>1581</v>
      </c>
      <c r="G712" s="129" t="s">
        <v>1579</v>
      </c>
    </row>
    <row r="713" spans="2:7" ht="26.4">
      <c r="B713" s="56">
        <v>46280</v>
      </c>
      <c r="C713" s="69">
        <v>46280.509456018517</v>
      </c>
      <c r="D713" s="55" t="s">
        <v>684</v>
      </c>
      <c r="E713" s="55" t="s">
        <v>1583</v>
      </c>
      <c r="F713" s="129" t="s">
        <v>8</v>
      </c>
      <c r="G713" s="129" t="s">
        <v>1582</v>
      </c>
    </row>
    <row r="714" spans="2:7">
      <c r="B714" s="56">
        <v>46280</v>
      </c>
      <c r="C714" s="69">
        <v>46280.522951388892</v>
      </c>
      <c r="D714" s="55" t="s">
        <v>684</v>
      </c>
      <c r="E714" s="55" t="s">
        <v>1280</v>
      </c>
      <c r="F714" s="129" t="s">
        <v>1274</v>
      </c>
      <c r="G714" s="130">
        <v>46142</v>
      </c>
    </row>
    <row r="715" spans="2:7">
      <c r="B715" s="56">
        <v>46280</v>
      </c>
      <c r="C715" s="69">
        <v>46280.523263888892</v>
      </c>
      <c r="D715" s="55" t="s">
        <v>684</v>
      </c>
      <c r="E715" s="55" t="s">
        <v>1275</v>
      </c>
      <c r="F715" s="129" t="s">
        <v>1274</v>
      </c>
      <c r="G715" s="130">
        <v>46142</v>
      </c>
    </row>
    <row r="716" spans="2:7">
      <c r="B716" s="56">
        <v>46280</v>
      </c>
      <c r="C716" s="69">
        <v>46280.526261574072</v>
      </c>
      <c r="D716" s="55" t="s">
        <v>684</v>
      </c>
      <c r="E716" s="55" t="s">
        <v>1584</v>
      </c>
      <c r="F716" s="130">
        <v>45323</v>
      </c>
      <c r="G716" s="130">
        <v>45381</v>
      </c>
    </row>
    <row r="717" spans="2:7">
      <c r="B717" s="56">
        <v>46280</v>
      </c>
      <c r="C717" s="69">
        <v>46280.670011574075</v>
      </c>
      <c r="D717" s="55" t="s">
        <v>684</v>
      </c>
      <c r="E717" s="55" t="s">
        <v>1292</v>
      </c>
      <c r="G717" s="129" t="s">
        <v>1585</v>
      </c>
    </row>
    <row r="718" spans="2:7">
      <c r="B718" s="56">
        <v>46280</v>
      </c>
      <c r="C718" s="69">
        <v>46280.67083333333</v>
      </c>
      <c r="D718" s="55" t="s">
        <v>684</v>
      </c>
      <c r="E718" s="55" t="s">
        <v>1586</v>
      </c>
      <c r="G718" s="129">
        <v>1</v>
      </c>
    </row>
    <row r="719" spans="2:7">
      <c r="B719" s="56">
        <v>46280</v>
      </c>
      <c r="C719" s="69">
        <v>46280.671574074076</v>
      </c>
      <c r="D719" s="55" t="s">
        <v>684</v>
      </c>
      <c r="E719" s="55" t="s">
        <v>1587</v>
      </c>
      <c r="G719" s="129">
        <v>0.5</v>
      </c>
    </row>
    <row r="720" spans="2:7">
      <c r="B720" s="56">
        <v>46280</v>
      </c>
      <c r="C720" s="69">
        <v>46280.671631944446</v>
      </c>
      <c r="D720" s="55" t="s">
        <v>684</v>
      </c>
      <c r="E720" s="55" t="s">
        <v>1588</v>
      </c>
      <c r="G720" s="129">
        <v>0.5</v>
      </c>
    </row>
    <row r="721" spans="2:7">
      <c r="B721" s="56">
        <v>46280</v>
      </c>
      <c r="C721" s="69">
        <v>46280.672048611108</v>
      </c>
      <c r="D721" s="55" t="s">
        <v>684</v>
      </c>
      <c r="E721" s="55" t="s">
        <v>1589</v>
      </c>
      <c r="G721" s="129">
        <v>1</v>
      </c>
    </row>
    <row r="722" spans="2:7">
      <c r="B722" s="56">
        <v>46280</v>
      </c>
      <c r="C722" s="69">
        <v>46280.672071759262</v>
      </c>
      <c r="D722" s="55" t="s">
        <v>684</v>
      </c>
      <c r="E722" s="55" t="s">
        <v>1590</v>
      </c>
      <c r="G722" s="129">
        <v>1</v>
      </c>
    </row>
    <row r="723" spans="2:7">
      <c r="B723" s="56">
        <v>46280</v>
      </c>
      <c r="C723" s="69">
        <v>46280.672083333331</v>
      </c>
      <c r="D723" s="55" t="s">
        <v>684</v>
      </c>
      <c r="E723" s="55" t="s">
        <v>1591</v>
      </c>
      <c r="G723" s="129">
        <v>1</v>
      </c>
    </row>
    <row r="724" spans="2:7">
      <c r="B724" s="56">
        <v>46280</v>
      </c>
      <c r="C724" s="69">
        <v>46280.672129629631</v>
      </c>
      <c r="D724" s="55" t="s">
        <v>684</v>
      </c>
      <c r="E724" s="55" t="s">
        <v>1592</v>
      </c>
      <c r="G724" s="129">
        <v>1</v>
      </c>
    </row>
    <row r="725" spans="2:7">
      <c r="B725" s="56">
        <v>46280</v>
      </c>
      <c r="C725" s="69">
        <v>46280.6721412037</v>
      </c>
      <c r="D725" s="55" t="s">
        <v>684</v>
      </c>
      <c r="E725" s="55" t="s">
        <v>1593</v>
      </c>
      <c r="G725" s="129">
        <v>1</v>
      </c>
    </row>
    <row r="726" spans="2:7">
      <c r="B726" s="56">
        <v>46280</v>
      </c>
      <c r="C726" s="69">
        <v>46280.672152777777</v>
      </c>
      <c r="D726" s="55" t="s">
        <v>684</v>
      </c>
      <c r="E726" s="55" t="s">
        <v>1594</v>
      </c>
      <c r="G726" s="129">
        <v>1</v>
      </c>
    </row>
    <row r="727" spans="2:7">
      <c r="B727" s="56">
        <v>46280</v>
      </c>
      <c r="C727" s="69">
        <v>46280.672222222223</v>
      </c>
      <c r="D727" s="55" t="s">
        <v>684</v>
      </c>
      <c r="E727" s="55" t="s">
        <v>1595</v>
      </c>
      <c r="G727" s="129">
        <v>1</v>
      </c>
    </row>
    <row r="728" spans="2:7">
      <c r="B728" s="56">
        <v>46280</v>
      </c>
      <c r="C728" s="69">
        <v>46280.672303240739</v>
      </c>
      <c r="D728" s="55" t="s">
        <v>684</v>
      </c>
      <c r="E728" s="55" t="s">
        <v>1596</v>
      </c>
      <c r="G728" s="129">
        <v>1</v>
      </c>
    </row>
    <row r="729" spans="2:7">
      <c r="B729" s="56">
        <v>46280</v>
      </c>
      <c r="C729" s="69">
        <v>46280.672314814816</v>
      </c>
      <c r="D729" s="55" t="s">
        <v>684</v>
      </c>
      <c r="E729" s="55" t="s">
        <v>1597</v>
      </c>
      <c r="G729" s="129">
        <v>1</v>
      </c>
    </row>
    <row r="730" spans="2:7">
      <c r="B730" s="56">
        <v>46280</v>
      </c>
      <c r="C730" s="69">
        <v>46280.672326388885</v>
      </c>
      <c r="D730" s="55" t="s">
        <v>684</v>
      </c>
      <c r="E730" s="55" t="s">
        <v>1598</v>
      </c>
      <c r="G730" s="129">
        <v>1</v>
      </c>
    </row>
    <row r="731" spans="2:7">
      <c r="B731" s="56">
        <v>46280</v>
      </c>
      <c r="C731" s="69">
        <v>46280.672337962962</v>
      </c>
      <c r="D731" s="55" t="s">
        <v>684</v>
      </c>
      <c r="E731" s="55" t="s">
        <v>1599</v>
      </c>
      <c r="G731" s="129">
        <v>1</v>
      </c>
    </row>
    <row r="732" spans="2:7">
      <c r="B732" s="56">
        <v>46280</v>
      </c>
      <c r="C732" s="69">
        <v>46280.672361111108</v>
      </c>
      <c r="D732" s="55" t="s">
        <v>684</v>
      </c>
      <c r="E732" s="55" t="s">
        <v>1600</v>
      </c>
      <c r="G732" s="129">
        <v>1</v>
      </c>
    </row>
    <row r="733" spans="2:7">
      <c r="B733" s="56">
        <v>46280</v>
      </c>
      <c r="C733" s="69">
        <v>46280.672372685185</v>
      </c>
      <c r="D733" s="55" t="s">
        <v>684</v>
      </c>
      <c r="E733" s="55" t="s">
        <v>1601</v>
      </c>
      <c r="G733" s="129">
        <v>1</v>
      </c>
    </row>
    <row r="734" spans="2:7">
      <c r="B734" s="56">
        <v>46280</v>
      </c>
      <c r="C734" s="69">
        <v>46280.672384259262</v>
      </c>
      <c r="D734" s="55" t="s">
        <v>684</v>
      </c>
      <c r="E734" s="55" t="s">
        <v>1602</v>
      </c>
      <c r="G734" s="129">
        <v>1</v>
      </c>
    </row>
    <row r="735" spans="2:7">
      <c r="B735" s="56">
        <v>46280</v>
      </c>
      <c r="C735" s="69">
        <v>46280.672395833331</v>
      </c>
      <c r="D735" s="55" t="s">
        <v>684</v>
      </c>
      <c r="E735" s="55" t="s">
        <v>1603</v>
      </c>
      <c r="G735" s="129">
        <v>1</v>
      </c>
    </row>
    <row r="736" spans="2:7">
      <c r="B736" s="56">
        <v>46280</v>
      </c>
      <c r="C736" s="69">
        <v>46280.672407407408</v>
      </c>
      <c r="D736" s="55" t="s">
        <v>684</v>
      </c>
      <c r="E736" s="55" t="s">
        <v>1604</v>
      </c>
      <c r="G736" s="129">
        <v>1</v>
      </c>
    </row>
    <row r="737" spans="2:7">
      <c r="B737" s="56">
        <v>46280</v>
      </c>
      <c r="C737" s="69">
        <v>46280.672407407408</v>
      </c>
      <c r="D737" s="55" t="s">
        <v>684</v>
      </c>
      <c r="E737" s="55" t="s">
        <v>1605</v>
      </c>
      <c r="G737" s="129">
        <v>1</v>
      </c>
    </row>
    <row r="738" spans="2:7">
      <c r="B738" s="56">
        <v>46280</v>
      </c>
      <c r="C738" s="69">
        <v>46280.672488425924</v>
      </c>
      <c r="D738" s="55" t="s">
        <v>684</v>
      </c>
      <c r="E738" s="55" t="s">
        <v>1606</v>
      </c>
      <c r="G738" s="129">
        <v>1</v>
      </c>
    </row>
    <row r="739" spans="2:7">
      <c r="B739" s="56">
        <v>46280</v>
      </c>
      <c r="C739" s="69">
        <v>46280.672592592593</v>
      </c>
      <c r="D739" s="55" t="s">
        <v>684</v>
      </c>
      <c r="E739" s="55" t="s">
        <v>1607</v>
      </c>
      <c r="G739" s="129">
        <v>1</v>
      </c>
    </row>
    <row r="740" spans="2:7">
      <c r="B740" s="56">
        <v>46280</v>
      </c>
      <c r="C740" s="69">
        <v>46280.672615740739</v>
      </c>
      <c r="D740" s="55" t="s">
        <v>684</v>
      </c>
      <c r="E740" s="55" t="s">
        <v>1608</v>
      </c>
      <c r="G740" s="129">
        <v>1</v>
      </c>
    </row>
    <row r="741" spans="2:7">
      <c r="B741" s="56">
        <v>46280</v>
      </c>
      <c r="C741" s="69">
        <v>46280.672627314816</v>
      </c>
      <c r="D741" s="55" t="s">
        <v>684</v>
      </c>
      <c r="E741" s="55" t="s">
        <v>1609</v>
      </c>
      <c r="G741" s="129">
        <v>1</v>
      </c>
    </row>
    <row r="742" spans="2:7">
      <c r="B742" s="56">
        <v>46280</v>
      </c>
      <c r="C742" s="69">
        <v>46280.672638888886</v>
      </c>
      <c r="D742" s="55" t="s">
        <v>684</v>
      </c>
      <c r="E742" s="55" t="s">
        <v>1610</v>
      </c>
      <c r="G742" s="129">
        <v>1</v>
      </c>
    </row>
    <row r="743" spans="2:7">
      <c r="B743" s="56">
        <v>46280</v>
      </c>
      <c r="C743" s="69">
        <v>46280.672650462962</v>
      </c>
      <c r="D743" s="55" t="s">
        <v>684</v>
      </c>
      <c r="E743" s="55" t="s">
        <v>1611</v>
      </c>
      <c r="G743" s="129">
        <v>1</v>
      </c>
    </row>
    <row r="744" spans="2:7">
      <c r="B744" s="56">
        <v>46280</v>
      </c>
      <c r="C744" s="69">
        <v>46280.672662037039</v>
      </c>
      <c r="D744" s="55" t="s">
        <v>684</v>
      </c>
      <c r="E744" s="55" t="s">
        <v>1612</v>
      </c>
      <c r="G744" s="129">
        <v>1</v>
      </c>
    </row>
    <row r="745" spans="2:7">
      <c r="B745" s="56">
        <v>46280</v>
      </c>
      <c r="C745" s="69">
        <v>46280.672673611109</v>
      </c>
      <c r="D745" s="55" t="s">
        <v>684</v>
      </c>
      <c r="E745" s="55" t="s">
        <v>1613</v>
      </c>
      <c r="G745" s="129">
        <v>1</v>
      </c>
    </row>
    <row r="746" spans="2:7">
      <c r="B746" s="56">
        <v>46280</v>
      </c>
      <c r="C746" s="69">
        <v>46280.672673611109</v>
      </c>
      <c r="D746" s="55" t="s">
        <v>684</v>
      </c>
      <c r="E746" s="55" t="s">
        <v>1614</v>
      </c>
      <c r="G746" s="129">
        <v>1</v>
      </c>
    </row>
    <row r="747" spans="2:7">
      <c r="B747" s="56">
        <v>46280</v>
      </c>
      <c r="C747" s="69">
        <v>46280.672743055555</v>
      </c>
      <c r="D747" s="55" t="s">
        <v>684</v>
      </c>
      <c r="E747" s="55" t="s">
        <v>1615</v>
      </c>
      <c r="G747" s="129">
        <v>4</v>
      </c>
    </row>
    <row r="748" spans="2:7">
      <c r="B748" s="56">
        <v>46280</v>
      </c>
      <c r="C748" s="69">
        <v>46280.672777777778</v>
      </c>
      <c r="D748" s="55" t="s">
        <v>684</v>
      </c>
      <c r="E748" s="55" t="s">
        <v>1614</v>
      </c>
      <c r="F748" s="129">
        <v>1</v>
      </c>
      <c r="G748" s="129">
        <v>0.5</v>
      </c>
    </row>
    <row r="749" spans="2:7">
      <c r="B749" s="56">
        <v>46280</v>
      </c>
      <c r="C749" s="69">
        <v>46280.672812500001</v>
      </c>
      <c r="D749" s="55" t="s">
        <v>684</v>
      </c>
      <c r="E749" s="55" t="s">
        <v>1615</v>
      </c>
      <c r="F749" s="129">
        <v>4</v>
      </c>
      <c r="G749" s="129">
        <v>0.5</v>
      </c>
    </row>
    <row r="750" spans="2:7">
      <c r="B750" s="56">
        <v>46280</v>
      </c>
      <c r="C750" s="69">
        <v>46280.672835648147</v>
      </c>
      <c r="D750" s="55" t="s">
        <v>684</v>
      </c>
      <c r="E750" s="55" t="s">
        <v>1616</v>
      </c>
      <c r="G750" s="129">
        <v>1</v>
      </c>
    </row>
    <row r="751" spans="2:7">
      <c r="B751" s="56">
        <v>46280</v>
      </c>
      <c r="C751" s="69">
        <v>46280.672835648147</v>
      </c>
      <c r="D751" s="55" t="s">
        <v>684</v>
      </c>
      <c r="E751" s="55" t="s">
        <v>1617</v>
      </c>
      <c r="G751" s="129">
        <v>1</v>
      </c>
    </row>
    <row r="752" spans="2:7">
      <c r="B752" s="56">
        <v>46280</v>
      </c>
      <c r="C752" s="69">
        <v>46280.672858796293</v>
      </c>
      <c r="D752" s="55" t="s">
        <v>684</v>
      </c>
      <c r="E752" s="55" t="s">
        <v>1618</v>
      </c>
      <c r="G752" s="129">
        <v>1</v>
      </c>
    </row>
    <row r="753" spans="2:7">
      <c r="B753" s="56">
        <v>46280</v>
      </c>
      <c r="C753" s="69">
        <v>46280.67287037037</v>
      </c>
      <c r="D753" s="55" t="s">
        <v>684</v>
      </c>
      <c r="E753" s="55" t="s">
        <v>1619</v>
      </c>
      <c r="G753" s="129">
        <v>1</v>
      </c>
    </row>
    <row r="754" spans="2:7">
      <c r="B754" s="56">
        <v>46280</v>
      </c>
      <c r="C754" s="69">
        <v>46280.67287037037</v>
      </c>
      <c r="D754" s="55" t="s">
        <v>684</v>
      </c>
      <c r="E754" s="55" t="s">
        <v>1620</v>
      </c>
      <c r="G754" s="129">
        <v>1</v>
      </c>
    </row>
    <row r="755" spans="2:7">
      <c r="B755" s="56">
        <v>46280</v>
      </c>
      <c r="C755" s="69">
        <v>46280.672881944447</v>
      </c>
      <c r="D755" s="55" t="s">
        <v>684</v>
      </c>
      <c r="E755" s="55" t="s">
        <v>1621</v>
      </c>
      <c r="G755" s="129">
        <v>1</v>
      </c>
    </row>
    <row r="756" spans="2:7">
      <c r="B756" s="56">
        <v>46280</v>
      </c>
      <c r="C756" s="69">
        <v>46280.672905092593</v>
      </c>
      <c r="D756" s="55" t="s">
        <v>684</v>
      </c>
      <c r="E756" s="55" t="s">
        <v>1622</v>
      </c>
      <c r="G756" s="129">
        <v>1</v>
      </c>
    </row>
    <row r="757" spans="2:7">
      <c r="B757" s="56">
        <v>46280</v>
      </c>
      <c r="C757" s="69">
        <v>46280.67291666667</v>
      </c>
      <c r="D757" s="55" t="s">
        <v>684</v>
      </c>
      <c r="E757" s="55" t="s">
        <v>1623</v>
      </c>
      <c r="G757" s="129">
        <v>1</v>
      </c>
    </row>
    <row r="758" spans="2:7">
      <c r="B758" s="56">
        <v>46280</v>
      </c>
      <c r="C758" s="69">
        <v>46280.67292824074</v>
      </c>
      <c r="D758" s="55" t="s">
        <v>684</v>
      </c>
      <c r="E758" s="55" t="s">
        <v>1624</v>
      </c>
      <c r="G758" s="129">
        <v>1</v>
      </c>
    </row>
    <row r="759" spans="2:7">
      <c r="B759" s="56">
        <v>46280</v>
      </c>
      <c r="C759" s="69">
        <v>46280.672939814816</v>
      </c>
      <c r="D759" s="55" t="s">
        <v>684</v>
      </c>
      <c r="E759" s="55" t="s">
        <v>1625</v>
      </c>
      <c r="G759" s="129">
        <v>1</v>
      </c>
    </row>
    <row r="760" spans="2:7">
      <c r="B760" s="56">
        <v>46280</v>
      </c>
      <c r="C760" s="69">
        <v>46280.672951388886</v>
      </c>
      <c r="D760" s="55" t="s">
        <v>684</v>
      </c>
      <c r="E760" s="55" t="s">
        <v>1626</v>
      </c>
      <c r="G760" s="129">
        <v>1</v>
      </c>
    </row>
    <row r="761" spans="2:7">
      <c r="B761" s="56">
        <v>46280</v>
      </c>
      <c r="C761" s="69">
        <v>46280.672962962963</v>
      </c>
      <c r="D761" s="55" t="s">
        <v>684</v>
      </c>
      <c r="E761" s="55" t="s">
        <v>1627</v>
      </c>
      <c r="G761" s="129">
        <v>1</v>
      </c>
    </row>
    <row r="762" spans="2:7">
      <c r="B762" s="56">
        <v>46280</v>
      </c>
      <c r="C762" s="69">
        <v>46280.673043981478</v>
      </c>
      <c r="D762" s="55" t="s">
        <v>684</v>
      </c>
      <c r="E762" s="55" t="s">
        <v>1627</v>
      </c>
      <c r="F762" s="129">
        <v>1</v>
      </c>
      <c r="G762" s="129">
        <v>0.5</v>
      </c>
    </row>
    <row r="763" spans="2:7">
      <c r="B763" s="56">
        <v>46280</v>
      </c>
      <c r="C763" s="69">
        <v>46280.673067129632</v>
      </c>
      <c r="D763" s="55" t="s">
        <v>684</v>
      </c>
      <c r="E763" s="55" t="s">
        <v>1628</v>
      </c>
      <c r="G763" s="129">
        <v>0.5</v>
      </c>
    </row>
    <row r="764" spans="2:7">
      <c r="B764" s="56">
        <v>46280</v>
      </c>
      <c r="C764" s="69">
        <v>46280.673252314817</v>
      </c>
      <c r="D764" s="55" t="s">
        <v>684</v>
      </c>
      <c r="E764" s="55" t="s">
        <v>1629</v>
      </c>
      <c r="G764" s="129">
        <v>0.5</v>
      </c>
    </row>
    <row r="765" spans="2:7">
      <c r="B765" s="56">
        <v>46280</v>
      </c>
      <c r="C765" s="69">
        <v>46280.67328703704</v>
      </c>
      <c r="D765" s="55" t="s">
        <v>684</v>
      </c>
      <c r="E765" s="55" t="s">
        <v>1630</v>
      </c>
      <c r="G765" s="129">
        <v>0.5</v>
      </c>
    </row>
    <row r="766" spans="2:7">
      <c r="B766" s="56">
        <v>46280</v>
      </c>
      <c r="C766" s="69">
        <v>46280.673356481479</v>
      </c>
      <c r="D766" s="55" t="s">
        <v>684</v>
      </c>
      <c r="E766" s="55" t="s">
        <v>1631</v>
      </c>
      <c r="G766" s="129">
        <v>1</v>
      </c>
    </row>
    <row r="767" spans="2:7">
      <c r="B767" s="56">
        <v>46280</v>
      </c>
      <c r="C767" s="69">
        <v>46280.673402777778</v>
      </c>
      <c r="D767" s="55" t="s">
        <v>684</v>
      </c>
      <c r="E767" s="55" t="s">
        <v>1632</v>
      </c>
      <c r="G767" s="129">
        <v>10</v>
      </c>
    </row>
    <row r="768" spans="2:7">
      <c r="B768" s="56">
        <v>46280</v>
      </c>
      <c r="C768" s="69">
        <v>46280.673437500001</v>
      </c>
      <c r="D768" s="55" t="s">
        <v>684</v>
      </c>
      <c r="E768" s="55" t="s">
        <v>1632</v>
      </c>
      <c r="F768" s="129">
        <v>10</v>
      </c>
      <c r="G768" s="129">
        <v>0.5</v>
      </c>
    </row>
    <row r="769" spans="2:7">
      <c r="B769" s="56">
        <v>46280</v>
      </c>
      <c r="C769" s="69">
        <v>46280.673472222225</v>
      </c>
      <c r="D769" s="55" t="s">
        <v>684</v>
      </c>
      <c r="E769" s="55" t="s">
        <v>1633</v>
      </c>
      <c r="G769" s="129">
        <v>0.5</v>
      </c>
    </row>
    <row r="770" spans="2:7">
      <c r="B770" s="56">
        <v>46280</v>
      </c>
      <c r="C770" s="69">
        <v>46280.67496527778</v>
      </c>
      <c r="D770" s="55" t="s">
        <v>684</v>
      </c>
      <c r="E770" s="55" t="s">
        <v>1634</v>
      </c>
      <c r="G770" s="129">
        <v>0.33</v>
      </c>
    </row>
    <row r="771" spans="2:7">
      <c r="B771" s="56">
        <v>46280</v>
      </c>
      <c r="C771" s="69">
        <v>46280.675011574072</v>
      </c>
      <c r="D771" s="55" t="s">
        <v>684</v>
      </c>
      <c r="E771" s="55" t="s">
        <v>1632</v>
      </c>
      <c r="F771" s="129">
        <v>0.5</v>
      </c>
      <c r="G771" s="129">
        <v>0.33</v>
      </c>
    </row>
    <row r="772" spans="2:7">
      <c r="B772" s="56">
        <v>46280</v>
      </c>
      <c r="C772" s="69">
        <v>46280.675046296295</v>
      </c>
      <c r="D772" s="55" t="s">
        <v>684</v>
      </c>
      <c r="E772" s="55" t="s">
        <v>1633</v>
      </c>
      <c r="F772" s="129">
        <v>0.5</v>
      </c>
      <c r="G772" s="129">
        <v>0.33</v>
      </c>
    </row>
    <row r="773" spans="2:7">
      <c r="B773" s="56">
        <v>46280</v>
      </c>
      <c r="C773" s="69">
        <v>46280.675092592595</v>
      </c>
      <c r="D773" s="55" t="s">
        <v>684</v>
      </c>
      <c r="E773" s="55" t="s">
        <v>1634</v>
      </c>
      <c r="F773" s="129">
        <v>0.33</v>
      </c>
      <c r="G773" s="129">
        <v>0.34</v>
      </c>
    </row>
    <row r="774" spans="2:7">
      <c r="B774" s="56">
        <v>46280</v>
      </c>
      <c r="C774" s="69">
        <v>46280.675185185188</v>
      </c>
      <c r="D774" s="55" t="s">
        <v>684</v>
      </c>
      <c r="E774" s="55" t="s">
        <v>1635</v>
      </c>
      <c r="G774" s="129">
        <v>0.5</v>
      </c>
    </row>
    <row r="775" spans="2:7">
      <c r="B775" s="56">
        <v>46280</v>
      </c>
      <c r="C775" s="69">
        <v>46280.675208333334</v>
      </c>
      <c r="D775" s="55" t="s">
        <v>684</v>
      </c>
      <c r="E775" s="55" t="s">
        <v>1636</v>
      </c>
      <c r="G775" s="129">
        <v>0.5</v>
      </c>
    </row>
    <row r="776" spans="2:7">
      <c r="B776" s="56">
        <v>46280</v>
      </c>
      <c r="C776" s="69">
        <v>46280.675243055557</v>
      </c>
      <c r="D776" s="55" t="s">
        <v>684</v>
      </c>
      <c r="E776" s="55" t="s">
        <v>1637</v>
      </c>
      <c r="G776" s="129">
        <v>1</v>
      </c>
    </row>
    <row r="777" spans="2:7">
      <c r="B777" s="56">
        <v>46280</v>
      </c>
      <c r="C777" s="69">
        <v>46280.675254629627</v>
      </c>
      <c r="D777" s="55" t="s">
        <v>684</v>
      </c>
      <c r="E777" s="55" t="s">
        <v>1638</v>
      </c>
      <c r="G777" s="129">
        <v>1</v>
      </c>
    </row>
    <row r="778" spans="2:7">
      <c r="B778" s="56">
        <v>46280</v>
      </c>
      <c r="C778" s="69">
        <v>46280.675266203703</v>
      </c>
      <c r="D778" s="55" t="s">
        <v>684</v>
      </c>
      <c r="E778" s="55" t="s">
        <v>1639</v>
      </c>
      <c r="G778" s="129">
        <v>1</v>
      </c>
    </row>
    <row r="779" spans="2:7">
      <c r="B779" s="56">
        <v>46280</v>
      </c>
      <c r="C779" s="69">
        <v>46280.67527777778</v>
      </c>
      <c r="D779" s="55" t="s">
        <v>684</v>
      </c>
      <c r="E779" s="55" t="s">
        <v>1640</v>
      </c>
      <c r="G779" s="129">
        <v>1</v>
      </c>
    </row>
    <row r="780" spans="2:7">
      <c r="B780" s="56">
        <v>46280</v>
      </c>
      <c r="C780" s="69">
        <v>46280.67528935185</v>
      </c>
      <c r="D780" s="55" t="s">
        <v>684</v>
      </c>
      <c r="E780" s="55" t="s">
        <v>1641</v>
      </c>
      <c r="G780" s="129">
        <v>1</v>
      </c>
    </row>
    <row r="781" spans="2:7">
      <c r="B781" s="56">
        <v>46280</v>
      </c>
      <c r="C781" s="69">
        <v>46280.675324074073</v>
      </c>
      <c r="D781" s="55" t="s">
        <v>684</v>
      </c>
      <c r="E781" s="55" t="s">
        <v>1642</v>
      </c>
      <c r="G781" s="129">
        <v>4</v>
      </c>
    </row>
    <row r="782" spans="2:7">
      <c r="B782" s="56">
        <v>46280</v>
      </c>
      <c r="C782" s="69">
        <v>46280.675428240742</v>
      </c>
      <c r="D782" s="55" t="s">
        <v>684</v>
      </c>
      <c r="E782" s="55" t="s">
        <v>1641</v>
      </c>
      <c r="F782" s="129">
        <v>1</v>
      </c>
      <c r="G782" s="129">
        <v>0.33</v>
      </c>
    </row>
    <row r="783" spans="2:7">
      <c r="B783" s="56">
        <v>46280</v>
      </c>
      <c r="C783" s="69">
        <v>46280.675462962965</v>
      </c>
      <c r="D783" s="55" t="s">
        <v>684</v>
      </c>
      <c r="E783" s="55" t="s">
        <v>1642</v>
      </c>
      <c r="F783" s="129">
        <v>4</v>
      </c>
      <c r="G783" s="129">
        <v>0.33</v>
      </c>
    </row>
    <row r="784" spans="2:7">
      <c r="B784" s="56">
        <v>46280</v>
      </c>
      <c r="C784" s="69">
        <v>46280.675497685188</v>
      </c>
      <c r="D784" s="55" t="s">
        <v>684</v>
      </c>
      <c r="E784" s="55" t="s">
        <v>1643</v>
      </c>
      <c r="G784" s="129">
        <v>0.34</v>
      </c>
    </row>
    <row r="785" spans="2:7">
      <c r="B785" s="56">
        <v>46280</v>
      </c>
      <c r="C785" s="69">
        <v>46280.675578703704</v>
      </c>
      <c r="D785" s="55" t="s">
        <v>684</v>
      </c>
      <c r="E785" s="55" t="s">
        <v>1644</v>
      </c>
      <c r="G785" s="129">
        <v>0.33</v>
      </c>
    </row>
    <row r="786" spans="2:7">
      <c r="B786" s="56">
        <v>46280</v>
      </c>
      <c r="C786" s="69">
        <v>46280.67559027778</v>
      </c>
      <c r="D786" s="55" t="s">
        <v>684</v>
      </c>
      <c r="E786" s="55" t="s">
        <v>1645</v>
      </c>
      <c r="G786" s="129">
        <v>0.33</v>
      </c>
    </row>
    <row r="787" spans="2:7">
      <c r="B787" s="56">
        <v>46280</v>
      </c>
      <c r="C787" s="69">
        <v>46280.675625000003</v>
      </c>
      <c r="D787" s="55" t="s">
        <v>684</v>
      </c>
      <c r="E787" s="55" t="s">
        <v>1646</v>
      </c>
      <c r="G787" s="129">
        <v>0.34</v>
      </c>
    </row>
    <row r="788" spans="2:7">
      <c r="B788" s="56">
        <v>46280</v>
      </c>
      <c r="C788" s="69">
        <v>46280.675694444442</v>
      </c>
      <c r="D788" s="55" t="s">
        <v>684</v>
      </c>
      <c r="E788" s="55" t="s">
        <v>1647</v>
      </c>
      <c r="G788" s="129">
        <v>0.5</v>
      </c>
    </row>
    <row r="789" spans="2:7">
      <c r="B789" s="56">
        <v>46280</v>
      </c>
      <c r="C789" s="69">
        <v>46280.675717592596</v>
      </c>
      <c r="D789" s="55" t="s">
        <v>684</v>
      </c>
      <c r="E789" s="55" t="s">
        <v>1648</v>
      </c>
      <c r="G789" s="129">
        <v>0.5</v>
      </c>
    </row>
    <row r="790" spans="2:7">
      <c r="B790" s="56">
        <v>46280</v>
      </c>
      <c r="C790" s="69">
        <v>46280.675752314812</v>
      </c>
      <c r="D790" s="55" t="s">
        <v>684</v>
      </c>
      <c r="E790" s="55" t="s">
        <v>1649</v>
      </c>
      <c r="G790" s="129">
        <v>1</v>
      </c>
    </row>
    <row r="791" spans="2:7">
      <c r="B791" s="56">
        <v>46280</v>
      </c>
      <c r="C791" s="69">
        <v>46280.675752314812</v>
      </c>
      <c r="D791" s="55" t="s">
        <v>684</v>
      </c>
      <c r="E791" s="55" t="s">
        <v>1650</v>
      </c>
      <c r="G791" s="129">
        <v>1</v>
      </c>
    </row>
    <row r="792" spans="2:7">
      <c r="B792" s="56">
        <v>46280</v>
      </c>
      <c r="C792" s="69">
        <v>46280.675763888888</v>
      </c>
      <c r="D792" s="55" t="s">
        <v>684</v>
      </c>
      <c r="E792" s="55" t="s">
        <v>1651</v>
      </c>
      <c r="G792" s="129">
        <v>1</v>
      </c>
    </row>
    <row r="793" spans="2:7">
      <c r="B793" s="56">
        <v>46280</v>
      </c>
      <c r="C793" s="69">
        <v>46280.675775462965</v>
      </c>
      <c r="D793" s="55" t="s">
        <v>684</v>
      </c>
      <c r="E793" s="55" t="s">
        <v>1652</v>
      </c>
      <c r="G793" s="129">
        <v>1</v>
      </c>
    </row>
    <row r="794" spans="2:7">
      <c r="B794" s="56">
        <v>46280</v>
      </c>
      <c r="C794" s="69">
        <v>46280.675798611112</v>
      </c>
      <c r="D794" s="55" t="s">
        <v>684</v>
      </c>
      <c r="E794" s="55" t="s">
        <v>1653</v>
      </c>
      <c r="G794" s="129">
        <v>1</v>
      </c>
    </row>
    <row r="795" spans="2:7">
      <c r="B795" s="56">
        <v>46280</v>
      </c>
      <c r="C795" s="69">
        <v>46280.675821759258</v>
      </c>
      <c r="D795" s="55" t="s">
        <v>684</v>
      </c>
      <c r="E795" s="55" t="s">
        <v>1653</v>
      </c>
      <c r="F795" s="129">
        <v>1</v>
      </c>
      <c r="G795" s="129">
        <v>0.5</v>
      </c>
    </row>
    <row r="796" spans="2:7">
      <c r="B796" s="56">
        <v>46280</v>
      </c>
      <c r="C796" s="69">
        <v>46280.675844907404</v>
      </c>
      <c r="D796" s="55" t="s">
        <v>684</v>
      </c>
      <c r="E796" s="55" t="s">
        <v>1654</v>
      </c>
      <c r="G796" s="129">
        <v>0.5</v>
      </c>
    </row>
    <row r="797" spans="2:7">
      <c r="B797" s="56">
        <v>46280</v>
      </c>
      <c r="C797" s="69">
        <v>46280.675879629627</v>
      </c>
      <c r="D797" s="55" t="s">
        <v>684</v>
      </c>
      <c r="E797" s="55" t="s">
        <v>1655</v>
      </c>
      <c r="G797" s="129">
        <v>1</v>
      </c>
    </row>
    <row r="798" spans="2:7">
      <c r="B798" s="56">
        <v>46280</v>
      </c>
      <c r="C798" s="69">
        <v>46280.675902777781</v>
      </c>
      <c r="D798" s="55" t="s">
        <v>684</v>
      </c>
      <c r="E798" s="55" t="s">
        <v>1656</v>
      </c>
      <c r="G798" s="129">
        <v>1</v>
      </c>
    </row>
    <row r="799" spans="2:7">
      <c r="B799" s="56">
        <v>46280</v>
      </c>
      <c r="C799" s="69">
        <v>46280.67591435185</v>
      </c>
      <c r="D799" s="55" t="s">
        <v>684</v>
      </c>
      <c r="E799" s="55" t="s">
        <v>1657</v>
      </c>
      <c r="G799" s="129">
        <v>1</v>
      </c>
    </row>
    <row r="800" spans="2:7">
      <c r="B800" s="56">
        <v>46280</v>
      </c>
      <c r="C800" s="69">
        <v>46280.67597222222</v>
      </c>
      <c r="D800" s="55" t="s">
        <v>684</v>
      </c>
      <c r="E800" s="55" t="s">
        <v>1657</v>
      </c>
      <c r="F800" s="129">
        <v>1</v>
      </c>
      <c r="G800" s="129">
        <v>0.5</v>
      </c>
    </row>
    <row r="801" spans="2:7">
      <c r="B801" s="56">
        <v>46280</v>
      </c>
      <c r="C801" s="69">
        <v>46280.675983796296</v>
      </c>
      <c r="D801" s="55" t="s">
        <v>684</v>
      </c>
      <c r="E801" s="55" t="s">
        <v>1658</v>
      </c>
      <c r="G801" s="129">
        <v>0.5</v>
      </c>
    </row>
    <row r="802" spans="2:7">
      <c r="B802" s="56">
        <v>46280</v>
      </c>
      <c r="C802" s="69">
        <v>46280.676006944443</v>
      </c>
      <c r="D802" s="55" t="s">
        <v>684</v>
      </c>
      <c r="E802" s="55" t="s">
        <v>1659</v>
      </c>
      <c r="G802" s="129">
        <v>1</v>
      </c>
    </row>
    <row r="803" spans="2:7">
      <c r="B803" s="56">
        <v>46280</v>
      </c>
      <c r="C803" s="69">
        <v>46280.676018518519</v>
      </c>
      <c r="D803" s="55" t="s">
        <v>684</v>
      </c>
      <c r="E803" s="55" t="s">
        <v>1660</v>
      </c>
      <c r="G803" s="129">
        <v>1</v>
      </c>
    </row>
    <row r="804" spans="2:7">
      <c r="B804" s="56">
        <v>46280</v>
      </c>
      <c r="C804" s="69">
        <v>46280.676030092596</v>
      </c>
      <c r="D804" s="55" t="s">
        <v>684</v>
      </c>
      <c r="E804" s="55" t="s">
        <v>1661</v>
      </c>
      <c r="G804" s="129">
        <v>1</v>
      </c>
    </row>
    <row r="805" spans="2:7">
      <c r="B805" s="56">
        <v>46280</v>
      </c>
      <c r="C805" s="69">
        <v>46280.676134259258</v>
      </c>
      <c r="D805" s="55" t="s">
        <v>684</v>
      </c>
      <c r="E805" s="55" t="s">
        <v>1661</v>
      </c>
      <c r="F805" s="129">
        <v>1</v>
      </c>
      <c r="G805" s="129">
        <v>0.25</v>
      </c>
    </row>
    <row r="806" spans="2:7">
      <c r="B806" s="56">
        <v>46280</v>
      </c>
      <c r="C806" s="69">
        <v>46280.676157407404</v>
      </c>
      <c r="D806" s="55" t="s">
        <v>684</v>
      </c>
      <c r="E806" s="55" t="s">
        <v>1662</v>
      </c>
      <c r="G806" s="129">
        <v>0.25</v>
      </c>
    </row>
    <row r="807" spans="2:7">
      <c r="B807" s="56">
        <v>46280</v>
      </c>
      <c r="C807" s="69">
        <v>46280.676180555558</v>
      </c>
      <c r="D807" s="55" t="s">
        <v>684</v>
      </c>
      <c r="E807" s="55" t="s">
        <v>1663</v>
      </c>
      <c r="G807" s="129">
        <v>0.25</v>
      </c>
    </row>
    <row r="808" spans="2:7">
      <c r="B808" s="56">
        <v>46280</v>
      </c>
      <c r="C808" s="69">
        <v>46280.676215277781</v>
      </c>
      <c r="D808" s="55" t="s">
        <v>684</v>
      </c>
      <c r="E808" s="55" t="s">
        <v>1664</v>
      </c>
      <c r="G808" s="129">
        <v>0.25</v>
      </c>
    </row>
    <row r="809" spans="2:7">
      <c r="B809" s="56">
        <v>46280</v>
      </c>
      <c r="C809" s="69">
        <v>46280.676261574074</v>
      </c>
      <c r="D809" s="55" t="s">
        <v>684</v>
      </c>
      <c r="E809" s="55" t="s">
        <v>1665</v>
      </c>
      <c r="G809" s="129">
        <v>1</v>
      </c>
    </row>
    <row r="810" spans="2:7">
      <c r="B810" s="56">
        <v>46280</v>
      </c>
      <c r="C810" s="69">
        <v>46280.67627314815</v>
      </c>
      <c r="D810" s="55" t="s">
        <v>684</v>
      </c>
      <c r="E810" s="55" t="s">
        <v>1666</v>
      </c>
      <c r="G810" s="129">
        <v>1</v>
      </c>
    </row>
    <row r="811" spans="2:7">
      <c r="B811" s="56">
        <v>46280</v>
      </c>
      <c r="C811" s="69">
        <v>46280.676319444443</v>
      </c>
      <c r="D811" s="55" t="s">
        <v>684</v>
      </c>
      <c r="E811" s="55" t="s">
        <v>1666</v>
      </c>
      <c r="F811" s="129">
        <v>1</v>
      </c>
      <c r="G811" s="129">
        <v>0.5</v>
      </c>
    </row>
    <row r="812" spans="2:7">
      <c r="B812" s="56">
        <v>46280</v>
      </c>
      <c r="C812" s="69">
        <v>46280.676342592589</v>
      </c>
      <c r="D812" s="55" t="s">
        <v>684</v>
      </c>
      <c r="E812" s="55" t="s">
        <v>1667</v>
      </c>
      <c r="G812" s="129">
        <v>0.5</v>
      </c>
    </row>
    <row r="813" spans="2:7">
      <c r="B813" s="56">
        <v>46280</v>
      </c>
      <c r="C813" s="69">
        <v>46280.676365740743</v>
      </c>
      <c r="D813" s="55" t="s">
        <v>684</v>
      </c>
      <c r="E813" s="55" t="s">
        <v>1668</v>
      </c>
      <c r="G813" s="129">
        <v>1</v>
      </c>
    </row>
    <row r="814" spans="2:7">
      <c r="B814" s="56">
        <v>46280</v>
      </c>
      <c r="C814" s="69">
        <v>46280.676377314812</v>
      </c>
      <c r="D814" s="55" t="s">
        <v>684</v>
      </c>
      <c r="E814" s="55" t="s">
        <v>1669</v>
      </c>
      <c r="G814" s="129">
        <v>1</v>
      </c>
    </row>
    <row r="815" spans="2:7">
      <c r="B815" s="56">
        <v>46280</v>
      </c>
      <c r="C815" s="69">
        <v>46280.676388888889</v>
      </c>
      <c r="D815" s="55" t="s">
        <v>684</v>
      </c>
      <c r="E815" s="55" t="s">
        <v>1670</v>
      </c>
      <c r="G815" s="129">
        <v>1</v>
      </c>
    </row>
    <row r="816" spans="2:7">
      <c r="B816" s="56">
        <v>46280</v>
      </c>
      <c r="C816" s="69">
        <v>46280.676400462966</v>
      </c>
      <c r="D816" s="55" t="s">
        <v>684</v>
      </c>
      <c r="E816" s="55" t="s">
        <v>1671</v>
      </c>
      <c r="G816" s="129">
        <v>1</v>
      </c>
    </row>
    <row r="817" spans="2:7">
      <c r="B817" s="56">
        <v>46280</v>
      </c>
      <c r="C817" s="69">
        <v>46280.676412037035</v>
      </c>
      <c r="D817" s="55" t="s">
        <v>684</v>
      </c>
      <c r="E817" s="55" t="s">
        <v>1672</v>
      </c>
      <c r="G817" s="129">
        <v>1</v>
      </c>
    </row>
    <row r="818" spans="2:7">
      <c r="B818" s="56">
        <v>46280</v>
      </c>
      <c r="C818" s="69">
        <v>46280.676412037035</v>
      </c>
      <c r="D818" s="55" t="s">
        <v>684</v>
      </c>
      <c r="E818" s="55" t="s">
        <v>1673</v>
      </c>
      <c r="G818" s="129">
        <v>1</v>
      </c>
    </row>
    <row r="819" spans="2:7">
      <c r="B819" s="56">
        <v>46280</v>
      </c>
      <c r="C819" s="69">
        <v>46280.676423611112</v>
      </c>
      <c r="D819" s="55" t="s">
        <v>684</v>
      </c>
      <c r="E819" s="55" t="s">
        <v>1674</v>
      </c>
      <c r="G819" s="129">
        <v>1</v>
      </c>
    </row>
    <row r="820" spans="2:7">
      <c r="B820" s="56">
        <v>46280</v>
      </c>
      <c r="C820" s="69">
        <v>46280.676435185182</v>
      </c>
      <c r="D820" s="55" t="s">
        <v>684</v>
      </c>
      <c r="E820" s="55" t="s">
        <v>1675</v>
      </c>
      <c r="G820" s="129">
        <v>1</v>
      </c>
    </row>
    <row r="821" spans="2:7">
      <c r="B821" s="56">
        <v>46280</v>
      </c>
      <c r="C821" s="69">
        <v>46280.676504629628</v>
      </c>
      <c r="D821" s="55" t="s">
        <v>684</v>
      </c>
      <c r="E821" s="55" t="s">
        <v>1675</v>
      </c>
      <c r="F821" s="129">
        <v>1</v>
      </c>
      <c r="G821" s="129">
        <v>0.33</v>
      </c>
    </row>
    <row r="822" spans="2:7">
      <c r="B822" s="56">
        <v>46280</v>
      </c>
      <c r="C822" s="69">
        <v>46280.676539351851</v>
      </c>
      <c r="D822" s="55" t="s">
        <v>684</v>
      </c>
      <c r="E822" s="55" t="s">
        <v>1676</v>
      </c>
      <c r="G822" s="129">
        <v>0.33</v>
      </c>
    </row>
    <row r="823" spans="2:7">
      <c r="B823" s="56">
        <v>46280</v>
      </c>
      <c r="C823" s="69">
        <v>46280.676574074074</v>
      </c>
      <c r="D823" s="55" t="s">
        <v>684</v>
      </c>
      <c r="E823" s="55" t="s">
        <v>1677</v>
      </c>
      <c r="G823" s="129">
        <v>0.34</v>
      </c>
    </row>
    <row r="824" spans="2:7">
      <c r="B824" s="56">
        <v>46280</v>
      </c>
      <c r="C824" s="69">
        <v>46280.67659722222</v>
      </c>
      <c r="D824" s="55" t="s">
        <v>684</v>
      </c>
      <c r="E824" s="55" t="s">
        <v>1678</v>
      </c>
      <c r="G824" s="129">
        <v>1</v>
      </c>
    </row>
    <row r="825" spans="2:7">
      <c r="B825" s="56">
        <v>46280</v>
      </c>
      <c r="C825" s="69">
        <v>46280.676608796297</v>
      </c>
      <c r="D825" s="55" t="s">
        <v>684</v>
      </c>
      <c r="E825" s="55" t="s">
        <v>1679</v>
      </c>
      <c r="G825" s="129">
        <v>1</v>
      </c>
    </row>
    <row r="826" spans="2:7">
      <c r="B826" s="56">
        <v>46280</v>
      </c>
      <c r="C826" s="69">
        <v>46280.676608796297</v>
      </c>
      <c r="D826" s="55" t="s">
        <v>684</v>
      </c>
      <c r="E826" s="55" t="s">
        <v>1680</v>
      </c>
      <c r="G826" s="129">
        <v>1</v>
      </c>
    </row>
    <row r="827" spans="2:7">
      <c r="B827" s="56">
        <v>46280</v>
      </c>
      <c r="C827" s="69">
        <v>46280.676620370374</v>
      </c>
      <c r="D827" s="55" t="s">
        <v>684</v>
      </c>
      <c r="E827" s="55" t="s">
        <v>1681</v>
      </c>
      <c r="G827" s="129">
        <v>1</v>
      </c>
    </row>
    <row r="828" spans="2:7">
      <c r="B828" s="56">
        <v>46280</v>
      </c>
      <c r="C828" s="69">
        <v>46280.676631944443</v>
      </c>
      <c r="D828" s="55" t="s">
        <v>684</v>
      </c>
      <c r="E828" s="55" t="s">
        <v>1682</v>
      </c>
      <c r="G828" s="129">
        <v>1</v>
      </c>
    </row>
    <row r="829" spans="2:7">
      <c r="B829" s="56">
        <v>46280</v>
      </c>
      <c r="C829" s="69">
        <v>46280.67664351852</v>
      </c>
      <c r="D829" s="55" t="s">
        <v>684</v>
      </c>
      <c r="E829" s="55" t="s">
        <v>1683</v>
      </c>
      <c r="G829" s="129">
        <v>1</v>
      </c>
    </row>
    <row r="830" spans="2:7">
      <c r="B830" s="56">
        <v>46280</v>
      </c>
      <c r="C830" s="69">
        <v>46280.67664351852</v>
      </c>
      <c r="D830" s="55" t="s">
        <v>684</v>
      </c>
      <c r="E830" s="55" t="s">
        <v>1684</v>
      </c>
      <c r="G830" s="129">
        <v>1</v>
      </c>
    </row>
    <row r="831" spans="2:7">
      <c r="B831" s="56">
        <v>46280</v>
      </c>
      <c r="C831" s="69">
        <v>46280.676655092589</v>
      </c>
      <c r="D831" s="55" t="s">
        <v>684</v>
      </c>
      <c r="E831" s="55" t="s">
        <v>1685</v>
      </c>
      <c r="G831" s="129">
        <v>1</v>
      </c>
    </row>
    <row r="832" spans="2:7">
      <c r="B832" s="56">
        <v>46280</v>
      </c>
      <c r="C832" s="69">
        <v>46280.676666666666</v>
      </c>
      <c r="D832" s="55" t="s">
        <v>684</v>
      </c>
      <c r="E832" s="55" t="s">
        <v>1686</v>
      </c>
      <c r="G832" s="129">
        <v>1</v>
      </c>
    </row>
    <row r="833" spans="2:7">
      <c r="B833" s="56">
        <v>46280</v>
      </c>
      <c r="C833" s="69">
        <v>46280.676712962966</v>
      </c>
      <c r="D833" s="55" t="s">
        <v>684</v>
      </c>
      <c r="E833" s="55" t="s">
        <v>1685</v>
      </c>
      <c r="F833" s="129">
        <v>1</v>
      </c>
      <c r="G833" s="129">
        <v>0.5</v>
      </c>
    </row>
    <row r="834" spans="2:7">
      <c r="B834" s="56">
        <v>46280</v>
      </c>
      <c r="C834" s="69">
        <v>46280.676724537036</v>
      </c>
      <c r="D834" s="55" t="s">
        <v>684</v>
      </c>
      <c r="E834" s="55" t="s">
        <v>1686</v>
      </c>
      <c r="F834" s="129">
        <v>1</v>
      </c>
      <c r="G834" s="129">
        <v>0.5</v>
      </c>
    </row>
    <row r="835" spans="2:7">
      <c r="B835" s="56">
        <v>46280</v>
      </c>
      <c r="C835" s="69">
        <v>46280.676759259259</v>
      </c>
      <c r="D835" s="55" t="s">
        <v>684</v>
      </c>
      <c r="E835" s="55" t="s">
        <v>1687</v>
      </c>
      <c r="G835" s="129">
        <v>1</v>
      </c>
    </row>
    <row r="836" spans="2:7">
      <c r="B836" s="56">
        <v>46280</v>
      </c>
      <c r="C836" s="69">
        <v>46280.676840277774</v>
      </c>
      <c r="D836" s="55" t="s">
        <v>684</v>
      </c>
      <c r="E836" s="55" t="s">
        <v>1687</v>
      </c>
      <c r="F836" s="129">
        <v>1</v>
      </c>
      <c r="G836" s="129">
        <v>0.5</v>
      </c>
    </row>
    <row r="837" spans="2:7">
      <c r="B837" s="56">
        <v>46280</v>
      </c>
      <c r="C837" s="69">
        <v>46280.676863425928</v>
      </c>
      <c r="D837" s="55" t="s">
        <v>684</v>
      </c>
      <c r="E837" s="55" t="s">
        <v>1688</v>
      </c>
      <c r="G837" s="129">
        <v>0.5</v>
      </c>
    </row>
    <row r="838" spans="2:7">
      <c r="B838" s="56">
        <v>46280</v>
      </c>
      <c r="C838" s="69">
        <v>46280.676886574074</v>
      </c>
      <c r="D838" s="55" t="s">
        <v>684</v>
      </c>
      <c r="E838" s="55" t="s">
        <v>1689</v>
      </c>
      <c r="G838" s="129">
        <v>1</v>
      </c>
    </row>
    <row r="839" spans="2:7">
      <c r="B839" s="56">
        <v>46280</v>
      </c>
      <c r="C839" s="69">
        <v>46280.676944444444</v>
      </c>
      <c r="D839" s="55" t="s">
        <v>684</v>
      </c>
      <c r="E839" s="55" t="s">
        <v>1689</v>
      </c>
      <c r="F839" s="129">
        <v>1</v>
      </c>
      <c r="G839" s="129">
        <v>0.5</v>
      </c>
    </row>
    <row r="840" spans="2:7">
      <c r="B840" s="56">
        <v>46280</v>
      </c>
      <c r="C840" s="69">
        <v>46280.676979166667</v>
      </c>
      <c r="D840" s="55" t="s">
        <v>684</v>
      </c>
      <c r="E840" s="55" t="s">
        <v>1690</v>
      </c>
      <c r="G840" s="129">
        <v>0.5</v>
      </c>
    </row>
    <row r="841" spans="2:7">
      <c r="B841" s="56">
        <v>46280</v>
      </c>
      <c r="C841" s="69">
        <v>46280.67701388889</v>
      </c>
      <c r="D841" s="55" t="s">
        <v>684</v>
      </c>
      <c r="E841" s="55" t="s">
        <v>1691</v>
      </c>
      <c r="G841" s="129">
        <v>1</v>
      </c>
    </row>
    <row r="842" spans="2:7">
      <c r="B842" s="56">
        <v>46280</v>
      </c>
      <c r="C842" s="69">
        <v>46280.677025462966</v>
      </c>
      <c r="D842" s="55" t="s">
        <v>684</v>
      </c>
      <c r="E842" s="55" t="s">
        <v>1692</v>
      </c>
      <c r="G842" s="129">
        <v>1</v>
      </c>
    </row>
    <row r="843" spans="2:7">
      <c r="B843" s="56">
        <v>46280</v>
      </c>
      <c r="C843" s="69">
        <v>46280.67763888889</v>
      </c>
      <c r="D843" s="55" t="s">
        <v>684</v>
      </c>
      <c r="E843" s="55" t="s">
        <v>1692</v>
      </c>
      <c r="F843" s="129">
        <v>1</v>
      </c>
      <c r="G843" s="129">
        <v>0.16</v>
      </c>
    </row>
    <row r="844" spans="2:7">
      <c r="B844" s="56">
        <v>46280</v>
      </c>
      <c r="C844" s="69">
        <v>46280.677673611113</v>
      </c>
      <c r="D844" s="55" t="s">
        <v>684</v>
      </c>
      <c r="E844" s="55" t="s">
        <v>1693</v>
      </c>
      <c r="G844" s="129">
        <v>0.16</v>
      </c>
    </row>
    <row r="845" spans="2:7">
      <c r="B845" s="56">
        <v>46280</v>
      </c>
      <c r="C845" s="69">
        <v>46280.67769675926</v>
      </c>
      <c r="D845" s="55" t="s">
        <v>684</v>
      </c>
      <c r="E845" s="55" t="s">
        <v>1694</v>
      </c>
      <c r="G845" s="129">
        <v>0.16</v>
      </c>
    </row>
    <row r="846" spans="2:7">
      <c r="B846" s="56">
        <v>46280</v>
      </c>
      <c r="C846" s="69">
        <v>46280.677708333336</v>
      </c>
      <c r="D846" s="55" t="s">
        <v>684</v>
      </c>
      <c r="E846" s="55" t="s">
        <v>1695</v>
      </c>
      <c r="G846" s="129">
        <v>0.16</v>
      </c>
    </row>
    <row r="847" spans="2:7">
      <c r="B847" s="56">
        <v>46280</v>
      </c>
      <c r="C847" s="69">
        <v>46280.677743055552</v>
      </c>
      <c r="D847" s="55" t="s">
        <v>684</v>
      </c>
      <c r="E847" s="55" t="s">
        <v>1696</v>
      </c>
      <c r="G847" s="129">
        <v>0.16</v>
      </c>
    </row>
    <row r="848" spans="2:7">
      <c r="B848" s="56">
        <v>46280</v>
      </c>
      <c r="C848" s="69">
        <v>46280.677789351852</v>
      </c>
      <c r="D848" s="55" t="s">
        <v>684</v>
      </c>
      <c r="E848" s="55" t="s">
        <v>1697</v>
      </c>
      <c r="G848" s="129">
        <v>0.2</v>
      </c>
    </row>
    <row r="849" spans="2:7">
      <c r="B849" s="56">
        <v>46280</v>
      </c>
      <c r="C849" s="69">
        <v>46280.677881944444</v>
      </c>
      <c r="D849" s="55" t="s">
        <v>684</v>
      </c>
      <c r="E849" s="55" t="s">
        <v>1698</v>
      </c>
      <c r="G849" s="129">
        <v>0.25</v>
      </c>
    </row>
    <row r="850" spans="2:7">
      <c r="B850" s="56">
        <v>46280</v>
      </c>
      <c r="C850" s="69">
        <v>46280.677905092591</v>
      </c>
      <c r="D850" s="55" t="s">
        <v>684</v>
      </c>
      <c r="E850" s="55" t="s">
        <v>1699</v>
      </c>
      <c r="G850" s="129">
        <v>0.25</v>
      </c>
    </row>
    <row r="851" spans="2:7">
      <c r="B851" s="56">
        <v>46280</v>
      </c>
      <c r="C851" s="69">
        <v>46280.677916666667</v>
      </c>
      <c r="D851" s="55" t="s">
        <v>684</v>
      </c>
      <c r="E851" s="55" t="s">
        <v>1700</v>
      </c>
      <c r="G851" s="129">
        <v>0.25</v>
      </c>
    </row>
    <row r="852" spans="2:7">
      <c r="B852" s="56">
        <v>46280</v>
      </c>
      <c r="C852" s="69">
        <v>46280.677939814814</v>
      </c>
      <c r="D852" s="55" t="s">
        <v>684</v>
      </c>
      <c r="E852" s="55" t="s">
        <v>1701</v>
      </c>
      <c r="G852" s="129">
        <v>0.25</v>
      </c>
    </row>
    <row r="853" spans="2:7">
      <c r="B853" s="56">
        <v>46280</v>
      </c>
      <c r="C853" s="69">
        <v>46280.678206018521</v>
      </c>
      <c r="D853" s="55" t="s">
        <v>684</v>
      </c>
      <c r="E853" s="55" t="s">
        <v>1702</v>
      </c>
      <c r="G853" s="129">
        <v>0.2</v>
      </c>
    </row>
    <row r="854" spans="2:7">
      <c r="B854" s="56">
        <v>46280</v>
      </c>
      <c r="C854" s="69">
        <v>46280.678229166668</v>
      </c>
      <c r="D854" s="55" t="s">
        <v>684</v>
      </c>
      <c r="E854" s="55" t="s">
        <v>1703</v>
      </c>
      <c r="G854" s="129">
        <v>0.2</v>
      </c>
    </row>
    <row r="855" spans="2:7">
      <c r="B855" s="56">
        <v>46280</v>
      </c>
      <c r="C855" s="69">
        <v>46280.678240740737</v>
      </c>
      <c r="D855" s="55" t="s">
        <v>684</v>
      </c>
      <c r="E855" s="55" t="s">
        <v>1704</v>
      </c>
      <c r="G855" s="129">
        <v>0.2</v>
      </c>
    </row>
    <row r="856" spans="2:7">
      <c r="B856" s="56">
        <v>46280</v>
      </c>
      <c r="C856" s="69">
        <v>46280.678298611114</v>
      </c>
      <c r="D856" s="55" t="s">
        <v>684</v>
      </c>
      <c r="E856" s="55" t="s">
        <v>1705</v>
      </c>
      <c r="G856" s="129">
        <v>0.2</v>
      </c>
    </row>
    <row r="857" spans="2:7">
      <c r="B857" s="56">
        <v>46280</v>
      </c>
      <c r="C857" s="69">
        <v>46280.678344907406</v>
      </c>
      <c r="D857" s="55" t="s">
        <v>684</v>
      </c>
      <c r="E857" s="55" t="s">
        <v>1706</v>
      </c>
      <c r="G857" s="129">
        <v>0.2</v>
      </c>
    </row>
    <row r="858" spans="2:7">
      <c r="B858" s="56">
        <v>46280</v>
      </c>
      <c r="C858" s="69">
        <v>46280.678437499999</v>
      </c>
      <c r="D858" s="55" t="s">
        <v>684</v>
      </c>
      <c r="E858" s="55" t="s">
        <v>1707</v>
      </c>
      <c r="G858" s="129">
        <v>0.33</v>
      </c>
    </row>
    <row r="859" spans="2:7">
      <c r="B859" s="56">
        <v>46280</v>
      </c>
      <c r="C859" s="69">
        <v>46280.678460648145</v>
      </c>
      <c r="D859" s="55" t="s">
        <v>684</v>
      </c>
      <c r="E859" s="55" t="s">
        <v>1708</v>
      </c>
      <c r="G859" s="129">
        <v>0.33</v>
      </c>
    </row>
    <row r="860" spans="2:7">
      <c r="B860" s="56">
        <v>46280</v>
      </c>
      <c r="C860" s="69">
        <v>46280.678495370368</v>
      </c>
      <c r="D860" s="55" t="s">
        <v>684</v>
      </c>
      <c r="E860" s="55" t="s">
        <v>1709</v>
      </c>
      <c r="G860" s="129">
        <v>0.34</v>
      </c>
    </row>
    <row r="861" spans="2:7">
      <c r="B861" s="56">
        <v>46280</v>
      </c>
      <c r="C861" s="69">
        <v>46280.678518518522</v>
      </c>
      <c r="D861" s="55" t="s">
        <v>684</v>
      </c>
      <c r="E861" s="55" t="s">
        <v>1710</v>
      </c>
      <c r="G861" s="129">
        <v>1</v>
      </c>
    </row>
    <row r="862" spans="2:7">
      <c r="B862" s="56">
        <v>46280</v>
      </c>
      <c r="C862" s="69">
        <v>46280.678530092591</v>
      </c>
      <c r="D862" s="55" t="s">
        <v>684</v>
      </c>
      <c r="E862" s="55" t="s">
        <v>1711</v>
      </c>
      <c r="G862" s="129">
        <v>1</v>
      </c>
    </row>
    <row r="863" spans="2:7">
      <c r="B863" s="56">
        <v>46280</v>
      </c>
      <c r="C863" s="69">
        <v>46280.678541666668</v>
      </c>
      <c r="D863" s="55" t="s">
        <v>684</v>
      </c>
      <c r="E863" s="55" t="s">
        <v>1712</v>
      </c>
      <c r="G863" s="129">
        <v>1</v>
      </c>
    </row>
    <row r="864" spans="2:7">
      <c r="B864" s="56">
        <v>46280</v>
      </c>
      <c r="C864" s="69">
        <v>46280.678553240738</v>
      </c>
      <c r="D864" s="55" t="s">
        <v>684</v>
      </c>
      <c r="E864" s="55" t="s">
        <v>1713</v>
      </c>
      <c r="G864" s="129">
        <v>1</v>
      </c>
    </row>
    <row r="865" spans="2:7">
      <c r="B865" s="56">
        <v>46280</v>
      </c>
      <c r="C865" s="69">
        <v>46280.678553240738</v>
      </c>
      <c r="D865" s="55" t="s">
        <v>684</v>
      </c>
      <c r="E865" s="55" t="s">
        <v>1714</v>
      </c>
      <c r="G865" s="129">
        <v>1</v>
      </c>
    </row>
    <row r="866" spans="2:7">
      <c r="B866" s="56">
        <v>46280</v>
      </c>
      <c r="C866" s="69">
        <v>46280.678564814814</v>
      </c>
      <c r="D866" s="55" t="s">
        <v>684</v>
      </c>
      <c r="E866" s="55" t="s">
        <v>1715</v>
      </c>
      <c r="G866" s="129">
        <v>1</v>
      </c>
    </row>
    <row r="867" spans="2:7">
      <c r="B867" s="56">
        <v>46280</v>
      </c>
      <c r="C867" s="69">
        <v>46280.678680555553</v>
      </c>
      <c r="D867" s="55" t="s">
        <v>684</v>
      </c>
      <c r="E867" s="55" t="s">
        <v>1715</v>
      </c>
      <c r="F867" s="129">
        <v>1</v>
      </c>
      <c r="G867" s="129">
        <v>0.25</v>
      </c>
    </row>
    <row r="868" spans="2:7">
      <c r="B868" s="56">
        <v>46280</v>
      </c>
      <c r="C868" s="69">
        <v>46280.678703703707</v>
      </c>
      <c r="D868" s="55" t="s">
        <v>684</v>
      </c>
      <c r="E868" s="55" t="s">
        <v>1716</v>
      </c>
      <c r="G868" s="129">
        <v>0.25</v>
      </c>
    </row>
    <row r="869" spans="2:7">
      <c r="B869" s="56">
        <v>46280</v>
      </c>
      <c r="C869" s="69">
        <v>46280.678726851853</v>
      </c>
      <c r="D869" s="55" t="s">
        <v>684</v>
      </c>
      <c r="E869" s="55" t="s">
        <v>1717</v>
      </c>
      <c r="G869" s="129">
        <v>0.25</v>
      </c>
    </row>
    <row r="870" spans="2:7">
      <c r="B870" s="56">
        <v>46280</v>
      </c>
      <c r="C870" s="69">
        <v>46280.678749999999</v>
      </c>
      <c r="D870" s="55" t="s">
        <v>684</v>
      </c>
      <c r="E870" s="55" t="s">
        <v>1718</v>
      </c>
      <c r="G870" s="129">
        <v>0.25</v>
      </c>
    </row>
    <row r="871" spans="2:7">
      <c r="B871" s="56">
        <v>46280</v>
      </c>
      <c r="C871" s="69">
        <v>46280.678807870368</v>
      </c>
      <c r="D871" s="55" t="s">
        <v>684</v>
      </c>
      <c r="E871" s="55" t="s">
        <v>1719</v>
      </c>
      <c r="G871" s="129">
        <v>0.5</v>
      </c>
    </row>
    <row r="872" spans="2:7">
      <c r="B872" s="56">
        <v>46280</v>
      </c>
      <c r="C872" s="69">
        <v>46280.678831018522</v>
      </c>
      <c r="D872" s="55" t="s">
        <v>684</v>
      </c>
      <c r="E872" s="55" t="s">
        <v>1720</v>
      </c>
      <c r="G872" s="129">
        <v>0.5</v>
      </c>
    </row>
    <row r="873" spans="2:7">
      <c r="B873" s="56">
        <v>46280</v>
      </c>
      <c r="C873" s="69">
        <v>46280.678854166668</v>
      </c>
      <c r="D873" s="55" t="s">
        <v>684</v>
      </c>
      <c r="E873" s="55" t="s">
        <v>1721</v>
      </c>
      <c r="G873" s="129">
        <v>1</v>
      </c>
    </row>
    <row r="874" spans="2:7">
      <c r="B874" s="56">
        <v>46280</v>
      </c>
      <c r="C874" s="69">
        <v>46280.678865740738</v>
      </c>
      <c r="D874" s="55" t="s">
        <v>684</v>
      </c>
      <c r="E874" s="55" t="s">
        <v>1722</v>
      </c>
      <c r="G874" s="129">
        <v>1</v>
      </c>
    </row>
    <row r="875" spans="2:7">
      <c r="B875" s="56">
        <v>46280</v>
      </c>
      <c r="C875" s="69">
        <v>46280.678865740738</v>
      </c>
      <c r="D875" s="55" t="s">
        <v>684</v>
      </c>
      <c r="E875" s="55" t="s">
        <v>1723</v>
      </c>
      <c r="G875" s="129">
        <v>1</v>
      </c>
    </row>
    <row r="876" spans="2:7">
      <c r="B876" s="56">
        <v>46280</v>
      </c>
      <c r="C876" s="69">
        <v>46280.678877314815</v>
      </c>
      <c r="D876" s="55" t="s">
        <v>684</v>
      </c>
      <c r="E876" s="55" t="s">
        <v>1724</v>
      </c>
      <c r="G876" s="129">
        <v>1</v>
      </c>
    </row>
    <row r="877" spans="2:7">
      <c r="B877" s="56">
        <v>46280</v>
      </c>
      <c r="C877" s="69">
        <v>46280.678888888891</v>
      </c>
      <c r="D877" s="55" t="s">
        <v>684</v>
      </c>
      <c r="E877" s="55" t="s">
        <v>1725</v>
      </c>
      <c r="G877" s="129">
        <v>1</v>
      </c>
    </row>
    <row r="878" spans="2:7">
      <c r="B878" s="56">
        <v>46280</v>
      </c>
      <c r="C878" s="69">
        <v>46280.678923611114</v>
      </c>
      <c r="D878" s="55" t="s">
        <v>684</v>
      </c>
      <c r="E878" s="55" t="s">
        <v>1724</v>
      </c>
      <c r="F878" s="129">
        <v>1</v>
      </c>
      <c r="G878" s="129">
        <v>0.5</v>
      </c>
    </row>
    <row r="879" spans="2:7">
      <c r="B879" s="56">
        <v>46280</v>
      </c>
      <c r="C879" s="69">
        <v>46280.678946759261</v>
      </c>
      <c r="D879" s="55" t="s">
        <v>684</v>
      </c>
      <c r="E879" s="55" t="s">
        <v>1725</v>
      </c>
      <c r="F879" s="129">
        <v>1</v>
      </c>
      <c r="G879" s="129">
        <v>0.5</v>
      </c>
    </row>
    <row r="880" spans="2:7">
      <c r="B880" s="56">
        <v>46280</v>
      </c>
      <c r="C880" s="69">
        <v>46280.678969907407</v>
      </c>
      <c r="D880" s="55" t="s">
        <v>684</v>
      </c>
      <c r="E880" s="55" t="s">
        <v>1726</v>
      </c>
      <c r="G880" s="129">
        <v>1</v>
      </c>
    </row>
    <row r="881" spans="2:7">
      <c r="B881" s="56">
        <v>46280</v>
      </c>
      <c r="C881" s="69">
        <v>46280.678981481484</v>
      </c>
      <c r="D881" s="55" t="s">
        <v>684</v>
      </c>
      <c r="E881" s="55" t="s">
        <v>1727</v>
      </c>
      <c r="G881" s="129">
        <v>1</v>
      </c>
    </row>
    <row r="882" spans="2:7">
      <c r="B882" s="56">
        <v>46280</v>
      </c>
      <c r="C882" s="69">
        <v>46280.679027777776</v>
      </c>
      <c r="D882" s="55" t="s">
        <v>684</v>
      </c>
      <c r="E882" s="55" t="s">
        <v>1727</v>
      </c>
      <c r="F882" s="129">
        <v>1</v>
      </c>
      <c r="G882" s="129">
        <v>0.5</v>
      </c>
    </row>
    <row r="883" spans="2:7">
      <c r="B883" s="56">
        <v>46280</v>
      </c>
      <c r="C883" s="69">
        <v>46280.679039351853</v>
      </c>
      <c r="D883" s="55" t="s">
        <v>684</v>
      </c>
      <c r="E883" s="55" t="s">
        <v>1728</v>
      </c>
      <c r="G883" s="129">
        <v>0.5</v>
      </c>
    </row>
    <row r="884" spans="2:7">
      <c r="B884" s="56">
        <v>46280</v>
      </c>
      <c r="C884" s="69">
        <v>46280.679062499999</v>
      </c>
      <c r="D884" s="55" t="s">
        <v>684</v>
      </c>
      <c r="E884" s="55" t="s">
        <v>1729</v>
      </c>
      <c r="G884" s="129">
        <v>1</v>
      </c>
    </row>
    <row r="885" spans="2:7">
      <c r="B885" s="56">
        <v>46280</v>
      </c>
      <c r="C885" s="69">
        <v>46280.679074074076</v>
      </c>
      <c r="D885" s="55" t="s">
        <v>684</v>
      </c>
      <c r="E885" s="55" t="s">
        <v>1730</v>
      </c>
      <c r="G885" s="129">
        <v>1</v>
      </c>
    </row>
    <row r="886" spans="2:7">
      <c r="B886" s="56">
        <v>46280</v>
      </c>
      <c r="C886" s="69">
        <v>46280.679085648146</v>
      </c>
      <c r="D886" s="55" t="s">
        <v>684</v>
      </c>
      <c r="E886" s="55" t="s">
        <v>1731</v>
      </c>
      <c r="G886" s="129">
        <v>1</v>
      </c>
    </row>
    <row r="887" spans="2:7">
      <c r="B887" s="56">
        <v>46280</v>
      </c>
      <c r="C887" s="69">
        <v>46280.679097222222</v>
      </c>
      <c r="D887" s="55" t="s">
        <v>684</v>
      </c>
      <c r="E887" s="55" t="s">
        <v>1732</v>
      </c>
      <c r="G887" s="129">
        <v>1</v>
      </c>
    </row>
    <row r="888" spans="2:7">
      <c r="B888" s="56">
        <v>46280</v>
      </c>
      <c r="C888" s="69">
        <v>46280.679108796299</v>
      </c>
      <c r="D888" s="55" t="s">
        <v>684</v>
      </c>
      <c r="E888" s="55" t="s">
        <v>1733</v>
      </c>
      <c r="G888" s="129">
        <v>1</v>
      </c>
    </row>
    <row r="889" spans="2:7">
      <c r="B889" s="56">
        <v>46280</v>
      </c>
      <c r="C889" s="69">
        <v>46280.679120370369</v>
      </c>
      <c r="D889" s="55" t="s">
        <v>684</v>
      </c>
      <c r="E889" s="55" t="s">
        <v>1734</v>
      </c>
      <c r="G889" s="129">
        <v>1</v>
      </c>
    </row>
    <row r="890" spans="2:7">
      <c r="B890" s="56">
        <v>46280</v>
      </c>
      <c r="C890" s="69">
        <v>46280.679131944446</v>
      </c>
      <c r="D890" s="55" t="s">
        <v>684</v>
      </c>
      <c r="E890" s="55" t="s">
        <v>1735</v>
      </c>
      <c r="G890" s="129">
        <v>1</v>
      </c>
    </row>
    <row r="891" spans="2:7">
      <c r="B891" s="56">
        <v>46280</v>
      </c>
      <c r="C891" s="69">
        <v>46280.679143518515</v>
      </c>
      <c r="D891" s="55" t="s">
        <v>684</v>
      </c>
      <c r="E891" s="55" t="s">
        <v>1736</v>
      </c>
      <c r="G891" s="129">
        <v>1</v>
      </c>
    </row>
    <row r="892" spans="2:7">
      <c r="B892" s="56">
        <v>46280</v>
      </c>
      <c r="C892" s="69">
        <v>46280.679155092592</v>
      </c>
      <c r="D892" s="55" t="s">
        <v>684</v>
      </c>
      <c r="E892" s="55" t="s">
        <v>1737</v>
      </c>
      <c r="G892" s="129">
        <v>1</v>
      </c>
    </row>
    <row r="893" spans="2:7">
      <c r="B893" s="56">
        <v>46280</v>
      </c>
      <c r="C893" s="69">
        <v>46280.679166666669</v>
      </c>
      <c r="D893" s="55" t="s">
        <v>684</v>
      </c>
      <c r="E893" s="55" t="s">
        <v>1738</v>
      </c>
      <c r="G893" s="129">
        <v>1</v>
      </c>
    </row>
    <row r="894" spans="2:7">
      <c r="B894" s="56">
        <v>46280</v>
      </c>
      <c r="C894" s="69">
        <v>46280.679166666669</v>
      </c>
      <c r="D894" s="55" t="s">
        <v>684</v>
      </c>
      <c r="E894" s="55" t="s">
        <v>1739</v>
      </c>
      <c r="G894" s="129">
        <v>1</v>
      </c>
    </row>
    <row r="895" spans="2:7">
      <c r="B895" s="56">
        <v>46280</v>
      </c>
      <c r="C895" s="69">
        <v>46280.679178240738</v>
      </c>
      <c r="D895" s="55" t="s">
        <v>684</v>
      </c>
      <c r="E895" s="55" t="s">
        <v>1740</v>
      </c>
      <c r="G895" s="129">
        <v>1</v>
      </c>
    </row>
    <row r="896" spans="2:7">
      <c r="B896" s="56">
        <v>46280</v>
      </c>
      <c r="C896" s="69">
        <v>46280.679189814815</v>
      </c>
      <c r="D896" s="55" t="s">
        <v>684</v>
      </c>
      <c r="E896" s="55" t="s">
        <v>1741</v>
      </c>
      <c r="G896" s="129">
        <v>1</v>
      </c>
    </row>
    <row r="897" spans="2:7">
      <c r="B897" s="56">
        <v>46280</v>
      </c>
      <c r="C897" s="69">
        <v>46280.679201388892</v>
      </c>
      <c r="D897" s="55" t="s">
        <v>684</v>
      </c>
      <c r="E897" s="55" t="s">
        <v>1742</v>
      </c>
      <c r="G897" s="129">
        <v>1</v>
      </c>
    </row>
    <row r="898" spans="2:7">
      <c r="B898" s="56">
        <v>46280</v>
      </c>
      <c r="C898" s="69">
        <v>46280.679212962961</v>
      </c>
      <c r="D898" s="55" t="s">
        <v>684</v>
      </c>
      <c r="E898" s="55" t="s">
        <v>1743</v>
      </c>
      <c r="G898" s="129">
        <v>1</v>
      </c>
    </row>
    <row r="899" spans="2:7">
      <c r="B899" s="56">
        <v>46280</v>
      </c>
      <c r="C899" s="69">
        <v>46280.679224537038</v>
      </c>
      <c r="D899" s="55" t="s">
        <v>684</v>
      </c>
      <c r="E899" s="55" t="s">
        <v>1744</v>
      </c>
      <c r="G899" s="129">
        <v>1</v>
      </c>
    </row>
    <row r="900" spans="2:7">
      <c r="B900" s="56">
        <v>46280</v>
      </c>
      <c r="C900" s="69">
        <v>46280.679236111115</v>
      </c>
      <c r="D900" s="55" t="s">
        <v>684</v>
      </c>
      <c r="E900" s="55" t="s">
        <v>1745</v>
      </c>
      <c r="G900" s="129">
        <v>1</v>
      </c>
    </row>
    <row r="901" spans="2:7">
      <c r="B901" s="56">
        <v>46280</v>
      </c>
      <c r="C901" s="69">
        <v>46280.679247685184</v>
      </c>
      <c r="D901" s="55" t="s">
        <v>684</v>
      </c>
      <c r="E901" s="55" t="s">
        <v>1746</v>
      </c>
      <c r="G901" s="129">
        <v>1</v>
      </c>
    </row>
    <row r="902" spans="2:7">
      <c r="B902" s="56">
        <v>46280</v>
      </c>
      <c r="C902" s="69">
        <v>46280.679247685184</v>
      </c>
      <c r="D902" s="55" t="s">
        <v>684</v>
      </c>
      <c r="E902" s="55" t="s">
        <v>1747</v>
      </c>
      <c r="G902" s="129">
        <v>1</v>
      </c>
    </row>
    <row r="903" spans="2:7">
      <c r="B903" s="56">
        <v>46280</v>
      </c>
      <c r="C903" s="69">
        <v>46280.679398148146</v>
      </c>
      <c r="D903" s="55" t="s">
        <v>684</v>
      </c>
      <c r="E903" s="55" t="s">
        <v>1748</v>
      </c>
      <c r="G903" s="129">
        <v>1</v>
      </c>
    </row>
    <row r="904" spans="2:7">
      <c r="B904" s="56">
        <v>46280</v>
      </c>
      <c r="C904" s="69">
        <v>46280.679409722223</v>
      </c>
      <c r="D904" s="55" t="s">
        <v>684</v>
      </c>
      <c r="E904" s="55" t="s">
        <v>1749</v>
      </c>
      <c r="G904" s="129">
        <v>1</v>
      </c>
    </row>
    <row r="905" spans="2:7">
      <c r="B905" s="56">
        <v>46280</v>
      </c>
      <c r="C905" s="69">
        <v>46280.713449074072</v>
      </c>
      <c r="D905" s="55" t="s">
        <v>684</v>
      </c>
      <c r="E905" s="55" t="s">
        <v>1587</v>
      </c>
      <c r="G905" s="129">
        <v>0.5</v>
      </c>
    </row>
    <row r="906" spans="2:7">
      <c r="B906" s="56">
        <v>46280</v>
      </c>
      <c r="C906" s="69">
        <v>46280.713449074072</v>
      </c>
      <c r="D906" s="55" t="s">
        <v>684</v>
      </c>
      <c r="E906" s="55" t="s">
        <v>1588</v>
      </c>
      <c r="G906" s="129">
        <v>0.5</v>
      </c>
    </row>
    <row r="907" spans="2:7">
      <c r="B907" s="56">
        <v>46280</v>
      </c>
      <c r="C907" s="69">
        <v>46280.713460648149</v>
      </c>
      <c r="D907" s="55" t="s">
        <v>684</v>
      </c>
      <c r="E907" s="55" t="s">
        <v>1614</v>
      </c>
      <c r="G907" s="129">
        <v>0.5</v>
      </c>
    </row>
    <row r="908" spans="2:7">
      <c r="B908" s="56">
        <v>46280</v>
      </c>
      <c r="C908" s="69">
        <v>46280.713460648149</v>
      </c>
      <c r="D908" s="55" t="s">
        <v>684</v>
      </c>
      <c r="E908" s="55" t="s">
        <v>1615</v>
      </c>
      <c r="G908" s="129">
        <v>0.5</v>
      </c>
    </row>
    <row r="909" spans="2:7">
      <c r="B909" s="56">
        <v>46280</v>
      </c>
      <c r="C909" s="69">
        <v>46280.713472222225</v>
      </c>
      <c r="D909" s="55" t="s">
        <v>684</v>
      </c>
      <c r="E909" s="55" t="s">
        <v>1627</v>
      </c>
      <c r="G909" s="129">
        <v>0.5</v>
      </c>
    </row>
    <row r="910" spans="2:7">
      <c r="B910" s="56">
        <v>46280</v>
      </c>
      <c r="C910" s="69">
        <v>46280.713472222225</v>
      </c>
      <c r="D910" s="55" t="s">
        <v>684</v>
      </c>
      <c r="E910" s="55" t="s">
        <v>1628</v>
      </c>
      <c r="G910" s="129">
        <v>0.5</v>
      </c>
    </row>
    <row r="911" spans="2:7">
      <c r="B911" s="56">
        <v>46280</v>
      </c>
      <c r="C911" s="69">
        <v>46280.713483796295</v>
      </c>
      <c r="D911" s="55" t="s">
        <v>684</v>
      </c>
      <c r="E911" s="55" t="s">
        <v>1629</v>
      </c>
      <c r="G911" s="129">
        <v>0.5</v>
      </c>
    </row>
    <row r="912" spans="2:7">
      <c r="B912" s="56">
        <v>46280</v>
      </c>
      <c r="C912" s="69">
        <v>46280.713483796295</v>
      </c>
      <c r="D912" s="55" t="s">
        <v>684</v>
      </c>
      <c r="E912" s="55" t="s">
        <v>1630</v>
      </c>
      <c r="G912" s="129">
        <v>0.5</v>
      </c>
    </row>
    <row r="913" spans="2:7">
      <c r="B913" s="56">
        <v>46280</v>
      </c>
      <c r="C913" s="69">
        <v>46280.713495370372</v>
      </c>
      <c r="D913" s="55" t="s">
        <v>684</v>
      </c>
      <c r="E913" s="55" t="s">
        <v>1632</v>
      </c>
      <c r="G913" s="129">
        <v>0.33</v>
      </c>
    </row>
    <row r="914" spans="2:7">
      <c r="B914" s="56">
        <v>46280</v>
      </c>
      <c r="C914" s="69">
        <v>46280.713495370372</v>
      </c>
      <c r="D914" s="55" t="s">
        <v>684</v>
      </c>
      <c r="E914" s="55" t="s">
        <v>1633</v>
      </c>
      <c r="G914" s="129">
        <v>0.33</v>
      </c>
    </row>
    <row r="915" spans="2:7">
      <c r="B915" s="56">
        <v>46280</v>
      </c>
      <c r="C915" s="69">
        <v>46280.713506944441</v>
      </c>
      <c r="D915" s="55" t="s">
        <v>684</v>
      </c>
      <c r="E915" s="55" t="s">
        <v>1634</v>
      </c>
      <c r="G915" s="129">
        <v>0.34</v>
      </c>
    </row>
    <row r="916" spans="2:7">
      <c r="B916" s="56">
        <v>46280</v>
      </c>
      <c r="C916" s="69">
        <v>46280.713506944441</v>
      </c>
      <c r="D916" s="55" t="s">
        <v>684</v>
      </c>
      <c r="E916" s="55" t="s">
        <v>1635</v>
      </c>
      <c r="G916" s="129">
        <v>0.5</v>
      </c>
    </row>
    <row r="917" spans="2:7">
      <c r="B917" s="56">
        <v>46280</v>
      </c>
      <c r="C917" s="69">
        <v>46280.713518518518</v>
      </c>
      <c r="D917" s="55" t="s">
        <v>684</v>
      </c>
      <c r="E917" s="55" t="s">
        <v>1636</v>
      </c>
      <c r="G917" s="129">
        <v>0.5</v>
      </c>
    </row>
    <row r="918" spans="2:7">
      <c r="B918" s="56">
        <v>46280</v>
      </c>
      <c r="C918" s="69">
        <v>46280.713518518518</v>
      </c>
      <c r="D918" s="55" t="s">
        <v>684</v>
      </c>
      <c r="E918" s="55" t="s">
        <v>1641</v>
      </c>
      <c r="G918" s="129">
        <v>0.33</v>
      </c>
    </row>
    <row r="919" spans="2:7">
      <c r="B919" s="56">
        <v>46280</v>
      </c>
      <c r="C919" s="69">
        <v>46280.713530092595</v>
      </c>
      <c r="D919" s="55" t="s">
        <v>684</v>
      </c>
      <c r="E919" s="55" t="s">
        <v>1642</v>
      </c>
      <c r="G919" s="129">
        <v>0.33</v>
      </c>
    </row>
    <row r="920" spans="2:7">
      <c r="B920" s="56">
        <v>46280</v>
      </c>
      <c r="C920" s="69">
        <v>46280.713530092595</v>
      </c>
      <c r="D920" s="55" t="s">
        <v>684</v>
      </c>
      <c r="E920" s="55" t="s">
        <v>1643</v>
      </c>
      <c r="G920" s="129">
        <v>0.34</v>
      </c>
    </row>
    <row r="921" spans="2:7">
      <c r="B921" s="56">
        <v>46280</v>
      </c>
      <c r="C921" s="69">
        <v>46280.713541666664</v>
      </c>
      <c r="D921" s="55" t="s">
        <v>684</v>
      </c>
      <c r="E921" s="55" t="s">
        <v>1644</v>
      </c>
      <c r="G921" s="129">
        <v>0.33</v>
      </c>
    </row>
    <row r="922" spans="2:7">
      <c r="B922" s="56">
        <v>46280</v>
      </c>
      <c r="C922" s="69">
        <v>46280.713541666664</v>
      </c>
      <c r="D922" s="55" t="s">
        <v>684</v>
      </c>
      <c r="E922" s="55" t="s">
        <v>1645</v>
      </c>
      <c r="G922" s="129">
        <v>0.33</v>
      </c>
    </row>
    <row r="923" spans="2:7">
      <c r="B923" s="56">
        <v>46280</v>
      </c>
      <c r="C923" s="69">
        <v>46280.713553240741</v>
      </c>
      <c r="D923" s="55" t="s">
        <v>684</v>
      </c>
      <c r="E923" s="55" t="s">
        <v>1646</v>
      </c>
      <c r="G923" s="129">
        <v>0.34</v>
      </c>
    </row>
    <row r="924" spans="2:7">
      <c r="B924" s="56">
        <v>46280</v>
      </c>
      <c r="C924" s="69">
        <v>46280.713553240741</v>
      </c>
      <c r="D924" s="55" t="s">
        <v>684</v>
      </c>
      <c r="E924" s="55" t="s">
        <v>1647</v>
      </c>
      <c r="G924" s="129">
        <v>0.5</v>
      </c>
    </row>
    <row r="925" spans="2:7">
      <c r="B925" s="56">
        <v>46280</v>
      </c>
      <c r="C925" s="69">
        <v>46280.713564814818</v>
      </c>
      <c r="D925" s="55" t="s">
        <v>684</v>
      </c>
      <c r="E925" s="55" t="s">
        <v>1648</v>
      </c>
      <c r="G925" s="129">
        <v>0.5</v>
      </c>
    </row>
    <row r="926" spans="2:7">
      <c r="B926" s="56">
        <v>46280</v>
      </c>
      <c r="C926" s="69">
        <v>46280.713564814818</v>
      </c>
      <c r="D926" s="55" t="s">
        <v>684</v>
      </c>
      <c r="E926" s="55" t="s">
        <v>1653</v>
      </c>
      <c r="G926" s="129">
        <v>0.5</v>
      </c>
    </row>
    <row r="927" spans="2:7">
      <c r="B927" s="56">
        <v>46280</v>
      </c>
      <c r="C927" s="69">
        <v>46280.713576388887</v>
      </c>
      <c r="D927" s="55" t="s">
        <v>684</v>
      </c>
      <c r="E927" s="55" t="s">
        <v>1654</v>
      </c>
      <c r="G927" s="129">
        <v>0.5</v>
      </c>
    </row>
    <row r="928" spans="2:7">
      <c r="B928" s="56">
        <v>46280</v>
      </c>
      <c r="C928" s="69">
        <v>46280.713576388887</v>
      </c>
      <c r="D928" s="55" t="s">
        <v>684</v>
      </c>
      <c r="E928" s="55" t="s">
        <v>1657</v>
      </c>
      <c r="G928" s="129">
        <v>0.5</v>
      </c>
    </row>
    <row r="929" spans="2:7">
      <c r="B929" s="56">
        <v>46280</v>
      </c>
      <c r="C929" s="69">
        <v>46280.713576388887</v>
      </c>
      <c r="D929" s="55" t="s">
        <v>684</v>
      </c>
      <c r="E929" s="55" t="s">
        <v>1658</v>
      </c>
      <c r="G929" s="129">
        <v>0.5</v>
      </c>
    </row>
    <row r="930" spans="2:7">
      <c r="B930" s="56">
        <v>46280</v>
      </c>
      <c r="C930" s="69">
        <v>46280.713587962964</v>
      </c>
      <c r="D930" s="55" t="s">
        <v>684</v>
      </c>
      <c r="E930" s="55" t="s">
        <v>1661</v>
      </c>
      <c r="G930" s="129">
        <v>0.25</v>
      </c>
    </row>
    <row r="931" spans="2:7">
      <c r="B931" s="56">
        <v>46280</v>
      </c>
      <c r="C931" s="69">
        <v>46280.713599537034</v>
      </c>
      <c r="D931" s="55" t="s">
        <v>684</v>
      </c>
      <c r="E931" s="55" t="s">
        <v>1662</v>
      </c>
      <c r="G931" s="129">
        <v>0.25</v>
      </c>
    </row>
    <row r="932" spans="2:7">
      <c r="B932" s="56">
        <v>46280</v>
      </c>
      <c r="C932" s="69">
        <v>46280.713599537034</v>
      </c>
      <c r="D932" s="55" t="s">
        <v>684</v>
      </c>
      <c r="E932" s="55" t="s">
        <v>1663</v>
      </c>
      <c r="G932" s="129">
        <v>0.25</v>
      </c>
    </row>
    <row r="933" spans="2:7">
      <c r="B933" s="56">
        <v>46280</v>
      </c>
      <c r="C933" s="69">
        <v>46280.713599537034</v>
      </c>
      <c r="D933" s="55" t="s">
        <v>684</v>
      </c>
      <c r="E933" s="55" t="s">
        <v>1664</v>
      </c>
      <c r="G933" s="129">
        <v>0.25</v>
      </c>
    </row>
    <row r="934" spans="2:7">
      <c r="B934" s="56">
        <v>46280</v>
      </c>
      <c r="C934" s="69">
        <v>46280.71361111111</v>
      </c>
      <c r="D934" s="55" t="s">
        <v>684</v>
      </c>
      <c r="E934" s="55" t="s">
        <v>1666</v>
      </c>
      <c r="G934" s="129">
        <v>0.5</v>
      </c>
    </row>
    <row r="935" spans="2:7">
      <c r="B935" s="56">
        <v>46280</v>
      </c>
      <c r="C935" s="69">
        <v>46280.71361111111</v>
      </c>
      <c r="D935" s="55" t="s">
        <v>684</v>
      </c>
      <c r="E935" s="55" t="s">
        <v>1667</v>
      </c>
      <c r="G935" s="129">
        <v>0.5</v>
      </c>
    </row>
    <row r="936" spans="2:7">
      <c r="B936" s="56">
        <v>46280</v>
      </c>
      <c r="C936" s="69">
        <v>46280.713622685187</v>
      </c>
      <c r="D936" s="55" t="s">
        <v>684</v>
      </c>
      <c r="E936" s="55" t="s">
        <v>1675</v>
      </c>
      <c r="G936" s="129">
        <v>0.33</v>
      </c>
    </row>
    <row r="937" spans="2:7">
      <c r="B937" s="56">
        <v>46280</v>
      </c>
      <c r="C937" s="69">
        <v>46280.713622685187</v>
      </c>
      <c r="D937" s="55" t="s">
        <v>684</v>
      </c>
      <c r="E937" s="55" t="s">
        <v>1676</v>
      </c>
      <c r="G937" s="129">
        <v>0.33</v>
      </c>
    </row>
    <row r="938" spans="2:7">
      <c r="B938" s="56">
        <v>46280</v>
      </c>
      <c r="C938" s="69">
        <v>46280.713634259257</v>
      </c>
      <c r="D938" s="55" t="s">
        <v>684</v>
      </c>
      <c r="E938" s="55" t="s">
        <v>1677</v>
      </c>
      <c r="G938" s="129">
        <v>0.34</v>
      </c>
    </row>
    <row r="939" spans="2:7">
      <c r="B939" s="56">
        <v>46280</v>
      </c>
      <c r="C939" s="69">
        <v>46280.713634259257</v>
      </c>
      <c r="D939" s="55" t="s">
        <v>684</v>
      </c>
      <c r="E939" s="55" t="s">
        <v>1685</v>
      </c>
      <c r="G939" s="129">
        <v>0.5</v>
      </c>
    </row>
    <row r="940" spans="2:7">
      <c r="B940" s="56">
        <v>46280</v>
      </c>
      <c r="C940" s="69">
        <v>46280.713645833333</v>
      </c>
      <c r="D940" s="55" t="s">
        <v>684</v>
      </c>
      <c r="E940" s="55" t="s">
        <v>1686</v>
      </c>
      <c r="G940" s="129">
        <v>0.5</v>
      </c>
    </row>
    <row r="941" spans="2:7">
      <c r="B941" s="56">
        <v>46280</v>
      </c>
      <c r="C941" s="69">
        <v>46280.713645833333</v>
      </c>
      <c r="D941" s="55" t="s">
        <v>684</v>
      </c>
      <c r="E941" s="55" t="s">
        <v>1687</v>
      </c>
      <c r="G941" s="129">
        <v>0.5</v>
      </c>
    </row>
    <row r="942" spans="2:7">
      <c r="B942" s="56">
        <v>46280</v>
      </c>
      <c r="C942" s="69">
        <v>46280.71365740741</v>
      </c>
      <c r="D942" s="55" t="s">
        <v>684</v>
      </c>
      <c r="E942" s="55" t="s">
        <v>1688</v>
      </c>
      <c r="G942" s="129">
        <v>0.5</v>
      </c>
    </row>
    <row r="943" spans="2:7">
      <c r="B943" s="56">
        <v>46280</v>
      </c>
      <c r="C943" s="69">
        <v>46280.71365740741</v>
      </c>
      <c r="D943" s="55" t="s">
        <v>684</v>
      </c>
      <c r="E943" s="55" t="s">
        <v>1689</v>
      </c>
      <c r="G943" s="129">
        <v>0.5</v>
      </c>
    </row>
    <row r="944" spans="2:7">
      <c r="B944" s="56">
        <v>46280</v>
      </c>
      <c r="C944" s="69">
        <v>46280.71366898148</v>
      </c>
      <c r="D944" s="55" t="s">
        <v>684</v>
      </c>
      <c r="E944" s="55" t="s">
        <v>1690</v>
      </c>
      <c r="G944" s="129">
        <v>0.5</v>
      </c>
    </row>
    <row r="945" spans="2:7">
      <c r="B945" s="56">
        <v>46280</v>
      </c>
      <c r="C945" s="69">
        <v>46280.71366898148</v>
      </c>
      <c r="D945" s="55" t="s">
        <v>684</v>
      </c>
      <c r="E945" s="55" t="s">
        <v>1692</v>
      </c>
      <c r="G945" s="129">
        <v>0.16</v>
      </c>
    </row>
    <row r="946" spans="2:7">
      <c r="B946" s="56">
        <v>46280</v>
      </c>
      <c r="C946" s="69">
        <v>46280.713680555556</v>
      </c>
      <c r="D946" s="55" t="s">
        <v>684</v>
      </c>
      <c r="E946" s="55" t="s">
        <v>1693</v>
      </c>
      <c r="G946" s="129">
        <v>0.16</v>
      </c>
    </row>
    <row r="947" spans="2:7">
      <c r="B947" s="56">
        <v>46280</v>
      </c>
      <c r="C947" s="69">
        <v>46280.713680555556</v>
      </c>
      <c r="D947" s="55" t="s">
        <v>684</v>
      </c>
      <c r="E947" s="55" t="s">
        <v>1694</v>
      </c>
      <c r="G947" s="129">
        <v>0.16</v>
      </c>
    </row>
    <row r="948" spans="2:7">
      <c r="B948" s="56">
        <v>46280</v>
      </c>
      <c r="C948" s="69">
        <v>46280.713692129626</v>
      </c>
      <c r="D948" s="55" t="s">
        <v>684</v>
      </c>
      <c r="E948" s="55" t="s">
        <v>1695</v>
      </c>
      <c r="G948" s="129">
        <v>0.16</v>
      </c>
    </row>
    <row r="949" spans="2:7">
      <c r="B949" s="56">
        <v>46280</v>
      </c>
      <c r="C949" s="69">
        <v>46280.713692129626</v>
      </c>
      <c r="D949" s="55" t="s">
        <v>684</v>
      </c>
      <c r="E949" s="55" t="s">
        <v>1696</v>
      </c>
      <c r="G949" s="129">
        <v>0.16</v>
      </c>
    </row>
    <row r="950" spans="2:7">
      <c r="B950" s="56">
        <v>46280</v>
      </c>
      <c r="C950" s="69">
        <v>46280.713703703703</v>
      </c>
      <c r="D950" s="55" t="s">
        <v>684</v>
      </c>
      <c r="E950" s="55" t="s">
        <v>1697</v>
      </c>
      <c r="G950" s="129">
        <v>0.2</v>
      </c>
    </row>
    <row r="951" spans="2:7">
      <c r="B951" s="56">
        <v>46280</v>
      </c>
      <c r="C951" s="69">
        <v>46280.713703703703</v>
      </c>
      <c r="D951" s="55" t="s">
        <v>684</v>
      </c>
      <c r="E951" s="55" t="s">
        <v>1698</v>
      </c>
      <c r="G951" s="129">
        <v>0.25</v>
      </c>
    </row>
    <row r="952" spans="2:7">
      <c r="B952" s="56">
        <v>46280</v>
      </c>
      <c r="C952" s="69">
        <v>46280.713726851849</v>
      </c>
      <c r="D952" s="55" t="s">
        <v>684</v>
      </c>
      <c r="E952" s="55" t="s">
        <v>1699</v>
      </c>
      <c r="G952" s="129">
        <v>0.25</v>
      </c>
    </row>
    <row r="953" spans="2:7">
      <c r="B953" s="56">
        <v>46280</v>
      </c>
      <c r="C953" s="69">
        <v>46280.713738425926</v>
      </c>
      <c r="D953" s="55" t="s">
        <v>684</v>
      </c>
      <c r="E953" s="55" t="s">
        <v>1700</v>
      </c>
      <c r="G953" s="129">
        <v>0.25</v>
      </c>
    </row>
    <row r="954" spans="2:7">
      <c r="B954" s="56">
        <v>46280</v>
      </c>
      <c r="C954" s="69">
        <v>46280.713750000003</v>
      </c>
      <c r="D954" s="55" t="s">
        <v>684</v>
      </c>
      <c r="E954" s="55" t="s">
        <v>1701</v>
      </c>
      <c r="G954" s="129">
        <v>0.25</v>
      </c>
    </row>
    <row r="955" spans="2:7">
      <c r="B955" s="56">
        <v>46280</v>
      </c>
      <c r="C955" s="69">
        <v>46280.713761574072</v>
      </c>
      <c r="D955" s="55" t="s">
        <v>684</v>
      </c>
      <c r="E955" s="55" t="s">
        <v>1702</v>
      </c>
      <c r="G955" s="129">
        <v>0.2</v>
      </c>
    </row>
    <row r="956" spans="2:7">
      <c r="B956" s="56">
        <v>46280</v>
      </c>
      <c r="C956" s="69">
        <v>46280.713761574072</v>
      </c>
      <c r="D956" s="55" t="s">
        <v>684</v>
      </c>
      <c r="E956" s="55" t="s">
        <v>1703</v>
      </c>
      <c r="G956" s="129">
        <v>0.2</v>
      </c>
    </row>
    <row r="957" spans="2:7">
      <c r="B957" s="56">
        <v>46280</v>
      </c>
      <c r="C957" s="69">
        <v>46280.713773148149</v>
      </c>
      <c r="D957" s="55" t="s">
        <v>684</v>
      </c>
      <c r="E957" s="55" t="s">
        <v>1704</v>
      </c>
      <c r="G957" s="129">
        <v>0.2</v>
      </c>
    </row>
    <row r="958" spans="2:7">
      <c r="B958" s="56">
        <v>46280</v>
      </c>
      <c r="C958" s="69">
        <v>46280.713773148149</v>
      </c>
      <c r="D958" s="55" t="s">
        <v>684</v>
      </c>
      <c r="E958" s="55" t="s">
        <v>1705</v>
      </c>
      <c r="G958" s="129">
        <v>0.2</v>
      </c>
    </row>
    <row r="959" spans="2:7">
      <c r="B959" s="56">
        <v>46280</v>
      </c>
      <c r="C959" s="69">
        <v>46280.713784722226</v>
      </c>
      <c r="D959" s="55" t="s">
        <v>684</v>
      </c>
      <c r="E959" s="55" t="s">
        <v>1706</v>
      </c>
      <c r="G959" s="129">
        <v>0.2</v>
      </c>
    </row>
    <row r="960" spans="2:7">
      <c r="B960" s="56">
        <v>46280</v>
      </c>
      <c r="C960" s="69">
        <v>46280.713784722226</v>
      </c>
      <c r="D960" s="55" t="s">
        <v>684</v>
      </c>
      <c r="E960" s="55" t="s">
        <v>1707</v>
      </c>
      <c r="G960" s="129">
        <v>0.33</v>
      </c>
    </row>
    <row r="961" spans="2:7">
      <c r="B961" s="56">
        <v>46280</v>
      </c>
      <c r="C961" s="69">
        <v>46280.713796296295</v>
      </c>
      <c r="D961" s="55" t="s">
        <v>684</v>
      </c>
      <c r="E961" s="55" t="s">
        <v>1708</v>
      </c>
      <c r="G961" s="129">
        <v>0.33</v>
      </c>
    </row>
    <row r="962" spans="2:7">
      <c r="B962" s="56">
        <v>46280</v>
      </c>
      <c r="C962" s="69">
        <v>46280.713796296295</v>
      </c>
      <c r="D962" s="55" t="s">
        <v>684</v>
      </c>
      <c r="E962" s="55" t="s">
        <v>1709</v>
      </c>
      <c r="G962" s="129">
        <v>0.34</v>
      </c>
    </row>
    <row r="963" spans="2:7">
      <c r="B963" s="56">
        <v>46280</v>
      </c>
      <c r="C963" s="69">
        <v>46280.713807870372</v>
      </c>
      <c r="D963" s="55" t="s">
        <v>684</v>
      </c>
      <c r="E963" s="55" t="s">
        <v>1715</v>
      </c>
      <c r="G963" s="129">
        <v>0.25</v>
      </c>
    </row>
    <row r="964" spans="2:7">
      <c r="B964" s="56">
        <v>46280</v>
      </c>
      <c r="C964" s="69">
        <v>46280.713807870372</v>
      </c>
      <c r="D964" s="55" t="s">
        <v>684</v>
      </c>
      <c r="E964" s="55" t="s">
        <v>1716</v>
      </c>
      <c r="G964" s="129">
        <v>0.25</v>
      </c>
    </row>
    <row r="965" spans="2:7">
      <c r="B965" s="56">
        <v>46280</v>
      </c>
      <c r="C965" s="69">
        <v>46280.713819444441</v>
      </c>
      <c r="D965" s="55" t="s">
        <v>684</v>
      </c>
      <c r="E965" s="55" t="s">
        <v>1717</v>
      </c>
      <c r="G965" s="129">
        <v>0.25</v>
      </c>
    </row>
    <row r="966" spans="2:7">
      <c r="B966" s="56">
        <v>46280</v>
      </c>
      <c r="C966" s="69">
        <v>46280.713819444441</v>
      </c>
      <c r="D966" s="55" t="s">
        <v>684</v>
      </c>
      <c r="E966" s="55" t="s">
        <v>1718</v>
      </c>
      <c r="G966" s="129">
        <v>0.25</v>
      </c>
    </row>
    <row r="967" spans="2:7">
      <c r="B967" s="56">
        <v>46280</v>
      </c>
      <c r="C967" s="69">
        <v>46280.713831018518</v>
      </c>
      <c r="D967" s="55" t="s">
        <v>684</v>
      </c>
      <c r="E967" s="55" t="s">
        <v>1719</v>
      </c>
      <c r="G967" s="129">
        <v>0.5</v>
      </c>
    </row>
    <row r="968" spans="2:7">
      <c r="B968" s="56">
        <v>46280</v>
      </c>
      <c r="C968" s="69">
        <v>46280.713831018518</v>
      </c>
      <c r="D968" s="55" t="s">
        <v>684</v>
      </c>
      <c r="E968" s="55" t="s">
        <v>1720</v>
      </c>
      <c r="G968" s="129">
        <v>0.5</v>
      </c>
    </row>
    <row r="969" spans="2:7">
      <c r="B969" s="56">
        <v>46280</v>
      </c>
      <c r="C969" s="69">
        <v>46280.713842592595</v>
      </c>
      <c r="D969" s="55" t="s">
        <v>684</v>
      </c>
      <c r="E969" s="55" t="s">
        <v>1724</v>
      </c>
      <c r="G969" s="129">
        <v>0.5</v>
      </c>
    </row>
    <row r="970" spans="2:7">
      <c r="B970" s="56">
        <v>46280</v>
      </c>
      <c r="C970" s="69">
        <v>46280.713842592595</v>
      </c>
      <c r="D970" s="55" t="s">
        <v>684</v>
      </c>
      <c r="E970" s="55" t="s">
        <v>1725</v>
      </c>
      <c r="G970" s="129">
        <v>0.5</v>
      </c>
    </row>
    <row r="971" spans="2:7">
      <c r="B971" s="56">
        <v>46280</v>
      </c>
      <c r="C971" s="69">
        <v>46280.713854166665</v>
      </c>
      <c r="D971" s="55" t="s">
        <v>684</v>
      </c>
      <c r="E971" s="55" t="s">
        <v>1727</v>
      </c>
      <c r="G971" s="129">
        <v>0.5</v>
      </c>
    </row>
    <row r="972" spans="2:7">
      <c r="B972" s="56">
        <v>46280</v>
      </c>
      <c r="C972" s="69">
        <v>46280.713854166665</v>
      </c>
      <c r="D972" s="55" t="s">
        <v>684</v>
      </c>
      <c r="E972" s="55" t="s">
        <v>1728</v>
      </c>
      <c r="G972" s="129">
        <v>0.5</v>
      </c>
    </row>
    <row r="973" spans="2:7">
      <c r="B973" s="56">
        <v>46280</v>
      </c>
      <c r="C973" s="69">
        <v>46280.725590277776</v>
      </c>
      <c r="D973" s="55" t="s">
        <v>684</v>
      </c>
      <c r="E973" s="55" t="s">
        <v>1629</v>
      </c>
      <c r="G973" s="129">
        <v>0.5</v>
      </c>
    </row>
    <row r="974" spans="2:7">
      <c r="B974" s="56">
        <v>46280</v>
      </c>
      <c r="C974" s="69">
        <v>46280.725590277776</v>
      </c>
      <c r="D974" s="55" t="s">
        <v>684</v>
      </c>
      <c r="E974" s="55" t="s">
        <v>1645</v>
      </c>
      <c r="G974" s="129">
        <v>0.33</v>
      </c>
    </row>
    <row r="975" spans="2:7">
      <c r="B975" s="56">
        <v>46280</v>
      </c>
      <c r="C975" s="69">
        <v>46280.725601851853</v>
      </c>
      <c r="D975" s="55" t="s">
        <v>684</v>
      </c>
      <c r="E975" s="55" t="s">
        <v>1646</v>
      </c>
      <c r="G975" s="129">
        <v>0.34</v>
      </c>
    </row>
    <row r="976" spans="2:7">
      <c r="B976" s="56">
        <v>46280</v>
      </c>
      <c r="C976" s="69">
        <v>46280.725601851853</v>
      </c>
      <c r="D976" s="55" t="s">
        <v>684</v>
      </c>
      <c r="E976" s="55" t="s">
        <v>1653</v>
      </c>
      <c r="G976" s="129">
        <v>0.5</v>
      </c>
    </row>
    <row r="977" spans="2:7">
      <c r="B977" s="56">
        <v>46280</v>
      </c>
      <c r="C977" s="69">
        <v>46280.725613425922</v>
      </c>
      <c r="D977" s="55" t="s">
        <v>684</v>
      </c>
      <c r="E977" s="55" t="s">
        <v>1657</v>
      </c>
      <c r="G977" s="129">
        <v>0.5</v>
      </c>
    </row>
    <row r="978" spans="2:7">
      <c r="B978" s="56">
        <v>46280</v>
      </c>
      <c r="C978" s="69">
        <v>46280.725613425922</v>
      </c>
      <c r="D978" s="55" t="s">
        <v>684</v>
      </c>
      <c r="E978" s="55" t="s">
        <v>1658</v>
      </c>
      <c r="G978" s="129">
        <v>0.5</v>
      </c>
    </row>
    <row r="979" spans="2:7">
      <c r="B979" s="56">
        <v>46280</v>
      </c>
      <c r="C979" s="69">
        <v>46280.725763888891</v>
      </c>
      <c r="D979" s="55" t="s">
        <v>684</v>
      </c>
      <c r="E979" s="55" t="s">
        <v>1587</v>
      </c>
      <c r="G979" s="129">
        <v>0.5</v>
      </c>
    </row>
    <row r="980" spans="2:7">
      <c r="B980" s="56">
        <v>46280</v>
      </c>
      <c r="C980" s="69">
        <v>46280.725775462961</v>
      </c>
      <c r="D980" s="55" t="s">
        <v>684</v>
      </c>
      <c r="E980" s="55" t="s">
        <v>1588</v>
      </c>
      <c r="G980" s="129">
        <v>0.5</v>
      </c>
    </row>
    <row r="981" spans="2:7">
      <c r="B981" s="56">
        <v>46280</v>
      </c>
      <c r="C981" s="69">
        <v>46280.725775462961</v>
      </c>
      <c r="D981" s="55" t="s">
        <v>684</v>
      </c>
      <c r="E981" s="55" t="s">
        <v>1614</v>
      </c>
      <c r="G981" s="129">
        <v>0.5</v>
      </c>
    </row>
    <row r="982" spans="2:7">
      <c r="B982" s="56">
        <v>46280</v>
      </c>
      <c r="C982" s="69">
        <v>46280.725787037038</v>
      </c>
      <c r="D982" s="55" t="s">
        <v>684</v>
      </c>
      <c r="E982" s="55" t="s">
        <v>1615</v>
      </c>
      <c r="G982" s="129">
        <v>0.5</v>
      </c>
    </row>
    <row r="983" spans="2:7">
      <c r="B983" s="56">
        <v>46280</v>
      </c>
      <c r="C983" s="69">
        <v>46280.725787037038</v>
      </c>
      <c r="D983" s="55" t="s">
        <v>684</v>
      </c>
      <c r="E983" s="55" t="s">
        <v>1627</v>
      </c>
      <c r="G983" s="129">
        <v>0.5</v>
      </c>
    </row>
    <row r="984" spans="2:7">
      <c r="B984" s="56">
        <v>46280</v>
      </c>
      <c r="C984" s="69">
        <v>46280.725798611114</v>
      </c>
      <c r="D984" s="55" t="s">
        <v>684</v>
      </c>
      <c r="E984" s="55" t="s">
        <v>1628</v>
      </c>
      <c r="G984" s="129">
        <v>0.5</v>
      </c>
    </row>
    <row r="985" spans="2:7">
      <c r="B985" s="56">
        <v>46280</v>
      </c>
      <c r="C985" s="69">
        <v>46280.725798611114</v>
      </c>
      <c r="D985" s="55" t="s">
        <v>684</v>
      </c>
      <c r="E985" s="55" t="s">
        <v>1630</v>
      </c>
      <c r="G985" s="129">
        <v>0.5</v>
      </c>
    </row>
    <row r="986" spans="2:7">
      <c r="B986" s="56">
        <v>46280</v>
      </c>
      <c r="C986" s="69">
        <v>46280.725810185184</v>
      </c>
      <c r="D986" s="55" t="s">
        <v>684</v>
      </c>
      <c r="E986" s="55" t="s">
        <v>1632</v>
      </c>
      <c r="G986" s="129">
        <v>0.33</v>
      </c>
    </row>
    <row r="987" spans="2:7">
      <c r="B987" s="56">
        <v>46280</v>
      </c>
      <c r="C987" s="69">
        <v>46280.725810185184</v>
      </c>
      <c r="D987" s="55" t="s">
        <v>684</v>
      </c>
      <c r="E987" s="55" t="s">
        <v>1633</v>
      </c>
      <c r="G987" s="129">
        <v>0.33</v>
      </c>
    </row>
    <row r="988" spans="2:7">
      <c r="B988" s="56">
        <v>46280</v>
      </c>
      <c r="C988" s="69">
        <v>46280.725821759261</v>
      </c>
      <c r="D988" s="55" t="s">
        <v>684</v>
      </c>
      <c r="E988" s="55" t="s">
        <v>1634</v>
      </c>
      <c r="G988" s="129">
        <v>0.34</v>
      </c>
    </row>
    <row r="989" spans="2:7">
      <c r="B989" s="56">
        <v>46280</v>
      </c>
      <c r="C989" s="69">
        <v>46280.725821759261</v>
      </c>
      <c r="D989" s="55" t="s">
        <v>684</v>
      </c>
      <c r="E989" s="55" t="s">
        <v>1635</v>
      </c>
      <c r="G989" s="129">
        <v>0.5</v>
      </c>
    </row>
    <row r="990" spans="2:7">
      <c r="B990" s="56">
        <v>46280</v>
      </c>
      <c r="C990" s="69">
        <v>46280.72583333333</v>
      </c>
      <c r="D990" s="55" t="s">
        <v>684</v>
      </c>
      <c r="E990" s="55" t="s">
        <v>1636</v>
      </c>
      <c r="G990" s="129">
        <v>0.5</v>
      </c>
    </row>
    <row r="991" spans="2:7">
      <c r="B991" s="56">
        <v>46280</v>
      </c>
      <c r="C991" s="69">
        <v>46280.72583333333</v>
      </c>
      <c r="D991" s="55" t="s">
        <v>684</v>
      </c>
      <c r="E991" s="55" t="s">
        <v>1641</v>
      </c>
      <c r="G991" s="129">
        <v>0.33</v>
      </c>
    </row>
    <row r="992" spans="2:7">
      <c r="B992" s="56">
        <v>46280</v>
      </c>
      <c r="C992" s="69">
        <v>46280.725844907407</v>
      </c>
      <c r="D992" s="55" t="s">
        <v>684</v>
      </c>
      <c r="E992" s="55" t="s">
        <v>1642</v>
      </c>
      <c r="G992" s="129">
        <v>0.33</v>
      </c>
    </row>
    <row r="993" spans="2:7">
      <c r="B993" s="56">
        <v>46280</v>
      </c>
      <c r="C993" s="69">
        <v>46280.725844907407</v>
      </c>
      <c r="D993" s="55" t="s">
        <v>684</v>
      </c>
      <c r="E993" s="55" t="s">
        <v>1643</v>
      </c>
      <c r="G993" s="129">
        <v>0.34</v>
      </c>
    </row>
    <row r="994" spans="2:7">
      <c r="B994" s="56">
        <v>46280</v>
      </c>
      <c r="C994" s="69">
        <v>46280.725856481484</v>
      </c>
      <c r="D994" s="55" t="s">
        <v>684</v>
      </c>
      <c r="E994" s="55" t="s">
        <v>1644</v>
      </c>
      <c r="G994" s="129">
        <v>0.33</v>
      </c>
    </row>
    <row r="995" spans="2:7">
      <c r="B995" s="56">
        <v>46280</v>
      </c>
      <c r="C995" s="69">
        <v>46280.725856481484</v>
      </c>
      <c r="D995" s="55" t="s">
        <v>684</v>
      </c>
      <c r="E995" s="55" t="s">
        <v>1647</v>
      </c>
      <c r="G995" s="129">
        <v>0.5</v>
      </c>
    </row>
    <row r="996" spans="2:7">
      <c r="B996" s="56">
        <v>46280</v>
      </c>
      <c r="C996" s="69">
        <v>46280.725856481484</v>
      </c>
      <c r="D996" s="55" t="s">
        <v>684</v>
      </c>
      <c r="E996" s="55" t="s">
        <v>1648</v>
      </c>
      <c r="G996" s="129">
        <v>0.5</v>
      </c>
    </row>
    <row r="997" spans="2:7">
      <c r="B997" s="56">
        <v>46280</v>
      </c>
      <c r="C997" s="69">
        <v>46280.725868055553</v>
      </c>
      <c r="D997" s="55" t="s">
        <v>684</v>
      </c>
      <c r="E997" s="55" t="s">
        <v>1654</v>
      </c>
      <c r="G997" s="129">
        <v>0.5</v>
      </c>
    </row>
    <row r="998" spans="2:7">
      <c r="B998" s="56">
        <v>46280</v>
      </c>
      <c r="C998" s="69">
        <v>46280.72587962963</v>
      </c>
      <c r="D998" s="55" t="s">
        <v>684</v>
      </c>
      <c r="E998" s="55" t="s">
        <v>1661</v>
      </c>
      <c r="G998" s="129">
        <v>0.25</v>
      </c>
    </row>
    <row r="999" spans="2:7">
      <c r="B999" s="56">
        <v>46280</v>
      </c>
      <c r="C999" s="69">
        <v>46280.72587962963</v>
      </c>
      <c r="D999" s="55" t="s">
        <v>684</v>
      </c>
      <c r="E999" s="55" t="s">
        <v>1662</v>
      </c>
      <c r="G999" s="129">
        <v>0.25</v>
      </c>
    </row>
    <row r="1000" spans="2:7">
      <c r="B1000" s="56">
        <v>46280</v>
      </c>
      <c r="C1000" s="69">
        <v>46280.725891203707</v>
      </c>
      <c r="D1000" s="55" t="s">
        <v>684</v>
      </c>
      <c r="E1000" s="55" t="s">
        <v>1663</v>
      </c>
      <c r="G1000" s="129">
        <v>0.25</v>
      </c>
    </row>
    <row r="1001" spans="2:7">
      <c r="B1001" s="56">
        <v>46280</v>
      </c>
      <c r="C1001" s="69">
        <v>46280.725891203707</v>
      </c>
      <c r="D1001" s="55" t="s">
        <v>684</v>
      </c>
      <c r="E1001" s="55" t="s">
        <v>1664</v>
      </c>
      <c r="G1001" s="129">
        <v>0.25</v>
      </c>
    </row>
    <row r="1002" spans="2:7">
      <c r="B1002" s="56">
        <v>46280</v>
      </c>
      <c r="C1002" s="69">
        <v>46280.725902777776</v>
      </c>
      <c r="D1002" s="55" t="s">
        <v>684</v>
      </c>
      <c r="E1002" s="55" t="s">
        <v>1666</v>
      </c>
      <c r="G1002" s="129">
        <v>0.5</v>
      </c>
    </row>
    <row r="1003" spans="2:7">
      <c r="B1003" s="56">
        <v>46280</v>
      </c>
      <c r="C1003" s="69">
        <v>46280.725902777776</v>
      </c>
      <c r="D1003" s="55" t="s">
        <v>684</v>
      </c>
      <c r="E1003" s="55" t="s">
        <v>1667</v>
      </c>
      <c r="G1003" s="129">
        <v>0.5</v>
      </c>
    </row>
    <row r="1004" spans="2:7">
      <c r="B1004" s="56">
        <v>46280</v>
      </c>
      <c r="C1004" s="69">
        <v>46280.725914351853</v>
      </c>
      <c r="D1004" s="55" t="s">
        <v>684</v>
      </c>
      <c r="E1004" s="55" t="s">
        <v>1675</v>
      </c>
      <c r="G1004" s="129">
        <v>0.33</v>
      </c>
    </row>
    <row r="1005" spans="2:7">
      <c r="B1005" s="56">
        <v>46280</v>
      </c>
      <c r="C1005" s="69">
        <v>46280.725914351853</v>
      </c>
      <c r="D1005" s="55" t="s">
        <v>684</v>
      </c>
      <c r="E1005" s="55" t="s">
        <v>1676</v>
      </c>
      <c r="G1005" s="129">
        <v>0.33</v>
      </c>
    </row>
    <row r="1006" spans="2:7">
      <c r="B1006" s="56">
        <v>46280</v>
      </c>
      <c r="C1006" s="69">
        <v>46280.725914351853</v>
      </c>
      <c r="D1006" s="55" t="s">
        <v>684</v>
      </c>
      <c r="E1006" s="55" t="s">
        <v>1677</v>
      </c>
      <c r="G1006" s="129">
        <v>0.34</v>
      </c>
    </row>
    <row r="1007" spans="2:7">
      <c r="B1007" s="56">
        <v>46280</v>
      </c>
      <c r="C1007" s="69">
        <v>46280.725925925923</v>
      </c>
      <c r="D1007" s="55" t="s">
        <v>684</v>
      </c>
      <c r="E1007" s="55" t="s">
        <v>1685</v>
      </c>
      <c r="G1007" s="129">
        <v>0.5</v>
      </c>
    </row>
    <row r="1008" spans="2:7">
      <c r="B1008" s="56">
        <v>46280</v>
      </c>
      <c r="C1008" s="69">
        <v>46280.725925925923</v>
      </c>
      <c r="D1008" s="55" t="s">
        <v>684</v>
      </c>
      <c r="E1008" s="55" t="s">
        <v>1686</v>
      </c>
      <c r="G1008" s="129">
        <v>0.5</v>
      </c>
    </row>
    <row r="1009" spans="2:7">
      <c r="B1009" s="56">
        <v>46280</v>
      </c>
      <c r="C1009" s="69">
        <v>46280.725937499999</v>
      </c>
      <c r="D1009" s="55" t="s">
        <v>684</v>
      </c>
      <c r="E1009" s="55" t="s">
        <v>1687</v>
      </c>
      <c r="G1009" s="129">
        <v>0.5</v>
      </c>
    </row>
    <row r="1010" spans="2:7">
      <c r="B1010" s="56">
        <v>46280</v>
      </c>
      <c r="C1010" s="69">
        <v>46280.725937499999</v>
      </c>
      <c r="D1010" s="55" t="s">
        <v>684</v>
      </c>
      <c r="E1010" s="55" t="s">
        <v>1688</v>
      </c>
      <c r="G1010" s="129">
        <v>0.5</v>
      </c>
    </row>
    <row r="1011" spans="2:7">
      <c r="B1011" s="56">
        <v>46280</v>
      </c>
      <c r="C1011" s="69">
        <v>46280.725949074076</v>
      </c>
      <c r="D1011" s="55" t="s">
        <v>684</v>
      </c>
      <c r="E1011" s="55" t="s">
        <v>1689</v>
      </c>
      <c r="G1011" s="129">
        <v>0.5</v>
      </c>
    </row>
    <row r="1012" spans="2:7">
      <c r="B1012" s="56">
        <v>46280</v>
      </c>
      <c r="C1012" s="69">
        <v>46280.725949074076</v>
      </c>
      <c r="D1012" s="55" t="s">
        <v>684</v>
      </c>
      <c r="E1012" s="55" t="s">
        <v>1690</v>
      </c>
      <c r="G1012" s="129">
        <v>0.5</v>
      </c>
    </row>
    <row r="1013" spans="2:7">
      <c r="B1013" s="56">
        <v>46280</v>
      </c>
      <c r="C1013" s="69">
        <v>46280.725960648146</v>
      </c>
      <c r="D1013" s="55" t="s">
        <v>684</v>
      </c>
      <c r="E1013" s="55" t="s">
        <v>1692</v>
      </c>
      <c r="G1013" s="129">
        <v>0.16</v>
      </c>
    </row>
    <row r="1014" spans="2:7">
      <c r="B1014" s="56">
        <v>46280</v>
      </c>
      <c r="C1014" s="69">
        <v>46280.725960648146</v>
      </c>
      <c r="D1014" s="55" t="s">
        <v>684</v>
      </c>
      <c r="E1014" s="55" t="s">
        <v>1693</v>
      </c>
      <c r="G1014" s="129">
        <v>0.16</v>
      </c>
    </row>
    <row r="1015" spans="2:7">
      <c r="B1015" s="56">
        <v>46280</v>
      </c>
      <c r="C1015" s="69">
        <v>46280.725972222222</v>
      </c>
      <c r="D1015" s="55" t="s">
        <v>684</v>
      </c>
      <c r="E1015" s="55" t="s">
        <v>1694</v>
      </c>
      <c r="G1015" s="129">
        <v>0.16</v>
      </c>
    </row>
    <row r="1016" spans="2:7">
      <c r="B1016" s="56">
        <v>46280</v>
      </c>
      <c r="C1016" s="69">
        <v>46280.725972222222</v>
      </c>
      <c r="D1016" s="55" t="s">
        <v>684</v>
      </c>
      <c r="E1016" s="55" t="s">
        <v>1695</v>
      </c>
      <c r="G1016" s="129">
        <v>0.16</v>
      </c>
    </row>
    <row r="1017" spans="2:7">
      <c r="B1017" s="56">
        <v>46280</v>
      </c>
      <c r="C1017" s="69">
        <v>46280.725983796299</v>
      </c>
      <c r="D1017" s="55" t="s">
        <v>684</v>
      </c>
      <c r="E1017" s="55" t="s">
        <v>1696</v>
      </c>
      <c r="G1017" s="129">
        <v>0.16</v>
      </c>
    </row>
    <row r="1018" spans="2:7">
      <c r="B1018" s="56">
        <v>46280</v>
      </c>
      <c r="C1018" s="69">
        <v>46280.725983796299</v>
      </c>
      <c r="D1018" s="55" t="s">
        <v>684</v>
      </c>
      <c r="E1018" s="55" t="s">
        <v>1697</v>
      </c>
      <c r="G1018" s="129">
        <v>0.2</v>
      </c>
    </row>
    <row r="1019" spans="2:7">
      <c r="B1019" s="56">
        <v>46280</v>
      </c>
      <c r="C1019" s="69">
        <v>46280.725995370369</v>
      </c>
      <c r="D1019" s="55" t="s">
        <v>684</v>
      </c>
      <c r="E1019" s="55" t="s">
        <v>1698</v>
      </c>
      <c r="G1019" s="129">
        <v>0.25</v>
      </c>
    </row>
    <row r="1020" spans="2:7">
      <c r="B1020" s="56">
        <v>46280</v>
      </c>
      <c r="C1020" s="69">
        <v>46280.725995370369</v>
      </c>
      <c r="D1020" s="55" t="s">
        <v>684</v>
      </c>
      <c r="E1020" s="55" t="s">
        <v>1699</v>
      </c>
      <c r="G1020" s="129">
        <v>0.25</v>
      </c>
    </row>
    <row r="1021" spans="2:7">
      <c r="B1021" s="56">
        <v>46280</v>
      </c>
      <c r="C1021" s="69">
        <v>46280.726006944446</v>
      </c>
      <c r="D1021" s="55" t="s">
        <v>684</v>
      </c>
      <c r="E1021" s="55" t="s">
        <v>1700</v>
      </c>
      <c r="G1021" s="129">
        <v>0.25</v>
      </c>
    </row>
    <row r="1022" spans="2:7">
      <c r="B1022" s="56">
        <v>46280</v>
      </c>
      <c r="C1022" s="69">
        <v>46280.726006944446</v>
      </c>
      <c r="D1022" s="55" t="s">
        <v>684</v>
      </c>
      <c r="E1022" s="55" t="s">
        <v>1701</v>
      </c>
      <c r="G1022" s="129">
        <v>0.25</v>
      </c>
    </row>
    <row r="1023" spans="2:7">
      <c r="B1023" s="56">
        <v>46280</v>
      </c>
      <c r="C1023" s="69">
        <v>46280.726018518515</v>
      </c>
      <c r="D1023" s="55" t="s">
        <v>684</v>
      </c>
      <c r="E1023" s="55" t="s">
        <v>1702</v>
      </c>
      <c r="G1023" s="129">
        <v>0.2</v>
      </c>
    </row>
    <row r="1024" spans="2:7">
      <c r="B1024" s="56">
        <v>46280</v>
      </c>
      <c r="C1024" s="69">
        <v>46280.726018518515</v>
      </c>
      <c r="D1024" s="55" t="s">
        <v>684</v>
      </c>
      <c r="E1024" s="55" t="s">
        <v>1703</v>
      </c>
      <c r="G1024" s="129">
        <v>0.2</v>
      </c>
    </row>
    <row r="1025" spans="2:7">
      <c r="B1025" s="56">
        <v>46280</v>
      </c>
      <c r="C1025" s="69">
        <v>46280.726030092592</v>
      </c>
      <c r="D1025" s="55" t="s">
        <v>684</v>
      </c>
      <c r="E1025" s="55" t="s">
        <v>1704</v>
      </c>
      <c r="G1025" s="129">
        <v>0.2</v>
      </c>
    </row>
    <row r="1026" spans="2:7">
      <c r="B1026" s="56">
        <v>46280</v>
      </c>
      <c r="C1026" s="69">
        <v>46280.726030092592</v>
      </c>
      <c r="D1026" s="55" t="s">
        <v>684</v>
      </c>
      <c r="E1026" s="55" t="s">
        <v>1705</v>
      </c>
      <c r="G1026" s="129">
        <v>0.2</v>
      </c>
    </row>
    <row r="1027" spans="2:7">
      <c r="B1027" s="56">
        <v>46280</v>
      </c>
      <c r="C1027" s="69">
        <v>46280.726041666669</v>
      </c>
      <c r="D1027" s="55" t="s">
        <v>684</v>
      </c>
      <c r="E1027" s="55" t="s">
        <v>1706</v>
      </c>
      <c r="G1027" s="129">
        <v>0.2</v>
      </c>
    </row>
    <row r="1028" spans="2:7">
      <c r="B1028" s="56">
        <v>46280</v>
      </c>
      <c r="C1028" s="69">
        <v>46280.726041666669</v>
      </c>
      <c r="D1028" s="55" t="s">
        <v>684</v>
      </c>
      <c r="E1028" s="55" t="s">
        <v>1707</v>
      </c>
      <c r="G1028" s="129">
        <v>0.33</v>
      </c>
    </row>
    <row r="1029" spans="2:7">
      <c r="B1029" s="56">
        <v>46280</v>
      </c>
      <c r="C1029" s="69">
        <v>46280.726041666669</v>
      </c>
      <c r="D1029" s="55" t="s">
        <v>684</v>
      </c>
      <c r="E1029" s="55" t="s">
        <v>1708</v>
      </c>
      <c r="G1029" s="129">
        <v>0.33</v>
      </c>
    </row>
    <row r="1030" spans="2:7">
      <c r="B1030" s="56">
        <v>46280</v>
      </c>
      <c r="C1030" s="69">
        <v>46280.726053240738</v>
      </c>
      <c r="D1030" s="55" t="s">
        <v>684</v>
      </c>
      <c r="E1030" s="55" t="s">
        <v>1709</v>
      </c>
      <c r="G1030" s="129">
        <v>0.34</v>
      </c>
    </row>
    <row r="1031" spans="2:7">
      <c r="B1031" s="56">
        <v>46280</v>
      </c>
      <c r="C1031" s="69">
        <v>46280.726053240738</v>
      </c>
      <c r="D1031" s="55" t="s">
        <v>684</v>
      </c>
      <c r="E1031" s="55" t="s">
        <v>1715</v>
      </c>
      <c r="G1031" s="129">
        <v>0.25</v>
      </c>
    </row>
    <row r="1032" spans="2:7">
      <c r="B1032" s="56">
        <v>46280</v>
      </c>
      <c r="C1032" s="69">
        <v>46280.726064814815</v>
      </c>
      <c r="D1032" s="55" t="s">
        <v>684</v>
      </c>
      <c r="E1032" s="55" t="s">
        <v>1716</v>
      </c>
      <c r="G1032" s="129">
        <v>0.25</v>
      </c>
    </row>
    <row r="1033" spans="2:7">
      <c r="B1033" s="56">
        <v>46280</v>
      </c>
      <c r="C1033" s="69">
        <v>46280.726064814815</v>
      </c>
      <c r="D1033" s="55" t="s">
        <v>684</v>
      </c>
      <c r="E1033" s="55" t="s">
        <v>1717</v>
      </c>
      <c r="G1033" s="129">
        <v>0.25</v>
      </c>
    </row>
    <row r="1034" spans="2:7">
      <c r="B1034" s="56">
        <v>46280</v>
      </c>
      <c r="C1034" s="69">
        <v>46280.726076388892</v>
      </c>
      <c r="D1034" s="55" t="s">
        <v>684</v>
      </c>
      <c r="E1034" s="55" t="s">
        <v>1718</v>
      </c>
      <c r="G1034" s="129">
        <v>0.25</v>
      </c>
    </row>
    <row r="1035" spans="2:7">
      <c r="B1035" s="56">
        <v>46280</v>
      </c>
      <c r="C1035" s="69">
        <v>46280.726076388892</v>
      </c>
      <c r="D1035" s="55" t="s">
        <v>684</v>
      </c>
      <c r="E1035" s="55" t="s">
        <v>1719</v>
      </c>
      <c r="G1035" s="129">
        <v>0.5</v>
      </c>
    </row>
    <row r="1036" spans="2:7">
      <c r="B1036" s="56">
        <v>46280</v>
      </c>
      <c r="C1036" s="69">
        <v>46280.726087962961</v>
      </c>
      <c r="D1036" s="55" t="s">
        <v>684</v>
      </c>
      <c r="E1036" s="55" t="s">
        <v>1720</v>
      </c>
      <c r="G1036" s="129">
        <v>0.5</v>
      </c>
    </row>
    <row r="1037" spans="2:7">
      <c r="B1037" s="56">
        <v>46280</v>
      </c>
      <c r="C1037" s="69">
        <v>46280.726087962961</v>
      </c>
      <c r="D1037" s="55" t="s">
        <v>684</v>
      </c>
      <c r="E1037" s="55" t="s">
        <v>1724</v>
      </c>
      <c r="G1037" s="129">
        <v>0.5</v>
      </c>
    </row>
    <row r="1038" spans="2:7">
      <c r="B1038" s="56">
        <v>46280</v>
      </c>
      <c r="C1038" s="69">
        <v>46280.726099537038</v>
      </c>
      <c r="D1038" s="55" t="s">
        <v>684</v>
      </c>
      <c r="E1038" s="55" t="s">
        <v>1725</v>
      </c>
      <c r="G1038" s="129">
        <v>0.5</v>
      </c>
    </row>
    <row r="1039" spans="2:7">
      <c r="B1039" s="56">
        <v>46280</v>
      </c>
      <c r="C1039" s="69">
        <v>46280.726099537038</v>
      </c>
      <c r="D1039" s="55" t="s">
        <v>684</v>
      </c>
      <c r="E1039" s="55" t="s">
        <v>1727</v>
      </c>
      <c r="G1039" s="129">
        <v>0.5</v>
      </c>
    </row>
    <row r="1040" spans="2:7">
      <c r="B1040" s="56">
        <v>46280</v>
      </c>
      <c r="C1040" s="69">
        <v>46280.726111111115</v>
      </c>
      <c r="D1040" s="55" t="s">
        <v>684</v>
      </c>
      <c r="E1040" s="55" t="s">
        <v>1728</v>
      </c>
      <c r="G1040" s="129">
        <v>0.5</v>
      </c>
    </row>
    <row r="1041" spans="2:7">
      <c r="B1041" s="56">
        <v>46281</v>
      </c>
      <c r="C1041" s="69">
        <v>46281.427152777775</v>
      </c>
      <c r="D1041" s="55" t="s">
        <v>1463</v>
      </c>
      <c r="E1041" s="55" t="s">
        <v>1751</v>
      </c>
      <c r="G1041" s="129" t="s">
        <v>1750</v>
      </c>
    </row>
    <row r="1042" spans="2:7">
      <c r="B1042" s="56">
        <v>46281</v>
      </c>
      <c r="C1042" s="69">
        <v>46281.427256944444</v>
      </c>
      <c r="D1042" s="55" t="s">
        <v>1463</v>
      </c>
      <c r="E1042" s="55" t="s">
        <v>1753</v>
      </c>
      <c r="G1042" s="129" t="s">
        <v>1752</v>
      </c>
    </row>
    <row r="1043" spans="2:7">
      <c r="B1043" s="56">
        <v>46281</v>
      </c>
      <c r="C1043" s="69">
        <v>46281.427291666667</v>
      </c>
      <c r="D1043" s="55" t="s">
        <v>1463</v>
      </c>
      <c r="E1043" s="55" t="s">
        <v>1751</v>
      </c>
      <c r="F1043" s="129" t="s">
        <v>1750</v>
      </c>
      <c r="G1043" s="129" t="s">
        <v>1754</v>
      </c>
    </row>
    <row r="1044" spans="2:7">
      <c r="B1044" s="56">
        <v>46281</v>
      </c>
      <c r="C1044" s="69">
        <v>46281.427395833336</v>
      </c>
      <c r="D1044" s="55" t="s">
        <v>1463</v>
      </c>
      <c r="E1044" s="55" t="s">
        <v>1755</v>
      </c>
      <c r="G1044" s="129" t="s">
        <v>660</v>
      </c>
    </row>
    <row r="1045" spans="2:7">
      <c r="B1045" s="56">
        <v>46281</v>
      </c>
      <c r="C1045" s="69">
        <v>46281.427476851852</v>
      </c>
      <c r="D1045" s="55" t="s">
        <v>1463</v>
      </c>
      <c r="E1045" s="55" t="s">
        <v>1756</v>
      </c>
      <c r="G1045" s="129" t="s">
        <v>660</v>
      </c>
    </row>
    <row r="1046" spans="2:7">
      <c r="B1046" s="56">
        <v>46281</v>
      </c>
      <c r="C1046" s="69">
        <v>46281.427824074075</v>
      </c>
      <c r="D1046" s="55" t="s">
        <v>1463</v>
      </c>
      <c r="E1046" s="55" t="s">
        <v>1757</v>
      </c>
      <c r="G1046" s="129" t="s">
        <v>1293</v>
      </c>
    </row>
    <row r="1047" spans="2:7">
      <c r="B1047" s="56">
        <v>46281</v>
      </c>
      <c r="C1047" s="69">
        <v>46281.427847222221</v>
      </c>
      <c r="D1047" s="55" t="s">
        <v>1463</v>
      </c>
      <c r="E1047" s="55" t="s">
        <v>1758</v>
      </c>
      <c r="G1047" s="129" t="s">
        <v>1293</v>
      </c>
    </row>
    <row r="1048" spans="2:7">
      <c r="B1048" s="56">
        <v>46281</v>
      </c>
      <c r="C1048" s="69">
        <v>46281.42869212963</v>
      </c>
      <c r="D1048" s="55" t="s">
        <v>1463</v>
      </c>
      <c r="E1048" s="55" t="s">
        <v>1757</v>
      </c>
      <c r="F1048" s="129" t="s">
        <v>1293</v>
      </c>
      <c r="G1048" s="129" t="s">
        <v>662</v>
      </c>
    </row>
    <row r="1049" spans="2:7">
      <c r="B1049" s="56">
        <v>46281</v>
      </c>
      <c r="C1049" s="69">
        <v>46281.428738425922</v>
      </c>
      <c r="D1049" s="55" t="s">
        <v>1463</v>
      </c>
      <c r="E1049" s="55" t="s">
        <v>1758</v>
      </c>
      <c r="F1049" s="129" t="s">
        <v>1293</v>
      </c>
      <c r="G1049" s="129" t="s">
        <v>662</v>
      </c>
    </row>
    <row r="1050" spans="2:7">
      <c r="B1050" s="56">
        <v>46281</v>
      </c>
      <c r="C1050" s="69">
        <v>46281.428981481484</v>
      </c>
      <c r="D1050" s="55" t="s">
        <v>1463</v>
      </c>
      <c r="E1050" s="55" t="s">
        <v>1467</v>
      </c>
      <c r="G1050" s="129" t="s">
        <v>662</v>
      </c>
    </row>
    <row r="1051" spans="2:7">
      <c r="B1051" s="56">
        <v>46281</v>
      </c>
      <c r="C1051" s="69">
        <v>46281.429074074076</v>
      </c>
      <c r="D1051" s="55" t="s">
        <v>1463</v>
      </c>
      <c r="E1051" s="55" t="s">
        <v>1759</v>
      </c>
      <c r="G1051" s="129" t="s">
        <v>662</v>
      </c>
    </row>
    <row r="1052" spans="2:7">
      <c r="B1052" s="56">
        <v>46281</v>
      </c>
      <c r="C1052" s="69">
        <v>46281.429212962961</v>
      </c>
      <c r="D1052" s="55" t="s">
        <v>1463</v>
      </c>
      <c r="E1052" s="55" t="s">
        <v>899</v>
      </c>
      <c r="G1052" s="129" t="s">
        <v>1296</v>
      </c>
    </row>
    <row r="1053" spans="2:7">
      <c r="B1053" s="56">
        <v>46281</v>
      </c>
      <c r="C1053" s="69">
        <v>46281.429513888892</v>
      </c>
      <c r="D1053" s="55" t="s">
        <v>1463</v>
      </c>
      <c r="E1053" s="55" t="s">
        <v>1760</v>
      </c>
      <c r="G1053" s="129" t="s">
        <v>1293</v>
      </c>
    </row>
    <row r="1054" spans="2:7">
      <c r="B1054" s="56">
        <v>46281</v>
      </c>
      <c r="C1054" s="69">
        <v>46281.429768518516</v>
      </c>
      <c r="D1054" s="55" t="s">
        <v>1463</v>
      </c>
      <c r="E1054" s="55" t="s">
        <v>1761</v>
      </c>
      <c r="G1054" s="129" t="s">
        <v>1298</v>
      </c>
    </row>
    <row r="1055" spans="2:7">
      <c r="B1055" s="56">
        <v>46281</v>
      </c>
      <c r="C1055" s="69">
        <v>46281.4299537037</v>
      </c>
      <c r="D1055" s="55" t="s">
        <v>1463</v>
      </c>
      <c r="E1055" s="55" t="s">
        <v>1762</v>
      </c>
      <c r="G1055" s="129" t="s">
        <v>1298</v>
      </c>
    </row>
    <row r="1056" spans="2:7">
      <c r="B1056" s="56">
        <v>46281</v>
      </c>
      <c r="C1056" s="69">
        <v>46281.430104166669</v>
      </c>
      <c r="D1056" s="55" t="s">
        <v>1463</v>
      </c>
      <c r="E1056" s="55" t="s">
        <v>1763</v>
      </c>
      <c r="G1056" s="129" t="s">
        <v>1300</v>
      </c>
    </row>
    <row r="1057" spans="2:7">
      <c r="B1057" s="56">
        <v>46281</v>
      </c>
      <c r="C1057" s="69">
        <v>46281.430266203701</v>
      </c>
      <c r="D1057" s="55" t="s">
        <v>1463</v>
      </c>
      <c r="E1057" s="55" t="s">
        <v>1764</v>
      </c>
      <c r="G1057" s="129" t="s">
        <v>1304</v>
      </c>
    </row>
    <row r="1058" spans="2:7">
      <c r="B1058" s="56">
        <v>46281</v>
      </c>
      <c r="C1058" s="69">
        <v>46281.430625000001</v>
      </c>
      <c r="D1058" s="55" t="s">
        <v>1463</v>
      </c>
      <c r="E1058" s="55" t="s">
        <v>1765</v>
      </c>
      <c r="G1058" s="129" t="s">
        <v>662</v>
      </c>
    </row>
    <row r="1059" spans="2:7">
      <c r="B1059" s="56">
        <v>46281</v>
      </c>
      <c r="C1059" s="69">
        <v>46281.430717592593</v>
      </c>
      <c r="D1059" s="55" t="s">
        <v>1463</v>
      </c>
      <c r="E1059" s="55" t="s">
        <v>1766</v>
      </c>
      <c r="G1059" s="129" t="s">
        <v>1293</v>
      </c>
    </row>
    <row r="1060" spans="2:7">
      <c r="B1060" s="56">
        <v>46281</v>
      </c>
      <c r="C1060" s="69">
        <v>46281.430810185186</v>
      </c>
      <c r="D1060" s="55" t="s">
        <v>1463</v>
      </c>
      <c r="E1060" s="55" t="s">
        <v>1767</v>
      </c>
      <c r="G1060" s="129" t="s">
        <v>662</v>
      </c>
    </row>
    <row r="1061" spans="2:7">
      <c r="B1061" s="56">
        <v>46281</v>
      </c>
      <c r="C1061" s="69">
        <v>46281.430844907409</v>
      </c>
      <c r="D1061" s="55" t="s">
        <v>1463</v>
      </c>
      <c r="E1061" s="55" t="s">
        <v>1768</v>
      </c>
      <c r="G1061" s="129" t="s">
        <v>1293</v>
      </c>
    </row>
    <row r="1062" spans="2:7">
      <c r="B1062" s="56">
        <v>46281</v>
      </c>
      <c r="C1062" s="69">
        <v>46281.431215277778</v>
      </c>
      <c r="D1062" s="55" t="s">
        <v>1463</v>
      </c>
      <c r="E1062" s="55" t="s">
        <v>1769</v>
      </c>
      <c r="G1062" s="129" t="s">
        <v>169</v>
      </c>
    </row>
    <row r="1063" spans="2:7">
      <c r="B1063" s="56">
        <v>46281</v>
      </c>
      <c r="C1063" s="69">
        <v>46281.431238425925</v>
      </c>
      <c r="D1063" s="55" t="s">
        <v>1463</v>
      </c>
      <c r="E1063" s="55" t="s">
        <v>1770</v>
      </c>
      <c r="G1063" s="129" t="s">
        <v>169</v>
      </c>
    </row>
    <row r="1064" spans="2:7">
      <c r="B1064" s="56">
        <v>46281</v>
      </c>
      <c r="C1064" s="69">
        <v>46281.431296296294</v>
      </c>
      <c r="D1064" s="55" t="s">
        <v>1463</v>
      </c>
      <c r="E1064" s="55" t="s">
        <v>1769</v>
      </c>
      <c r="F1064" s="129" t="s">
        <v>169</v>
      </c>
    </row>
    <row r="1065" spans="2:7">
      <c r="B1065" s="56">
        <v>46281</v>
      </c>
      <c r="C1065" s="69">
        <v>46281.431319444448</v>
      </c>
      <c r="D1065" s="55" t="s">
        <v>1463</v>
      </c>
      <c r="E1065" s="55" t="s">
        <v>1770</v>
      </c>
      <c r="F1065" s="129" t="s">
        <v>169</v>
      </c>
    </row>
    <row r="1066" spans="2:7">
      <c r="B1066" s="56">
        <v>46282</v>
      </c>
      <c r="C1066" s="69">
        <v>46282.410254629627</v>
      </c>
      <c r="D1066" s="55" t="s">
        <v>684</v>
      </c>
      <c r="E1066" s="55" t="s">
        <v>1772</v>
      </c>
      <c r="G1066" s="129" t="s">
        <v>1771</v>
      </c>
    </row>
    <row r="1067" spans="2:7">
      <c r="B1067" s="56">
        <v>46282</v>
      </c>
      <c r="C1067" s="69">
        <v>46282.410717592589</v>
      </c>
      <c r="D1067" s="55" t="s">
        <v>684</v>
      </c>
      <c r="E1067" s="55" t="s">
        <v>1774</v>
      </c>
      <c r="G1067" s="129" t="s">
        <v>1773</v>
      </c>
    </row>
    <row r="1068" spans="2:7">
      <c r="B1068" s="56">
        <v>46282</v>
      </c>
      <c r="C1068" s="69">
        <v>46282.41101851852</v>
      </c>
      <c r="D1068" s="55" t="s">
        <v>684</v>
      </c>
      <c r="E1068" s="55" t="s">
        <v>1776</v>
      </c>
      <c r="G1068" s="129" t="s">
        <v>1775</v>
      </c>
    </row>
    <row r="1069" spans="2:7">
      <c r="B1069" s="56">
        <v>46282</v>
      </c>
      <c r="C1069" s="69">
        <v>46282.411527777775</v>
      </c>
      <c r="D1069" s="55" t="s">
        <v>684</v>
      </c>
      <c r="E1069" s="55" t="s">
        <v>1778</v>
      </c>
      <c r="G1069" s="129" t="s">
        <v>1777</v>
      </c>
    </row>
    <row r="1070" spans="2:7">
      <c r="B1070" s="56">
        <v>46282</v>
      </c>
      <c r="C1070" s="69">
        <v>46282.411620370367</v>
      </c>
      <c r="D1070" s="55" t="s">
        <v>684</v>
      </c>
      <c r="E1070" s="55" t="s">
        <v>1779</v>
      </c>
      <c r="G1070" s="129" t="s">
        <v>1777</v>
      </c>
    </row>
    <row r="1071" spans="2:7">
      <c r="B1071" s="56">
        <v>46282</v>
      </c>
      <c r="C1071" s="69">
        <v>46282.411736111113</v>
      </c>
      <c r="D1071" s="55" t="s">
        <v>684</v>
      </c>
      <c r="E1071" s="55" t="s">
        <v>1781</v>
      </c>
      <c r="G1071" s="129" t="s">
        <v>1780</v>
      </c>
    </row>
    <row r="1072" spans="2:7">
      <c r="B1072" s="56">
        <v>46282</v>
      </c>
      <c r="C1072" s="69">
        <v>46282.411782407406</v>
      </c>
      <c r="D1072" s="55" t="s">
        <v>684</v>
      </c>
      <c r="E1072" s="55" t="s">
        <v>1782</v>
      </c>
      <c r="G1072" s="129" t="s">
        <v>1780</v>
      </c>
    </row>
    <row r="1073" spans="2:7">
      <c r="B1073" s="56">
        <v>46282</v>
      </c>
      <c r="C1073" s="69">
        <v>46282.412407407406</v>
      </c>
      <c r="D1073" s="55" t="s">
        <v>684</v>
      </c>
      <c r="E1073" s="55" t="s">
        <v>1784</v>
      </c>
      <c r="G1073" s="129" t="s">
        <v>1783</v>
      </c>
    </row>
    <row r="1074" spans="2:7">
      <c r="B1074" s="56">
        <v>46282</v>
      </c>
      <c r="C1074" s="69">
        <v>46282.412777777776</v>
      </c>
      <c r="D1074" s="55" t="s">
        <v>684</v>
      </c>
      <c r="E1074" s="55" t="s">
        <v>1786</v>
      </c>
      <c r="G1074" s="129" t="s">
        <v>1785</v>
      </c>
    </row>
    <row r="1075" spans="2:7">
      <c r="B1075" s="56">
        <v>46282</v>
      </c>
      <c r="C1075" s="69">
        <v>46282.412858796299</v>
      </c>
      <c r="D1075" s="55" t="s">
        <v>684</v>
      </c>
      <c r="E1075" s="55" t="s">
        <v>1787</v>
      </c>
      <c r="G1075" s="129" t="s">
        <v>1785</v>
      </c>
    </row>
    <row r="1076" spans="2:7">
      <c r="B1076" s="56">
        <v>46282</v>
      </c>
      <c r="C1076" s="69">
        <v>46282.413055555553</v>
      </c>
      <c r="D1076" s="55" t="s">
        <v>684</v>
      </c>
      <c r="E1076" s="55" t="s">
        <v>1788</v>
      </c>
      <c r="G1076" s="129" t="s">
        <v>1775</v>
      </c>
    </row>
    <row r="1077" spans="2:7">
      <c r="B1077" s="56">
        <v>46282</v>
      </c>
      <c r="C1077" s="69">
        <v>46282.413298611114</v>
      </c>
      <c r="D1077" s="55" t="s">
        <v>684</v>
      </c>
      <c r="E1077" s="55" t="s">
        <v>1789</v>
      </c>
      <c r="G1077" s="129" t="s">
        <v>1785</v>
      </c>
    </row>
    <row r="1078" spans="2:7">
      <c r="B1078" s="56">
        <v>46282</v>
      </c>
      <c r="C1078" s="69">
        <v>46282.4215625</v>
      </c>
      <c r="D1078" s="55" t="s">
        <v>684</v>
      </c>
      <c r="E1078" s="55" t="s">
        <v>1790</v>
      </c>
      <c r="G1078" s="129" t="s">
        <v>1785</v>
      </c>
    </row>
    <row r="1079" spans="2:7">
      <c r="B1079" s="56">
        <v>46282</v>
      </c>
      <c r="C1079" s="69">
        <v>46282.452326388891</v>
      </c>
      <c r="D1079" s="55" t="s">
        <v>684</v>
      </c>
      <c r="E1079" s="55" t="s">
        <v>1791</v>
      </c>
      <c r="G1079" s="129" t="s">
        <v>1783</v>
      </c>
    </row>
    <row r="1080" spans="2:7">
      <c r="B1080" s="56">
        <v>46282</v>
      </c>
      <c r="C1080" s="69">
        <v>46282.452372685184</v>
      </c>
      <c r="D1080" s="55" t="s">
        <v>684</v>
      </c>
      <c r="E1080" s="55" t="s">
        <v>1792</v>
      </c>
      <c r="G1080" s="129" t="s">
        <v>1783</v>
      </c>
    </row>
    <row r="1081" spans="2:7">
      <c r="B1081" s="56">
        <v>46282</v>
      </c>
      <c r="C1081" s="69">
        <v>46282.45239583333</v>
      </c>
      <c r="D1081" s="55" t="s">
        <v>684</v>
      </c>
      <c r="E1081" s="55" t="s">
        <v>1793</v>
      </c>
      <c r="G1081" s="129" t="s">
        <v>1783</v>
      </c>
    </row>
    <row r="1082" spans="2:7">
      <c r="B1082" s="56">
        <v>46282</v>
      </c>
      <c r="C1082" s="69">
        <v>46282.452418981484</v>
      </c>
      <c r="D1082" s="55" t="s">
        <v>684</v>
      </c>
      <c r="E1082" s="55" t="s">
        <v>1794</v>
      </c>
      <c r="G1082" s="129" t="s">
        <v>1783</v>
      </c>
    </row>
    <row r="1083" spans="2:7">
      <c r="B1083" s="56">
        <v>46282</v>
      </c>
      <c r="C1083" s="69">
        <v>46282.45244212963</v>
      </c>
      <c r="D1083" s="55" t="s">
        <v>684</v>
      </c>
      <c r="E1083" s="55" t="s">
        <v>1795</v>
      </c>
      <c r="G1083" s="129" t="s">
        <v>1783</v>
      </c>
    </row>
    <row r="1084" spans="2:7">
      <c r="B1084" s="56">
        <v>46282</v>
      </c>
      <c r="C1084" s="69">
        <v>46282.452453703707</v>
      </c>
      <c r="D1084" s="55" t="s">
        <v>684</v>
      </c>
      <c r="E1084" s="55" t="s">
        <v>1796</v>
      </c>
      <c r="G1084" s="129" t="s">
        <v>1783</v>
      </c>
    </row>
    <row r="1085" spans="2:7">
      <c r="B1085" s="56">
        <v>46282</v>
      </c>
      <c r="C1085" s="69">
        <v>46282.452638888892</v>
      </c>
      <c r="D1085" s="55" t="s">
        <v>684</v>
      </c>
      <c r="E1085" s="55" t="s">
        <v>1797</v>
      </c>
      <c r="G1085" s="129" t="s">
        <v>1783</v>
      </c>
    </row>
    <row r="1086" spans="2:7" ht="26.4">
      <c r="B1086" s="56">
        <v>46282</v>
      </c>
      <c r="C1086" s="69">
        <v>46282.453009259261</v>
      </c>
      <c r="D1086" s="55" t="s">
        <v>684</v>
      </c>
      <c r="E1086" s="55" t="s">
        <v>1797</v>
      </c>
      <c r="F1086" s="129" t="s">
        <v>1783</v>
      </c>
      <c r="G1086" s="129" t="s">
        <v>1798</v>
      </c>
    </row>
    <row r="1087" spans="2:7" ht="26.4">
      <c r="B1087" s="56">
        <v>46282</v>
      </c>
      <c r="C1087" s="69">
        <v>46282.453125</v>
      </c>
      <c r="D1087" s="55" t="s">
        <v>684</v>
      </c>
      <c r="E1087" s="55" t="s">
        <v>1799</v>
      </c>
      <c r="G1087" s="129" t="s">
        <v>1798</v>
      </c>
    </row>
    <row r="1088" spans="2:7" ht="26.4">
      <c r="B1088" s="56">
        <v>46282</v>
      </c>
      <c r="C1088" s="69">
        <v>46282.453194444446</v>
      </c>
      <c r="D1088" s="55" t="s">
        <v>684</v>
      </c>
      <c r="E1088" s="55" t="s">
        <v>1800</v>
      </c>
      <c r="G1088" s="129" t="s">
        <v>1798</v>
      </c>
    </row>
    <row r="1089" spans="2:7">
      <c r="B1089" s="56">
        <v>46282</v>
      </c>
      <c r="C1089" s="69">
        <v>46282.453287037039</v>
      </c>
      <c r="D1089" s="55" t="s">
        <v>684</v>
      </c>
      <c r="E1089" s="55" t="s">
        <v>1802</v>
      </c>
      <c r="G1089" s="129" t="s">
        <v>1801</v>
      </c>
    </row>
    <row r="1090" spans="2:7">
      <c r="B1090" s="56">
        <v>46282</v>
      </c>
      <c r="C1090" s="69">
        <v>46282.453310185185</v>
      </c>
      <c r="D1090" s="55" t="s">
        <v>684</v>
      </c>
      <c r="E1090" s="55" t="s">
        <v>1803</v>
      </c>
      <c r="G1090" s="129" t="s">
        <v>1801</v>
      </c>
    </row>
    <row r="1091" spans="2:7">
      <c r="B1091" s="56">
        <v>46282</v>
      </c>
      <c r="C1091" s="69">
        <v>46282.453333333331</v>
      </c>
      <c r="D1091" s="55" t="s">
        <v>684</v>
      </c>
      <c r="E1091" s="55" t="s">
        <v>1804</v>
      </c>
      <c r="G1091" s="129" t="s">
        <v>1801</v>
      </c>
    </row>
    <row r="1092" spans="2:7">
      <c r="B1092" s="56">
        <v>46282</v>
      </c>
      <c r="C1092" s="69">
        <v>46282.453356481485</v>
      </c>
      <c r="D1092" s="55" t="s">
        <v>684</v>
      </c>
      <c r="E1092" s="55" t="s">
        <v>1805</v>
      </c>
      <c r="G1092" s="129" t="s">
        <v>1801</v>
      </c>
    </row>
    <row r="1093" spans="2:7">
      <c r="B1093" s="56">
        <v>46282</v>
      </c>
      <c r="C1093" s="69">
        <v>46282.453402777777</v>
      </c>
      <c r="D1093" s="55" t="s">
        <v>684</v>
      </c>
      <c r="E1093" s="55" t="s">
        <v>1806</v>
      </c>
      <c r="G1093" s="129" t="s">
        <v>1801</v>
      </c>
    </row>
    <row r="1094" spans="2:7" ht="26.4">
      <c r="B1094" s="56">
        <v>46282</v>
      </c>
      <c r="C1094" s="69">
        <v>46282.453703703701</v>
      </c>
      <c r="D1094" s="55" t="s">
        <v>684</v>
      </c>
      <c r="E1094" s="55" t="s">
        <v>1808</v>
      </c>
      <c r="G1094" s="129" t="s">
        <v>1807</v>
      </c>
    </row>
    <row r="1095" spans="2:7" ht="26.4">
      <c r="B1095" s="56">
        <v>46282</v>
      </c>
      <c r="C1095" s="69">
        <v>46282.453773148147</v>
      </c>
      <c r="D1095" s="55" t="s">
        <v>684</v>
      </c>
      <c r="E1095" s="55" t="s">
        <v>1809</v>
      </c>
      <c r="G1095" s="129" t="s">
        <v>1807</v>
      </c>
    </row>
    <row r="1096" spans="2:7" ht="26.4">
      <c r="B1096" s="56">
        <v>46282</v>
      </c>
      <c r="C1096" s="69">
        <v>46282.453969907408</v>
      </c>
      <c r="D1096" s="55" t="s">
        <v>684</v>
      </c>
      <c r="E1096" s="55" t="s">
        <v>1810</v>
      </c>
      <c r="G1096" s="129" t="s">
        <v>1807</v>
      </c>
    </row>
    <row r="1097" spans="2:7">
      <c r="B1097" s="56">
        <v>46282</v>
      </c>
      <c r="C1097" s="69">
        <v>46282.454085648147</v>
      </c>
      <c r="D1097" s="55" t="s">
        <v>684</v>
      </c>
      <c r="E1097" s="55" t="s">
        <v>1812</v>
      </c>
      <c r="G1097" s="129" t="s">
        <v>1811</v>
      </c>
    </row>
    <row r="1098" spans="2:7">
      <c r="B1098" s="56">
        <v>46282</v>
      </c>
      <c r="C1098" s="69">
        <v>46282.454212962963</v>
      </c>
      <c r="D1098" s="55" t="s">
        <v>684</v>
      </c>
      <c r="E1098" s="55" t="s">
        <v>1814</v>
      </c>
      <c r="G1098" s="129" t="s">
        <v>1813</v>
      </c>
    </row>
    <row r="1099" spans="2:7">
      <c r="B1099" s="56">
        <v>46282</v>
      </c>
      <c r="C1099" s="69">
        <v>46282.454259259262</v>
      </c>
      <c r="D1099" s="55" t="s">
        <v>684</v>
      </c>
      <c r="E1099" s="55" t="s">
        <v>1815</v>
      </c>
      <c r="G1099" s="129" t="s">
        <v>1813</v>
      </c>
    </row>
    <row r="1100" spans="2:7">
      <c r="B1100" s="56">
        <v>46282</v>
      </c>
      <c r="C1100" s="69">
        <v>46282.454282407409</v>
      </c>
      <c r="D1100" s="55" t="s">
        <v>684</v>
      </c>
      <c r="E1100" s="55" t="s">
        <v>1816</v>
      </c>
      <c r="G1100" s="129" t="s">
        <v>1813</v>
      </c>
    </row>
    <row r="1101" spans="2:7">
      <c r="B1101" s="56">
        <v>46282</v>
      </c>
      <c r="C1101" s="69">
        <v>46282.454305555555</v>
      </c>
      <c r="D1101" s="55" t="s">
        <v>684</v>
      </c>
      <c r="E1101" s="55" t="s">
        <v>1817</v>
      </c>
      <c r="G1101" s="129" t="s">
        <v>1813</v>
      </c>
    </row>
    <row r="1102" spans="2:7">
      <c r="B1102" s="56">
        <v>46282</v>
      </c>
      <c r="C1102" s="69">
        <v>46282.454340277778</v>
      </c>
      <c r="D1102" s="55" t="s">
        <v>684</v>
      </c>
      <c r="E1102" s="55" t="s">
        <v>1818</v>
      </c>
      <c r="G1102" s="129" t="s">
        <v>1813</v>
      </c>
    </row>
    <row r="1103" spans="2:7">
      <c r="B1103" s="56">
        <v>46282</v>
      </c>
      <c r="C1103" s="69">
        <v>46282.454444444447</v>
      </c>
      <c r="D1103" s="55" t="s">
        <v>684</v>
      </c>
      <c r="E1103" s="55" t="s">
        <v>1819</v>
      </c>
      <c r="G1103" s="129" t="s">
        <v>1811</v>
      </c>
    </row>
    <row r="1104" spans="2:7">
      <c r="B1104" s="56">
        <v>46282</v>
      </c>
      <c r="C1104" s="69">
        <v>46282.45449074074</v>
      </c>
      <c r="D1104" s="55" t="s">
        <v>684</v>
      </c>
      <c r="E1104" s="55" t="s">
        <v>1820</v>
      </c>
      <c r="G1104" s="129" t="s">
        <v>1811</v>
      </c>
    </row>
    <row r="1105" spans="2:7">
      <c r="B1105" s="56">
        <v>46282</v>
      </c>
      <c r="C1105" s="69">
        <v>46282.454525462963</v>
      </c>
      <c r="D1105" s="55" t="s">
        <v>684</v>
      </c>
      <c r="E1105" s="55" t="s">
        <v>1821</v>
      </c>
      <c r="G1105" s="129" t="s">
        <v>1775</v>
      </c>
    </row>
    <row r="1106" spans="2:7">
      <c r="B1106" s="56">
        <v>46282</v>
      </c>
      <c r="C1106" s="69">
        <v>46282.454675925925</v>
      </c>
      <c r="D1106" s="55" t="s">
        <v>684</v>
      </c>
      <c r="E1106" s="55" t="s">
        <v>1822</v>
      </c>
      <c r="G1106" s="129" t="s">
        <v>1773</v>
      </c>
    </row>
    <row r="1107" spans="2:7">
      <c r="B1107" s="56">
        <v>46282</v>
      </c>
      <c r="C1107" s="69">
        <v>46282.454745370371</v>
      </c>
      <c r="D1107" s="55" t="s">
        <v>684</v>
      </c>
      <c r="E1107" s="55" t="s">
        <v>1823</v>
      </c>
      <c r="G1107" s="129" t="s">
        <v>1773</v>
      </c>
    </row>
    <row r="1108" spans="2:7">
      <c r="B1108" s="56">
        <v>46282</v>
      </c>
      <c r="C1108" s="69">
        <v>46282.45480324074</v>
      </c>
      <c r="D1108" s="55" t="s">
        <v>684</v>
      </c>
      <c r="E1108" s="55" t="s">
        <v>1824</v>
      </c>
      <c r="G1108" s="129" t="s">
        <v>1801</v>
      </c>
    </row>
    <row r="1109" spans="2:7">
      <c r="B1109" s="56">
        <v>46282</v>
      </c>
      <c r="C1109" s="69">
        <v>46282.455081018517</v>
      </c>
      <c r="D1109" s="55" t="s">
        <v>684</v>
      </c>
      <c r="E1109" s="55" t="s">
        <v>1826</v>
      </c>
      <c r="G1109" s="129" t="s">
        <v>1825</v>
      </c>
    </row>
    <row r="1110" spans="2:7">
      <c r="B1110" s="56">
        <v>46282</v>
      </c>
      <c r="C1110" s="69">
        <v>46282.455127314817</v>
      </c>
      <c r="D1110" s="55" t="s">
        <v>684</v>
      </c>
      <c r="E1110" s="55" t="s">
        <v>1827</v>
      </c>
      <c r="G1110" s="129" t="s">
        <v>1801</v>
      </c>
    </row>
    <row r="1111" spans="2:7">
      <c r="B1111" s="56">
        <v>46282</v>
      </c>
      <c r="C1111" s="69">
        <v>46282.455185185187</v>
      </c>
      <c r="D1111" s="55" t="s">
        <v>684</v>
      </c>
      <c r="E1111" s="55" t="s">
        <v>1828</v>
      </c>
      <c r="G1111" s="129" t="s">
        <v>1813</v>
      </c>
    </row>
    <row r="1112" spans="2:7">
      <c r="B1112" s="56">
        <v>46282</v>
      </c>
      <c r="C1112" s="69">
        <v>46282.455208333333</v>
      </c>
      <c r="D1112" s="55" t="s">
        <v>684</v>
      </c>
      <c r="E1112" s="55" t="s">
        <v>1829</v>
      </c>
      <c r="G1112" s="129" t="s">
        <v>1813</v>
      </c>
    </row>
    <row r="1113" spans="2:7">
      <c r="B1113" s="56">
        <v>46282</v>
      </c>
      <c r="C1113" s="69">
        <v>46282.455243055556</v>
      </c>
      <c r="D1113" s="55" t="s">
        <v>684</v>
      </c>
      <c r="E1113" s="55" t="s">
        <v>1830</v>
      </c>
      <c r="G1113" s="129" t="s">
        <v>1813</v>
      </c>
    </row>
    <row r="1114" spans="2:7">
      <c r="B1114" s="56">
        <v>46282</v>
      </c>
      <c r="C1114" s="69">
        <v>46282.455300925925</v>
      </c>
      <c r="D1114" s="55" t="s">
        <v>684</v>
      </c>
      <c r="E1114" s="55" t="s">
        <v>1831</v>
      </c>
      <c r="G1114" s="129" t="s">
        <v>1813</v>
      </c>
    </row>
    <row r="1115" spans="2:7" ht="26.4">
      <c r="B1115" s="56">
        <v>46282</v>
      </c>
      <c r="C1115" s="69">
        <v>46282.455601851849</v>
      </c>
      <c r="D1115" s="55" t="s">
        <v>684</v>
      </c>
      <c r="E1115" s="55" t="s">
        <v>1831</v>
      </c>
      <c r="F1115" s="129" t="s">
        <v>1813</v>
      </c>
      <c r="G1115" s="129" t="s">
        <v>1832</v>
      </c>
    </row>
    <row r="1116" spans="2:7">
      <c r="B1116" s="56">
        <v>46282</v>
      </c>
      <c r="C1116" s="69">
        <v>46282.455706018518</v>
      </c>
      <c r="D1116" s="55" t="s">
        <v>684</v>
      </c>
      <c r="E1116" s="55" t="s">
        <v>1833</v>
      </c>
      <c r="G1116" s="129" t="s">
        <v>1813</v>
      </c>
    </row>
    <row r="1117" spans="2:7" ht="26.4">
      <c r="B1117" s="56">
        <v>46282</v>
      </c>
      <c r="C1117" s="69">
        <v>46282.45590277778</v>
      </c>
      <c r="D1117" s="55" t="s">
        <v>684</v>
      </c>
      <c r="E1117" s="55" t="s">
        <v>1834</v>
      </c>
      <c r="G1117" s="129" t="s">
        <v>1832</v>
      </c>
    </row>
    <row r="1118" spans="2:7">
      <c r="B1118" s="56">
        <v>46282</v>
      </c>
      <c r="C1118" s="69">
        <v>46282.455983796295</v>
      </c>
      <c r="D1118" s="55" t="s">
        <v>684</v>
      </c>
      <c r="E1118" s="55" t="s">
        <v>1835</v>
      </c>
      <c r="G1118" s="129" t="s">
        <v>1813</v>
      </c>
    </row>
    <row r="1119" spans="2:7">
      <c r="B1119" s="56">
        <v>46282</v>
      </c>
      <c r="C1119" s="69">
        <v>46282.456122685187</v>
      </c>
      <c r="D1119" s="55" t="s">
        <v>684</v>
      </c>
      <c r="E1119" s="55" t="s">
        <v>1836</v>
      </c>
      <c r="G1119" s="129" t="s">
        <v>1813</v>
      </c>
    </row>
    <row r="1120" spans="2:7">
      <c r="B1120" s="56">
        <v>46282</v>
      </c>
      <c r="C1120" s="69">
        <v>46282.456203703703</v>
      </c>
      <c r="D1120" s="55" t="s">
        <v>684</v>
      </c>
      <c r="E1120" s="55" t="s">
        <v>1837</v>
      </c>
      <c r="G1120" s="129" t="s">
        <v>1813</v>
      </c>
    </row>
    <row r="1121" spans="2:7">
      <c r="B1121" s="56">
        <v>46282</v>
      </c>
      <c r="C1121" s="69">
        <v>46282.456284722219</v>
      </c>
      <c r="D1121" s="55" t="s">
        <v>684</v>
      </c>
      <c r="E1121" s="55" t="s">
        <v>1838</v>
      </c>
      <c r="G1121" s="129" t="s">
        <v>1813</v>
      </c>
    </row>
    <row r="1122" spans="2:7">
      <c r="B1122" s="56">
        <v>46282</v>
      </c>
      <c r="C1122" s="69">
        <v>46282.456377314818</v>
      </c>
      <c r="D1122" s="55" t="s">
        <v>684</v>
      </c>
      <c r="E1122" s="55" t="s">
        <v>1839</v>
      </c>
      <c r="G1122" s="129" t="s">
        <v>1813</v>
      </c>
    </row>
    <row r="1123" spans="2:7">
      <c r="B1123" s="56">
        <v>46282</v>
      </c>
      <c r="C1123" s="69">
        <v>46282.45648148148</v>
      </c>
      <c r="D1123" s="55" t="s">
        <v>684</v>
      </c>
      <c r="E1123" s="55" t="s">
        <v>1840</v>
      </c>
      <c r="G1123" s="129" t="s">
        <v>1813</v>
      </c>
    </row>
    <row r="1124" spans="2:7">
      <c r="B1124" s="56">
        <v>46282</v>
      </c>
      <c r="C1124" s="69">
        <v>46282.456608796296</v>
      </c>
      <c r="D1124" s="55" t="s">
        <v>684</v>
      </c>
      <c r="E1124" s="55" t="s">
        <v>1841</v>
      </c>
      <c r="G1124" s="129" t="s">
        <v>1813</v>
      </c>
    </row>
    <row r="1125" spans="2:7">
      <c r="B1125" s="56">
        <v>46282</v>
      </c>
      <c r="C1125" s="69">
        <v>46282.456736111111</v>
      </c>
      <c r="D1125" s="55" t="s">
        <v>684</v>
      </c>
      <c r="E1125" s="55" t="s">
        <v>1842</v>
      </c>
      <c r="G1125" s="129" t="s">
        <v>1813</v>
      </c>
    </row>
    <row r="1126" spans="2:7" ht="26.4">
      <c r="B1126" s="56">
        <v>46282</v>
      </c>
      <c r="C1126" s="69">
        <v>46282.465474537035</v>
      </c>
      <c r="D1126" s="55" t="s">
        <v>684</v>
      </c>
      <c r="E1126" s="55" t="s">
        <v>1808</v>
      </c>
      <c r="F1126" s="129" t="s">
        <v>1807</v>
      </c>
      <c r="G1126" s="129" t="s">
        <v>1843</v>
      </c>
    </row>
    <row r="1127" spans="2:7" ht="26.4">
      <c r="B1127" s="56">
        <v>46282</v>
      </c>
      <c r="C1127" s="69">
        <v>46282.465520833335</v>
      </c>
      <c r="D1127" s="55" t="s">
        <v>684</v>
      </c>
      <c r="E1127" s="55" t="s">
        <v>1809</v>
      </c>
      <c r="F1127" s="129" t="s">
        <v>1807</v>
      </c>
      <c r="G1127" s="129" t="s">
        <v>1843</v>
      </c>
    </row>
    <row r="1128" spans="2:7" ht="26.4">
      <c r="B1128" s="56">
        <v>46282</v>
      </c>
      <c r="C1128" s="69">
        <v>46282.465555555558</v>
      </c>
      <c r="D1128" s="55" t="s">
        <v>684</v>
      </c>
      <c r="E1128" s="55" t="s">
        <v>1810</v>
      </c>
      <c r="F1128" s="129" t="s">
        <v>1807</v>
      </c>
      <c r="G1128" s="129" t="s">
        <v>1843</v>
      </c>
    </row>
    <row r="1129" spans="2:7" ht="26.4">
      <c r="B1129" s="56">
        <v>46282</v>
      </c>
      <c r="C1129" s="69">
        <v>46282.469571759262</v>
      </c>
      <c r="D1129" s="55" t="s">
        <v>684</v>
      </c>
      <c r="E1129" s="55" t="s">
        <v>1831</v>
      </c>
      <c r="F1129" s="129" t="s">
        <v>1832</v>
      </c>
      <c r="G1129" s="129" t="s">
        <v>1844</v>
      </c>
    </row>
    <row r="1130" spans="2:7" ht="26.4">
      <c r="B1130" s="56">
        <v>46282</v>
      </c>
      <c r="C1130" s="69">
        <v>46282.469641203701</v>
      </c>
      <c r="D1130" s="55" t="s">
        <v>684</v>
      </c>
      <c r="E1130" s="55" t="s">
        <v>1834</v>
      </c>
      <c r="F1130" s="129" t="s">
        <v>1832</v>
      </c>
      <c r="G1130" s="129" t="s">
        <v>1844</v>
      </c>
    </row>
    <row r="1131" spans="2:7" ht="26.4">
      <c r="B1131" s="56">
        <v>46282</v>
      </c>
      <c r="C1131" s="69">
        <v>46282.472037037034</v>
      </c>
      <c r="D1131" s="55" t="s">
        <v>684</v>
      </c>
      <c r="E1131" s="55" t="s">
        <v>1784</v>
      </c>
      <c r="F1131" s="129" t="s">
        <v>1783</v>
      </c>
      <c r="G1131" s="129" t="s">
        <v>1846</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64B746-3189-4E0E-A759-18763621863E}">
  <sheetPr codeName="Hoja5"/>
  <dimension ref="A1:P1271"/>
  <sheetViews>
    <sheetView showGridLines="0" workbookViewId="0">
      <selection activeCell="E5" sqref="E5:E17"/>
    </sheetView>
  </sheetViews>
  <sheetFormatPr baseColWidth="10" defaultRowHeight="14.4"/>
  <cols>
    <col min="1" max="1" width="18.21875" style="22" customWidth="1"/>
    <col min="2" max="2" width="15.33203125" style="22" customWidth="1"/>
    <col min="3" max="3" width="29.109375" style="19" customWidth="1"/>
    <col min="4" max="4" width="14.5546875" style="18" customWidth="1"/>
    <col min="5" max="5" width="29.77734375" style="22" customWidth="1"/>
    <col min="6" max="6" width="19.109375" style="21" customWidth="1"/>
    <col min="7" max="7" width="18.44140625" style="21" hidden="1" customWidth="1"/>
    <col min="8" max="8" width="17.5546875" style="21" customWidth="1"/>
    <col min="9" max="9" width="13" style="21" customWidth="1"/>
    <col min="10" max="10" width="12.44140625" style="20" customWidth="1"/>
    <col min="11" max="11" width="12.109375" style="20" customWidth="1"/>
    <col min="12" max="12" width="13.33203125" style="12" customWidth="1"/>
    <col min="13" max="13" width="12.44140625" style="54" customWidth="1"/>
    <col min="14" max="14" width="41.33203125" style="13" customWidth="1"/>
    <col min="15" max="15" width="28.109375" customWidth="1"/>
    <col min="16" max="16" width="27.6640625" customWidth="1"/>
  </cols>
  <sheetData>
    <row r="1" spans="1:16">
      <c r="A1" s="23"/>
      <c r="B1" s="23"/>
      <c r="C1" s="24"/>
      <c r="D1" s="25"/>
      <c r="E1" s="23"/>
      <c r="F1" s="26"/>
      <c r="G1" s="26"/>
      <c r="H1" s="26"/>
      <c r="I1" s="26"/>
      <c r="J1" s="27"/>
      <c r="K1" s="27"/>
      <c r="L1" s="30"/>
      <c r="M1" s="53"/>
      <c r="N1" s="114"/>
      <c r="O1" s="14"/>
      <c r="P1" s="14"/>
    </row>
    <row r="2" spans="1:16">
      <c r="A2" s="23"/>
      <c r="B2" s="23"/>
      <c r="C2" s="24"/>
      <c r="D2" s="25"/>
      <c r="E2" s="23"/>
      <c r="F2" s="26"/>
      <c r="G2" s="26"/>
      <c r="H2" s="26"/>
      <c r="I2" s="26"/>
      <c r="J2" s="27"/>
      <c r="K2" s="27"/>
      <c r="L2" s="30"/>
      <c r="M2" s="53"/>
      <c r="N2" s="114"/>
      <c r="O2" s="14"/>
      <c r="P2" s="14"/>
    </row>
    <row r="3" spans="1:16">
      <c r="A3" s="23"/>
      <c r="B3" s="23"/>
      <c r="C3" s="24"/>
      <c r="D3" s="25"/>
      <c r="E3" s="23"/>
      <c r="F3" s="26"/>
      <c r="G3" s="26"/>
      <c r="H3" s="26"/>
      <c r="I3" s="26"/>
      <c r="J3" s="27"/>
      <c r="K3" s="27"/>
      <c r="L3" s="30"/>
      <c r="M3" s="53"/>
      <c r="N3" s="114"/>
      <c r="O3" s="14"/>
      <c r="P3" s="14"/>
    </row>
    <row r="4" spans="1:16" s="8" customFormat="1">
      <c r="A4" s="172" t="s">
        <v>0</v>
      </c>
      <c r="B4" s="172" t="s">
        <v>1</v>
      </c>
      <c r="C4" s="172" t="s">
        <v>2</v>
      </c>
      <c r="D4" s="172" t="s">
        <v>4</v>
      </c>
      <c r="E4" s="172" t="s">
        <v>5</v>
      </c>
      <c r="F4" s="172" t="s">
        <v>6</v>
      </c>
      <c r="G4" s="166" t="s">
        <v>611</v>
      </c>
      <c r="H4" s="172" t="s">
        <v>8</v>
      </c>
      <c r="I4" s="172" t="s">
        <v>11</v>
      </c>
      <c r="J4" s="173" t="s">
        <v>609</v>
      </c>
      <c r="K4" s="172" t="s">
        <v>543</v>
      </c>
      <c r="L4" s="172" t="s">
        <v>544</v>
      </c>
      <c r="M4" s="172" t="s">
        <v>545</v>
      </c>
      <c r="N4" s="165" t="s">
        <v>663</v>
      </c>
      <c r="O4" s="166" t="s">
        <v>664</v>
      </c>
      <c r="P4" s="166" t="s">
        <v>654</v>
      </c>
    </row>
    <row r="5" spans="1:16" ht="45.6">
      <c r="A5" s="167" t="s">
        <v>13</v>
      </c>
      <c r="B5" s="167" t="s">
        <v>14</v>
      </c>
      <c r="C5" s="168" t="s">
        <v>15</v>
      </c>
      <c r="D5" s="169" t="s">
        <v>774</v>
      </c>
      <c r="E5" s="168" t="s">
        <v>16</v>
      </c>
      <c r="F5" s="167" t="s">
        <v>269</v>
      </c>
      <c r="G5" s="174" t="s">
        <v>775</v>
      </c>
      <c r="H5" s="171">
        <v>45323</v>
      </c>
      <c r="I5" s="167" t="s">
        <v>20</v>
      </c>
      <c r="J5" s="170"/>
      <c r="K5" s="170"/>
      <c r="L5" s="170"/>
      <c r="M5" s="170"/>
      <c r="N5" s="170"/>
      <c r="O5" s="170"/>
      <c r="P5" s="170"/>
    </row>
    <row r="6" spans="1:16" ht="45.6">
      <c r="A6" s="167"/>
      <c r="B6" s="167"/>
      <c r="C6" s="168" t="s">
        <v>59</v>
      </c>
      <c r="D6" s="169" t="s">
        <v>774</v>
      </c>
      <c r="E6" s="168" t="s">
        <v>60</v>
      </c>
      <c r="F6" s="167" t="s">
        <v>269</v>
      </c>
      <c r="G6" s="174" t="s">
        <v>775</v>
      </c>
      <c r="H6" s="171">
        <v>45473</v>
      </c>
      <c r="I6" s="167" t="s">
        <v>20</v>
      </c>
      <c r="J6" s="170"/>
      <c r="K6" s="170"/>
      <c r="L6" s="170"/>
      <c r="M6" s="170"/>
      <c r="N6" s="170"/>
      <c r="O6" s="170"/>
      <c r="P6" s="170"/>
    </row>
    <row r="7" spans="1:16" ht="136.80000000000001">
      <c r="A7" s="167"/>
      <c r="B7" s="167"/>
      <c r="C7" s="168" t="s">
        <v>63</v>
      </c>
      <c r="D7" s="169" t="s">
        <v>774</v>
      </c>
      <c r="E7" s="168" t="s">
        <v>64</v>
      </c>
      <c r="F7" s="167" t="s">
        <v>269</v>
      </c>
      <c r="G7" s="174" t="s">
        <v>775</v>
      </c>
      <c r="H7" s="171">
        <v>45473</v>
      </c>
      <c r="I7" s="167" t="s">
        <v>20</v>
      </c>
      <c r="J7" s="170"/>
      <c r="K7" s="170"/>
      <c r="L7" s="170"/>
      <c r="M7" s="170"/>
      <c r="N7" s="170"/>
      <c r="O7" s="170"/>
      <c r="P7" s="170"/>
    </row>
    <row r="8" spans="1:16" ht="102.6">
      <c r="A8" s="167"/>
      <c r="B8" s="167"/>
      <c r="C8" s="168" t="s">
        <v>66</v>
      </c>
      <c r="D8" s="169" t="s">
        <v>774</v>
      </c>
      <c r="E8" s="168" t="s">
        <v>67</v>
      </c>
      <c r="F8" s="167" t="s">
        <v>269</v>
      </c>
      <c r="G8" s="174" t="s">
        <v>775</v>
      </c>
      <c r="H8" s="171">
        <v>45473</v>
      </c>
      <c r="I8" s="167" t="s">
        <v>20</v>
      </c>
      <c r="J8" s="170"/>
      <c r="K8" s="170"/>
      <c r="L8" s="170"/>
      <c r="M8" s="170"/>
      <c r="N8" s="170"/>
      <c r="O8" s="170"/>
      <c r="P8" s="170"/>
    </row>
    <row r="9" spans="1:16" ht="68.400000000000006">
      <c r="A9" s="167"/>
      <c r="B9" s="167"/>
      <c r="C9" s="168" t="s">
        <v>70</v>
      </c>
      <c r="D9" s="169" t="s">
        <v>774</v>
      </c>
      <c r="E9" s="168" t="s">
        <v>71</v>
      </c>
      <c r="F9" s="167" t="s">
        <v>269</v>
      </c>
      <c r="G9" s="174" t="s">
        <v>775</v>
      </c>
      <c r="H9" s="171">
        <v>45352</v>
      </c>
      <c r="I9" s="167" t="s">
        <v>20</v>
      </c>
      <c r="J9" s="170"/>
      <c r="K9" s="170"/>
      <c r="L9" s="170"/>
      <c r="M9" s="170"/>
      <c r="N9" s="170"/>
      <c r="O9" s="170"/>
      <c r="P9" s="170"/>
    </row>
    <row r="10" spans="1:16" ht="79.8">
      <c r="A10" s="167"/>
      <c r="B10" s="167"/>
      <c r="C10" s="168" t="s">
        <v>74</v>
      </c>
      <c r="D10" s="169" t="s">
        <v>774</v>
      </c>
      <c r="E10" s="168" t="s">
        <v>75</v>
      </c>
      <c r="F10" s="167" t="s">
        <v>269</v>
      </c>
      <c r="G10" s="174" t="s">
        <v>775</v>
      </c>
      <c r="H10" s="171">
        <v>45352</v>
      </c>
      <c r="I10" s="167" t="s">
        <v>20</v>
      </c>
      <c r="J10" s="170"/>
      <c r="K10" s="170"/>
      <c r="L10" s="170"/>
      <c r="M10" s="170"/>
      <c r="N10" s="170"/>
      <c r="O10" s="170"/>
      <c r="P10" s="170"/>
    </row>
    <row r="11" spans="1:16" ht="148.19999999999999">
      <c r="A11" s="167"/>
      <c r="B11" s="167"/>
      <c r="C11" s="168" t="s">
        <v>77</v>
      </c>
      <c r="D11" s="169" t="s">
        <v>774</v>
      </c>
      <c r="E11" s="168" t="s">
        <v>78</v>
      </c>
      <c r="F11" s="167" t="s">
        <v>269</v>
      </c>
      <c r="G11" s="174" t="s">
        <v>775</v>
      </c>
      <c r="H11" s="171">
        <v>45473</v>
      </c>
      <c r="I11" s="167" t="s">
        <v>20</v>
      </c>
      <c r="J11" s="170"/>
      <c r="K11" s="170"/>
      <c r="L11" s="170"/>
      <c r="M11" s="170"/>
      <c r="N11" s="170"/>
      <c r="O11" s="170"/>
      <c r="P11" s="170"/>
    </row>
    <row r="12" spans="1:16" ht="91.2">
      <c r="A12" s="167"/>
      <c r="B12" s="167"/>
      <c r="C12" s="168" t="s">
        <v>81</v>
      </c>
      <c r="D12" s="169" t="s">
        <v>774</v>
      </c>
      <c r="E12" s="168" t="s">
        <v>82</v>
      </c>
      <c r="F12" s="167" t="s">
        <v>269</v>
      </c>
      <c r="G12" s="174" t="s">
        <v>775</v>
      </c>
      <c r="H12" s="171">
        <v>45473</v>
      </c>
      <c r="I12" s="167" t="s">
        <v>20</v>
      </c>
      <c r="J12" s="170"/>
      <c r="K12" s="170"/>
      <c r="L12" s="170"/>
      <c r="M12" s="170"/>
      <c r="N12" s="170"/>
      <c r="O12" s="170"/>
      <c r="P12" s="170"/>
    </row>
    <row r="13" spans="1:16" ht="57">
      <c r="A13" s="167"/>
      <c r="B13" s="167"/>
      <c r="C13" s="168" t="s">
        <v>85</v>
      </c>
      <c r="D13" s="169" t="s">
        <v>774</v>
      </c>
      <c r="E13" s="168" t="s">
        <v>86</v>
      </c>
      <c r="F13" s="167" t="s">
        <v>269</v>
      </c>
      <c r="G13" s="174" t="s">
        <v>775</v>
      </c>
      <c r="H13" s="171">
        <v>45473</v>
      </c>
      <c r="I13" s="167" t="s">
        <v>20</v>
      </c>
      <c r="J13" s="170"/>
      <c r="K13" s="170"/>
      <c r="L13" s="170"/>
      <c r="M13" s="170"/>
      <c r="N13" s="170"/>
      <c r="O13" s="170"/>
      <c r="P13" s="170"/>
    </row>
    <row r="14" spans="1:16" ht="45.6">
      <c r="A14" s="167"/>
      <c r="B14" s="167"/>
      <c r="C14" s="168" t="s">
        <v>88</v>
      </c>
      <c r="D14" s="169" t="s">
        <v>774</v>
      </c>
      <c r="E14" s="168" t="s">
        <v>89</v>
      </c>
      <c r="F14" s="167" t="s">
        <v>269</v>
      </c>
      <c r="G14" s="174" t="s">
        <v>775</v>
      </c>
      <c r="H14" s="171">
        <v>45473</v>
      </c>
      <c r="I14" s="167" t="s">
        <v>20</v>
      </c>
      <c r="J14" s="170"/>
      <c r="K14" s="170"/>
      <c r="L14" s="170"/>
      <c r="M14" s="170"/>
      <c r="N14" s="170"/>
      <c r="O14" s="170"/>
      <c r="P14" s="170"/>
    </row>
    <row r="15" spans="1:16" s="13" customFormat="1" ht="57">
      <c r="A15" s="167"/>
      <c r="B15" s="167"/>
      <c r="C15" s="168" t="s">
        <v>21</v>
      </c>
      <c r="D15" s="169" t="s">
        <v>774</v>
      </c>
      <c r="E15" s="168" t="s">
        <v>22</v>
      </c>
      <c r="F15" s="167" t="s">
        <v>269</v>
      </c>
      <c r="G15" s="174" t="s">
        <v>775</v>
      </c>
      <c r="H15" s="171">
        <v>45381</v>
      </c>
      <c r="I15" s="167" t="s">
        <v>20</v>
      </c>
      <c r="J15" s="170"/>
      <c r="K15" s="170"/>
      <c r="L15" s="170"/>
      <c r="M15" s="170"/>
      <c r="N15" s="170"/>
      <c r="O15" s="170"/>
      <c r="P15" s="170"/>
    </row>
    <row r="16" spans="1:16" ht="91.2">
      <c r="A16" s="167"/>
      <c r="B16" s="167"/>
      <c r="C16" s="168" t="s">
        <v>92</v>
      </c>
      <c r="D16" s="169" t="s">
        <v>774</v>
      </c>
      <c r="E16" s="168" t="s">
        <v>93</v>
      </c>
      <c r="F16" s="167" t="s">
        <v>269</v>
      </c>
      <c r="G16" s="174" t="s">
        <v>775</v>
      </c>
      <c r="H16" s="171">
        <v>45381</v>
      </c>
      <c r="I16" s="167" t="s">
        <v>20</v>
      </c>
      <c r="J16" s="170"/>
      <c r="K16" s="170"/>
      <c r="L16" s="170"/>
      <c r="M16" s="170"/>
      <c r="N16" s="170"/>
      <c r="O16" s="170"/>
      <c r="P16" s="170"/>
    </row>
    <row r="17" spans="1:16" ht="68.400000000000006">
      <c r="A17" s="167"/>
      <c r="B17" s="167"/>
      <c r="C17" s="168" t="s">
        <v>96</v>
      </c>
      <c r="D17" s="169" t="s">
        <v>774</v>
      </c>
      <c r="E17" s="168" t="s">
        <v>97</v>
      </c>
      <c r="F17" s="167" t="s">
        <v>269</v>
      </c>
      <c r="G17" s="174" t="s">
        <v>775</v>
      </c>
      <c r="H17" s="171">
        <v>45443</v>
      </c>
      <c r="I17" s="167" t="s">
        <v>20</v>
      </c>
      <c r="J17" s="170"/>
      <c r="K17" s="170"/>
      <c r="L17" s="170"/>
      <c r="M17" s="170"/>
      <c r="N17" s="170"/>
      <c r="O17" s="170"/>
      <c r="P17" s="170"/>
    </row>
    <row r="18" spans="1:16" s="8" customFormat="1" ht="125.4">
      <c r="A18" s="167"/>
      <c r="B18" s="167"/>
      <c r="C18" s="168" t="s">
        <v>100</v>
      </c>
      <c r="D18" s="169" t="s">
        <v>774</v>
      </c>
      <c r="E18" s="168" t="s">
        <v>101</v>
      </c>
      <c r="F18" s="167" t="s">
        <v>269</v>
      </c>
      <c r="G18" s="174" t="s">
        <v>775</v>
      </c>
      <c r="H18" s="171">
        <v>45412</v>
      </c>
      <c r="I18" s="167" t="s">
        <v>20</v>
      </c>
      <c r="J18" s="170"/>
      <c r="K18" s="170"/>
      <c r="L18" s="170"/>
      <c r="M18" s="170"/>
      <c r="N18" s="170"/>
      <c r="O18" s="170"/>
      <c r="P18" s="170"/>
    </row>
    <row r="19" spans="1:16" ht="68.400000000000006">
      <c r="A19" s="167"/>
      <c r="B19" s="167"/>
      <c r="C19" s="168" t="s">
        <v>103</v>
      </c>
      <c r="D19" s="169" t="s">
        <v>774</v>
      </c>
      <c r="E19" s="168" t="s">
        <v>104</v>
      </c>
      <c r="F19" s="167" t="s">
        <v>269</v>
      </c>
      <c r="G19" s="174" t="s">
        <v>775</v>
      </c>
      <c r="H19" s="171">
        <v>45473</v>
      </c>
      <c r="I19" s="167" t="s">
        <v>20</v>
      </c>
      <c r="J19" s="170"/>
      <c r="K19" s="170"/>
      <c r="L19" s="170"/>
      <c r="M19" s="170"/>
      <c r="N19" s="170"/>
      <c r="O19" s="170"/>
      <c r="P19" s="170"/>
    </row>
    <row r="20" spans="1:16" ht="68.400000000000006">
      <c r="A20" s="167"/>
      <c r="B20" s="167"/>
      <c r="C20" s="168" t="s">
        <v>106</v>
      </c>
      <c r="D20" s="169" t="s">
        <v>774</v>
      </c>
      <c r="E20" s="168" t="s">
        <v>107</v>
      </c>
      <c r="F20" s="167" t="s">
        <v>269</v>
      </c>
      <c r="G20" s="174" t="s">
        <v>775</v>
      </c>
      <c r="H20" s="171">
        <v>45352</v>
      </c>
      <c r="I20" s="167" t="s">
        <v>20</v>
      </c>
      <c r="J20" s="170"/>
      <c r="K20" s="170"/>
      <c r="L20" s="170"/>
      <c r="M20" s="170"/>
      <c r="N20" s="170"/>
      <c r="O20" s="170"/>
      <c r="P20" s="170"/>
    </row>
    <row r="21" spans="1:16" ht="45.6">
      <c r="A21" s="167"/>
      <c r="B21" s="167"/>
      <c r="C21" s="168" t="s">
        <v>25</v>
      </c>
      <c r="D21" s="169" t="s">
        <v>774</v>
      </c>
      <c r="E21" s="168" t="s">
        <v>26</v>
      </c>
      <c r="F21" s="167" t="s">
        <v>269</v>
      </c>
      <c r="G21" s="174" t="s">
        <v>775</v>
      </c>
      <c r="H21" s="171">
        <v>45473</v>
      </c>
      <c r="I21" s="167" t="s">
        <v>20</v>
      </c>
      <c r="J21" s="170"/>
      <c r="K21" s="170"/>
      <c r="L21" s="170"/>
      <c r="M21" s="170"/>
      <c r="N21" s="170"/>
      <c r="O21" s="170"/>
      <c r="P21" s="170"/>
    </row>
    <row r="22" spans="1:16" ht="148.19999999999999">
      <c r="A22" s="167"/>
      <c r="B22" s="167"/>
      <c r="C22" s="168" t="s">
        <v>29</v>
      </c>
      <c r="D22" s="169" t="s">
        <v>774</v>
      </c>
      <c r="E22" s="168" t="s">
        <v>1006</v>
      </c>
      <c r="F22" s="167" t="s">
        <v>269</v>
      </c>
      <c r="G22" s="174" t="s">
        <v>775</v>
      </c>
      <c r="H22" s="171">
        <v>46203</v>
      </c>
      <c r="I22" s="167" t="s">
        <v>20</v>
      </c>
      <c r="J22" s="170"/>
      <c r="K22" s="170"/>
      <c r="L22" s="170"/>
      <c r="M22" s="170"/>
      <c r="N22" s="170"/>
      <c r="O22" s="170"/>
      <c r="P22" s="170"/>
    </row>
    <row r="23" spans="1:16" ht="91.2">
      <c r="A23" s="167"/>
      <c r="B23" s="167"/>
      <c r="C23" s="168" t="s">
        <v>36</v>
      </c>
      <c r="D23" s="169" t="s">
        <v>774</v>
      </c>
      <c r="E23" s="168" t="s">
        <v>37</v>
      </c>
      <c r="F23" s="167" t="s">
        <v>269</v>
      </c>
      <c r="G23" s="174" t="s">
        <v>775</v>
      </c>
      <c r="H23" s="171">
        <v>45473</v>
      </c>
      <c r="I23" s="167" t="s">
        <v>20</v>
      </c>
      <c r="J23" s="170"/>
      <c r="K23" s="170"/>
      <c r="L23" s="170"/>
      <c r="M23" s="170"/>
      <c r="N23" s="170"/>
      <c r="O23" s="170"/>
      <c r="P23" s="170"/>
    </row>
    <row r="24" spans="1:16" ht="68.400000000000006">
      <c r="A24" s="167"/>
      <c r="B24" s="167"/>
      <c r="C24" s="168" t="s">
        <v>40</v>
      </c>
      <c r="D24" s="169" t="s">
        <v>774</v>
      </c>
      <c r="E24" s="168" t="s">
        <v>41</v>
      </c>
      <c r="F24" s="167" t="s">
        <v>269</v>
      </c>
      <c r="G24" s="174" t="s">
        <v>775</v>
      </c>
      <c r="H24" s="171">
        <v>45381</v>
      </c>
      <c r="I24" s="167" t="s">
        <v>20</v>
      </c>
      <c r="J24" s="170"/>
      <c r="K24" s="170"/>
      <c r="L24" s="170"/>
      <c r="M24" s="170"/>
      <c r="N24" s="170"/>
      <c r="O24" s="170"/>
      <c r="P24" s="170"/>
    </row>
    <row r="25" spans="1:16" ht="68.400000000000006">
      <c r="A25" s="167"/>
      <c r="B25" s="167"/>
      <c r="C25" s="168" t="s">
        <v>44</v>
      </c>
      <c r="D25" s="169" t="s">
        <v>774</v>
      </c>
      <c r="E25" s="168" t="s">
        <v>45</v>
      </c>
      <c r="F25" s="167" t="s">
        <v>269</v>
      </c>
      <c r="G25" s="174" t="s">
        <v>775</v>
      </c>
      <c r="H25" s="171">
        <v>45443</v>
      </c>
      <c r="I25" s="167" t="s">
        <v>20</v>
      </c>
      <c r="J25" s="170"/>
      <c r="K25" s="170"/>
      <c r="L25" s="170"/>
      <c r="M25" s="170"/>
      <c r="N25" s="170"/>
      <c r="O25" s="170"/>
      <c r="P25" s="170"/>
    </row>
    <row r="26" spans="1:16" ht="68.400000000000006">
      <c r="A26" s="167"/>
      <c r="B26" s="167"/>
      <c r="C26" s="168" t="s">
        <v>47</v>
      </c>
      <c r="D26" s="169" t="s">
        <v>774</v>
      </c>
      <c r="E26" s="168" t="s">
        <v>48</v>
      </c>
      <c r="F26" s="167" t="s">
        <v>269</v>
      </c>
      <c r="G26" s="174" t="s">
        <v>775</v>
      </c>
      <c r="H26" s="171">
        <v>45381</v>
      </c>
      <c r="I26" s="167" t="s">
        <v>20</v>
      </c>
      <c r="J26" s="170"/>
      <c r="K26" s="170"/>
      <c r="L26" s="170"/>
      <c r="M26" s="170"/>
      <c r="N26" s="170"/>
      <c r="O26" s="170"/>
      <c r="P26" s="170"/>
    </row>
    <row r="27" spans="1:16" ht="102.6">
      <c r="A27" s="167"/>
      <c r="B27" s="167"/>
      <c r="C27" s="168" t="s">
        <v>51</v>
      </c>
      <c r="D27" s="169" t="s">
        <v>774</v>
      </c>
      <c r="E27" s="168" t="s">
        <v>52</v>
      </c>
      <c r="F27" s="167" t="s">
        <v>269</v>
      </c>
      <c r="G27" s="174" t="s">
        <v>775</v>
      </c>
      <c r="H27" s="171">
        <v>45381</v>
      </c>
      <c r="I27" s="167" t="s">
        <v>20</v>
      </c>
      <c r="J27" s="170"/>
      <c r="K27" s="170"/>
      <c r="L27" s="170"/>
      <c r="M27" s="170"/>
      <c r="N27" s="170"/>
      <c r="O27" s="170"/>
      <c r="P27" s="170"/>
    </row>
    <row r="28" spans="1:16" ht="79.8">
      <c r="A28" s="167"/>
      <c r="B28" s="167"/>
      <c r="C28" s="168" t="s">
        <v>55</v>
      </c>
      <c r="D28" s="169" t="s">
        <v>774</v>
      </c>
      <c r="E28" s="168" t="s">
        <v>56</v>
      </c>
      <c r="F28" s="167" t="s">
        <v>269</v>
      </c>
      <c r="G28" s="174" t="s">
        <v>775</v>
      </c>
      <c r="H28" s="171">
        <v>45473</v>
      </c>
      <c r="I28" s="167" t="s">
        <v>20</v>
      </c>
      <c r="J28" s="170"/>
      <c r="K28" s="170"/>
      <c r="L28" s="170"/>
      <c r="M28" s="170"/>
      <c r="N28" s="170"/>
      <c r="O28" s="170"/>
      <c r="P28" s="170"/>
    </row>
    <row r="29" spans="1:16" ht="114">
      <c r="A29" s="167"/>
      <c r="B29" s="167"/>
      <c r="C29" s="168" t="s">
        <v>109</v>
      </c>
      <c r="D29" s="169" t="s">
        <v>774</v>
      </c>
      <c r="E29" s="168" t="s">
        <v>110</v>
      </c>
      <c r="F29" s="167" t="s">
        <v>269</v>
      </c>
      <c r="G29" s="174" t="s">
        <v>775</v>
      </c>
      <c r="H29" s="171">
        <v>45473</v>
      </c>
      <c r="I29" s="167" t="s">
        <v>20</v>
      </c>
      <c r="J29" s="170"/>
      <c r="K29" s="170"/>
      <c r="L29" s="170"/>
      <c r="M29" s="170"/>
      <c r="N29" s="170"/>
      <c r="O29" s="170"/>
      <c r="P29" s="170"/>
    </row>
    <row r="30" spans="1:16" ht="45.6">
      <c r="A30" s="167"/>
      <c r="B30" s="167"/>
      <c r="C30" s="168" t="s">
        <v>774</v>
      </c>
      <c r="D30" s="169" t="s">
        <v>774</v>
      </c>
      <c r="E30" s="168" t="s">
        <v>34</v>
      </c>
      <c r="F30" s="167" t="s">
        <v>269</v>
      </c>
      <c r="G30" s="174" t="s">
        <v>775</v>
      </c>
      <c r="H30" s="171">
        <v>46203</v>
      </c>
      <c r="I30" s="167" t="s">
        <v>33</v>
      </c>
      <c r="J30" s="169"/>
      <c r="K30" s="169"/>
      <c r="L30" s="169"/>
      <c r="M30" s="169"/>
      <c r="N30" s="169" t="s">
        <v>665</v>
      </c>
      <c r="O30" s="170"/>
      <c r="P30" s="170"/>
    </row>
    <row r="31" spans="1:16" ht="91.2">
      <c r="A31" s="167" t="s">
        <v>111</v>
      </c>
      <c r="B31" s="167" t="s">
        <v>157</v>
      </c>
      <c r="C31" s="168" t="s">
        <v>570</v>
      </c>
      <c r="D31" s="169" t="s">
        <v>774</v>
      </c>
      <c r="E31" s="168" t="s">
        <v>163</v>
      </c>
      <c r="F31" s="167" t="s">
        <v>115</v>
      </c>
      <c r="G31" s="175">
        <v>46080</v>
      </c>
      <c r="H31" s="171">
        <v>46080</v>
      </c>
      <c r="I31" s="167" t="s">
        <v>20</v>
      </c>
      <c r="J31" s="170"/>
      <c r="K31" s="170"/>
      <c r="L31" s="170"/>
      <c r="M31" s="170"/>
      <c r="N31" s="170"/>
      <c r="O31" s="170"/>
      <c r="P31" s="170"/>
    </row>
    <row r="32" spans="1:16" ht="34.200000000000003">
      <c r="A32" s="167"/>
      <c r="B32" s="167"/>
      <c r="C32" s="168" t="s">
        <v>166</v>
      </c>
      <c r="D32" s="169" t="s">
        <v>774</v>
      </c>
      <c r="E32" s="168" t="s">
        <v>631</v>
      </c>
      <c r="F32" s="167" t="s">
        <v>118</v>
      </c>
      <c r="G32" s="174" t="s">
        <v>169</v>
      </c>
      <c r="H32" s="167" t="s">
        <v>169</v>
      </c>
      <c r="I32" s="167" t="s">
        <v>20</v>
      </c>
      <c r="J32" s="170"/>
      <c r="K32" s="170"/>
      <c r="L32" s="170"/>
      <c r="M32" s="170"/>
      <c r="N32" s="170"/>
      <c r="O32" s="170"/>
      <c r="P32" s="170"/>
    </row>
    <row r="33" spans="1:16" ht="114">
      <c r="A33" s="167"/>
      <c r="B33" s="167"/>
      <c r="C33" s="168" t="s">
        <v>569</v>
      </c>
      <c r="D33" s="169" t="s">
        <v>774</v>
      </c>
      <c r="E33" s="168" t="s">
        <v>159</v>
      </c>
      <c r="F33" s="167" t="s">
        <v>115</v>
      </c>
      <c r="G33" s="175">
        <v>46080</v>
      </c>
      <c r="H33" s="171">
        <v>46080</v>
      </c>
      <c r="I33" s="167" t="s">
        <v>20</v>
      </c>
      <c r="J33" s="170"/>
      <c r="K33" s="170"/>
      <c r="L33" s="170"/>
      <c r="M33" s="170"/>
      <c r="N33" s="170"/>
      <c r="O33" s="170"/>
      <c r="P33" s="170"/>
    </row>
    <row r="34" spans="1:16" ht="34.200000000000003">
      <c r="A34" s="167"/>
      <c r="B34" s="167"/>
      <c r="C34" s="168" t="s">
        <v>774</v>
      </c>
      <c r="D34" s="169" t="s">
        <v>774</v>
      </c>
      <c r="E34" s="168" t="s">
        <v>173</v>
      </c>
      <c r="F34" s="167" t="s">
        <v>148</v>
      </c>
      <c r="G34" s="174" t="s">
        <v>775</v>
      </c>
      <c r="H34" s="171">
        <v>45736</v>
      </c>
      <c r="I34" s="167" t="s">
        <v>20</v>
      </c>
      <c r="J34" s="170"/>
      <c r="K34" s="170"/>
      <c r="L34" s="170"/>
      <c r="M34" s="170"/>
      <c r="N34" s="170"/>
      <c r="O34" s="170"/>
      <c r="P34" s="170"/>
    </row>
    <row r="35" spans="1:16" ht="68.400000000000006">
      <c r="A35" s="167"/>
      <c r="B35" s="167"/>
      <c r="C35" s="168"/>
      <c r="D35" s="169"/>
      <c r="E35" s="168" t="s">
        <v>176</v>
      </c>
      <c r="F35" s="167" t="s">
        <v>148</v>
      </c>
      <c r="G35" s="174" t="s">
        <v>775</v>
      </c>
      <c r="H35" s="171">
        <v>45736</v>
      </c>
      <c r="I35" s="167" t="s">
        <v>20</v>
      </c>
      <c r="J35" s="170"/>
      <c r="K35" s="170"/>
      <c r="L35" s="170"/>
      <c r="M35" s="170"/>
      <c r="N35" s="170"/>
      <c r="O35" s="170"/>
      <c r="P35" s="170"/>
    </row>
    <row r="36" spans="1:16" ht="22.8">
      <c r="A36" s="167"/>
      <c r="B36" s="167"/>
      <c r="C36" s="168"/>
      <c r="D36" s="169"/>
      <c r="E36" s="168" t="s">
        <v>178</v>
      </c>
      <c r="F36" s="167" t="s">
        <v>179</v>
      </c>
      <c r="G36" s="174" t="s">
        <v>775</v>
      </c>
      <c r="H36" s="171">
        <v>46023</v>
      </c>
      <c r="I36" s="167" t="s">
        <v>20</v>
      </c>
      <c r="J36" s="170"/>
      <c r="K36" s="170"/>
      <c r="L36" s="170"/>
      <c r="M36" s="170"/>
      <c r="N36" s="170"/>
      <c r="O36" s="170"/>
      <c r="P36" s="170"/>
    </row>
    <row r="37" spans="1:16" ht="114">
      <c r="A37" s="167"/>
      <c r="B37" s="167" t="s">
        <v>142</v>
      </c>
      <c r="C37" s="168" t="s">
        <v>568</v>
      </c>
      <c r="D37" s="169" t="s">
        <v>774</v>
      </c>
      <c r="E37" s="168" t="s">
        <v>542</v>
      </c>
      <c r="F37" s="167" t="s">
        <v>148</v>
      </c>
      <c r="G37" s="174" t="s">
        <v>775</v>
      </c>
      <c r="H37" s="171">
        <v>45712</v>
      </c>
      <c r="I37" s="167" t="s">
        <v>20</v>
      </c>
      <c r="J37" s="170"/>
      <c r="K37" s="170"/>
      <c r="L37" s="170"/>
      <c r="M37" s="170"/>
      <c r="N37" s="170"/>
      <c r="O37" s="170"/>
      <c r="P37" s="170"/>
    </row>
    <row r="38" spans="1:16" ht="57">
      <c r="A38" s="167"/>
      <c r="B38" s="167"/>
      <c r="C38" s="168" t="s">
        <v>565</v>
      </c>
      <c r="D38" s="169" t="s">
        <v>774</v>
      </c>
      <c r="E38" s="168" t="s">
        <v>143</v>
      </c>
      <c r="F38" s="167" t="s">
        <v>144</v>
      </c>
      <c r="G38" s="174" t="s">
        <v>775</v>
      </c>
      <c r="H38" s="171">
        <v>46081</v>
      </c>
      <c r="I38" s="167" t="s">
        <v>20</v>
      </c>
      <c r="J38" s="170"/>
      <c r="K38" s="170"/>
      <c r="L38" s="170"/>
      <c r="M38" s="170"/>
      <c r="N38" s="170"/>
      <c r="O38" s="170"/>
      <c r="P38" s="170"/>
    </row>
    <row r="39" spans="1:16" ht="57">
      <c r="A39" s="167"/>
      <c r="B39" s="167"/>
      <c r="C39" s="168" t="s">
        <v>566</v>
      </c>
      <c r="D39" s="169" t="s">
        <v>774</v>
      </c>
      <c r="E39" s="168" t="s">
        <v>143</v>
      </c>
      <c r="F39" s="167" t="s">
        <v>144</v>
      </c>
      <c r="G39" s="174" t="s">
        <v>775</v>
      </c>
      <c r="H39" s="171">
        <v>46081</v>
      </c>
      <c r="I39" s="167" t="s">
        <v>20</v>
      </c>
      <c r="J39" s="170"/>
      <c r="K39" s="170"/>
      <c r="L39" s="170"/>
      <c r="M39" s="170"/>
      <c r="N39" s="170"/>
      <c r="O39" s="170"/>
      <c r="P39" s="170"/>
    </row>
    <row r="40" spans="1:16" ht="57">
      <c r="A40" s="167"/>
      <c r="B40" s="167"/>
      <c r="C40" s="168" t="s">
        <v>567</v>
      </c>
      <c r="D40" s="169" t="s">
        <v>774</v>
      </c>
      <c r="E40" s="168" t="s">
        <v>143</v>
      </c>
      <c r="F40" s="167" t="s">
        <v>144</v>
      </c>
      <c r="G40" s="174" t="s">
        <v>775</v>
      </c>
      <c r="H40" s="171">
        <v>46081</v>
      </c>
      <c r="I40" s="167" t="s">
        <v>20</v>
      </c>
      <c r="J40" s="170"/>
      <c r="K40" s="170"/>
      <c r="L40" s="170"/>
      <c r="M40" s="170"/>
      <c r="N40" s="170"/>
      <c r="O40" s="170"/>
      <c r="P40" s="170"/>
    </row>
    <row r="41" spans="1:16" ht="57">
      <c r="A41" s="167"/>
      <c r="B41" s="167"/>
      <c r="C41" s="168" t="s">
        <v>774</v>
      </c>
      <c r="D41" s="169" t="s">
        <v>774</v>
      </c>
      <c r="E41" s="168" t="s">
        <v>151</v>
      </c>
      <c r="F41" s="167" t="s">
        <v>148</v>
      </c>
      <c r="G41" s="174" t="s">
        <v>775</v>
      </c>
      <c r="H41" s="171">
        <v>45712</v>
      </c>
      <c r="I41" s="167" t="s">
        <v>20</v>
      </c>
      <c r="J41" s="170"/>
      <c r="K41" s="170"/>
      <c r="L41" s="170"/>
      <c r="M41" s="170"/>
      <c r="N41" s="170"/>
      <c r="O41" s="170"/>
      <c r="P41" s="170"/>
    </row>
    <row r="42" spans="1:16" ht="114">
      <c r="A42" s="167"/>
      <c r="B42" s="167"/>
      <c r="C42" s="168"/>
      <c r="D42" s="169"/>
      <c r="E42" s="168" t="s">
        <v>154</v>
      </c>
      <c r="F42" s="167" t="s">
        <v>148</v>
      </c>
      <c r="G42" s="174" t="s">
        <v>775</v>
      </c>
      <c r="H42" s="171">
        <v>45712</v>
      </c>
      <c r="I42" s="167" t="s">
        <v>20</v>
      </c>
      <c r="J42" s="170"/>
      <c r="K42" s="170"/>
      <c r="L42" s="170"/>
      <c r="M42" s="170"/>
      <c r="N42" s="170"/>
      <c r="O42" s="170"/>
      <c r="P42" s="170"/>
    </row>
    <row r="43" spans="1:16" ht="79.8">
      <c r="A43" s="167"/>
      <c r="B43" s="167" t="s">
        <v>112</v>
      </c>
      <c r="C43" s="168" t="s">
        <v>561</v>
      </c>
      <c r="D43" s="169" t="s">
        <v>774</v>
      </c>
      <c r="E43" s="168" t="s">
        <v>127</v>
      </c>
      <c r="F43" s="167" t="s">
        <v>128</v>
      </c>
      <c r="G43" s="174" t="s">
        <v>775</v>
      </c>
      <c r="H43" s="171">
        <v>45681</v>
      </c>
      <c r="I43" s="167" t="s">
        <v>20</v>
      </c>
      <c r="J43" s="170"/>
      <c r="K43" s="170"/>
      <c r="L43" s="170"/>
      <c r="M43" s="170"/>
      <c r="N43" s="170"/>
      <c r="O43" s="170"/>
      <c r="P43" s="170"/>
    </row>
    <row r="44" spans="1:16" ht="193.8">
      <c r="A44" s="167"/>
      <c r="B44" s="167"/>
      <c r="C44" s="168" t="s">
        <v>122</v>
      </c>
      <c r="D44" s="169" t="s">
        <v>774</v>
      </c>
      <c r="E44" s="168" t="s">
        <v>451</v>
      </c>
      <c r="F44" s="167" t="s">
        <v>118</v>
      </c>
      <c r="G44" s="174" t="s">
        <v>775</v>
      </c>
      <c r="H44" s="171">
        <v>46203</v>
      </c>
      <c r="I44" s="167" t="s">
        <v>33</v>
      </c>
      <c r="J44" s="169"/>
      <c r="K44" s="169"/>
      <c r="L44" s="169"/>
      <c r="M44" s="169"/>
      <c r="N44" s="169" t="s">
        <v>665</v>
      </c>
      <c r="O44" s="170"/>
      <c r="P44" s="170"/>
    </row>
    <row r="45" spans="1:16" ht="57">
      <c r="A45" s="167"/>
      <c r="B45" s="167"/>
      <c r="C45" s="168" t="s">
        <v>560</v>
      </c>
      <c r="D45" s="169" t="s">
        <v>774</v>
      </c>
      <c r="E45" s="168" t="s">
        <v>117</v>
      </c>
      <c r="F45" s="167" t="s">
        <v>118</v>
      </c>
      <c r="G45" s="174" t="s">
        <v>119</v>
      </c>
      <c r="H45" s="167" t="s">
        <v>119</v>
      </c>
      <c r="I45" s="167" t="s">
        <v>20</v>
      </c>
      <c r="J45" s="170"/>
      <c r="K45" s="170"/>
      <c r="L45" s="170"/>
      <c r="M45" s="170"/>
      <c r="N45" s="170"/>
      <c r="O45" s="170"/>
      <c r="P45" s="170"/>
    </row>
    <row r="46" spans="1:16" ht="45.6">
      <c r="A46" s="167"/>
      <c r="B46" s="167"/>
      <c r="C46" s="168" t="s">
        <v>563</v>
      </c>
      <c r="D46" s="169" t="s">
        <v>774</v>
      </c>
      <c r="E46" s="168" t="s">
        <v>137</v>
      </c>
      <c r="F46" s="167" t="s">
        <v>115</v>
      </c>
      <c r="G46" s="174" t="s">
        <v>775</v>
      </c>
      <c r="H46" s="171">
        <v>45747</v>
      </c>
      <c r="I46" s="167" t="s">
        <v>20</v>
      </c>
      <c r="J46" s="170"/>
      <c r="K46" s="170"/>
      <c r="L46" s="170"/>
      <c r="M46" s="170"/>
      <c r="N46" s="170"/>
      <c r="O46" s="170"/>
      <c r="P46" s="170"/>
    </row>
    <row r="47" spans="1:16" ht="57">
      <c r="A47" s="167"/>
      <c r="B47" s="167"/>
      <c r="C47" s="168" t="s">
        <v>564</v>
      </c>
      <c r="D47" s="169" t="s">
        <v>774</v>
      </c>
      <c r="E47" s="168" t="s">
        <v>141</v>
      </c>
      <c r="F47" s="167" t="s">
        <v>128</v>
      </c>
      <c r="G47" s="174" t="s">
        <v>775</v>
      </c>
      <c r="H47" s="171">
        <v>45681</v>
      </c>
      <c r="I47" s="167" t="s">
        <v>20</v>
      </c>
      <c r="J47" s="170"/>
      <c r="K47" s="170"/>
      <c r="L47" s="170"/>
      <c r="M47" s="170"/>
      <c r="N47" s="170"/>
      <c r="O47" s="170"/>
      <c r="P47" s="170"/>
    </row>
    <row r="48" spans="1:16" ht="79.8">
      <c r="A48" s="167"/>
      <c r="B48" s="167"/>
      <c r="C48" s="168" t="s">
        <v>562</v>
      </c>
      <c r="D48" s="169" t="s">
        <v>774</v>
      </c>
      <c r="E48" s="168" t="s">
        <v>131</v>
      </c>
      <c r="F48" s="167" t="s">
        <v>118</v>
      </c>
      <c r="G48" s="174" t="s">
        <v>775</v>
      </c>
      <c r="H48" s="171">
        <v>45747</v>
      </c>
      <c r="I48" s="167" t="s">
        <v>20</v>
      </c>
      <c r="J48" s="170"/>
      <c r="K48" s="170"/>
      <c r="L48" s="170"/>
      <c r="M48" s="170"/>
      <c r="N48" s="170"/>
      <c r="O48" s="170"/>
      <c r="P48" s="170"/>
    </row>
    <row r="49" spans="1:16" ht="182.4">
      <c r="A49" s="167"/>
      <c r="B49" s="167"/>
      <c r="C49" s="168" t="s">
        <v>559</v>
      </c>
      <c r="D49" s="169" t="s">
        <v>774</v>
      </c>
      <c r="E49" s="168" t="s">
        <v>114</v>
      </c>
      <c r="F49" s="167" t="s">
        <v>115</v>
      </c>
      <c r="G49" s="174" t="s">
        <v>775</v>
      </c>
      <c r="H49" s="171">
        <v>45709</v>
      </c>
      <c r="I49" s="167" t="s">
        <v>20</v>
      </c>
      <c r="J49" s="170"/>
      <c r="K49" s="170"/>
      <c r="L49" s="170"/>
      <c r="M49" s="170"/>
      <c r="N49" s="170"/>
      <c r="O49" s="170"/>
      <c r="P49" s="170"/>
    </row>
    <row r="50" spans="1:16" ht="34.200000000000003">
      <c r="A50" s="167"/>
      <c r="B50" s="167"/>
      <c r="C50" s="168" t="s">
        <v>774</v>
      </c>
      <c r="D50" s="169" t="s">
        <v>774</v>
      </c>
      <c r="E50" s="168" t="s">
        <v>134</v>
      </c>
      <c r="F50" s="167" t="s">
        <v>128</v>
      </c>
      <c r="G50" s="174" t="s">
        <v>775</v>
      </c>
      <c r="H50" s="171">
        <v>45777</v>
      </c>
      <c r="I50" s="167" t="s">
        <v>20</v>
      </c>
      <c r="J50" s="170"/>
      <c r="K50" s="170"/>
      <c r="L50" s="170"/>
      <c r="M50" s="170"/>
      <c r="N50" s="170"/>
      <c r="O50" s="170"/>
      <c r="P50" s="170"/>
    </row>
    <row r="51" spans="1:16" ht="148.19999999999999">
      <c r="A51" s="167" t="s">
        <v>180</v>
      </c>
      <c r="B51" s="167" t="s">
        <v>306</v>
      </c>
      <c r="C51" s="168" t="s">
        <v>313</v>
      </c>
      <c r="D51" s="169" t="s">
        <v>280</v>
      </c>
      <c r="E51" s="168" t="s">
        <v>872</v>
      </c>
      <c r="F51" s="167" t="s">
        <v>310</v>
      </c>
      <c r="G51" s="175">
        <v>46129</v>
      </c>
      <c r="H51" s="171">
        <v>46129</v>
      </c>
      <c r="I51" s="167" t="s">
        <v>33</v>
      </c>
      <c r="J51" s="169"/>
      <c r="K51" s="169"/>
      <c r="L51" s="169"/>
      <c r="M51" s="169"/>
      <c r="N51" s="169" t="s">
        <v>665</v>
      </c>
      <c r="O51" s="170"/>
      <c r="P51" s="170"/>
    </row>
    <row r="52" spans="1:16" ht="68.400000000000006">
      <c r="A52" s="167"/>
      <c r="B52" s="167"/>
      <c r="C52" s="168" t="s">
        <v>318</v>
      </c>
      <c r="D52" s="169" t="s">
        <v>280</v>
      </c>
      <c r="E52" s="168" t="s">
        <v>320</v>
      </c>
      <c r="F52" s="167" t="s">
        <v>310</v>
      </c>
      <c r="G52" s="174" t="s">
        <v>775</v>
      </c>
      <c r="H52" s="171">
        <v>45992</v>
      </c>
      <c r="I52" s="167" t="s">
        <v>20</v>
      </c>
      <c r="J52" s="170"/>
      <c r="K52" s="170"/>
      <c r="L52" s="170"/>
      <c r="M52" s="170"/>
      <c r="N52" s="170"/>
      <c r="O52" s="170"/>
      <c r="P52" s="170"/>
    </row>
    <row r="53" spans="1:16" ht="34.200000000000003">
      <c r="A53" s="167"/>
      <c r="B53" s="167"/>
      <c r="C53" s="168"/>
      <c r="D53" s="169" t="s">
        <v>774</v>
      </c>
      <c r="E53" s="168" t="s">
        <v>323</v>
      </c>
      <c r="F53" s="167" t="s">
        <v>310</v>
      </c>
      <c r="G53" s="175">
        <v>46127</v>
      </c>
      <c r="H53" s="171">
        <v>46127</v>
      </c>
      <c r="I53" s="176" t="s">
        <v>33</v>
      </c>
      <c r="J53" s="169"/>
      <c r="K53" s="169"/>
      <c r="L53" s="169"/>
      <c r="M53" s="169"/>
      <c r="N53" s="169" t="s">
        <v>665</v>
      </c>
      <c r="O53" s="170"/>
      <c r="P53" s="170"/>
    </row>
    <row r="54" spans="1:16" ht="125.4">
      <c r="A54" s="167"/>
      <c r="B54" s="167"/>
      <c r="C54" s="168"/>
      <c r="D54" s="169"/>
      <c r="E54" s="168" t="s">
        <v>324</v>
      </c>
      <c r="F54" s="167" t="s">
        <v>17</v>
      </c>
      <c r="G54" s="175">
        <v>46129</v>
      </c>
      <c r="H54" s="171">
        <v>46129</v>
      </c>
      <c r="I54" s="167" t="s">
        <v>20</v>
      </c>
      <c r="J54" s="170"/>
      <c r="K54" s="170"/>
      <c r="L54" s="170"/>
      <c r="M54" s="170"/>
      <c r="N54" s="170"/>
      <c r="O54" s="170"/>
      <c r="P54" s="170"/>
    </row>
    <row r="55" spans="1:16" ht="34.200000000000003">
      <c r="A55" s="167"/>
      <c r="B55" s="167"/>
      <c r="C55" s="168"/>
      <c r="D55" s="169"/>
      <c r="E55" s="168" t="s">
        <v>325</v>
      </c>
      <c r="F55" s="167" t="s">
        <v>17</v>
      </c>
      <c r="G55" s="174" t="s">
        <v>775</v>
      </c>
      <c r="H55" s="171">
        <v>45992</v>
      </c>
      <c r="I55" s="167" t="s">
        <v>20</v>
      </c>
      <c r="J55" s="170"/>
      <c r="K55" s="170"/>
      <c r="L55" s="170"/>
      <c r="M55" s="170"/>
      <c r="N55" s="170"/>
      <c r="O55" s="170"/>
      <c r="P55" s="170"/>
    </row>
    <row r="56" spans="1:16" ht="193.8">
      <c r="A56" s="167"/>
      <c r="B56" s="167"/>
      <c r="C56" s="168" t="s">
        <v>307</v>
      </c>
      <c r="D56" s="169" t="s">
        <v>280</v>
      </c>
      <c r="E56" s="168" t="s">
        <v>309</v>
      </c>
      <c r="F56" s="167" t="s">
        <v>310</v>
      </c>
      <c r="G56" s="174" t="s">
        <v>775</v>
      </c>
      <c r="H56" s="171">
        <v>45988</v>
      </c>
      <c r="I56" s="167" t="s">
        <v>20</v>
      </c>
      <c r="J56" s="170"/>
      <c r="K56" s="170"/>
      <c r="L56" s="170"/>
      <c r="M56" s="170"/>
      <c r="N56" s="170"/>
      <c r="O56" s="170"/>
      <c r="P56" s="170"/>
    </row>
    <row r="57" spans="1:16" ht="102.6">
      <c r="A57" s="167"/>
      <c r="B57" s="167" t="s">
        <v>471</v>
      </c>
      <c r="C57" s="168" t="s">
        <v>450</v>
      </c>
      <c r="D57" s="169" t="s">
        <v>188</v>
      </c>
      <c r="E57" s="168" t="s">
        <v>472</v>
      </c>
      <c r="F57" s="167" t="s">
        <v>179</v>
      </c>
      <c r="G57" s="175">
        <v>46171</v>
      </c>
      <c r="H57" s="171">
        <v>46171</v>
      </c>
      <c r="I57" s="167" t="s">
        <v>33</v>
      </c>
      <c r="J57" s="169"/>
      <c r="K57" s="169"/>
      <c r="L57" s="169"/>
      <c r="M57" s="169"/>
      <c r="N57" s="169" t="s">
        <v>665</v>
      </c>
      <c r="O57" s="170"/>
      <c r="P57" s="170"/>
    </row>
    <row r="58" spans="1:16" ht="102.6">
      <c r="A58" s="167"/>
      <c r="B58" s="167"/>
      <c r="C58" s="168"/>
      <c r="D58" s="169" t="s">
        <v>774</v>
      </c>
      <c r="E58" s="168" t="s">
        <v>474</v>
      </c>
      <c r="F58" s="167" t="s">
        <v>179</v>
      </c>
      <c r="G58" s="175">
        <v>46171</v>
      </c>
      <c r="H58" s="171">
        <v>46171</v>
      </c>
      <c r="I58" s="167" t="s">
        <v>33</v>
      </c>
      <c r="J58" s="169"/>
      <c r="K58" s="169"/>
      <c r="L58" s="169"/>
      <c r="M58" s="169"/>
      <c r="N58" s="169" t="s">
        <v>665</v>
      </c>
      <c r="O58" s="170"/>
      <c r="P58" s="170"/>
    </row>
    <row r="59" spans="1:16" ht="57">
      <c r="A59" s="167"/>
      <c r="B59" s="167"/>
      <c r="C59" s="168" t="s">
        <v>476</v>
      </c>
      <c r="D59" s="169" t="s">
        <v>188</v>
      </c>
      <c r="E59" s="168" t="s">
        <v>645</v>
      </c>
      <c r="F59" s="167" t="s">
        <v>118</v>
      </c>
      <c r="G59" s="175">
        <v>46295</v>
      </c>
      <c r="H59" s="171">
        <v>46295</v>
      </c>
      <c r="I59" s="167" t="s">
        <v>201</v>
      </c>
      <c r="J59" s="169"/>
      <c r="K59" s="169"/>
      <c r="L59" s="169"/>
      <c r="M59" s="169"/>
      <c r="N59" s="169" t="s">
        <v>665</v>
      </c>
      <c r="O59" s="170"/>
      <c r="P59" s="170"/>
    </row>
    <row r="60" spans="1:16" ht="193.8">
      <c r="A60" s="167"/>
      <c r="B60" s="167" t="s">
        <v>449</v>
      </c>
      <c r="C60" s="168" t="s">
        <v>450</v>
      </c>
      <c r="D60" s="169" t="s">
        <v>254</v>
      </c>
      <c r="E60" s="168" t="s">
        <v>451</v>
      </c>
      <c r="F60" s="167" t="s">
        <v>179</v>
      </c>
      <c r="G60" s="175">
        <v>46171</v>
      </c>
      <c r="H60" s="171">
        <v>46171</v>
      </c>
      <c r="I60" s="167" t="s">
        <v>33</v>
      </c>
      <c r="J60" s="169"/>
      <c r="K60" s="169"/>
      <c r="L60" s="169"/>
      <c r="M60" s="169"/>
      <c r="N60" s="169" t="s">
        <v>665</v>
      </c>
      <c r="O60" s="170"/>
      <c r="P60" s="170"/>
    </row>
    <row r="61" spans="1:16" ht="68.400000000000006">
      <c r="A61" s="167"/>
      <c r="B61" s="167"/>
      <c r="C61" s="168" t="s">
        <v>459</v>
      </c>
      <c r="D61" s="169" t="s">
        <v>280</v>
      </c>
      <c r="E61" s="168" t="s">
        <v>646</v>
      </c>
      <c r="F61" s="167" t="s">
        <v>118</v>
      </c>
      <c r="G61" s="175">
        <v>46118</v>
      </c>
      <c r="H61" s="171">
        <v>46118</v>
      </c>
      <c r="I61" s="167" t="s">
        <v>20</v>
      </c>
      <c r="J61" s="170"/>
      <c r="K61" s="170"/>
      <c r="L61" s="170"/>
      <c r="M61" s="170"/>
      <c r="N61" s="170"/>
      <c r="O61" s="170"/>
      <c r="P61" s="170"/>
    </row>
    <row r="62" spans="1:16" ht="102.6">
      <c r="A62" s="167"/>
      <c r="B62" s="167"/>
      <c r="C62" s="168" t="s">
        <v>456</v>
      </c>
      <c r="D62" s="169" t="s">
        <v>188</v>
      </c>
      <c r="E62" s="168" t="s">
        <v>457</v>
      </c>
      <c r="F62" s="167" t="s">
        <v>115</v>
      </c>
      <c r="G62" s="174" t="s">
        <v>775</v>
      </c>
      <c r="H62" s="171">
        <v>45715</v>
      </c>
      <c r="I62" s="167" t="s">
        <v>20</v>
      </c>
      <c r="J62" s="170"/>
      <c r="K62" s="170"/>
      <c r="L62" s="170"/>
      <c r="M62" s="170"/>
      <c r="N62" s="170"/>
      <c r="O62" s="170"/>
      <c r="P62" s="170"/>
    </row>
    <row r="63" spans="1:16" ht="68.400000000000006">
      <c r="A63" s="167"/>
      <c r="B63" s="167"/>
      <c r="C63" s="168" t="s">
        <v>453</v>
      </c>
      <c r="D63" s="169" t="s">
        <v>188</v>
      </c>
      <c r="E63" s="168" t="s">
        <v>454</v>
      </c>
      <c r="F63" s="167" t="s">
        <v>115</v>
      </c>
      <c r="G63" s="174" t="s">
        <v>775</v>
      </c>
      <c r="H63" s="171">
        <v>45715</v>
      </c>
      <c r="I63" s="167" t="s">
        <v>20</v>
      </c>
      <c r="J63" s="170"/>
      <c r="K63" s="170"/>
      <c r="L63" s="170"/>
      <c r="M63" s="170"/>
      <c r="N63" s="170"/>
      <c r="O63" s="170"/>
      <c r="P63" s="170"/>
    </row>
    <row r="64" spans="1:16" ht="45.6">
      <c r="A64" s="167"/>
      <c r="B64" s="167" t="s">
        <v>399</v>
      </c>
      <c r="C64" s="168" t="s">
        <v>403</v>
      </c>
      <c r="D64" s="169" t="s">
        <v>188</v>
      </c>
      <c r="E64" s="168" t="s">
        <v>404</v>
      </c>
      <c r="F64" s="167" t="s">
        <v>269</v>
      </c>
      <c r="G64" s="175">
        <v>46115</v>
      </c>
      <c r="H64" s="171">
        <v>46115</v>
      </c>
      <c r="I64" s="167" t="s">
        <v>20</v>
      </c>
      <c r="J64" s="170"/>
      <c r="K64" s="170"/>
      <c r="L64" s="170"/>
      <c r="M64" s="170"/>
      <c r="N64" s="170"/>
      <c r="O64" s="170"/>
      <c r="P64" s="170"/>
    </row>
    <row r="65" spans="1:16" ht="91.2">
      <c r="A65" s="167"/>
      <c r="B65" s="167"/>
      <c r="C65" s="168"/>
      <c r="D65" s="169" t="s">
        <v>774</v>
      </c>
      <c r="E65" s="168" t="s">
        <v>406</v>
      </c>
      <c r="F65" s="167" t="s">
        <v>179</v>
      </c>
      <c r="G65" s="175">
        <v>46387</v>
      </c>
      <c r="H65" s="171">
        <v>46387</v>
      </c>
      <c r="I65" s="167" t="s">
        <v>201</v>
      </c>
      <c r="J65" s="169"/>
      <c r="K65" s="169"/>
      <c r="L65" s="169"/>
      <c r="M65" s="169"/>
      <c r="N65" s="169" t="s">
        <v>665</v>
      </c>
      <c r="O65" s="170"/>
      <c r="P65" s="170"/>
    </row>
    <row r="66" spans="1:16" ht="68.400000000000006">
      <c r="A66" s="167"/>
      <c r="B66" s="167"/>
      <c r="C66" s="168" t="s">
        <v>409</v>
      </c>
      <c r="D66" s="169" t="s">
        <v>188</v>
      </c>
      <c r="E66" s="168" t="s">
        <v>410</v>
      </c>
      <c r="F66" s="167" t="s">
        <v>179</v>
      </c>
      <c r="G66" s="175">
        <v>46295</v>
      </c>
      <c r="H66" s="171">
        <v>46295</v>
      </c>
      <c r="I66" s="167" t="s">
        <v>201</v>
      </c>
      <c r="J66" s="169"/>
      <c r="K66" s="169"/>
      <c r="L66" s="169"/>
      <c r="M66" s="169"/>
      <c r="N66" s="169" t="s">
        <v>665</v>
      </c>
      <c r="O66" s="170"/>
      <c r="P66" s="170"/>
    </row>
    <row r="67" spans="1:16" ht="22.8">
      <c r="A67" s="167"/>
      <c r="B67" s="167"/>
      <c r="C67" s="168"/>
      <c r="D67" s="169" t="s">
        <v>774</v>
      </c>
      <c r="E67" s="168" t="s">
        <v>774</v>
      </c>
      <c r="F67" s="167" t="s">
        <v>118</v>
      </c>
      <c r="G67" s="174" t="s">
        <v>774</v>
      </c>
      <c r="H67" s="167" t="s">
        <v>774</v>
      </c>
      <c r="I67" s="167" t="s">
        <v>171</v>
      </c>
      <c r="J67" s="169"/>
      <c r="K67" s="169"/>
      <c r="L67" s="169"/>
      <c r="M67" s="169"/>
      <c r="N67" s="169" t="s">
        <v>665</v>
      </c>
      <c r="O67" s="170"/>
      <c r="P67" s="170"/>
    </row>
    <row r="68" spans="1:16" ht="91.2">
      <c r="A68" s="167"/>
      <c r="B68" s="167"/>
      <c r="C68" s="168" t="s">
        <v>411</v>
      </c>
      <c r="D68" s="169" t="s">
        <v>188</v>
      </c>
      <c r="E68" s="168" t="s">
        <v>412</v>
      </c>
      <c r="F68" s="167" t="s">
        <v>413</v>
      </c>
      <c r="G68" s="175">
        <v>46295</v>
      </c>
      <c r="H68" s="171">
        <v>46295</v>
      </c>
      <c r="I68" s="167" t="s">
        <v>201</v>
      </c>
      <c r="J68" s="169"/>
      <c r="K68" s="169"/>
      <c r="L68" s="169"/>
      <c r="M68" s="169"/>
      <c r="N68" s="169" t="s">
        <v>665</v>
      </c>
      <c r="O68" s="170"/>
      <c r="P68" s="170"/>
    </row>
    <row r="69" spans="1:16" ht="57">
      <c r="A69" s="167"/>
      <c r="B69" s="167"/>
      <c r="C69" s="168"/>
      <c r="D69" s="169" t="s">
        <v>774</v>
      </c>
      <c r="E69" s="168" t="s">
        <v>415</v>
      </c>
      <c r="F69" s="167" t="s">
        <v>179</v>
      </c>
      <c r="G69" s="175">
        <v>46295</v>
      </c>
      <c r="H69" s="171">
        <v>46295</v>
      </c>
      <c r="I69" s="167" t="s">
        <v>201</v>
      </c>
      <c r="J69" s="169"/>
      <c r="K69" s="169"/>
      <c r="L69" s="169"/>
      <c r="M69" s="169"/>
      <c r="N69" s="169" t="s">
        <v>665</v>
      </c>
      <c r="O69" s="170"/>
      <c r="P69" s="170"/>
    </row>
    <row r="70" spans="1:16" ht="68.400000000000006">
      <c r="A70" s="167"/>
      <c r="B70" s="167"/>
      <c r="C70" s="168" t="s">
        <v>416</v>
      </c>
      <c r="D70" s="169" t="s">
        <v>280</v>
      </c>
      <c r="E70" s="168" t="s">
        <v>417</v>
      </c>
      <c r="F70" s="167" t="s">
        <v>179</v>
      </c>
      <c r="G70" s="175">
        <v>46173</v>
      </c>
      <c r="H70" s="171">
        <v>46173</v>
      </c>
      <c r="I70" s="167" t="s">
        <v>20</v>
      </c>
      <c r="J70" s="170"/>
      <c r="K70" s="170"/>
      <c r="L70" s="170"/>
      <c r="M70" s="170"/>
      <c r="N70" s="170"/>
      <c r="O70" s="170"/>
      <c r="P70" s="170"/>
    </row>
    <row r="71" spans="1:16" ht="79.8">
      <c r="A71" s="167"/>
      <c r="B71" s="167"/>
      <c r="C71" s="168" t="s">
        <v>400</v>
      </c>
      <c r="D71" s="169" t="s">
        <v>188</v>
      </c>
      <c r="E71" s="168" t="s">
        <v>401</v>
      </c>
      <c r="F71" s="167" t="s">
        <v>179</v>
      </c>
      <c r="G71" s="175">
        <v>46173</v>
      </c>
      <c r="H71" s="171">
        <v>46173</v>
      </c>
      <c r="I71" s="167" t="s">
        <v>20</v>
      </c>
      <c r="J71" s="170"/>
      <c r="K71" s="170"/>
      <c r="L71" s="170"/>
      <c r="M71" s="170"/>
      <c r="N71" s="170"/>
      <c r="O71" s="170"/>
      <c r="P71" s="170"/>
    </row>
    <row r="72" spans="1:16" ht="57">
      <c r="A72" s="167"/>
      <c r="B72" s="167" t="s">
        <v>251</v>
      </c>
      <c r="C72" s="168" t="s">
        <v>261</v>
      </c>
      <c r="D72" s="169" t="s">
        <v>188</v>
      </c>
      <c r="E72" s="168" t="s">
        <v>263</v>
      </c>
      <c r="F72" s="167" t="s">
        <v>148</v>
      </c>
      <c r="G72" s="174" t="s">
        <v>775</v>
      </c>
      <c r="H72" s="171">
        <v>46022</v>
      </c>
      <c r="I72" s="167" t="s">
        <v>20</v>
      </c>
      <c r="J72" s="170"/>
      <c r="K72" s="170"/>
      <c r="L72" s="170"/>
      <c r="M72" s="170"/>
      <c r="N72" s="170"/>
      <c r="O72" s="170"/>
      <c r="P72" s="170"/>
    </row>
    <row r="73" spans="1:16" ht="114">
      <c r="A73" s="167"/>
      <c r="B73" s="167"/>
      <c r="C73" s="168" t="s">
        <v>284</v>
      </c>
      <c r="D73" s="169" t="s">
        <v>280</v>
      </c>
      <c r="E73" s="168" t="s">
        <v>1007</v>
      </c>
      <c r="F73" s="167" t="s">
        <v>256</v>
      </c>
      <c r="G73" s="174" t="s">
        <v>775</v>
      </c>
      <c r="H73" s="171">
        <v>46053</v>
      </c>
      <c r="I73" s="167" t="s">
        <v>20</v>
      </c>
      <c r="J73" s="170"/>
      <c r="K73" s="170"/>
      <c r="L73" s="170"/>
      <c r="M73" s="170"/>
      <c r="N73" s="170"/>
      <c r="O73" s="170"/>
      <c r="P73" s="170"/>
    </row>
    <row r="74" spans="1:16" ht="57">
      <c r="A74" s="167"/>
      <c r="B74" s="167"/>
      <c r="C74" s="168"/>
      <c r="D74" s="169" t="s">
        <v>774</v>
      </c>
      <c r="E74" s="168" t="s">
        <v>1008</v>
      </c>
      <c r="F74" s="167" t="s">
        <v>256</v>
      </c>
      <c r="G74" s="174" t="s">
        <v>775</v>
      </c>
      <c r="H74" s="171">
        <v>45989</v>
      </c>
      <c r="I74" s="167" t="s">
        <v>20</v>
      </c>
      <c r="J74" s="170"/>
      <c r="K74" s="170"/>
      <c r="L74" s="170"/>
      <c r="M74" s="170"/>
      <c r="N74" s="170"/>
      <c r="O74" s="170"/>
      <c r="P74" s="170"/>
    </row>
    <row r="75" spans="1:16" ht="68.400000000000006">
      <c r="A75" s="167"/>
      <c r="B75" s="167"/>
      <c r="C75" s="168" t="s">
        <v>266</v>
      </c>
      <c r="D75" s="169" t="s">
        <v>188</v>
      </c>
      <c r="E75" s="168" t="s">
        <v>268</v>
      </c>
      <c r="F75" s="167" t="s">
        <v>269</v>
      </c>
      <c r="G75" s="174" t="s">
        <v>775</v>
      </c>
      <c r="H75" s="171">
        <v>46022</v>
      </c>
      <c r="I75" s="167" t="s">
        <v>20</v>
      </c>
      <c r="J75" s="170"/>
      <c r="K75" s="170"/>
      <c r="L75" s="170"/>
      <c r="M75" s="170"/>
      <c r="N75" s="170"/>
      <c r="O75" s="170"/>
      <c r="P75" s="170"/>
    </row>
    <row r="76" spans="1:16" ht="57">
      <c r="A76" s="167"/>
      <c r="B76" s="167"/>
      <c r="C76" s="168" t="s">
        <v>299</v>
      </c>
      <c r="D76" s="169" t="s">
        <v>280</v>
      </c>
      <c r="E76" s="168" t="s">
        <v>1009</v>
      </c>
      <c r="F76" s="167" t="s">
        <v>148</v>
      </c>
      <c r="G76" s="174" t="s">
        <v>775</v>
      </c>
      <c r="H76" s="171">
        <v>46025</v>
      </c>
      <c r="I76" s="167" t="s">
        <v>20</v>
      </c>
      <c r="J76" s="170"/>
      <c r="K76" s="170"/>
      <c r="L76" s="170"/>
      <c r="M76" s="170"/>
      <c r="N76" s="170"/>
      <c r="O76" s="170"/>
      <c r="P76" s="170"/>
    </row>
    <row r="77" spans="1:16" ht="79.8">
      <c r="A77" s="167"/>
      <c r="B77" s="167"/>
      <c r="C77" s="168"/>
      <c r="D77" s="169" t="s">
        <v>774</v>
      </c>
      <c r="E77" s="168" t="s">
        <v>1010</v>
      </c>
      <c r="F77" s="167" t="s">
        <v>256</v>
      </c>
      <c r="G77" s="174" t="s">
        <v>775</v>
      </c>
      <c r="H77" s="171">
        <v>46053</v>
      </c>
      <c r="I77" s="167" t="s">
        <v>20</v>
      </c>
      <c r="J77" s="170"/>
      <c r="K77" s="170"/>
      <c r="L77" s="170"/>
      <c r="M77" s="170"/>
      <c r="N77" s="170"/>
      <c r="O77" s="170"/>
      <c r="P77" s="170"/>
    </row>
    <row r="78" spans="1:16" ht="79.8">
      <c r="A78" s="167"/>
      <c r="B78" s="167"/>
      <c r="C78" s="168" t="s">
        <v>278</v>
      </c>
      <c r="D78" s="169" t="s">
        <v>280</v>
      </c>
      <c r="E78" s="168" t="s">
        <v>281</v>
      </c>
      <c r="F78" s="167" t="s">
        <v>502</v>
      </c>
      <c r="G78" s="174" t="s">
        <v>775</v>
      </c>
      <c r="H78" s="171">
        <v>46053</v>
      </c>
      <c r="I78" s="167" t="s">
        <v>20</v>
      </c>
      <c r="J78" s="170"/>
      <c r="K78" s="170"/>
      <c r="L78" s="170"/>
      <c r="M78" s="170"/>
      <c r="N78" s="170"/>
      <c r="O78" s="170"/>
      <c r="P78" s="170"/>
    </row>
    <row r="79" spans="1:16" ht="79.8">
      <c r="A79" s="167"/>
      <c r="B79" s="167"/>
      <c r="C79" s="168" t="s">
        <v>272</v>
      </c>
      <c r="D79" s="169" t="s">
        <v>188</v>
      </c>
      <c r="E79" s="168" t="s">
        <v>274</v>
      </c>
      <c r="F79" s="167" t="s">
        <v>275</v>
      </c>
      <c r="G79" s="174" t="s">
        <v>775</v>
      </c>
      <c r="H79" s="171">
        <v>46053</v>
      </c>
      <c r="I79" s="167" t="s">
        <v>20</v>
      </c>
      <c r="J79" s="170"/>
      <c r="K79" s="170"/>
      <c r="L79" s="170"/>
      <c r="M79" s="170"/>
      <c r="N79" s="170"/>
      <c r="O79" s="170"/>
      <c r="P79" s="170"/>
    </row>
    <row r="80" spans="1:16" ht="57">
      <c r="A80" s="167"/>
      <c r="B80" s="167"/>
      <c r="C80" s="168" t="s">
        <v>252</v>
      </c>
      <c r="D80" s="169" t="s">
        <v>254</v>
      </c>
      <c r="E80" s="168" t="s">
        <v>1011</v>
      </c>
      <c r="F80" s="167" t="s">
        <v>256</v>
      </c>
      <c r="G80" s="174" t="s">
        <v>775</v>
      </c>
      <c r="H80" s="171">
        <v>45961</v>
      </c>
      <c r="I80" s="167" t="s">
        <v>20</v>
      </c>
      <c r="J80" s="170"/>
      <c r="K80" s="170"/>
      <c r="L80" s="170"/>
      <c r="M80" s="170"/>
      <c r="N80" s="170"/>
      <c r="O80" s="170"/>
      <c r="P80" s="170"/>
    </row>
    <row r="81" spans="1:16" ht="45.6">
      <c r="A81" s="167"/>
      <c r="B81" s="167"/>
      <c r="C81" s="168"/>
      <c r="D81" s="169" t="s">
        <v>774</v>
      </c>
      <c r="E81" s="168" t="s">
        <v>1012</v>
      </c>
      <c r="F81" s="167" t="s">
        <v>269</v>
      </c>
      <c r="G81" s="174" t="s">
        <v>775</v>
      </c>
      <c r="H81" s="171">
        <v>45961</v>
      </c>
      <c r="I81" s="167" t="s">
        <v>20</v>
      </c>
      <c r="J81" s="170"/>
      <c r="K81" s="170"/>
      <c r="L81" s="170"/>
      <c r="M81" s="170"/>
      <c r="N81" s="170"/>
      <c r="O81" s="170"/>
      <c r="P81" s="170"/>
    </row>
    <row r="82" spans="1:16" ht="79.8">
      <c r="A82" s="167"/>
      <c r="B82" s="167"/>
      <c r="C82" s="168" t="s">
        <v>294</v>
      </c>
      <c r="D82" s="169" t="s">
        <v>280</v>
      </c>
      <c r="E82" s="168" t="s">
        <v>296</v>
      </c>
      <c r="F82" s="167" t="s">
        <v>275</v>
      </c>
      <c r="G82" s="174" t="s">
        <v>775</v>
      </c>
      <c r="H82" s="171">
        <v>46053</v>
      </c>
      <c r="I82" s="167" t="s">
        <v>20</v>
      </c>
      <c r="J82" s="170"/>
      <c r="K82" s="170"/>
      <c r="L82" s="170"/>
      <c r="M82" s="170"/>
      <c r="N82" s="170"/>
      <c r="O82" s="170"/>
      <c r="P82" s="170"/>
    </row>
    <row r="83" spans="1:16" ht="45.6">
      <c r="A83" s="167"/>
      <c r="B83" s="167"/>
      <c r="C83" s="168" t="s">
        <v>634</v>
      </c>
      <c r="D83" s="169" t="s">
        <v>280</v>
      </c>
      <c r="E83" s="168" t="s">
        <v>291</v>
      </c>
      <c r="F83" s="167" t="s">
        <v>269</v>
      </c>
      <c r="G83" s="174" t="s">
        <v>775</v>
      </c>
      <c r="H83" s="171">
        <v>46022</v>
      </c>
      <c r="I83" s="167" t="s">
        <v>20</v>
      </c>
      <c r="J83" s="170"/>
      <c r="K83" s="170"/>
      <c r="L83" s="170"/>
      <c r="M83" s="170"/>
      <c r="N83" s="170"/>
      <c r="O83" s="170"/>
      <c r="P83" s="170"/>
    </row>
    <row r="84" spans="1:16" ht="34.200000000000003">
      <c r="A84" s="167"/>
      <c r="B84" s="167" t="s">
        <v>461</v>
      </c>
      <c r="C84" s="168" t="s">
        <v>465</v>
      </c>
      <c r="D84" s="169" t="s">
        <v>774</v>
      </c>
      <c r="E84" s="168" t="s">
        <v>466</v>
      </c>
      <c r="F84" s="167" t="s">
        <v>148</v>
      </c>
      <c r="G84" s="175">
        <v>46310</v>
      </c>
      <c r="H84" s="171">
        <v>46310</v>
      </c>
      <c r="I84" s="167" t="s">
        <v>201</v>
      </c>
      <c r="J84" s="169"/>
      <c r="K84" s="169"/>
      <c r="L84" s="169"/>
      <c r="M84" s="169"/>
      <c r="N84" s="169" t="s">
        <v>665</v>
      </c>
      <c r="O84" s="170"/>
      <c r="P84" s="170"/>
    </row>
    <row r="85" spans="1:16" ht="34.200000000000003">
      <c r="A85" s="167"/>
      <c r="B85" s="167"/>
      <c r="C85" s="168"/>
      <c r="D85" s="169"/>
      <c r="E85" s="168" t="s">
        <v>468</v>
      </c>
      <c r="F85" s="167" t="s">
        <v>148</v>
      </c>
      <c r="G85" s="175">
        <v>46310</v>
      </c>
      <c r="H85" s="171">
        <v>46310</v>
      </c>
      <c r="I85" s="167" t="s">
        <v>201</v>
      </c>
      <c r="J85" s="169"/>
      <c r="K85" s="169"/>
      <c r="L85" s="169"/>
      <c r="M85" s="169"/>
      <c r="N85" s="169" t="s">
        <v>665</v>
      </c>
      <c r="O85" s="170"/>
      <c r="P85" s="170"/>
    </row>
    <row r="86" spans="1:16" ht="34.200000000000003">
      <c r="A86" s="167"/>
      <c r="B86" s="167"/>
      <c r="C86" s="168"/>
      <c r="D86" s="169"/>
      <c r="E86" s="168" t="s">
        <v>469</v>
      </c>
      <c r="F86" s="167" t="s">
        <v>148</v>
      </c>
      <c r="G86" s="175">
        <v>46310</v>
      </c>
      <c r="H86" s="171">
        <v>46310</v>
      </c>
      <c r="I86" s="167" t="s">
        <v>201</v>
      </c>
      <c r="J86" s="169"/>
      <c r="K86" s="169"/>
      <c r="L86" s="169"/>
      <c r="M86" s="169"/>
      <c r="N86" s="169" t="s">
        <v>665</v>
      </c>
      <c r="O86" s="170"/>
      <c r="P86" s="170"/>
    </row>
    <row r="87" spans="1:16" ht="34.200000000000003">
      <c r="A87" s="167"/>
      <c r="B87" s="167"/>
      <c r="C87" s="168"/>
      <c r="D87" s="169"/>
      <c r="E87" s="168" t="s">
        <v>470</v>
      </c>
      <c r="F87" s="167" t="s">
        <v>148</v>
      </c>
      <c r="G87" s="175">
        <v>46300</v>
      </c>
      <c r="H87" s="171">
        <v>46300</v>
      </c>
      <c r="I87" s="167" t="s">
        <v>201</v>
      </c>
      <c r="J87" s="169"/>
      <c r="K87" s="169"/>
      <c r="L87" s="169"/>
      <c r="M87" s="169"/>
      <c r="N87" s="169" t="s">
        <v>665</v>
      </c>
      <c r="O87" s="170"/>
      <c r="P87" s="170"/>
    </row>
    <row r="88" spans="1:16" ht="34.200000000000003">
      <c r="A88" s="167"/>
      <c r="B88" s="167"/>
      <c r="C88" s="168" t="s">
        <v>462</v>
      </c>
      <c r="D88" s="169" t="s">
        <v>774</v>
      </c>
      <c r="E88" s="168" t="s">
        <v>463</v>
      </c>
      <c r="F88" s="167" t="s">
        <v>148</v>
      </c>
      <c r="G88" s="175">
        <v>46293</v>
      </c>
      <c r="H88" s="171">
        <v>46293</v>
      </c>
      <c r="I88" s="167" t="s">
        <v>201</v>
      </c>
      <c r="J88" s="169"/>
      <c r="K88" s="169"/>
      <c r="L88" s="169"/>
      <c r="M88" s="169"/>
      <c r="N88" s="169" t="s">
        <v>665</v>
      </c>
      <c r="O88" s="170"/>
      <c r="P88" s="170"/>
    </row>
    <row r="89" spans="1:16" ht="68.400000000000006">
      <c r="A89" s="167"/>
      <c r="B89" s="167" t="s">
        <v>419</v>
      </c>
      <c r="C89" s="168" t="s">
        <v>420</v>
      </c>
      <c r="D89" s="169" t="s">
        <v>188</v>
      </c>
      <c r="E89" s="168" t="s">
        <v>422</v>
      </c>
      <c r="F89" s="167" t="s">
        <v>17</v>
      </c>
      <c r="G89" s="175">
        <v>46218</v>
      </c>
      <c r="H89" s="171">
        <v>46218</v>
      </c>
      <c r="I89" s="167" t="s">
        <v>33</v>
      </c>
      <c r="J89" s="169"/>
      <c r="K89" s="169"/>
      <c r="L89" s="169"/>
      <c r="M89" s="169"/>
      <c r="N89" s="169" t="s">
        <v>665</v>
      </c>
      <c r="O89" s="170"/>
      <c r="P89" s="170"/>
    </row>
    <row r="90" spans="1:16" ht="34.200000000000003">
      <c r="A90" s="167"/>
      <c r="B90" s="167"/>
      <c r="C90" s="168"/>
      <c r="D90" s="169" t="s">
        <v>774</v>
      </c>
      <c r="E90" s="168" t="s">
        <v>424</v>
      </c>
      <c r="F90" s="167" t="s">
        <v>17</v>
      </c>
      <c r="G90" s="175">
        <v>46218</v>
      </c>
      <c r="H90" s="171">
        <v>46218</v>
      </c>
      <c r="I90" s="167" t="s">
        <v>33</v>
      </c>
      <c r="J90" s="169"/>
      <c r="K90" s="169"/>
      <c r="L90" s="169"/>
      <c r="M90" s="169"/>
      <c r="N90" s="169" t="s">
        <v>665</v>
      </c>
      <c r="O90" s="170"/>
      <c r="P90" s="170"/>
    </row>
    <row r="91" spans="1:16" ht="34.200000000000003">
      <c r="A91" s="167"/>
      <c r="B91" s="167"/>
      <c r="C91" s="168"/>
      <c r="D91" s="169"/>
      <c r="E91" s="168" t="s">
        <v>425</v>
      </c>
      <c r="F91" s="167" t="s">
        <v>17</v>
      </c>
      <c r="G91" s="175">
        <v>46218</v>
      </c>
      <c r="H91" s="171">
        <v>46218</v>
      </c>
      <c r="I91" s="167" t="s">
        <v>33</v>
      </c>
      <c r="J91" s="169"/>
      <c r="K91" s="169"/>
      <c r="L91" s="169"/>
      <c r="M91" s="169"/>
      <c r="N91" s="169" t="s">
        <v>665</v>
      </c>
      <c r="O91" s="170"/>
      <c r="P91" s="170"/>
    </row>
    <row r="92" spans="1:16" ht="34.200000000000003">
      <c r="A92" s="167"/>
      <c r="B92" s="167"/>
      <c r="C92" s="168"/>
      <c r="D92" s="169"/>
      <c r="E92" s="168" t="s">
        <v>426</v>
      </c>
      <c r="F92" s="167" t="s">
        <v>17</v>
      </c>
      <c r="G92" s="175">
        <v>46218</v>
      </c>
      <c r="H92" s="171">
        <v>46218</v>
      </c>
      <c r="I92" s="167" t="s">
        <v>33</v>
      </c>
      <c r="J92" s="169"/>
      <c r="K92" s="169"/>
      <c r="L92" s="169"/>
      <c r="M92" s="169"/>
      <c r="N92" s="169" t="s">
        <v>665</v>
      </c>
      <c r="O92" s="170"/>
      <c r="P92" s="170"/>
    </row>
    <row r="93" spans="1:16" ht="34.200000000000003">
      <c r="A93" s="167"/>
      <c r="B93" s="167"/>
      <c r="C93" s="168"/>
      <c r="D93" s="169"/>
      <c r="E93" s="168" t="s">
        <v>427</v>
      </c>
      <c r="F93" s="167" t="s">
        <v>17</v>
      </c>
      <c r="G93" s="175">
        <v>46218</v>
      </c>
      <c r="H93" s="171">
        <v>46218</v>
      </c>
      <c r="I93" s="167" t="s">
        <v>33</v>
      </c>
      <c r="J93" s="169"/>
      <c r="K93" s="169"/>
      <c r="L93" s="169"/>
      <c r="M93" s="169"/>
      <c r="N93" s="169" t="s">
        <v>665</v>
      </c>
      <c r="O93" s="170"/>
      <c r="P93" s="170"/>
    </row>
    <row r="94" spans="1:16" ht="57">
      <c r="A94" s="167"/>
      <c r="B94" s="167"/>
      <c r="C94" s="168"/>
      <c r="D94" s="169"/>
      <c r="E94" s="168" t="s">
        <v>428</v>
      </c>
      <c r="F94" s="167" t="s">
        <v>17</v>
      </c>
      <c r="G94" s="175">
        <v>46218</v>
      </c>
      <c r="H94" s="171">
        <v>46218</v>
      </c>
      <c r="I94" s="167" t="s">
        <v>33</v>
      </c>
      <c r="J94" s="169"/>
      <c r="K94" s="169"/>
      <c r="L94" s="169"/>
      <c r="M94" s="169"/>
      <c r="N94" s="169" t="s">
        <v>665</v>
      </c>
      <c r="O94" s="170"/>
      <c r="P94" s="170"/>
    </row>
    <row r="95" spans="1:16" ht="68.400000000000006">
      <c r="A95" s="167"/>
      <c r="B95" s="167"/>
      <c r="C95" s="168" t="s">
        <v>443</v>
      </c>
      <c r="D95" s="169" t="s">
        <v>188</v>
      </c>
      <c r="E95" s="168" t="s">
        <v>444</v>
      </c>
      <c r="F95" s="167" t="s">
        <v>445</v>
      </c>
      <c r="G95" s="174" t="s">
        <v>1274</v>
      </c>
      <c r="H95" s="167" t="s">
        <v>1274</v>
      </c>
      <c r="I95" s="167" t="s">
        <v>33</v>
      </c>
      <c r="J95" s="169"/>
      <c r="K95" s="169"/>
      <c r="L95" s="169"/>
      <c r="M95" s="169"/>
      <c r="N95" s="169" t="s">
        <v>665</v>
      </c>
      <c r="O95" s="170"/>
      <c r="P95" s="170"/>
    </row>
    <row r="96" spans="1:16" ht="68.400000000000006">
      <c r="A96" s="167"/>
      <c r="B96" s="167"/>
      <c r="C96" s="168"/>
      <c r="D96" s="169" t="s">
        <v>774</v>
      </c>
      <c r="E96" s="168" t="s">
        <v>447</v>
      </c>
      <c r="F96" s="167" t="s">
        <v>445</v>
      </c>
      <c r="G96" s="174" t="s">
        <v>775</v>
      </c>
      <c r="H96" s="171">
        <v>46142</v>
      </c>
      <c r="I96" s="167" t="s">
        <v>33</v>
      </c>
      <c r="J96" s="169"/>
      <c r="K96" s="169"/>
      <c r="L96" s="169"/>
      <c r="M96" s="169"/>
      <c r="N96" s="169" t="s">
        <v>665</v>
      </c>
      <c r="O96" s="170"/>
      <c r="P96" s="170"/>
    </row>
    <row r="97" spans="1:16" ht="68.400000000000006">
      <c r="A97" s="167"/>
      <c r="B97" s="167"/>
      <c r="C97" s="168"/>
      <c r="D97" s="169"/>
      <c r="E97" s="168" t="s">
        <v>448</v>
      </c>
      <c r="F97" s="167" t="s">
        <v>445</v>
      </c>
      <c r="G97" s="174" t="s">
        <v>775</v>
      </c>
      <c r="H97" s="171">
        <v>46142</v>
      </c>
      <c r="I97" s="167" t="s">
        <v>33</v>
      </c>
      <c r="J97" s="169"/>
      <c r="K97" s="169"/>
      <c r="L97" s="169"/>
      <c r="M97" s="169"/>
      <c r="N97" s="169" t="s">
        <v>665</v>
      </c>
      <c r="O97" s="170"/>
      <c r="P97" s="170"/>
    </row>
    <row r="98" spans="1:16" ht="182.4">
      <c r="A98" s="167"/>
      <c r="B98" s="167"/>
      <c r="C98" s="168" t="s">
        <v>429</v>
      </c>
      <c r="D98" s="169" t="s">
        <v>188</v>
      </c>
      <c r="E98" s="168" t="s">
        <v>431</v>
      </c>
      <c r="F98" s="167" t="s">
        <v>534</v>
      </c>
      <c r="G98" s="174" t="s">
        <v>775</v>
      </c>
      <c r="H98" s="171">
        <v>46142</v>
      </c>
      <c r="I98" s="167" t="s">
        <v>33</v>
      </c>
      <c r="J98" s="169"/>
      <c r="K98" s="169"/>
      <c r="L98" s="169"/>
      <c r="M98" s="169"/>
      <c r="N98" s="169" t="s">
        <v>665</v>
      </c>
      <c r="O98" s="170"/>
      <c r="P98" s="170"/>
    </row>
    <row r="99" spans="1:16" ht="57">
      <c r="A99" s="167"/>
      <c r="B99" s="167"/>
      <c r="C99" s="168"/>
      <c r="D99" s="169" t="s">
        <v>774</v>
      </c>
      <c r="E99" s="168" t="s">
        <v>433</v>
      </c>
      <c r="F99" s="167" t="s">
        <v>534</v>
      </c>
      <c r="G99" s="174" t="s">
        <v>775</v>
      </c>
      <c r="H99" s="171">
        <v>46142</v>
      </c>
      <c r="I99" s="167" t="s">
        <v>33</v>
      </c>
      <c r="J99" s="169"/>
      <c r="K99" s="169"/>
      <c r="L99" s="169"/>
      <c r="M99" s="169"/>
      <c r="N99" s="169" t="s">
        <v>665</v>
      </c>
      <c r="O99" s="170"/>
      <c r="P99" s="170"/>
    </row>
    <row r="100" spans="1:16" ht="57">
      <c r="A100" s="167"/>
      <c r="B100" s="167"/>
      <c r="C100" s="168"/>
      <c r="D100" s="169"/>
      <c r="E100" s="168" t="s">
        <v>434</v>
      </c>
      <c r="F100" s="167" t="s">
        <v>534</v>
      </c>
      <c r="G100" s="174" t="s">
        <v>775</v>
      </c>
      <c r="H100" s="171">
        <v>46142</v>
      </c>
      <c r="I100" s="167" t="s">
        <v>33</v>
      </c>
      <c r="J100" s="169"/>
      <c r="K100" s="169"/>
      <c r="L100" s="169"/>
      <c r="M100" s="169"/>
      <c r="N100" s="169" t="s">
        <v>665</v>
      </c>
      <c r="O100" s="170"/>
      <c r="P100" s="170"/>
    </row>
    <row r="101" spans="1:16" ht="57">
      <c r="A101" s="167"/>
      <c r="B101" s="167"/>
      <c r="C101" s="168"/>
      <c r="D101" s="169"/>
      <c r="E101" s="168" t="s">
        <v>435</v>
      </c>
      <c r="F101" s="167" t="s">
        <v>534</v>
      </c>
      <c r="G101" s="174" t="s">
        <v>775</v>
      </c>
      <c r="H101" s="171">
        <v>46142</v>
      </c>
      <c r="I101" s="167" t="s">
        <v>33</v>
      </c>
      <c r="J101" s="169"/>
      <c r="K101" s="169"/>
      <c r="L101" s="169"/>
      <c r="M101" s="169"/>
      <c r="N101" s="169" t="s">
        <v>665</v>
      </c>
      <c r="O101" s="170"/>
      <c r="P101" s="170"/>
    </row>
    <row r="102" spans="1:16" ht="34.200000000000003">
      <c r="A102" s="167"/>
      <c r="B102" s="167"/>
      <c r="C102" s="168" t="s">
        <v>436</v>
      </c>
      <c r="D102" s="169" t="s">
        <v>188</v>
      </c>
      <c r="E102" s="168" t="s">
        <v>437</v>
      </c>
      <c r="F102" s="167" t="s">
        <v>115</v>
      </c>
      <c r="G102" s="175">
        <v>46386</v>
      </c>
      <c r="H102" s="171">
        <v>46386</v>
      </c>
      <c r="I102" s="167" t="s">
        <v>201</v>
      </c>
      <c r="J102" s="169"/>
      <c r="K102" s="169"/>
      <c r="L102" s="169"/>
      <c r="M102" s="169"/>
      <c r="N102" s="169" t="s">
        <v>665</v>
      </c>
      <c r="O102" s="170"/>
      <c r="P102" s="170"/>
    </row>
    <row r="103" spans="1:16" ht="45.6">
      <c r="A103" s="167"/>
      <c r="B103" s="167"/>
      <c r="C103" s="168"/>
      <c r="D103" s="169" t="s">
        <v>774</v>
      </c>
      <c r="E103" s="168" t="s">
        <v>439</v>
      </c>
      <c r="F103" s="167" t="s">
        <v>115</v>
      </c>
      <c r="G103" s="175">
        <v>46386</v>
      </c>
      <c r="H103" s="171">
        <v>46386</v>
      </c>
      <c r="I103" s="167" t="s">
        <v>201</v>
      </c>
      <c r="J103" s="169"/>
      <c r="K103" s="169"/>
      <c r="L103" s="169"/>
      <c r="M103" s="169"/>
      <c r="N103" s="169" t="s">
        <v>665</v>
      </c>
      <c r="O103" s="170"/>
      <c r="P103" s="170"/>
    </row>
    <row r="104" spans="1:16" ht="45.6">
      <c r="A104" s="167"/>
      <c r="B104" s="167"/>
      <c r="C104" s="168"/>
      <c r="D104" s="169"/>
      <c r="E104" s="168" t="s">
        <v>440</v>
      </c>
      <c r="F104" s="167" t="s">
        <v>115</v>
      </c>
      <c r="G104" s="175">
        <v>46386</v>
      </c>
      <c r="H104" s="171">
        <v>46386</v>
      </c>
      <c r="I104" s="167" t="s">
        <v>201</v>
      </c>
      <c r="J104" s="169"/>
      <c r="K104" s="169"/>
      <c r="L104" s="169"/>
      <c r="M104" s="169"/>
      <c r="N104" s="169" t="s">
        <v>665</v>
      </c>
      <c r="O104" s="170"/>
      <c r="P104" s="170"/>
    </row>
    <row r="105" spans="1:16" ht="45.6">
      <c r="A105" s="167"/>
      <c r="B105" s="167"/>
      <c r="C105" s="168"/>
      <c r="D105" s="169"/>
      <c r="E105" s="168" t="s">
        <v>441</v>
      </c>
      <c r="F105" s="167" t="s">
        <v>115</v>
      </c>
      <c r="G105" s="175">
        <v>46386</v>
      </c>
      <c r="H105" s="171">
        <v>46386</v>
      </c>
      <c r="I105" s="167" t="s">
        <v>201</v>
      </c>
      <c r="J105" s="169"/>
      <c r="K105" s="169"/>
      <c r="L105" s="169"/>
      <c r="M105" s="169"/>
      <c r="N105" s="169" t="s">
        <v>665</v>
      </c>
      <c r="O105" s="170"/>
      <c r="P105" s="170"/>
    </row>
    <row r="106" spans="1:16" ht="57">
      <c r="A106" s="167"/>
      <c r="B106" s="167"/>
      <c r="C106" s="168"/>
      <c r="D106" s="169"/>
      <c r="E106" s="168" t="s">
        <v>442</v>
      </c>
      <c r="F106" s="167" t="s">
        <v>115</v>
      </c>
      <c r="G106" s="175">
        <v>46386</v>
      </c>
      <c r="H106" s="171">
        <v>46386</v>
      </c>
      <c r="I106" s="167" t="s">
        <v>201</v>
      </c>
      <c r="J106" s="169"/>
      <c r="K106" s="169"/>
      <c r="L106" s="169"/>
      <c r="M106" s="169"/>
      <c r="N106" s="169" t="s">
        <v>665</v>
      </c>
      <c r="O106" s="170"/>
      <c r="P106" s="170"/>
    </row>
    <row r="107" spans="1:16" ht="285">
      <c r="A107" s="167"/>
      <c r="B107" s="167" t="s">
        <v>181</v>
      </c>
      <c r="C107" s="168" t="s">
        <v>231</v>
      </c>
      <c r="D107" s="169" t="s">
        <v>188</v>
      </c>
      <c r="E107" s="168" t="s">
        <v>883</v>
      </c>
      <c r="F107" s="167" t="s">
        <v>210</v>
      </c>
      <c r="G107" s="174" t="s">
        <v>775</v>
      </c>
      <c r="H107" s="171">
        <v>46203</v>
      </c>
      <c r="I107" s="167" t="s">
        <v>33</v>
      </c>
      <c r="J107" s="169"/>
      <c r="K107" s="169"/>
      <c r="L107" s="169"/>
      <c r="M107" s="169"/>
      <c r="N107" s="169" t="s">
        <v>665</v>
      </c>
      <c r="O107" s="170"/>
      <c r="P107" s="170"/>
    </row>
    <row r="108" spans="1:16" ht="45.6">
      <c r="A108" s="167"/>
      <c r="B108" s="167"/>
      <c r="C108" s="168"/>
      <c r="D108" s="169" t="s">
        <v>774</v>
      </c>
      <c r="E108" s="168" t="s">
        <v>236</v>
      </c>
      <c r="F108" s="167" t="s">
        <v>210</v>
      </c>
      <c r="G108" s="174" t="s">
        <v>775</v>
      </c>
      <c r="H108" s="171">
        <v>46203</v>
      </c>
      <c r="I108" s="167" t="s">
        <v>33</v>
      </c>
      <c r="J108" s="169"/>
      <c r="K108" s="169"/>
      <c r="L108" s="169"/>
      <c r="M108" s="169"/>
      <c r="N108" s="169" t="s">
        <v>665</v>
      </c>
      <c r="O108" s="170"/>
      <c r="P108" s="170"/>
    </row>
    <row r="109" spans="1:16" ht="34.200000000000003">
      <c r="A109" s="167"/>
      <c r="B109" s="167"/>
      <c r="C109" s="168" t="s">
        <v>186</v>
      </c>
      <c r="D109" s="169" t="s">
        <v>188</v>
      </c>
      <c r="E109" s="168" t="s">
        <v>189</v>
      </c>
      <c r="F109" s="167" t="s">
        <v>190</v>
      </c>
      <c r="G109" s="174" t="s">
        <v>775</v>
      </c>
      <c r="H109" s="171">
        <v>45945</v>
      </c>
      <c r="I109" s="167" t="s">
        <v>20</v>
      </c>
      <c r="J109" s="170"/>
      <c r="K109" s="170"/>
      <c r="L109" s="170"/>
      <c r="M109" s="170"/>
      <c r="N109" s="170"/>
      <c r="O109" s="170"/>
      <c r="P109" s="170"/>
    </row>
    <row r="110" spans="1:16" ht="45.6">
      <c r="A110" s="167"/>
      <c r="B110" s="167"/>
      <c r="C110" s="168"/>
      <c r="D110" s="169" t="s">
        <v>774</v>
      </c>
      <c r="E110" s="168" t="s">
        <v>209</v>
      </c>
      <c r="F110" s="167" t="s">
        <v>210</v>
      </c>
      <c r="G110" s="175">
        <v>46079</v>
      </c>
      <c r="H110" s="171">
        <v>46079</v>
      </c>
      <c r="I110" s="167" t="s">
        <v>20</v>
      </c>
      <c r="J110" s="170"/>
      <c r="K110" s="170"/>
      <c r="L110" s="170"/>
      <c r="M110" s="170"/>
      <c r="N110" s="170"/>
      <c r="O110" s="170"/>
      <c r="P110" s="170"/>
    </row>
    <row r="111" spans="1:16" ht="68.400000000000006">
      <c r="A111" s="167"/>
      <c r="B111" s="167"/>
      <c r="C111" s="168"/>
      <c r="D111" s="169"/>
      <c r="E111" s="168" t="s">
        <v>198</v>
      </c>
      <c r="F111" s="167" t="s">
        <v>199</v>
      </c>
      <c r="G111" s="175">
        <v>46387</v>
      </c>
      <c r="H111" s="171">
        <v>46387</v>
      </c>
      <c r="I111" s="167" t="s">
        <v>20</v>
      </c>
      <c r="J111" s="170"/>
      <c r="K111" s="170"/>
      <c r="L111" s="170"/>
      <c r="M111" s="170"/>
      <c r="N111" s="170"/>
      <c r="O111" s="170"/>
      <c r="P111" s="170"/>
    </row>
    <row r="112" spans="1:16" ht="79.8">
      <c r="A112" s="167"/>
      <c r="B112" s="167"/>
      <c r="C112" s="168" t="s">
        <v>211</v>
      </c>
      <c r="D112" s="169" t="s">
        <v>188</v>
      </c>
      <c r="E112" s="168" t="s">
        <v>213</v>
      </c>
      <c r="F112" s="167" t="s">
        <v>210</v>
      </c>
      <c r="G112" s="174" t="s">
        <v>775</v>
      </c>
      <c r="H112" s="171">
        <v>45875</v>
      </c>
      <c r="I112" s="167" t="s">
        <v>20</v>
      </c>
      <c r="J112" s="170"/>
      <c r="K112" s="170"/>
      <c r="L112" s="170"/>
      <c r="M112" s="170"/>
      <c r="N112" s="170"/>
      <c r="O112" s="170"/>
      <c r="P112" s="170"/>
    </row>
    <row r="113" spans="1:16" ht="34.200000000000003">
      <c r="A113" s="167"/>
      <c r="B113" s="167"/>
      <c r="C113" s="168" t="s">
        <v>206</v>
      </c>
      <c r="D113" s="169" t="s">
        <v>188</v>
      </c>
      <c r="E113" s="168" t="s">
        <v>651</v>
      </c>
      <c r="F113" s="167" t="s">
        <v>148</v>
      </c>
      <c r="G113" s="174" t="s">
        <v>169</v>
      </c>
      <c r="H113" s="167" t="s">
        <v>169</v>
      </c>
      <c r="I113" s="167" t="s">
        <v>20</v>
      </c>
      <c r="J113" s="170"/>
      <c r="K113" s="170"/>
      <c r="L113" s="170"/>
      <c r="M113" s="170"/>
      <c r="N113" s="170"/>
      <c r="O113" s="170"/>
      <c r="P113" s="170"/>
    </row>
    <row r="114" spans="1:16" ht="57">
      <c r="A114" s="167"/>
      <c r="B114" s="167"/>
      <c r="C114" s="168" t="s">
        <v>216</v>
      </c>
      <c r="D114" s="169" t="s">
        <v>188</v>
      </c>
      <c r="E114" s="168" t="s">
        <v>218</v>
      </c>
      <c r="F114" s="167" t="s">
        <v>210</v>
      </c>
      <c r="G114" s="174" t="s">
        <v>775</v>
      </c>
      <c r="H114" s="171">
        <v>45875</v>
      </c>
      <c r="I114" s="167" t="s">
        <v>20</v>
      </c>
      <c r="J114" s="170"/>
      <c r="K114" s="170"/>
      <c r="L114" s="170"/>
      <c r="M114" s="170"/>
      <c r="N114" s="170"/>
      <c r="O114" s="170"/>
      <c r="P114" s="170"/>
    </row>
    <row r="115" spans="1:16" ht="68.400000000000006">
      <c r="A115" s="167"/>
      <c r="B115" s="167"/>
      <c r="C115" s="168" t="s">
        <v>226</v>
      </c>
      <c r="D115" s="169" t="s">
        <v>188</v>
      </c>
      <c r="E115" s="168" t="s">
        <v>228</v>
      </c>
      <c r="F115" s="167" t="s">
        <v>210</v>
      </c>
      <c r="G115" s="174" t="s">
        <v>775</v>
      </c>
      <c r="H115" s="171">
        <v>45960</v>
      </c>
      <c r="I115" s="167" t="s">
        <v>20</v>
      </c>
      <c r="J115" s="170"/>
      <c r="K115" s="170"/>
      <c r="L115" s="170"/>
      <c r="M115" s="170"/>
      <c r="N115" s="170"/>
      <c r="O115" s="170"/>
      <c r="P115" s="170"/>
    </row>
    <row r="116" spans="1:16" ht="34.200000000000003">
      <c r="A116" s="167"/>
      <c r="B116" s="167"/>
      <c r="C116" s="168" t="s">
        <v>193</v>
      </c>
      <c r="D116" s="169" t="s">
        <v>188</v>
      </c>
      <c r="E116" s="168" t="s">
        <v>195</v>
      </c>
      <c r="F116" s="167" t="s">
        <v>190</v>
      </c>
      <c r="G116" s="174" t="s">
        <v>775</v>
      </c>
      <c r="H116" s="171">
        <v>45945</v>
      </c>
      <c r="I116" s="167" t="s">
        <v>20</v>
      </c>
      <c r="J116" s="170"/>
      <c r="K116" s="170"/>
      <c r="L116" s="170"/>
      <c r="M116" s="170"/>
      <c r="N116" s="170"/>
      <c r="O116" s="170"/>
      <c r="P116" s="170"/>
    </row>
    <row r="117" spans="1:16" ht="57">
      <c r="A117" s="167"/>
      <c r="B117" s="167"/>
      <c r="C117" s="168" t="s">
        <v>221</v>
      </c>
      <c r="D117" s="169" t="s">
        <v>188</v>
      </c>
      <c r="E117" s="168" t="s">
        <v>223</v>
      </c>
      <c r="F117" s="167" t="s">
        <v>210</v>
      </c>
      <c r="G117" s="174" t="s">
        <v>775</v>
      </c>
      <c r="H117" s="171">
        <v>45881</v>
      </c>
      <c r="I117" s="167" t="s">
        <v>20</v>
      </c>
      <c r="J117" s="170"/>
      <c r="K117" s="170"/>
      <c r="L117" s="170"/>
      <c r="M117" s="170"/>
      <c r="N117" s="170"/>
      <c r="O117" s="170"/>
      <c r="P117" s="170"/>
    </row>
    <row r="118" spans="1:16" ht="57">
      <c r="A118" s="167"/>
      <c r="B118" s="167"/>
      <c r="C118" s="168" t="s">
        <v>182</v>
      </c>
      <c r="D118" s="169" t="s">
        <v>188</v>
      </c>
      <c r="E118" s="168" t="s">
        <v>243</v>
      </c>
      <c r="F118" s="167" t="s">
        <v>17</v>
      </c>
      <c r="G118" s="174" t="s">
        <v>775</v>
      </c>
      <c r="H118" s="171">
        <v>45853</v>
      </c>
      <c r="I118" s="167" t="s">
        <v>20</v>
      </c>
      <c r="J118" s="170"/>
      <c r="K118" s="170"/>
      <c r="L118" s="170"/>
      <c r="M118" s="170"/>
      <c r="N118" s="170"/>
      <c r="O118" s="170"/>
      <c r="P118" s="170"/>
    </row>
    <row r="119" spans="1:16" ht="125.4">
      <c r="A119" s="167"/>
      <c r="B119" s="167"/>
      <c r="C119" s="168"/>
      <c r="D119" s="169" t="s">
        <v>774</v>
      </c>
      <c r="E119" s="168" t="s">
        <v>202</v>
      </c>
      <c r="F119" s="167" t="s">
        <v>203</v>
      </c>
      <c r="G119" s="174" t="s">
        <v>775</v>
      </c>
      <c r="H119" s="171">
        <v>45992</v>
      </c>
      <c r="I119" s="167" t="s">
        <v>20</v>
      </c>
      <c r="J119" s="170"/>
      <c r="K119" s="170"/>
      <c r="L119" s="170"/>
      <c r="M119" s="170"/>
      <c r="N119" s="170"/>
      <c r="O119" s="170"/>
      <c r="P119" s="170"/>
    </row>
    <row r="120" spans="1:16" ht="57">
      <c r="A120" s="167"/>
      <c r="B120" s="167"/>
      <c r="C120" s="168"/>
      <c r="D120" s="169"/>
      <c r="E120" s="168" t="s">
        <v>238</v>
      </c>
      <c r="F120" s="167" t="s">
        <v>239</v>
      </c>
      <c r="G120" s="174" t="s">
        <v>775</v>
      </c>
      <c r="H120" s="171">
        <v>46006</v>
      </c>
      <c r="I120" s="167" t="s">
        <v>20</v>
      </c>
      <c r="J120" s="170"/>
      <c r="K120" s="170"/>
      <c r="L120" s="170"/>
      <c r="M120" s="170"/>
      <c r="N120" s="170"/>
      <c r="O120" s="170"/>
      <c r="P120" s="170"/>
    </row>
    <row r="121" spans="1:16" ht="34.200000000000003">
      <c r="A121" s="167"/>
      <c r="B121" s="167"/>
      <c r="C121" s="168"/>
      <c r="D121" s="169"/>
      <c r="E121" s="168" t="s">
        <v>246</v>
      </c>
      <c r="F121" s="167" t="s">
        <v>17</v>
      </c>
      <c r="G121" s="174" t="s">
        <v>775</v>
      </c>
      <c r="H121" s="171">
        <v>46032</v>
      </c>
      <c r="I121" s="167" t="s">
        <v>20</v>
      </c>
      <c r="J121" s="170"/>
      <c r="K121" s="170"/>
      <c r="L121" s="170"/>
      <c r="M121" s="170"/>
      <c r="N121" s="170"/>
      <c r="O121" s="170"/>
      <c r="P121" s="170"/>
    </row>
    <row r="122" spans="1:16" ht="34.200000000000003">
      <c r="A122" s="167"/>
      <c r="B122" s="167"/>
      <c r="C122" s="168"/>
      <c r="D122" s="169"/>
      <c r="E122" s="168" t="s">
        <v>249</v>
      </c>
      <c r="F122" s="167" t="s">
        <v>17</v>
      </c>
      <c r="G122" s="174" t="s">
        <v>775</v>
      </c>
      <c r="H122" s="171">
        <v>46052</v>
      </c>
      <c r="I122" s="167" t="s">
        <v>20</v>
      </c>
      <c r="J122" s="170"/>
      <c r="K122" s="170"/>
      <c r="L122" s="170"/>
      <c r="M122" s="170"/>
      <c r="N122" s="170"/>
      <c r="O122" s="170"/>
      <c r="P122" s="170"/>
    </row>
    <row r="123" spans="1:16" ht="57">
      <c r="A123" s="167"/>
      <c r="B123" s="167"/>
      <c r="C123" s="168"/>
      <c r="D123" s="169"/>
      <c r="E123" s="168" t="s">
        <v>183</v>
      </c>
      <c r="F123" s="167" t="s">
        <v>144</v>
      </c>
      <c r="G123" s="174" t="s">
        <v>775</v>
      </c>
      <c r="H123" s="171">
        <v>46081</v>
      </c>
      <c r="I123" s="167" t="s">
        <v>20</v>
      </c>
      <c r="J123" s="170"/>
      <c r="K123" s="170"/>
      <c r="L123" s="170"/>
      <c r="M123" s="170"/>
      <c r="N123" s="170"/>
      <c r="O123" s="170"/>
      <c r="P123" s="170"/>
    </row>
    <row r="124" spans="1:16" ht="57">
      <c r="A124" s="167"/>
      <c r="B124" s="167" t="s">
        <v>486</v>
      </c>
      <c r="C124" s="168" t="s">
        <v>487</v>
      </c>
      <c r="D124" s="169" t="s">
        <v>254</v>
      </c>
      <c r="E124" s="168" t="s">
        <v>488</v>
      </c>
      <c r="F124" s="167" t="s">
        <v>269</v>
      </c>
      <c r="G124" s="174" t="s">
        <v>775</v>
      </c>
      <c r="H124" s="171">
        <v>46203</v>
      </c>
      <c r="I124" s="167" t="s">
        <v>20</v>
      </c>
      <c r="J124" s="170"/>
      <c r="K124" s="170"/>
      <c r="L124" s="170"/>
      <c r="M124" s="170"/>
      <c r="N124" s="170"/>
      <c r="O124" s="170"/>
      <c r="P124" s="170"/>
    </row>
    <row r="125" spans="1:16" ht="79.8">
      <c r="A125" s="167"/>
      <c r="B125" s="167"/>
      <c r="C125" s="168"/>
      <c r="D125" s="169" t="s">
        <v>774</v>
      </c>
      <c r="E125" s="168" t="s">
        <v>490</v>
      </c>
      <c r="F125" s="167" t="s">
        <v>269</v>
      </c>
      <c r="G125" s="174" t="s">
        <v>775</v>
      </c>
      <c r="H125" s="171">
        <v>46203</v>
      </c>
      <c r="I125" s="167" t="s">
        <v>20</v>
      </c>
      <c r="J125" s="170"/>
      <c r="K125" s="170"/>
      <c r="L125" s="170"/>
      <c r="M125" s="170"/>
      <c r="N125" s="170"/>
      <c r="O125" s="170"/>
      <c r="P125" s="170"/>
    </row>
    <row r="126" spans="1:16" ht="148.19999999999999">
      <c r="A126" s="167"/>
      <c r="B126" s="167"/>
      <c r="C126" s="168" t="s">
        <v>491</v>
      </c>
      <c r="D126" s="169" t="s">
        <v>188</v>
      </c>
      <c r="E126" s="168" t="s">
        <v>492</v>
      </c>
      <c r="F126" s="167" t="s">
        <v>269</v>
      </c>
      <c r="G126" s="175">
        <v>46295</v>
      </c>
      <c r="H126" s="171">
        <v>46295</v>
      </c>
      <c r="I126" s="167" t="s">
        <v>201</v>
      </c>
      <c r="J126" s="169"/>
      <c r="K126" s="169"/>
      <c r="L126" s="169"/>
      <c r="M126" s="169"/>
      <c r="N126" s="169" t="s">
        <v>665</v>
      </c>
      <c r="O126" s="170"/>
      <c r="P126" s="170"/>
    </row>
    <row r="127" spans="1:16" ht="45.6">
      <c r="A127" s="167"/>
      <c r="B127" s="167"/>
      <c r="C127" s="168" t="s">
        <v>494</v>
      </c>
      <c r="D127" s="169" t="s">
        <v>188</v>
      </c>
      <c r="E127" s="168" t="s">
        <v>495</v>
      </c>
      <c r="F127" s="167" t="s">
        <v>269</v>
      </c>
      <c r="G127" s="174" t="s">
        <v>775</v>
      </c>
      <c r="H127" s="171">
        <v>46203</v>
      </c>
      <c r="I127" s="167" t="s">
        <v>20</v>
      </c>
      <c r="J127" s="170"/>
      <c r="K127" s="170"/>
      <c r="L127" s="170"/>
      <c r="M127" s="170"/>
      <c r="N127" s="170"/>
      <c r="O127" s="170"/>
      <c r="P127" s="170"/>
    </row>
    <row r="128" spans="1:16" ht="45.6">
      <c r="A128" s="167"/>
      <c r="B128" s="167"/>
      <c r="C128" s="168"/>
      <c r="D128" s="169" t="s">
        <v>774</v>
      </c>
      <c r="E128" s="168" t="s">
        <v>497</v>
      </c>
      <c r="F128" s="167" t="s">
        <v>269</v>
      </c>
      <c r="G128" s="174" t="s">
        <v>775</v>
      </c>
      <c r="H128" s="171">
        <v>46203</v>
      </c>
      <c r="I128" s="167" t="s">
        <v>20</v>
      </c>
      <c r="J128" s="170"/>
      <c r="K128" s="170"/>
      <c r="L128" s="170"/>
      <c r="M128" s="170"/>
      <c r="N128" s="170"/>
      <c r="O128" s="170"/>
      <c r="P128" s="170"/>
    </row>
    <row r="129" spans="1:16" ht="79.8">
      <c r="A129" s="167"/>
      <c r="B129" s="167"/>
      <c r="C129" s="168" t="s">
        <v>498</v>
      </c>
      <c r="D129" s="169" t="s">
        <v>280</v>
      </c>
      <c r="E129" s="168" t="s">
        <v>500</v>
      </c>
      <c r="F129" s="167" t="s">
        <v>269</v>
      </c>
      <c r="G129" s="174" t="s">
        <v>775</v>
      </c>
      <c r="H129" s="171">
        <v>46203</v>
      </c>
      <c r="I129" s="167" t="s">
        <v>33</v>
      </c>
      <c r="J129" s="169"/>
      <c r="K129" s="169"/>
      <c r="L129" s="169"/>
      <c r="M129" s="169"/>
      <c r="N129" s="169" t="s">
        <v>665</v>
      </c>
      <c r="O129" s="170"/>
      <c r="P129" s="170"/>
    </row>
    <row r="130" spans="1:16" ht="79.8">
      <c r="A130" s="167"/>
      <c r="B130" s="167" t="s">
        <v>327</v>
      </c>
      <c r="C130" s="168" t="s">
        <v>348</v>
      </c>
      <c r="D130" s="169" t="s">
        <v>280</v>
      </c>
      <c r="E130" s="168" t="s">
        <v>350</v>
      </c>
      <c r="F130" s="167" t="s">
        <v>256</v>
      </c>
      <c r="G130" s="174" t="s">
        <v>775</v>
      </c>
      <c r="H130" s="171">
        <v>45915</v>
      </c>
      <c r="I130" s="167" t="s">
        <v>20</v>
      </c>
      <c r="J130" s="170"/>
      <c r="K130" s="170"/>
      <c r="L130" s="170"/>
      <c r="M130" s="170"/>
      <c r="N130" s="170"/>
      <c r="O130" s="170"/>
      <c r="P130" s="170"/>
    </row>
    <row r="131" spans="1:16" ht="79.8">
      <c r="A131" s="167"/>
      <c r="B131" s="167"/>
      <c r="C131" s="168" t="s">
        <v>328</v>
      </c>
      <c r="D131" s="169" t="s">
        <v>254</v>
      </c>
      <c r="E131" s="168" t="s">
        <v>330</v>
      </c>
      <c r="F131" s="167" t="s">
        <v>256</v>
      </c>
      <c r="G131" s="174" t="s">
        <v>775</v>
      </c>
      <c r="H131" s="171">
        <v>45884</v>
      </c>
      <c r="I131" s="167" t="s">
        <v>20</v>
      </c>
      <c r="J131" s="170"/>
      <c r="K131" s="170"/>
      <c r="L131" s="170"/>
      <c r="M131" s="170"/>
      <c r="N131" s="170"/>
      <c r="O131" s="170"/>
      <c r="P131" s="170"/>
    </row>
    <row r="132" spans="1:16" ht="102.6">
      <c r="A132" s="167"/>
      <c r="B132" s="167"/>
      <c r="C132" s="168" t="s">
        <v>332</v>
      </c>
      <c r="D132" s="169" t="s">
        <v>254</v>
      </c>
      <c r="E132" s="168" t="s">
        <v>1013</v>
      </c>
      <c r="F132" s="167" t="s">
        <v>256</v>
      </c>
      <c r="G132" s="174" t="s">
        <v>775</v>
      </c>
      <c r="H132" s="171">
        <v>46022</v>
      </c>
      <c r="I132" s="167" t="s">
        <v>20</v>
      </c>
      <c r="J132" s="170"/>
      <c r="K132" s="170"/>
      <c r="L132" s="170"/>
      <c r="M132" s="170"/>
      <c r="N132" s="170"/>
      <c r="O132" s="170"/>
      <c r="P132" s="170"/>
    </row>
    <row r="133" spans="1:16" ht="102.6">
      <c r="A133" s="167"/>
      <c r="B133" s="167"/>
      <c r="C133" s="168"/>
      <c r="D133" s="169" t="s">
        <v>774</v>
      </c>
      <c r="E133" s="168" t="s">
        <v>1014</v>
      </c>
      <c r="F133" s="167" t="s">
        <v>256</v>
      </c>
      <c r="G133" s="174" t="s">
        <v>775</v>
      </c>
      <c r="H133" s="171">
        <v>46022</v>
      </c>
      <c r="I133" s="167" t="s">
        <v>20</v>
      </c>
      <c r="J133" s="170"/>
      <c r="K133" s="170"/>
      <c r="L133" s="170"/>
      <c r="M133" s="170"/>
      <c r="N133" s="170"/>
      <c r="O133" s="170"/>
      <c r="P133" s="170"/>
    </row>
    <row r="134" spans="1:16" ht="136.80000000000001">
      <c r="A134" s="167"/>
      <c r="B134" s="167"/>
      <c r="C134" s="168" t="s">
        <v>339</v>
      </c>
      <c r="D134" s="169" t="s">
        <v>188</v>
      </c>
      <c r="E134" s="168" t="s">
        <v>341</v>
      </c>
      <c r="F134" s="167" t="s">
        <v>256</v>
      </c>
      <c r="G134" s="174" t="s">
        <v>775</v>
      </c>
      <c r="H134" s="171">
        <v>45915</v>
      </c>
      <c r="I134" s="167" t="s">
        <v>20</v>
      </c>
      <c r="J134" s="170"/>
      <c r="K134" s="170"/>
      <c r="L134" s="170"/>
      <c r="M134" s="170"/>
      <c r="N134" s="170"/>
      <c r="O134" s="170"/>
      <c r="P134" s="170"/>
    </row>
    <row r="135" spans="1:16" ht="57">
      <c r="A135" s="167"/>
      <c r="B135" s="167"/>
      <c r="C135" s="168" t="s">
        <v>344</v>
      </c>
      <c r="D135" s="169" t="s">
        <v>188</v>
      </c>
      <c r="E135" s="168" t="s">
        <v>346</v>
      </c>
      <c r="F135" s="167" t="s">
        <v>256</v>
      </c>
      <c r="G135" s="174" t="s">
        <v>775</v>
      </c>
      <c r="H135" s="171">
        <v>46022</v>
      </c>
      <c r="I135" s="167" t="s">
        <v>20</v>
      </c>
      <c r="J135" s="170"/>
      <c r="K135" s="170"/>
      <c r="L135" s="170"/>
      <c r="M135" s="170"/>
      <c r="N135" s="170"/>
      <c r="O135" s="170"/>
      <c r="P135" s="170"/>
    </row>
    <row r="136" spans="1:16" ht="91.2">
      <c r="A136" s="167"/>
      <c r="B136" s="167"/>
      <c r="C136" s="168" t="s">
        <v>353</v>
      </c>
      <c r="D136" s="169" t="s">
        <v>280</v>
      </c>
      <c r="E136" s="168" t="s">
        <v>354</v>
      </c>
      <c r="F136" s="167" t="s">
        <v>256</v>
      </c>
      <c r="G136" s="174" t="s">
        <v>775</v>
      </c>
      <c r="H136" s="171">
        <v>46022</v>
      </c>
      <c r="I136" s="167" t="s">
        <v>20</v>
      </c>
      <c r="J136" s="170"/>
      <c r="K136" s="170"/>
      <c r="L136" s="170"/>
      <c r="M136" s="170"/>
      <c r="N136" s="170"/>
      <c r="O136" s="170"/>
      <c r="P136" s="170"/>
    </row>
    <row r="137" spans="1:16" ht="45.6">
      <c r="A137" s="167"/>
      <c r="B137" s="167"/>
      <c r="C137" s="168" t="s">
        <v>356</v>
      </c>
      <c r="D137" s="169" t="s">
        <v>280</v>
      </c>
      <c r="E137" s="168" t="s">
        <v>358</v>
      </c>
      <c r="F137" s="167" t="s">
        <v>256</v>
      </c>
      <c r="G137" s="174" t="s">
        <v>775</v>
      </c>
      <c r="H137" s="171">
        <v>46001</v>
      </c>
      <c r="I137" s="167" t="s">
        <v>20</v>
      </c>
      <c r="J137" s="170"/>
      <c r="K137" s="170"/>
      <c r="L137" s="170"/>
      <c r="M137" s="170"/>
      <c r="N137" s="170"/>
      <c r="O137" s="170"/>
      <c r="P137" s="170"/>
    </row>
    <row r="138" spans="1:16" ht="57">
      <c r="A138" s="167"/>
      <c r="B138" s="167" t="s">
        <v>477</v>
      </c>
      <c r="C138" s="168" t="s">
        <v>478</v>
      </c>
      <c r="D138" s="169" t="s">
        <v>188</v>
      </c>
      <c r="E138" s="168" t="s">
        <v>480</v>
      </c>
      <c r="F138" s="167" t="s">
        <v>190</v>
      </c>
      <c r="G138" s="174" t="s">
        <v>775</v>
      </c>
      <c r="H138" s="171">
        <v>46052</v>
      </c>
      <c r="I138" s="167" t="s">
        <v>20</v>
      </c>
      <c r="J138" s="170"/>
      <c r="K138" s="170"/>
      <c r="L138" s="170"/>
      <c r="M138" s="170"/>
      <c r="N138" s="170"/>
      <c r="O138" s="170"/>
      <c r="P138" s="170"/>
    </row>
    <row r="139" spans="1:16" ht="57">
      <c r="A139" s="167"/>
      <c r="B139" s="167"/>
      <c r="C139" s="168" t="s">
        <v>482</v>
      </c>
      <c r="D139" s="169" t="s">
        <v>188</v>
      </c>
      <c r="E139" s="168" t="s">
        <v>484</v>
      </c>
      <c r="F139" s="167" t="s">
        <v>190</v>
      </c>
      <c r="G139" s="174" t="s">
        <v>775</v>
      </c>
      <c r="H139" s="171">
        <v>46052</v>
      </c>
      <c r="I139" s="167" t="s">
        <v>20</v>
      </c>
      <c r="J139" s="170"/>
      <c r="K139" s="170"/>
      <c r="L139" s="170"/>
      <c r="M139" s="170"/>
      <c r="N139" s="170"/>
      <c r="O139" s="170"/>
      <c r="P139" s="170"/>
    </row>
    <row r="140" spans="1:16" ht="57">
      <c r="A140" s="167"/>
      <c r="B140" s="167" t="s">
        <v>360</v>
      </c>
      <c r="C140" s="168" t="s">
        <v>393</v>
      </c>
      <c r="D140" s="169" t="s">
        <v>280</v>
      </c>
      <c r="E140" s="168" t="s">
        <v>394</v>
      </c>
      <c r="F140" s="167" t="s">
        <v>210</v>
      </c>
      <c r="G140" s="174" t="s">
        <v>775</v>
      </c>
      <c r="H140" s="171">
        <v>46053</v>
      </c>
      <c r="I140" s="167" t="s">
        <v>20</v>
      </c>
      <c r="J140" s="170"/>
      <c r="K140" s="170"/>
      <c r="L140" s="170"/>
      <c r="M140" s="170"/>
      <c r="N140" s="170"/>
      <c r="O140" s="170"/>
      <c r="P140" s="170"/>
    </row>
    <row r="141" spans="1:16" ht="34.200000000000003">
      <c r="A141" s="167"/>
      <c r="B141" s="167"/>
      <c r="C141" s="168" t="s">
        <v>385</v>
      </c>
      <c r="D141" s="169" t="s">
        <v>188</v>
      </c>
      <c r="E141" s="168" t="s">
        <v>386</v>
      </c>
      <c r="F141" s="167" t="s">
        <v>210</v>
      </c>
      <c r="G141" s="174" t="s">
        <v>775</v>
      </c>
      <c r="H141" s="171">
        <v>46006</v>
      </c>
      <c r="I141" s="167" t="s">
        <v>20</v>
      </c>
      <c r="J141" s="170"/>
      <c r="K141" s="170"/>
      <c r="L141" s="170"/>
      <c r="M141" s="170"/>
      <c r="N141" s="170"/>
      <c r="O141" s="170"/>
      <c r="P141" s="170"/>
    </row>
    <row r="142" spans="1:16" ht="57">
      <c r="A142" s="167"/>
      <c r="B142" s="167"/>
      <c r="C142" s="168" t="s">
        <v>397</v>
      </c>
      <c r="D142" s="169" t="s">
        <v>280</v>
      </c>
      <c r="E142" s="168" t="s">
        <v>394</v>
      </c>
      <c r="F142" s="167" t="s">
        <v>210</v>
      </c>
      <c r="G142" s="174" t="s">
        <v>775</v>
      </c>
      <c r="H142" s="171">
        <v>46053</v>
      </c>
      <c r="I142" s="167" t="s">
        <v>20</v>
      </c>
      <c r="J142" s="170"/>
      <c r="K142" s="170"/>
      <c r="L142" s="170"/>
      <c r="M142" s="170"/>
      <c r="N142" s="170"/>
      <c r="O142" s="170"/>
      <c r="P142" s="170"/>
    </row>
    <row r="143" spans="1:16" ht="57">
      <c r="A143" s="167"/>
      <c r="B143" s="167"/>
      <c r="C143" s="168" t="s">
        <v>365</v>
      </c>
      <c r="D143" s="169" t="s">
        <v>188</v>
      </c>
      <c r="E143" s="168" t="s">
        <v>366</v>
      </c>
      <c r="F143" s="167" t="s">
        <v>210</v>
      </c>
      <c r="G143" s="174" t="s">
        <v>775</v>
      </c>
      <c r="H143" s="171">
        <v>46203</v>
      </c>
      <c r="I143" s="167" t="s">
        <v>20</v>
      </c>
      <c r="J143" s="170"/>
      <c r="K143" s="170"/>
      <c r="L143" s="170"/>
      <c r="M143" s="170"/>
      <c r="N143" s="170"/>
      <c r="O143" s="170"/>
      <c r="P143" s="170"/>
    </row>
    <row r="144" spans="1:16" ht="91.2">
      <c r="A144" s="167"/>
      <c r="B144" s="167"/>
      <c r="C144" s="168" t="s">
        <v>361</v>
      </c>
      <c r="D144" s="169" t="s">
        <v>254</v>
      </c>
      <c r="E144" s="168" t="s">
        <v>362</v>
      </c>
      <c r="F144" s="167" t="s">
        <v>210</v>
      </c>
      <c r="G144" s="174" t="s">
        <v>775</v>
      </c>
      <c r="H144" s="171">
        <v>46063</v>
      </c>
      <c r="I144" s="167" t="s">
        <v>20</v>
      </c>
      <c r="J144" s="170"/>
      <c r="K144" s="170"/>
      <c r="L144" s="170"/>
      <c r="M144" s="170"/>
      <c r="N144" s="170"/>
      <c r="O144" s="170"/>
      <c r="P144" s="170"/>
    </row>
    <row r="145" spans="1:16" ht="45.6">
      <c r="A145" s="167"/>
      <c r="B145" s="167"/>
      <c r="C145" s="168" t="s">
        <v>377</v>
      </c>
      <c r="D145" s="177" t="s">
        <v>188</v>
      </c>
      <c r="E145" s="168" t="s">
        <v>378</v>
      </c>
      <c r="F145" s="167" t="s">
        <v>210</v>
      </c>
      <c r="G145" s="175">
        <v>46127</v>
      </c>
      <c r="H145" s="171">
        <v>46127</v>
      </c>
      <c r="I145" s="167" t="s">
        <v>20</v>
      </c>
      <c r="J145" s="170"/>
      <c r="K145" s="170"/>
      <c r="L145" s="170"/>
      <c r="M145" s="170"/>
      <c r="N145" s="170"/>
      <c r="O145" s="170"/>
      <c r="P145" s="170"/>
    </row>
    <row r="146" spans="1:16" ht="68.400000000000006">
      <c r="A146" s="167"/>
      <c r="B146" s="167"/>
      <c r="C146" s="168" t="s">
        <v>369</v>
      </c>
      <c r="D146" s="169" t="s">
        <v>188</v>
      </c>
      <c r="E146" s="168" t="s">
        <v>370</v>
      </c>
      <c r="F146" s="167" t="s">
        <v>371</v>
      </c>
      <c r="G146" s="174" t="s">
        <v>1274</v>
      </c>
      <c r="H146" s="167" t="s">
        <v>1274</v>
      </c>
      <c r="I146" s="167" t="s">
        <v>33</v>
      </c>
      <c r="J146" s="169"/>
      <c r="K146" s="169"/>
      <c r="L146" s="169"/>
      <c r="M146" s="169"/>
      <c r="N146" s="169" t="s">
        <v>665</v>
      </c>
      <c r="O146" s="170"/>
      <c r="P146" s="170"/>
    </row>
    <row r="147" spans="1:16" ht="68.400000000000006">
      <c r="A147" s="167"/>
      <c r="B147" s="167"/>
      <c r="C147" s="168"/>
      <c r="D147" s="169" t="s">
        <v>774</v>
      </c>
      <c r="E147" s="168" t="s">
        <v>373</v>
      </c>
      <c r="F147" s="167" t="s">
        <v>371</v>
      </c>
      <c r="G147" s="174" t="s">
        <v>775</v>
      </c>
      <c r="H147" s="171">
        <v>46142</v>
      </c>
      <c r="I147" s="167" t="s">
        <v>20</v>
      </c>
      <c r="J147" s="170"/>
      <c r="K147" s="170"/>
      <c r="L147" s="170"/>
      <c r="M147" s="170"/>
      <c r="N147" s="170"/>
      <c r="O147" s="170"/>
      <c r="P147" s="170"/>
    </row>
    <row r="148" spans="1:16" ht="57">
      <c r="A148" s="167"/>
      <c r="B148" s="167"/>
      <c r="C148" s="168"/>
      <c r="D148" s="169"/>
      <c r="E148" s="168" t="s">
        <v>375</v>
      </c>
      <c r="F148" s="167" t="s">
        <v>210</v>
      </c>
      <c r="G148" s="174" t="s">
        <v>775</v>
      </c>
      <c r="H148" s="171">
        <v>46142</v>
      </c>
      <c r="I148" s="167" t="s">
        <v>20</v>
      </c>
      <c r="J148" s="170"/>
      <c r="K148" s="170"/>
      <c r="L148" s="170"/>
      <c r="M148" s="170"/>
      <c r="N148" s="170"/>
      <c r="O148" s="170"/>
      <c r="P148" s="170"/>
    </row>
    <row r="149" spans="1:16" ht="34.200000000000003">
      <c r="A149" s="167"/>
      <c r="B149" s="167"/>
      <c r="C149" s="168" t="s">
        <v>389</v>
      </c>
      <c r="D149" s="169" t="s">
        <v>280</v>
      </c>
      <c r="E149" s="168" t="s">
        <v>390</v>
      </c>
      <c r="F149" s="167" t="s">
        <v>210</v>
      </c>
      <c r="G149" s="174" t="s">
        <v>775</v>
      </c>
      <c r="H149" s="171">
        <v>45992</v>
      </c>
      <c r="I149" s="167" t="s">
        <v>20</v>
      </c>
      <c r="J149" s="170"/>
      <c r="K149" s="170"/>
      <c r="L149" s="170"/>
      <c r="M149" s="170"/>
      <c r="N149" s="170"/>
      <c r="O149" s="170"/>
      <c r="P149" s="170"/>
    </row>
    <row r="150" spans="1:16" ht="68.400000000000006">
      <c r="A150" s="167"/>
      <c r="B150" s="167"/>
      <c r="C150" s="168" t="s">
        <v>381</v>
      </c>
      <c r="D150" s="169" t="s">
        <v>188</v>
      </c>
      <c r="E150" s="168" t="s">
        <v>382</v>
      </c>
      <c r="F150" s="167" t="s">
        <v>210</v>
      </c>
      <c r="G150" s="174" t="s">
        <v>775</v>
      </c>
      <c r="H150" s="171">
        <v>46053</v>
      </c>
      <c r="I150" s="167" t="s">
        <v>20</v>
      </c>
      <c r="J150" s="170"/>
      <c r="K150" s="170"/>
      <c r="L150" s="170"/>
      <c r="M150" s="170"/>
      <c r="N150" s="170"/>
      <c r="O150" s="170"/>
      <c r="P150" s="170"/>
    </row>
    <row r="151" spans="1:16">
      <c r="A151" s="170" t="s">
        <v>571</v>
      </c>
      <c r="B151" s="170"/>
      <c r="C151" s="170"/>
      <c r="D151" s="170"/>
      <c r="E151" s="170"/>
      <c r="F151" s="170"/>
      <c r="G151" s="170"/>
      <c r="H151" s="170"/>
      <c r="I151" s="170"/>
      <c r="J151" s="170"/>
      <c r="K151" s="170"/>
      <c r="L151" s="170"/>
      <c r="M151" s="170"/>
      <c r="N151" s="170"/>
      <c r="O151" s="170"/>
      <c r="P151" s="170"/>
    </row>
    <row r="152" spans="1:16">
      <c r="A152"/>
      <c r="B152"/>
      <c r="C152"/>
      <c r="D152"/>
      <c r="E152"/>
      <c r="F152"/>
      <c r="G152"/>
      <c r="H152"/>
      <c r="I152"/>
      <c r="J152"/>
      <c r="K152"/>
    </row>
    <row r="153" spans="1:16">
      <c r="A153"/>
      <c r="B153"/>
      <c r="C153"/>
      <c r="D153"/>
      <c r="E153"/>
      <c r="F153"/>
      <c r="G153"/>
      <c r="H153"/>
      <c r="I153"/>
      <c r="J153"/>
      <c r="K153"/>
    </row>
    <row r="154" spans="1:16">
      <c r="A154"/>
      <c r="B154"/>
      <c r="C154"/>
      <c r="D154"/>
      <c r="E154"/>
      <c r="F154"/>
      <c r="G154"/>
      <c r="H154"/>
      <c r="I154"/>
      <c r="J154"/>
      <c r="K154"/>
    </row>
    <row r="155" spans="1:16">
      <c r="A155"/>
      <c r="B155"/>
      <c r="C155"/>
      <c r="D155"/>
      <c r="E155"/>
      <c r="F155"/>
      <c r="G155"/>
      <c r="H155"/>
      <c r="I155"/>
      <c r="J155"/>
      <c r="K155"/>
    </row>
    <row r="156" spans="1:16">
      <c r="A156"/>
      <c r="B156"/>
      <c r="C156"/>
      <c r="D156"/>
      <c r="E156"/>
      <c r="F156"/>
      <c r="G156"/>
      <c r="H156"/>
      <c r="I156"/>
      <c r="J156"/>
      <c r="K156"/>
    </row>
    <row r="157" spans="1:16">
      <c r="A157"/>
      <c r="B157"/>
      <c r="C157"/>
      <c r="D157"/>
      <c r="E157"/>
      <c r="F157"/>
      <c r="G157"/>
      <c r="H157"/>
      <c r="I157"/>
      <c r="J157"/>
      <c r="K157"/>
    </row>
    <row r="158" spans="1:16">
      <c r="A158"/>
      <c r="B158"/>
      <c r="C158"/>
      <c r="D158"/>
      <c r="E158"/>
      <c r="F158"/>
      <c r="G158"/>
      <c r="H158"/>
      <c r="I158"/>
      <c r="J158"/>
      <c r="K158"/>
    </row>
    <row r="159" spans="1:16">
      <c r="A159"/>
      <c r="B159"/>
      <c r="C159"/>
      <c r="D159"/>
      <c r="E159"/>
      <c r="F159"/>
      <c r="G159"/>
      <c r="H159"/>
      <c r="I159"/>
      <c r="J159"/>
      <c r="K159"/>
    </row>
    <row r="160" spans="1:16">
      <c r="A160"/>
      <c r="B160"/>
      <c r="C160"/>
      <c r="D160"/>
      <c r="E160"/>
      <c r="F160"/>
      <c r="G160"/>
      <c r="H160"/>
      <c r="I160"/>
      <c r="J160"/>
      <c r="K160"/>
    </row>
    <row r="161" spans="1:11">
      <c r="A161"/>
      <c r="B161"/>
      <c r="C161"/>
      <c r="D161"/>
      <c r="E161"/>
      <c r="F161"/>
      <c r="G161"/>
      <c r="H161"/>
      <c r="I161"/>
      <c r="J161"/>
      <c r="K161"/>
    </row>
    <row r="162" spans="1:11">
      <c r="A162"/>
      <c r="B162"/>
      <c r="C162"/>
      <c r="D162"/>
      <c r="E162"/>
      <c r="F162"/>
      <c r="G162"/>
      <c r="H162"/>
      <c r="I162"/>
      <c r="J162"/>
      <c r="K162"/>
    </row>
    <row r="163" spans="1:11">
      <c r="A163"/>
      <c r="B163"/>
      <c r="C163"/>
      <c r="D163"/>
      <c r="E163"/>
      <c r="F163"/>
      <c r="G163"/>
      <c r="H163"/>
      <c r="I163"/>
      <c r="J163"/>
      <c r="K163"/>
    </row>
    <row r="164" spans="1:11">
      <c r="A164"/>
      <c r="B164"/>
      <c r="C164"/>
      <c r="D164"/>
      <c r="E164"/>
      <c r="F164"/>
      <c r="G164"/>
      <c r="H164"/>
      <c r="I164"/>
      <c r="J164"/>
      <c r="K164"/>
    </row>
    <row r="165" spans="1:11">
      <c r="A165"/>
      <c r="B165"/>
      <c r="C165"/>
      <c r="D165"/>
      <c r="E165"/>
      <c r="F165"/>
      <c r="G165"/>
      <c r="H165"/>
      <c r="I165"/>
      <c r="J165"/>
      <c r="K165"/>
    </row>
    <row r="166" spans="1:11">
      <c r="A166"/>
      <c r="B166"/>
      <c r="C166"/>
      <c r="D166"/>
      <c r="E166"/>
      <c r="F166"/>
      <c r="G166"/>
      <c r="H166"/>
      <c r="I166"/>
      <c r="J166"/>
      <c r="K166"/>
    </row>
    <row r="167" spans="1:11">
      <c r="A167"/>
      <c r="B167"/>
      <c r="C167"/>
      <c r="D167"/>
      <c r="E167"/>
      <c r="F167"/>
      <c r="G167"/>
      <c r="H167"/>
      <c r="I167"/>
      <c r="J167"/>
      <c r="K167"/>
    </row>
    <row r="168" spans="1:11">
      <c r="A168"/>
      <c r="B168"/>
      <c r="C168"/>
      <c r="D168"/>
      <c r="E168"/>
      <c r="F168"/>
      <c r="G168"/>
      <c r="H168"/>
      <c r="I168"/>
      <c r="J168"/>
      <c r="K168"/>
    </row>
    <row r="169" spans="1:11">
      <c r="A169"/>
      <c r="B169"/>
      <c r="C169"/>
      <c r="D169"/>
      <c r="E169"/>
      <c r="F169"/>
      <c r="G169"/>
      <c r="H169"/>
      <c r="I169"/>
      <c r="J169"/>
      <c r="K169"/>
    </row>
    <row r="170" spans="1:11">
      <c r="A170"/>
      <c r="B170"/>
      <c r="C170"/>
      <c r="D170"/>
      <c r="E170"/>
      <c r="F170"/>
      <c r="G170"/>
      <c r="H170"/>
      <c r="I170"/>
      <c r="J170"/>
      <c r="K170"/>
    </row>
    <row r="171" spans="1:11">
      <c r="A171"/>
      <c r="B171"/>
      <c r="C171"/>
      <c r="D171"/>
      <c r="E171"/>
      <c r="F171"/>
      <c r="G171"/>
      <c r="H171"/>
      <c r="I171"/>
      <c r="J171"/>
      <c r="K171"/>
    </row>
    <row r="172" spans="1:11">
      <c r="A172"/>
      <c r="B172"/>
      <c r="C172"/>
      <c r="D172"/>
      <c r="E172"/>
      <c r="F172"/>
      <c r="G172"/>
      <c r="H172"/>
      <c r="I172"/>
      <c r="J172"/>
      <c r="K172"/>
    </row>
    <row r="173" spans="1:11">
      <c r="A173"/>
      <c r="B173"/>
      <c r="C173"/>
      <c r="D173"/>
      <c r="E173"/>
      <c r="F173"/>
      <c r="G173"/>
      <c r="H173"/>
      <c r="I173"/>
      <c r="J173"/>
      <c r="K173"/>
    </row>
    <row r="174" spans="1:11">
      <c r="A174"/>
      <c r="B174"/>
      <c r="C174"/>
      <c r="D174"/>
      <c r="E174"/>
      <c r="F174"/>
      <c r="G174"/>
      <c r="H174"/>
      <c r="I174"/>
      <c r="J174"/>
      <c r="K174"/>
    </row>
    <row r="175" spans="1:11">
      <c r="A175"/>
      <c r="B175"/>
      <c r="C175"/>
      <c r="D175"/>
      <c r="E175"/>
      <c r="F175"/>
      <c r="G175"/>
      <c r="H175"/>
      <c r="I175"/>
      <c r="J175"/>
      <c r="K175"/>
    </row>
    <row r="176" spans="1:11">
      <c r="A176"/>
      <c r="B176"/>
      <c r="C176"/>
      <c r="D176"/>
      <c r="E176"/>
      <c r="F176"/>
      <c r="G176"/>
      <c r="H176"/>
      <c r="I176"/>
      <c r="J176"/>
      <c r="K176"/>
    </row>
    <row r="177" spans="1:11">
      <c r="A177"/>
      <c r="B177"/>
      <c r="C177"/>
      <c r="D177"/>
      <c r="E177"/>
      <c r="F177"/>
      <c r="G177"/>
      <c r="H177"/>
      <c r="I177"/>
      <c r="J177"/>
      <c r="K177"/>
    </row>
    <row r="178" spans="1:11">
      <c r="A178"/>
      <c r="B178"/>
      <c r="C178"/>
      <c r="D178"/>
      <c r="E178"/>
      <c r="F178"/>
      <c r="G178"/>
      <c r="H178"/>
      <c r="I178"/>
      <c r="J178"/>
      <c r="K178"/>
    </row>
    <row r="179" spans="1:11">
      <c r="A179"/>
      <c r="B179"/>
      <c r="C179"/>
      <c r="D179"/>
      <c r="E179"/>
      <c r="F179"/>
      <c r="G179"/>
      <c r="H179"/>
      <c r="I179"/>
      <c r="J179"/>
      <c r="K179"/>
    </row>
    <row r="180" spans="1:11">
      <c r="A180"/>
      <c r="B180"/>
      <c r="C180"/>
      <c r="D180"/>
      <c r="E180"/>
      <c r="F180"/>
      <c r="G180"/>
      <c r="H180"/>
      <c r="I180"/>
      <c r="J180"/>
      <c r="K180"/>
    </row>
    <row r="181" spans="1:11">
      <c r="A181"/>
      <c r="B181"/>
      <c r="C181"/>
      <c r="D181"/>
      <c r="E181"/>
      <c r="F181"/>
      <c r="G181"/>
      <c r="H181"/>
      <c r="I181"/>
      <c r="J181"/>
      <c r="K181"/>
    </row>
    <row r="182" spans="1:11">
      <c r="A182"/>
      <c r="B182"/>
      <c r="C182"/>
      <c r="D182"/>
      <c r="E182"/>
      <c r="F182"/>
      <c r="G182"/>
      <c r="H182"/>
      <c r="I182"/>
      <c r="J182"/>
      <c r="K182"/>
    </row>
    <row r="183" spans="1:11">
      <c r="A183"/>
      <c r="B183"/>
      <c r="C183"/>
      <c r="D183"/>
      <c r="E183"/>
      <c r="F183"/>
      <c r="G183"/>
      <c r="H183"/>
      <c r="I183"/>
      <c r="J183"/>
      <c r="K183"/>
    </row>
    <row r="184" spans="1:11">
      <c r="A184"/>
      <c r="B184"/>
      <c r="C184"/>
      <c r="D184"/>
      <c r="E184"/>
      <c r="F184"/>
      <c r="G184"/>
      <c r="H184"/>
      <c r="I184"/>
      <c r="J184"/>
      <c r="K184"/>
    </row>
    <row r="185" spans="1:11">
      <c r="A185"/>
      <c r="B185"/>
      <c r="C185"/>
      <c r="D185"/>
      <c r="E185"/>
      <c r="F185"/>
      <c r="G185"/>
      <c r="H185"/>
      <c r="I185"/>
      <c r="J185"/>
      <c r="K185"/>
    </row>
    <row r="186" spans="1:11">
      <c r="A186"/>
      <c r="B186"/>
      <c r="C186"/>
      <c r="D186"/>
      <c r="E186"/>
      <c r="F186"/>
      <c r="G186"/>
      <c r="H186"/>
      <c r="I186"/>
      <c r="J186"/>
      <c r="K186"/>
    </row>
    <row r="187" spans="1:11">
      <c r="A187"/>
      <c r="B187"/>
      <c r="C187"/>
      <c r="D187"/>
      <c r="E187"/>
      <c r="F187"/>
      <c r="G187"/>
      <c r="H187"/>
      <c r="I187"/>
      <c r="J187"/>
      <c r="K187"/>
    </row>
    <row r="188" spans="1:11">
      <c r="A188"/>
      <c r="B188"/>
      <c r="C188"/>
      <c r="D188"/>
      <c r="E188"/>
      <c r="F188"/>
      <c r="G188"/>
      <c r="H188"/>
      <c r="I188"/>
      <c r="J188"/>
      <c r="K188"/>
    </row>
    <row r="189" spans="1:11">
      <c r="A189"/>
      <c r="B189"/>
      <c r="C189"/>
      <c r="D189"/>
      <c r="E189"/>
      <c r="F189"/>
      <c r="G189"/>
      <c r="H189"/>
      <c r="I189"/>
      <c r="J189"/>
      <c r="K189"/>
    </row>
    <row r="190" spans="1:11">
      <c r="A190"/>
      <c r="B190"/>
      <c r="C190"/>
      <c r="D190"/>
      <c r="E190"/>
      <c r="F190"/>
      <c r="G190"/>
      <c r="H190"/>
      <c r="I190"/>
      <c r="J190"/>
      <c r="K190"/>
    </row>
    <row r="191" spans="1:11">
      <c r="A191"/>
      <c r="B191"/>
      <c r="C191"/>
      <c r="D191"/>
      <c r="E191"/>
      <c r="F191"/>
      <c r="G191"/>
      <c r="H191"/>
      <c r="I191"/>
      <c r="J191"/>
      <c r="K191"/>
    </row>
    <row r="192" spans="1:11">
      <c r="A192"/>
      <c r="B192"/>
      <c r="C192"/>
      <c r="D192"/>
      <c r="E192"/>
      <c r="F192"/>
      <c r="G192"/>
      <c r="H192"/>
      <c r="I192"/>
      <c r="J192"/>
      <c r="K192"/>
    </row>
    <row r="193" spans="1:11">
      <c r="A193"/>
      <c r="B193"/>
      <c r="C193"/>
      <c r="D193"/>
      <c r="E193"/>
      <c r="F193"/>
      <c r="G193"/>
      <c r="H193"/>
      <c r="I193"/>
      <c r="J193"/>
      <c r="K193"/>
    </row>
    <row r="194" spans="1:11">
      <c r="A194"/>
      <c r="B194"/>
      <c r="C194"/>
      <c r="D194"/>
      <c r="E194"/>
      <c r="F194"/>
      <c r="G194"/>
      <c r="H194"/>
      <c r="I194"/>
      <c r="J194"/>
      <c r="K194"/>
    </row>
    <row r="195" spans="1:11">
      <c r="A195"/>
      <c r="B195"/>
      <c r="C195"/>
      <c r="D195"/>
      <c r="E195"/>
      <c r="F195"/>
      <c r="G195"/>
      <c r="H195"/>
      <c r="I195"/>
      <c r="J195"/>
      <c r="K195"/>
    </row>
    <row r="196" spans="1:11">
      <c r="A196"/>
      <c r="B196"/>
      <c r="C196"/>
      <c r="D196"/>
      <c r="E196"/>
      <c r="F196"/>
      <c r="G196"/>
      <c r="H196"/>
      <c r="I196"/>
      <c r="J196"/>
      <c r="K196"/>
    </row>
    <row r="197" spans="1:11">
      <c r="A197"/>
      <c r="B197"/>
      <c r="C197"/>
      <c r="D197"/>
      <c r="E197"/>
      <c r="F197"/>
      <c r="G197"/>
      <c r="H197"/>
      <c r="I197"/>
      <c r="J197"/>
      <c r="K197"/>
    </row>
    <row r="198" spans="1:11">
      <c r="A198"/>
      <c r="B198"/>
      <c r="C198"/>
      <c r="D198"/>
      <c r="E198"/>
      <c r="F198"/>
      <c r="G198"/>
      <c r="H198"/>
      <c r="I198"/>
      <c r="J198"/>
      <c r="K198"/>
    </row>
    <row r="199" spans="1:11">
      <c r="A199"/>
      <c r="B199"/>
      <c r="C199"/>
      <c r="D199"/>
      <c r="E199"/>
      <c r="F199"/>
      <c r="G199"/>
      <c r="H199"/>
      <c r="I199"/>
      <c r="J199"/>
      <c r="K199"/>
    </row>
    <row r="200" spans="1:11">
      <c r="A200"/>
      <c r="B200"/>
      <c r="C200"/>
      <c r="D200"/>
      <c r="E200"/>
      <c r="F200"/>
      <c r="G200"/>
      <c r="H200"/>
      <c r="I200"/>
      <c r="J200"/>
      <c r="K200"/>
    </row>
    <row r="201" spans="1:11">
      <c r="A201"/>
      <c r="B201"/>
      <c r="C201"/>
      <c r="D201"/>
      <c r="E201"/>
      <c r="F201"/>
      <c r="G201"/>
      <c r="H201"/>
      <c r="I201"/>
      <c r="J201"/>
      <c r="K201"/>
    </row>
    <row r="202" spans="1:11">
      <c r="A202"/>
      <c r="B202"/>
      <c r="C202"/>
      <c r="D202"/>
      <c r="E202"/>
      <c r="F202"/>
      <c r="G202"/>
      <c r="H202"/>
      <c r="I202"/>
      <c r="J202"/>
      <c r="K202"/>
    </row>
    <row r="203" spans="1:11">
      <c r="A203"/>
      <c r="B203"/>
      <c r="C203"/>
      <c r="D203"/>
      <c r="E203"/>
      <c r="F203"/>
      <c r="G203"/>
      <c r="H203"/>
      <c r="I203"/>
      <c r="J203"/>
      <c r="K203"/>
    </row>
    <row r="204" spans="1:11">
      <c r="A204"/>
      <c r="B204"/>
      <c r="C204"/>
      <c r="D204"/>
      <c r="E204"/>
      <c r="F204"/>
      <c r="G204"/>
      <c r="H204"/>
      <c r="I204"/>
      <c r="J204"/>
      <c r="K204"/>
    </row>
    <row r="205" spans="1:11">
      <c r="A205"/>
      <c r="B205"/>
      <c r="C205"/>
      <c r="D205"/>
      <c r="E205"/>
      <c r="F205"/>
      <c r="G205"/>
      <c r="H205"/>
      <c r="I205"/>
      <c r="J205"/>
      <c r="K205"/>
    </row>
    <row r="206" spans="1:11">
      <c r="A206"/>
      <c r="B206"/>
      <c r="C206"/>
      <c r="D206"/>
      <c r="E206"/>
      <c r="F206"/>
      <c r="G206"/>
      <c r="H206"/>
      <c r="I206"/>
      <c r="J206"/>
      <c r="K206"/>
    </row>
    <row r="207" spans="1:11">
      <c r="A207"/>
      <c r="B207"/>
      <c r="C207"/>
      <c r="D207"/>
      <c r="E207"/>
      <c r="F207"/>
      <c r="G207"/>
      <c r="H207"/>
      <c r="I207"/>
      <c r="J207"/>
      <c r="K207"/>
    </row>
    <row r="208" spans="1:11">
      <c r="A208"/>
      <c r="B208"/>
      <c r="C208"/>
      <c r="D208"/>
      <c r="E208"/>
      <c r="F208"/>
      <c r="G208"/>
      <c r="H208"/>
      <c r="I208"/>
      <c r="J208"/>
      <c r="K208"/>
    </row>
    <row r="209" spans="1:11">
      <c r="A209"/>
      <c r="B209"/>
      <c r="C209"/>
      <c r="D209"/>
      <c r="E209"/>
      <c r="F209"/>
      <c r="G209"/>
      <c r="H209"/>
      <c r="I209"/>
      <c r="J209"/>
      <c r="K209"/>
    </row>
    <row r="210" spans="1:11">
      <c r="A210"/>
      <c r="B210"/>
      <c r="C210"/>
      <c r="D210"/>
      <c r="E210"/>
      <c r="F210"/>
      <c r="G210"/>
      <c r="H210"/>
      <c r="I210"/>
      <c r="J210"/>
      <c r="K210"/>
    </row>
    <row r="211" spans="1:11">
      <c r="A211"/>
      <c r="B211"/>
      <c r="C211"/>
      <c r="D211"/>
      <c r="E211"/>
      <c r="F211"/>
      <c r="G211"/>
      <c r="H211"/>
      <c r="I211"/>
      <c r="J211"/>
      <c r="K211"/>
    </row>
    <row r="212" spans="1:11">
      <c r="A212"/>
      <c r="B212"/>
      <c r="C212"/>
      <c r="D212"/>
      <c r="E212"/>
      <c r="F212"/>
      <c r="G212"/>
      <c r="H212"/>
      <c r="I212"/>
      <c r="J212"/>
      <c r="K212"/>
    </row>
    <row r="213" spans="1:11">
      <c r="A213"/>
      <c r="B213"/>
      <c r="C213"/>
      <c r="D213"/>
      <c r="E213"/>
      <c r="F213"/>
      <c r="G213"/>
      <c r="H213"/>
      <c r="I213"/>
      <c r="J213"/>
      <c r="K213"/>
    </row>
    <row r="214" spans="1:11">
      <c r="A214"/>
      <c r="B214"/>
      <c r="C214"/>
      <c r="D214"/>
      <c r="E214"/>
      <c r="F214"/>
      <c r="G214"/>
      <c r="H214"/>
      <c r="I214"/>
      <c r="J214"/>
      <c r="K214"/>
    </row>
    <row r="215" spans="1:11">
      <c r="A215"/>
      <c r="B215"/>
      <c r="C215"/>
      <c r="D215"/>
      <c r="E215"/>
      <c r="F215"/>
      <c r="G215"/>
      <c r="H215"/>
      <c r="I215"/>
      <c r="J215"/>
      <c r="K215"/>
    </row>
    <row r="216" spans="1:11">
      <c r="A216"/>
      <c r="B216"/>
      <c r="C216"/>
      <c r="D216"/>
      <c r="E216"/>
      <c r="F216"/>
      <c r="G216"/>
      <c r="H216"/>
      <c r="I216"/>
      <c r="J216"/>
      <c r="K216"/>
    </row>
    <row r="217" spans="1:11">
      <c r="A217"/>
      <c r="B217"/>
      <c r="C217"/>
      <c r="D217"/>
      <c r="E217"/>
      <c r="F217"/>
      <c r="G217"/>
      <c r="H217"/>
      <c r="I217"/>
      <c r="J217"/>
      <c r="K217"/>
    </row>
    <row r="218" spans="1:11">
      <c r="A218"/>
      <c r="B218"/>
      <c r="C218"/>
      <c r="D218"/>
      <c r="E218"/>
      <c r="F218"/>
      <c r="G218"/>
      <c r="H218"/>
      <c r="I218"/>
      <c r="J218"/>
      <c r="K218"/>
    </row>
    <row r="219" spans="1:11">
      <c r="A219"/>
      <c r="B219"/>
      <c r="C219"/>
      <c r="D219"/>
      <c r="E219"/>
      <c r="F219"/>
      <c r="G219"/>
      <c r="H219"/>
      <c r="I219"/>
      <c r="J219"/>
      <c r="K219"/>
    </row>
    <row r="220" spans="1:11">
      <c r="A220"/>
      <c r="B220"/>
      <c r="C220"/>
      <c r="D220"/>
      <c r="E220"/>
      <c r="F220"/>
      <c r="G220"/>
      <c r="H220"/>
      <c r="I220"/>
      <c r="J220"/>
      <c r="K220"/>
    </row>
    <row r="221" spans="1:11">
      <c r="A221"/>
      <c r="B221"/>
      <c r="C221"/>
      <c r="D221"/>
      <c r="E221"/>
      <c r="F221"/>
      <c r="G221"/>
      <c r="H221"/>
      <c r="I221"/>
      <c r="J221"/>
      <c r="K221"/>
    </row>
    <row r="222" spans="1:11">
      <c r="A222"/>
      <c r="B222"/>
      <c r="C222"/>
      <c r="D222"/>
      <c r="E222"/>
      <c r="F222"/>
      <c r="G222"/>
      <c r="H222"/>
      <c r="I222"/>
      <c r="J222"/>
      <c r="K222"/>
    </row>
    <row r="223" spans="1:11">
      <c r="A223"/>
      <c r="B223"/>
      <c r="C223"/>
      <c r="D223"/>
      <c r="E223"/>
      <c r="F223"/>
      <c r="G223"/>
      <c r="H223"/>
      <c r="I223"/>
      <c r="J223"/>
      <c r="K223"/>
    </row>
    <row r="224" spans="1:11">
      <c r="A224"/>
      <c r="B224"/>
      <c r="C224"/>
      <c r="D224"/>
      <c r="E224"/>
      <c r="F224"/>
      <c r="G224"/>
      <c r="H224"/>
      <c r="I224"/>
      <c r="J224"/>
      <c r="K224"/>
    </row>
    <row r="225" spans="1:11">
      <c r="A225"/>
      <c r="B225"/>
      <c r="C225"/>
      <c r="D225"/>
      <c r="E225"/>
      <c r="F225"/>
      <c r="G225"/>
      <c r="H225"/>
      <c r="I225"/>
      <c r="J225"/>
      <c r="K225"/>
    </row>
    <row r="226" spans="1:11">
      <c r="A226"/>
      <c r="B226"/>
      <c r="C226"/>
      <c r="D226"/>
      <c r="E226"/>
      <c r="F226"/>
      <c r="G226"/>
      <c r="H226"/>
      <c r="I226"/>
      <c r="J226"/>
      <c r="K226"/>
    </row>
    <row r="227" spans="1:11">
      <c r="A227"/>
      <c r="B227"/>
      <c r="C227"/>
      <c r="D227"/>
      <c r="E227"/>
      <c r="F227"/>
      <c r="G227"/>
      <c r="H227"/>
      <c r="I227"/>
      <c r="J227"/>
      <c r="K227"/>
    </row>
    <row r="228" spans="1:11">
      <c r="A228"/>
      <c r="B228"/>
      <c r="C228"/>
      <c r="D228"/>
      <c r="E228"/>
      <c r="F228"/>
      <c r="G228"/>
      <c r="H228"/>
      <c r="I228"/>
      <c r="J228"/>
      <c r="K228"/>
    </row>
    <row r="229" spans="1:11">
      <c r="A229"/>
      <c r="B229"/>
      <c r="C229"/>
      <c r="D229"/>
      <c r="E229"/>
      <c r="F229"/>
      <c r="G229"/>
      <c r="H229"/>
      <c r="I229"/>
      <c r="J229"/>
      <c r="K229"/>
    </row>
    <row r="230" spans="1:11">
      <c r="A230"/>
      <c r="B230"/>
      <c r="C230"/>
      <c r="D230"/>
      <c r="E230"/>
      <c r="F230"/>
      <c r="G230"/>
      <c r="H230"/>
      <c r="I230"/>
      <c r="J230"/>
      <c r="K230"/>
    </row>
    <row r="231" spans="1:11">
      <c r="A231"/>
      <c r="B231"/>
      <c r="C231"/>
      <c r="D231"/>
      <c r="E231"/>
      <c r="F231"/>
      <c r="G231"/>
      <c r="H231"/>
      <c r="I231"/>
      <c r="J231"/>
      <c r="K231"/>
    </row>
    <row r="232" spans="1:11">
      <c r="A232"/>
      <c r="B232"/>
      <c r="C232"/>
      <c r="D232"/>
      <c r="E232"/>
      <c r="F232"/>
      <c r="G232"/>
      <c r="H232"/>
      <c r="I232"/>
      <c r="J232"/>
      <c r="K232"/>
    </row>
    <row r="233" spans="1:11">
      <c r="A233"/>
      <c r="B233"/>
      <c r="C233"/>
      <c r="D233"/>
      <c r="E233"/>
      <c r="F233"/>
      <c r="G233"/>
      <c r="H233"/>
      <c r="I233"/>
      <c r="J233"/>
      <c r="K233"/>
    </row>
    <row r="234" spans="1:11">
      <c r="A234"/>
      <c r="B234"/>
      <c r="C234"/>
      <c r="D234"/>
      <c r="E234"/>
      <c r="F234"/>
      <c r="G234"/>
      <c r="H234"/>
      <c r="I234"/>
      <c r="J234"/>
      <c r="K234"/>
    </row>
    <row r="235" spans="1:11">
      <c r="A235"/>
      <c r="B235"/>
      <c r="C235"/>
      <c r="D235"/>
      <c r="E235"/>
      <c r="F235"/>
      <c r="G235"/>
      <c r="H235"/>
      <c r="I235"/>
      <c r="J235"/>
      <c r="K235"/>
    </row>
    <row r="236" spans="1:11">
      <c r="A236"/>
      <c r="B236"/>
      <c r="C236"/>
      <c r="D236"/>
      <c r="E236"/>
      <c r="F236"/>
      <c r="G236"/>
      <c r="H236"/>
      <c r="I236"/>
      <c r="J236"/>
      <c r="K236"/>
    </row>
    <row r="237" spans="1:11">
      <c r="A237"/>
      <c r="B237"/>
      <c r="C237"/>
      <c r="D237"/>
      <c r="E237"/>
      <c r="F237"/>
      <c r="G237"/>
      <c r="H237"/>
      <c r="I237"/>
      <c r="J237"/>
      <c r="K237"/>
    </row>
    <row r="238" spans="1:11">
      <c r="A238"/>
      <c r="B238"/>
      <c r="C238"/>
      <c r="D238"/>
      <c r="E238"/>
      <c r="F238"/>
      <c r="G238"/>
      <c r="H238"/>
      <c r="I238"/>
      <c r="J238"/>
      <c r="K238"/>
    </row>
    <row r="239" spans="1:11">
      <c r="A239"/>
      <c r="B239"/>
      <c r="C239"/>
      <c r="D239"/>
      <c r="E239"/>
      <c r="F239"/>
      <c r="G239"/>
      <c r="H239"/>
      <c r="I239"/>
      <c r="J239"/>
      <c r="K239"/>
    </row>
    <row r="240" spans="1:11">
      <c r="A240"/>
      <c r="B240"/>
      <c r="C240"/>
      <c r="D240"/>
      <c r="E240"/>
      <c r="F240"/>
      <c r="G240"/>
      <c r="H240"/>
      <c r="I240"/>
      <c r="J240"/>
      <c r="K240"/>
    </row>
    <row r="241" spans="1:11">
      <c r="A241"/>
      <c r="B241"/>
      <c r="C241"/>
      <c r="D241"/>
      <c r="E241"/>
      <c r="F241"/>
      <c r="G241"/>
      <c r="H241"/>
      <c r="I241"/>
      <c r="J241"/>
      <c r="K241"/>
    </row>
    <row r="242" spans="1:11">
      <c r="A242"/>
      <c r="B242"/>
      <c r="C242"/>
      <c r="D242"/>
      <c r="E242"/>
      <c r="F242"/>
      <c r="G242"/>
      <c r="H242"/>
      <c r="I242"/>
      <c r="J242"/>
      <c r="K242"/>
    </row>
    <row r="243" spans="1:11">
      <c r="A243"/>
      <c r="B243"/>
      <c r="C243"/>
      <c r="D243"/>
      <c r="E243"/>
      <c r="F243"/>
      <c r="G243"/>
      <c r="H243"/>
      <c r="I243"/>
      <c r="J243"/>
      <c r="K243"/>
    </row>
    <row r="244" spans="1:11">
      <c r="A244"/>
      <c r="B244"/>
      <c r="C244"/>
      <c r="D244"/>
      <c r="E244"/>
      <c r="F244"/>
      <c r="G244"/>
      <c r="H244"/>
      <c r="I244"/>
      <c r="J244"/>
      <c r="K244"/>
    </row>
    <row r="245" spans="1:11">
      <c r="A245"/>
      <c r="B245"/>
      <c r="C245"/>
      <c r="D245"/>
      <c r="E245"/>
      <c r="F245"/>
      <c r="G245"/>
      <c r="H245"/>
      <c r="I245"/>
      <c r="J245"/>
      <c r="K245"/>
    </row>
    <row r="246" spans="1:11">
      <c r="A246"/>
      <c r="B246"/>
      <c r="C246"/>
      <c r="D246"/>
      <c r="E246"/>
      <c r="F246"/>
      <c r="G246"/>
      <c r="H246"/>
      <c r="I246"/>
      <c r="J246"/>
      <c r="K246"/>
    </row>
    <row r="247" spans="1:11">
      <c r="A247"/>
      <c r="B247"/>
      <c r="C247"/>
      <c r="D247"/>
      <c r="E247"/>
      <c r="F247"/>
      <c r="G247"/>
      <c r="H247"/>
      <c r="I247"/>
      <c r="J247"/>
      <c r="K247"/>
    </row>
    <row r="248" spans="1:11">
      <c r="A248"/>
      <c r="B248"/>
      <c r="C248"/>
      <c r="D248"/>
      <c r="E248"/>
      <c r="F248"/>
      <c r="G248"/>
      <c r="H248"/>
      <c r="I248"/>
      <c r="J248"/>
      <c r="K248"/>
    </row>
    <row r="249" spans="1:11">
      <c r="A249"/>
      <c r="B249"/>
      <c r="C249"/>
      <c r="D249"/>
      <c r="E249"/>
      <c r="F249"/>
      <c r="G249"/>
      <c r="H249"/>
      <c r="I249"/>
      <c r="J249"/>
      <c r="K249"/>
    </row>
    <row r="250" spans="1:11">
      <c r="A250"/>
      <c r="B250"/>
      <c r="C250"/>
      <c r="D250"/>
      <c r="E250"/>
      <c r="F250"/>
      <c r="G250"/>
      <c r="H250"/>
      <c r="I250"/>
      <c r="J250"/>
      <c r="K250"/>
    </row>
    <row r="251" spans="1:11">
      <c r="A251"/>
      <c r="B251"/>
      <c r="C251"/>
      <c r="D251"/>
      <c r="E251"/>
      <c r="F251"/>
      <c r="G251"/>
      <c r="H251"/>
      <c r="I251"/>
      <c r="J251"/>
      <c r="K251"/>
    </row>
    <row r="252" spans="1:11">
      <c r="A252"/>
      <c r="B252"/>
      <c r="C252"/>
      <c r="D252"/>
      <c r="E252"/>
      <c r="F252"/>
      <c r="G252"/>
      <c r="H252"/>
      <c r="I252"/>
      <c r="J252"/>
      <c r="K252"/>
    </row>
    <row r="253" spans="1:11">
      <c r="A253"/>
      <c r="B253"/>
      <c r="C253"/>
      <c r="D253"/>
      <c r="E253"/>
      <c r="F253"/>
      <c r="G253"/>
      <c r="H253"/>
      <c r="I253"/>
      <c r="J253"/>
      <c r="K253"/>
    </row>
    <row r="254" spans="1:11">
      <c r="A254"/>
      <c r="B254"/>
      <c r="C254"/>
      <c r="D254"/>
      <c r="E254"/>
      <c r="F254"/>
      <c r="G254"/>
      <c r="H254"/>
      <c r="I254"/>
      <c r="J254"/>
      <c r="K254"/>
    </row>
    <row r="255" spans="1:11">
      <c r="A255"/>
      <c r="B255"/>
      <c r="C255"/>
      <c r="D255"/>
      <c r="E255"/>
      <c r="F255"/>
      <c r="G255"/>
      <c r="H255"/>
      <c r="I255"/>
      <c r="J255"/>
      <c r="K255"/>
    </row>
    <row r="256" spans="1:11">
      <c r="A256"/>
      <c r="B256"/>
      <c r="C256"/>
      <c r="D256"/>
      <c r="E256"/>
      <c r="F256"/>
      <c r="G256"/>
      <c r="H256"/>
      <c r="I256"/>
      <c r="J256"/>
      <c r="K256"/>
    </row>
    <row r="257" spans="1:11">
      <c r="A257"/>
      <c r="B257"/>
      <c r="C257"/>
      <c r="D257"/>
      <c r="E257"/>
      <c r="F257"/>
      <c r="G257"/>
      <c r="H257"/>
      <c r="I257"/>
      <c r="J257"/>
      <c r="K257"/>
    </row>
    <row r="258" spans="1:11">
      <c r="A258"/>
      <c r="B258"/>
      <c r="C258"/>
      <c r="D258"/>
      <c r="E258"/>
      <c r="F258"/>
      <c r="G258"/>
      <c r="H258"/>
      <c r="I258"/>
      <c r="J258"/>
      <c r="K258"/>
    </row>
    <row r="259" spans="1:11">
      <c r="A259"/>
      <c r="B259"/>
      <c r="C259"/>
      <c r="D259"/>
      <c r="E259"/>
      <c r="F259"/>
      <c r="G259"/>
      <c r="H259"/>
      <c r="I259"/>
      <c r="J259"/>
      <c r="K259"/>
    </row>
    <row r="260" spans="1:11">
      <c r="A260"/>
      <c r="B260"/>
      <c r="C260"/>
      <c r="D260"/>
      <c r="E260"/>
      <c r="F260"/>
      <c r="G260"/>
      <c r="H260"/>
      <c r="I260"/>
      <c r="J260"/>
      <c r="K260"/>
    </row>
    <row r="261" spans="1:11">
      <c r="A261"/>
      <c r="B261"/>
      <c r="C261"/>
      <c r="D261"/>
      <c r="E261"/>
      <c r="F261"/>
      <c r="G261"/>
      <c r="H261"/>
      <c r="I261"/>
      <c r="J261"/>
      <c r="K261"/>
    </row>
    <row r="262" spans="1:11">
      <c r="A262"/>
      <c r="B262"/>
      <c r="C262"/>
      <c r="D262"/>
      <c r="E262"/>
      <c r="F262"/>
      <c r="G262"/>
      <c r="H262"/>
      <c r="I262"/>
      <c r="J262"/>
      <c r="K262"/>
    </row>
    <row r="263" spans="1:11">
      <c r="A263"/>
      <c r="B263"/>
      <c r="C263"/>
      <c r="D263"/>
      <c r="E263"/>
      <c r="F263"/>
      <c r="G263"/>
      <c r="H263"/>
      <c r="I263"/>
      <c r="J263"/>
      <c r="K263"/>
    </row>
    <row r="264" spans="1:11">
      <c r="A264"/>
      <c r="B264"/>
      <c r="C264"/>
      <c r="D264"/>
      <c r="E264"/>
      <c r="F264"/>
      <c r="G264"/>
      <c r="H264"/>
      <c r="I264"/>
      <c r="J264"/>
      <c r="K264"/>
    </row>
    <row r="265" spans="1:11">
      <c r="A265"/>
      <c r="B265"/>
      <c r="C265"/>
      <c r="D265"/>
      <c r="E265"/>
      <c r="F265"/>
      <c r="G265"/>
      <c r="H265"/>
      <c r="I265"/>
      <c r="J265"/>
      <c r="K265"/>
    </row>
    <row r="266" spans="1:11">
      <c r="A266"/>
      <c r="B266"/>
      <c r="C266"/>
      <c r="D266"/>
      <c r="E266"/>
      <c r="F266"/>
      <c r="G266"/>
      <c r="H266"/>
      <c r="I266"/>
      <c r="J266"/>
      <c r="K266"/>
    </row>
    <row r="267" spans="1:11">
      <c r="A267"/>
      <c r="B267"/>
      <c r="C267"/>
      <c r="D267"/>
      <c r="E267"/>
      <c r="F267"/>
      <c r="G267"/>
      <c r="H267"/>
      <c r="I267"/>
      <c r="J267"/>
      <c r="K267"/>
    </row>
    <row r="268" spans="1:11">
      <c r="A268"/>
      <c r="B268"/>
      <c r="C268"/>
      <c r="D268"/>
      <c r="E268"/>
      <c r="F268"/>
      <c r="G268"/>
      <c r="H268"/>
      <c r="I268"/>
      <c r="J268"/>
      <c r="K268"/>
    </row>
    <row r="269" spans="1:11">
      <c r="A269"/>
      <c r="B269"/>
      <c r="C269"/>
      <c r="D269"/>
      <c r="E269"/>
      <c r="F269"/>
      <c r="G269"/>
      <c r="H269"/>
      <c r="I269"/>
      <c r="J269"/>
      <c r="K269"/>
    </row>
    <row r="270" spans="1:11">
      <c r="A270"/>
      <c r="B270"/>
      <c r="C270"/>
      <c r="D270"/>
      <c r="E270"/>
      <c r="F270"/>
      <c r="G270"/>
      <c r="H270"/>
      <c r="I270"/>
      <c r="J270"/>
      <c r="K270"/>
    </row>
    <row r="271" spans="1:11">
      <c r="A271"/>
      <c r="B271"/>
      <c r="C271"/>
      <c r="D271"/>
      <c r="E271"/>
      <c r="F271"/>
      <c r="G271"/>
      <c r="H271"/>
      <c r="I271"/>
      <c r="J271"/>
      <c r="K271"/>
    </row>
    <row r="272" spans="1:11">
      <c r="A272"/>
      <c r="B272"/>
      <c r="C272"/>
      <c r="D272"/>
      <c r="E272"/>
      <c r="F272"/>
      <c r="G272"/>
      <c r="H272"/>
      <c r="I272"/>
      <c r="J272"/>
      <c r="K272"/>
    </row>
    <row r="273" spans="1:11">
      <c r="A273"/>
      <c r="B273"/>
      <c r="C273"/>
      <c r="D273"/>
      <c r="E273"/>
      <c r="F273"/>
      <c r="G273"/>
      <c r="H273"/>
      <c r="I273"/>
      <c r="J273"/>
      <c r="K273"/>
    </row>
    <row r="274" spans="1:11">
      <c r="A274"/>
      <c r="B274"/>
      <c r="C274"/>
      <c r="D274"/>
      <c r="E274"/>
      <c r="F274"/>
      <c r="G274"/>
      <c r="H274"/>
      <c r="I274"/>
      <c r="J274"/>
      <c r="K274"/>
    </row>
    <row r="275" spans="1:11">
      <c r="A275"/>
      <c r="B275"/>
      <c r="C275"/>
      <c r="D275"/>
      <c r="E275"/>
      <c r="F275"/>
      <c r="G275"/>
      <c r="H275"/>
      <c r="I275"/>
      <c r="J275"/>
      <c r="K275"/>
    </row>
    <row r="276" spans="1:11">
      <c r="A276"/>
      <c r="B276"/>
      <c r="C276"/>
      <c r="D276"/>
      <c r="E276"/>
      <c r="F276"/>
      <c r="G276"/>
      <c r="H276"/>
      <c r="I276"/>
      <c r="J276"/>
      <c r="K276"/>
    </row>
    <row r="277" spans="1:11">
      <c r="A277"/>
      <c r="B277"/>
      <c r="C277"/>
      <c r="D277"/>
      <c r="E277"/>
      <c r="F277"/>
      <c r="G277"/>
      <c r="H277"/>
      <c r="I277"/>
      <c r="J277"/>
      <c r="K277"/>
    </row>
    <row r="278" spans="1:11">
      <c r="A278"/>
      <c r="B278"/>
      <c r="C278"/>
      <c r="D278"/>
      <c r="E278"/>
      <c r="F278"/>
      <c r="G278"/>
      <c r="H278"/>
      <c r="I278"/>
      <c r="J278"/>
      <c r="K278"/>
    </row>
    <row r="279" spans="1:11">
      <c r="A279"/>
      <c r="B279"/>
      <c r="C279"/>
      <c r="D279"/>
      <c r="E279"/>
      <c r="F279"/>
      <c r="G279"/>
      <c r="H279"/>
      <c r="I279"/>
      <c r="J279"/>
      <c r="K279"/>
    </row>
    <row r="280" spans="1:11">
      <c r="A280"/>
      <c r="B280"/>
      <c r="C280"/>
      <c r="D280"/>
      <c r="E280"/>
      <c r="F280"/>
      <c r="G280"/>
      <c r="H280"/>
      <c r="I280"/>
      <c r="J280"/>
      <c r="K280"/>
    </row>
    <row r="281" spans="1:11">
      <c r="A281"/>
      <c r="B281"/>
      <c r="C281"/>
      <c r="D281"/>
      <c r="E281"/>
      <c r="F281"/>
      <c r="G281"/>
      <c r="H281"/>
      <c r="I281"/>
      <c r="J281"/>
      <c r="K281"/>
    </row>
    <row r="282" spans="1:11">
      <c r="A282"/>
      <c r="B282"/>
      <c r="C282"/>
      <c r="D282"/>
      <c r="E282"/>
      <c r="F282"/>
      <c r="G282"/>
      <c r="H282"/>
      <c r="I282"/>
      <c r="J282"/>
      <c r="K282"/>
    </row>
    <row r="283" spans="1:11">
      <c r="A283"/>
      <c r="B283"/>
      <c r="C283"/>
      <c r="D283"/>
      <c r="E283"/>
      <c r="F283"/>
      <c r="G283"/>
      <c r="H283"/>
      <c r="I283"/>
      <c r="J283"/>
      <c r="K283"/>
    </row>
    <row r="284" spans="1:11">
      <c r="A284"/>
      <c r="B284"/>
      <c r="C284"/>
      <c r="D284"/>
      <c r="E284"/>
      <c r="F284"/>
      <c r="G284"/>
      <c r="H284"/>
      <c r="I284"/>
      <c r="J284"/>
      <c r="K284"/>
    </row>
    <row r="285" spans="1:11">
      <c r="A285"/>
      <c r="B285"/>
      <c r="C285"/>
      <c r="D285"/>
      <c r="E285"/>
      <c r="F285"/>
      <c r="G285"/>
      <c r="H285"/>
      <c r="I285"/>
      <c r="J285"/>
      <c r="K285"/>
    </row>
    <row r="286" spans="1:11">
      <c r="A286"/>
      <c r="B286"/>
      <c r="C286"/>
      <c r="D286"/>
      <c r="E286"/>
      <c r="F286"/>
      <c r="G286"/>
      <c r="H286"/>
      <c r="I286"/>
      <c r="J286"/>
      <c r="K286"/>
    </row>
    <row r="287" spans="1:11">
      <c r="A287"/>
      <c r="B287"/>
      <c r="C287"/>
      <c r="D287"/>
      <c r="E287"/>
      <c r="F287"/>
      <c r="G287"/>
      <c r="H287"/>
      <c r="I287"/>
      <c r="J287"/>
      <c r="K287"/>
    </row>
    <row r="288" spans="1:11">
      <c r="A288"/>
      <c r="B288"/>
      <c r="C288"/>
      <c r="D288"/>
      <c r="E288"/>
      <c r="F288"/>
      <c r="G288"/>
      <c r="H288"/>
      <c r="I288"/>
      <c r="J288"/>
      <c r="K288"/>
    </row>
    <row r="289" spans="1:11">
      <c r="A289"/>
      <c r="B289"/>
      <c r="C289"/>
      <c r="D289"/>
      <c r="E289"/>
      <c r="F289"/>
      <c r="G289"/>
      <c r="H289"/>
      <c r="I289"/>
      <c r="J289"/>
      <c r="K289"/>
    </row>
    <row r="290" spans="1:11">
      <c r="A290"/>
      <c r="B290"/>
      <c r="C290"/>
      <c r="D290"/>
      <c r="E290"/>
      <c r="F290"/>
      <c r="G290"/>
      <c r="H290"/>
      <c r="I290"/>
      <c r="J290"/>
      <c r="K290"/>
    </row>
    <row r="291" spans="1:11">
      <c r="A291"/>
      <c r="B291"/>
      <c r="C291"/>
      <c r="D291"/>
      <c r="E291"/>
      <c r="F291"/>
      <c r="G291"/>
      <c r="H291"/>
      <c r="I291"/>
      <c r="J291"/>
      <c r="K291"/>
    </row>
    <row r="292" spans="1:11">
      <c r="A292"/>
      <c r="B292"/>
      <c r="C292"/>
      <c r="D292"/>
      <c r="E292"/>
      <c r="F292"/>
      <c r="G292"/>
      <c r="H292"/>
      <c r="I292"/>
      <c r="J292"/>
      <c r="K292"/>
    </row>
    <row r="293" spans="1:11">
      <c r="A293"/>
      <c r="B293"/>
      <c r="C293"/>
      <c r="D293"/>
      <c r="E293"/>
      <c r="F293"/>
      <c r="G293"/>
      <c r="H293"/>
      <c r="I293"/>
      <c r="J293"/>
      <c r="K293"/>
    </row>
    <row r="294" spans="1:11">
      <c r="A294"/>
      <c r="B294"/>
      <c r="C294"/>
      <c r="D294"/>
      <c r="E294"/>
      <c r="F294"/>
      <c r="G294"/>
      <c r="H294"/>
      <c r="I294"/>
      <c r="J294"/>
      <c r="K294"/>
    </row>
    <row r="295" spans="1:11">
      <c r="A295"/>
      <c r="B295"/>
      <c r="C295"/>
      <c r="D295"/>
      <c r="E295"/>
      <c r="F295"/>
      <c r="G295"/>
      <c r="H295"/>
      <c r="I295"/>
      <c r="J295"/>
      <c r="K295"/>
    </row>
    <row r="296" spans="1:11">
      <c r="A296"/>
      <c r="B296"/>
      <c r="C296"/>
      <c r="D296"/>
      <c r="E296"/>
      <c r="F296"/>
      <c r="G296"/>
      <c r="H296"/>
      <c r="I296"/>
      <c r="J296"/>
      <c r="K296"/>
    </row>
    <row r="297" spans="1:11">
      <c r="A297"/>
      <c r="B297"/>
      <c r="C297"/>
      <c r="D297"/>
      <c r="E297"/>
      <c r="F297"/>
      <c r="G297"/>
      <c r="H297"/>
      <c r="I297"/>
      <c r="J297"/>
      <c r="K297"/>
    </row>
    <row r="298" spans="1:11">
      <c r="A298"/>
      <c r="B298"/>
      <c r="C298"/>
      <c r="D298"/>
      <c r="E298"/>
      <c r="F298"/>
      <c r="G298"/>
      <c r="H298"/>
      <c r="I298"/>
      <c r="J298"/>
      <c r="K298"/>
    </row>
    <row r="299" spans="1:11">
      <c r="A299"/>
      <c r="B299"/>
      <c r="C299"/>
      <c r="D299"/>
      <c r="E299"/>
      <c r="F299"/>
      <c r="G299"/>
      <c r="H299"/>
      <c r="I299"/>
      <c r="J299"/>
      <c r="K299"/>
    </row>
    <row r="300" spans="1:11">
      <c r="A300"/>
      <c r="B300"/>
      <c r="C300"/>
      <c r="D300"/>
      <c r="E300"/>
      <c r="F300"/>
      <c r="G300"/>
      <c r="H300"/>
      <c r="I300"/>
      <c r="J300"/>
      <c r="K300"/>
    </row>
    <row r="301" spans="1:11">
      <c r="A301"/>
      <c r="B301"/>
      <c r="C301"/>
      <c r="D301"/>
      <c r="E301"/>
      <c r="F301"/>
      <c r="G301"/>
      <c r="H301"/>
      <c r="I301"/>
      <c r="J301"/>
      <c r="K301"/>
    </row>
    <row r="302" spans="1:11">
      <c r="A302"/>
      <c r="B302"/>
      <c r="C302"/>
      <c r="D302"/>
      <c r="E302"/>
      <c r="F302"/>
      <c r="G302"/>
      <c r="H302"/>
      <c r="I302"/>
      <c r="J302"/>
      <c r="K302"/>
    </row>
    <row r="303" spans="1:11">
      <c r="A303"/>
      <c r="B303"/>
      <c r="C303"/>
      <c r="D303"/>
      <c r="E303"/>
      <c r="F303"/>
      <c r="G303"/>
      <c r="H303"/>
      <c r="I303"/>
      <c r="J303"/>
      <c r="K303"/>
    </row>
    <row r="304" spans="1:11">
      <c r="A304"/>
      <c r="B304"/>
      <c r="C304"/>
      <c r="D304"/>
      <c r="E304"/>
      <c r="F304"/>
      <c r="G304"/>
      <c r="H304"/>
      <c r="I304"/>
      <c r="J304"/>
      <c r="K304"/>
    </row>
    <row r="305" spans="1:11">
      <c r="A305"/>
      <c r="B305"/>
      <c r="C305"/>
      <c r="D305"/>
      <c r="E305"/>
      <c r="F305"/>
      <c r="G305"/>
      <c r="H305"/>
      <c r="I305"/>
      <c r="J305"/>
      <c r="K305"/>
    </row>
    <row r="306" spans="1:11">
      <c r="A306"/>
      <c r="B306"/>
      <c r="C306"/>
      <c r="D306"/>
      <c r="E306"/>
      <c r="F306"/>
      <c r="G306"/>
      <c r="H306"/>
      <c r="I306"/>
      <c r="J306"/>
      <c r="K306"/>
    </row>
    <row r="307" spans="1:11">
      <c r="A307"/>
      <c r="B307"/>
      <c r="C307"/>
      <c r="D307"/>
      <c r="E307"/>
      <c r="F307"/>
      <c r="G307"/>
      <c r="H307"/>
      <c r="I307"/>
      <c r="J307"/>
      <c r="K307"/>
    </row>
    <row r="308" spans="1:11">
      <c r="A308"/>
      <c r="B308"/>
      <c r="C308"/>
      <c r="D308"/>
      <c r="E308"/>
      <c r="F308"/>
      <c r="G308"/>
      <c r="H308"/>
      <c r="I308"/>
      <c r="J308"/>
      <c r="K308"/>
    </row>
    <row r="309" spans="1:11">
      <c r="A309"/>
      <c r="B309"/>
      <c r="C309"/>
      <c r="D309"/>
      <c r="E309"/>
      <c r="F309"/>
      <c r="G309"/>
      <c r="H309"/>
      <c r="I309"/>
      <c r="J309"/>
      <c r="K309"/>
    </row>
    <row r="310" spans="1:11">
      <c r="A310"/>
      <c r="B310"/>
      <c r="C310"/>
      <c r="D310"/>
      <c r="E310"/>
      <c r="F310"/>
      <c r="G310"/>
      <c r="H310"/>
      <c r="I310"/>
      <c r="J310"/>
      <c r="K310"/>
    </row>
    <row r="311" spans="1:11">
      <c r="A311"/>
      <c r="B311"/>
      <c r="C311"/>
      <c r="D311"/>
      <c r="E311"/>
      <c r="F311"/>
      <c r="G311"/>
      <c r="H311"/>
      <c r="I311"/>
      <c r="J311"/>
      <c r="K311"/>
    </row>
    <row r="312" spans="1:11">
      <c r="A312"/>
      <c r="B312"/>
      <c r="C312"/>
      <c r="D312"/>
      <c r="E312"/>
      <c r="F312"/>
      <c r="G312"/>
      <c r="H312"/>
      <c r="I312"/>
      <c r="J312"/>
      <c r="K312"/>
    </row>
    <row r="313" spans="1:11">
      <c r="A313"/>
      <c r="B313"/>
      <c r="C313"/>
      <c r="D313"/>
      <c r="E313"/>
      <c r="F313"/>
      <c r="G313"/>
      <c r="H313"/>
      <c r="I313"/>
      <c r="J313"/>
      <c r="K313"/>
    </row>
    <row r="314" spans="1:11">
      <c r="A314"/>
      <c r="B314"/>
      <c r="C314"/>
      <c r="D314"/>
      <c r="E314"/>
      <c r="F314"/>
      <c r="G314"/>
      <c r="H314"/>
      <c r="I314"/>
      <c r="J314"/>
      <c r="K314"/>
    </row>
    <row r="315" spans="1:11">
      <c r="A315"/>
      <c r="B315"/>
      <c r="C315"/>
      <c r="D315"/>
      <c r="E315"/>
      <c r="F315"/>
      <c r="G315"/>
      <c r="H315"/>
      <c r="I315"/>
      <c r="J315"/>
      <c r="K315"/>
    </row>
    <row r="316" spans="1:11">
      <c r="A316"/>
      <c r="B316"/>
      <c r="C316"/>
      <c r="D316"/>
      <c r="E316"/>
      <c r="F316"/>
      <c r="G316"/>
      <c r="H316"/>
      <c r="I316"/>
      <c r="J316"/>
      <c r="K316"/>
    </row>
    <row r="317" spans="1:11">
      <c r="A317"/>
      <c r="B317"/>
      <c r="C317"/>
      <c r="D317"/>
      <c r="E317"/>
      <c r="F317"/>
      <c r="G317"/>
      <c r="H317"/>
      <c r="I317"/>
      <c r="J317"/>
      <c r="K317"/>
    </row>
    <row r="318" spans="1:11">
      <c r="A318"/>
      <c r="B318"/>
      <c r="C318"/>
      <c r="D318"/>
      <c r="E318"/>
      <c r="F318"/>
      <c r="G318"/>
      <c r="H318"/>
      <c r="I318"/>
      <c r="J318"/>
      <c r="K318"/>
    </row>
    <row r="319" spans="1:11">
      <c r="A319"/>
      <c r="B319"/>
      <c r="C319"/>
      <c r="D319"/>
      <c r="E319"/>
      <c r="F319"/>
      <c r="G319"/>
      <c r="H319"/>
      <c r="I319"/>
      <c r="J319"/>
      <c r="K319"/>
    </row>
    <row r="320" spans="1:11">
      <c r="A320"/>
      <c r="B320"/>
      <c r="C320"/>
      <c r="D320"/>
      <c r="E320"/>
      <c r="F320"/>
      <c r="G320"/>
      <c r="H320"/>
      <c r="I320"/>
      <c r="J320"/>
      <c r="K320"/>
    </row>
    <row r="321" spans="1:11">
      <c r="A321"/>
      <c r="B321"/>
      <c r="C321"/>
      <c r="D321"/>
      <c r="E321"/>
      <c r="F321"/>
      <c r="G321"/>
      <c r="H321"/>
      <c r="I321"/>
      <c r="J321"/>
      <c r="K321"/>
    </row>
    <row r="322" spans="1:11">
      <c r="A322"/>
      <c r="B322"/>
      <c r="C322"/>
      <c r="D322"/>
      <c r="E322"/>
      <c r="F322"/>
      <c r="G322"/>
      <c r="H322"/>
      <c r="I322"/>
      <c r="J322"/>
      <c r="K322"/>
    </row>
    <row r="323" spans="1:11">
      <c r="A323"/>
      <c r="B323"/>
      <c r="C323"/>
      <c r="D323"/>
      <c r="E323"/>
      <c r="F323"/>
      <c r="G323"/>
      <c r="H323"/>
      <c r="I323"/>
      <c r="J323"/>
      <c r="K323"/>
    </row>
    <row r="324" spans="1:11">
      <c r="A324"/>
      <c r="B324"/>
      <c r="C324"/>
      <c r="D324"/>
      <c r="E324"/>
      <c r="F324"/>
      <c r="G324"/>
      <c r="H324"/>
      <c r="I324"/>
      <c r="J324"/>
      <c r="K324"/>
    </row>
    <row r="325" spans="1:11">
      <c r="A325"/>
      <c r="B325"/>
      <c r="C325"/>
      <c r="D325"/>
      <c r="E325"/>
      <c r="F325"/>
      <c r="G325"/>
      <c r="H325"/>
      <c r="I325"/>
      <c r="J325"/>
      <c r="K325"/>
    </row>
    <row r="326" spans="1:11">
      <c r="A326"/>
      <c r="B326"/>
      <c r="C326"/>
      <c r="D326"/>
      <c r="E326"/>
      <c r="F326"/>
      <c r="G326"/>
      <c r="H326"/>
      <c r="I326"/>
      <c r="J326"/>
      <c r="K326"/>
    </row>
    <row r="327" spans="1:11">
      <c r="A327"/>
      <c r="B327"/>
      <c r="C327"/>
      <c r="D327"/>
      <c r="E327"/>
      <c r="F327"/>
      <c r="G327"/>
      <c r="H327"/>
      <c r="I327"/>
      <c r="J327"/>
      <c r="K327"/>
    </row>
    <row r="328" spans="1:11">
      <c r="A328"/>
      <c r="B328"/>
      <c r="C328"/>
      <c r="D328"/>
      <c r="E328"/>
      <c r="F328"/>
      <c r="G328"/>
      <c r="H328"/>
      <c r="I328"/>
      <c r="J328"/>
      <c r="K328"/>
    </row>
    <row r="329" spans="1:11">
      <c r="A329"/>
      <c r="B329"/>
      <c r="C329"/>
      <c r="D329"/>
      <c r="E329"/>
      <c r="F329"/>
      <c r="G329"/>
      <c r="H329"/>
      <c r="I329"/>
      <c r="J329"/>
      <c r="K329"/>
    </row>
    <row r="330" spans="1:11">
      <c r="A330"/>
      <c r="B330"/>
      <c r="C330"/>
      <c r="D330"/>
      <c r="E330"/>
      <c r="F330"/>
      <c r="G330"/>
      <c r="H330"/>
      <c r="I330"/>
      <c r="J330"/>
      <c r="K330"/>
    </row>
    <row r="331" spans="1:11">
      <c r="A331"/>
      <c r="B331"/>
      <c r="C331"/>
      <c r="D331"/>
      <c r="E331"/>
      <c r="F331"/>
      <c r="G331"/>
      <c r="H331"/>
      <c r="I331"/>
      <c r="J331"/>
      <c r="K331"/>
    </row>
    <row r="332" spans="1:11">
      <c r="A332"/>
      <c r="B332"/>
      <c r="C332"/>
      <c r="D332"/>
      <c r="E332"/>
      <c r="F332"/>
      <c r="G332"/>
      <c r="H332"/>
      <c r="I332"/>
      <c r="J332"/>
      <c r="K332"/>
    </row>
    <row r="333" spans="1:11">
      <c r="A333"/>
      <c r="B333"/>
      <c r="C333"/>
      <c r="D333"/>
      <c r="E333"/>
      <c r="F333"/>
      <c r="G333"/>
      <c r="H333"/>
      <c r="I333"/>
      <c r="J333"/>
      <c r="K333"/>
    </row>
    <row r="334" spans="1:11">
      <c r="A334"/>
      <c r="B334"/>
      <c r="C334"/>
      <c r="D334"/>
      <c r="E334"/>
      <c r="F334"/>
      <c r="G334"/>
      <c r="H334"/>
      <c r="I334"/>
      <c r="J334"/>
      <c r="K334"/>
    </row>
    <row r="335" spans="1:11">
      <c r="A335"/>
      <c r="B335"/>
      <c r="C335"/>
      <c r="D335"/>
      <c r="E335"/>
      <c r="F335"/>
      <c r="G335"/>
      <c r="H335"/>
      <c r="I335"/>
      <c r="J335"/>
      <c r="K335"/>
    </row>
    <row r="336" spans="1:11">
      <c r="A336"/>
      <c r="B336"/>
      <c r="C336"/>
      <c r="D336"/>
      <c r="E336"/>
      <c r="F336"/>
      <c r="G336"/>
      <c r="H336"/>
      <c r="I336"/>
      <c r="J336"/>
      <c r="K336"/>
    </row>
    <row r="337" spans="1:11">
      <c r="A337"/>
      <c r="B337"/>
      <c r="C337"/>
      <c r="D337"/>
      <c r="E337"/>
      <c r="F337"/>
      <c r="G337"/>
      <c r="H337"/>
      <c r="I337"/>
      <c r="J337"/>
      <c r="K337"/>
    </row>
    <row r="338" spans="1:11">
      <c r="A338"/>
      <c r="B338"/>
      <c r="C338"/>
      <c r="D338"/>
      <c r="E338"/>
      <c r="F338"/>
      <c r="G338"/>
      <c r="H338"/>
      <c r="I338"/>
      <c r="J338"/>
      <c r="K338"/>
    </row>
    <row r="339" spans="1:11">
      <c r="A339"/>
      <c r="B339"/>
      <c r="C339"/>
      <c r="D339"/>
      <c r="E339"/>
      <c r="F339"/>
      <c r="G339"/>
      <c r="H339"/>
      <c r="I339"/>
      <c r="J339"/>
      <c r="K339"/>
    </row>
    <row r="340" spans="1:11">
      <c r="A340"/>
      <c r="B340"/>
      <c r="C340"/>
      <c r="D340"/>
      <c r="E340"/>
      <c r="F340"/>
      <c r="G340"/>
      <c r="H340"/>
      <c r="I340"/>
      <c r="J340"/>
      <c r="K340"/>
    </row>
    <row r="341" spans="1:11">
      <c r="A341"/>
      <c r="B341"/>
      <c r="C341"/>
      <c r="D341"/>
      <c r="E341"/>
      <c r="F341"/>
      <c r="G341"/>
      <c r="H341"/>
      <c r="I341"/>
      <c r="J341"/>
      <c r="K341"/>
    </row>
    <row r="342" spans="1:11">
      <c r="A342"/>
      <c r="B342"/>
      <c r="C342"/>
      <c r="D342"/>
      <c r="E342"/>
      <c r="F342"/>
      <c r="G342"/>
      <c r="H342"/>
      <c r="I342"/>
      <c r="J342"/>
      <c r="K342"/>
    </row>
    <row r="343" spans="1:11">
      <c r="A343"/>
      <c r="B343"/>
      <c r="C343"/>
      <c r="D343"/>
      <c r="E343"/>
      <c r="F343"/>
      <c r="G343"/>
      <c r="H343"/>
      <c r="I343"/>
      <c r="J343"/>
      <c r="K343"/>
    </row>
    <row r="344" spans="1:11">
      <c r="A344"/>
      <c r="B344"/>
      <c r="C344"/>
      <c r="D344"/>
      <c r="E344"/>
      <c r="F344"/>
      <c r="G344"/>
      <c r="H344"/>
      <c r="I344"/>
      <c r="J344"/>
      <c r="K344"/>
    </row>
    <row r="345" spans="1:11">
      <c r="A345"/>
      <c r="B345"/>
      <c r="C345"/>
      <c r="D345"/>
      <c r="E345"/>
      <c r="F345"/>
      <c r="G345"/>
      <c r="H345"/>
      <c r="I345"/>
      <c r="J345"/>
      <c r="K345"/>
    </row>
    <row r="346" spans="1:11">
      <c r="A346"/>
      <c r="B346"/>
      <c r="C346"/>
      <c r="D346"/>
      <c r="E346"/>
      <c r="F346"/>
      <c r="G346"/>
      <c r="H346"/>
      <c r="I346"/>
      <c r="J346"/>
      <c r="K346"/>
    </row>
    <row r="347" spans="1:11">
      <c r="A347"/>
      <c r="B347"/>
      <c r="C347"/>
      <c r="D347"/>
      <c r="E347"/>
      <c r="F347"/>
      <c r="G347"/>
      <c r="H347"/>
      <c r="I347"/>
      <c r="J347"/>
      <c r="K347"/>
    </row>
    <row r="348" spans="1:11">
      <c r="A348"/>
      <c r="B348"/>
      <c r="C348"/>
      <c r="D348"/>
      <c r="E348"/>
      <c r="F348"/>
      <c r="G348"/>
      <c r="H348"/>
      <c r="I348"/>
      <c r="J348"/>
      <c r="K348"/>
    </row>
    <row r="349" spans="1:11">
      <c r="A349"/>
      <c r="B349"/>
      <c r="C349"/>
      <c r="D349"/>
      <c r="E349"/>
      <c r="F349"/>
      <c r="G349"/>
      <c r="H349"/>
      <c r="I349"/>
      <c r="J349"/>
      <c r="K349"/>
    </row>
    <row r="350" spans="1:11">
      <c r="A350"/>
      <c r="B350"/>
      <c r="C350"/>
      <c r="D350"/>
      <c r="E350"/>
      <c r="F350"/>
      <c r="G350"/>
      <c r="H350"/>
      <c r="I350"/>
      <c r="J350"/>
      <c r="K350"/>
    </row>
    <row r="351" spans="1:11">
      <c r="A351"/>
      <c r="B351"/>
      <c r="C351"/>
      <c r="D351"/>
      <c r="E351"/>
      <c r="F351"/>
      <c r="G351"/>
      <c r="H351"/>
      <c r="I351"/>
      <c r="J351"/>
      <c r="K351"/>
    </row>
    <row r="352" spans="1:11">
      <c r="A352"/>
      <c r="B352"/>
      <c r="C352"/>
      <c r="D352"/>
      <c r="E352"/>
      <c r="F352"/>
      <c r="G352"/>
      <c r="H352"/>
      <c r="I352"/>
      <c r="J352"/>
      <c r="K352"/>
    </row>
    <row r="353" spans="1:11">
      <c r="A353"/>
      <c r="B353"/>
      <c r="C353"/>
      <c r="D353"/>
      <c r="E353"/>
      <c r="F353"/>
      <c r="G353"/>
      <c r="H353"/>
      <c r="I353"/>
      <c r="J353"/>
      <c r="K353"/>
    </row>
    <row r="354" spans="1:11">
      <c r="A354"/>
      <c r="B354"/>
      <c r="C354"/>
      <c r="D354"/>
      <c r="E354"/>
      <c r="F354"/>
      <c r="G354"/>
      <c r="H354"/>
      <c r="I354"/>
      <c r="J354"/>
      <c r="K354"/>
    </row>
    <row r="355" spans="1:11">
      <c r="A355"/>
      <c r="B355"/>
      <c r="C355"/>
      <c r="D355"/>
      <c r="E355"/>
      <c r="F355"/>
      <c r="G355"/>
      <c r="H355"/>
      <c r="I355"/>
      <c r="J355"/>
      <c r="K355"/>
    </row>
    <row r="356" spans="1:11">
      <c r="A356"/>
      <c r="B356"/>
      <c r="C356"/>
      <c r="D356"/>
      <c r="E356"/>
      <c r="F356"/>
      <c r="G356"/>
      <c r="H356"/>
      <c r="I356"/>
      <c r="J356"/>
      <c r="K356"/>
    </row>
    <row r="357" spans="1:11">
      <c r="A357"/>
      <c r="B357"/>
      <c r="C357"/>
      <c r="D357"/>
      <c r="E357"/>
      <c r="F357"/>
      <c r="G357"/>
      <c r="H357"/>
      <c r="I357"/>
      <c r="J357"/>
      <c r="K357"/>
    </row>
    <row r="358" spans="1:11">
      <c r="A358"/>
      <c r="B358"/>
      <c r="C358"/>
      <c r="D358"/>
      <c r="E358"/>
      <c r="F358"/>
      <c r="G358"/>
      <c r="H358"/>
      <c r="I358"/>
      <c r="J358"/>
      <c r="K358"/>
    </row>
    <row r="359" spans="1:11">
      <c r="A359"/>
      <c r="B359"/>
      <c r="C359"/>
      <c r="D359"/>
      <c r="E359"/>
      <c r="F359"/>
      <c r="G359"/>
      <c r="H359"/>
      <c r="I359"/>
      <c r="J359"/>
      <c r="K359"/>
    </row>
    <row r="360" spans="1:11">
      <c r="A360"/>
      <c r="B360"/>
      <c r="C360"/>
      <c r="D360"/>
      <c r="E360"/>
      <c r="F360"/>
      <c r="G360"/>
      <c r="H360"/>
      <c r="I360"/>
      <c r="J360"/>
      <c r="K360"/>
    </row>
    <row r="361" spans="1:11">
      <c r="A361"/>
      <c r="B361"/>
      <c r="C361"/>
      <c r="D361"/>
      <c r="E361"/>
      <c r="F361"/>
      <c r="G361"/>
      <c r="H361"/>
      <c r="I361"/>
      <c r="J361"/>
      <c r="K361"/>
    </row>
    <row r="362" spans="1:11">
      <c r="A362"/>
      <c r="B362"/>
      <c r="C362"/>
      <c r="D362"/>
      <c r="E362"/>
      <c r="F362"/>
      <c r="G362"/>
      <c r="H362"/>
      <c r="I362"/>
      <c r="J362"/>
      <c r="K362"/>
    </row>
    <row r="363" spans="1:11">
      <c r="A363"/>
      <c r="B363"/>
      <c r="C363"/>
      <c r="D363"/>
      <c r="E363"/>
      <c r="F363"/>
      <c r="G363"/>
      <c r="H363"/>
      <c r="I363"/>
      <c r="J363"/>
      <c r="K363"/>
    </row>
    <row r="364" spans="1:11">
      <c r="A364"/>
      <c r="B364"/>
      <c r="C364"/>
      <c r="D364"/>
      <c r="E364"/>
      <c r="F364"/>
      <c r="G364"/>
      <c r="H364"/>
      <c r="I364"/>
      <c r="J364"/>
      <c r="K364"/>
    </row>
    <row r="365" spans="1:11">
      <c r="A365"/>
      <c r="B365"/>
      <c r="C365"/>
      <c r="D365"/>
      <c r="E365"/>
      <c r="F365"/>
      <c r="G365"/>
      <c r="H365"/>
      <c r="I365"/>
      <c r="J365"/>
      <c r="K365"/>
    </row>
    <row r="366" spans="1:11">
      <c r="A366"/>
      <c r="B366"/>
      <c r="C366"/>
      <c r="D366"/>
      <c r="E366"/>
      <c r="F366"/>
      <c r="G366"/>
      <c r="H366"/>
      <c r="I366"/>
      <c r="J366"/>
      <c r="K366"/>
    </row>
    <row r="367" spans="1:11">
      <c r="A367"/>
      <c r="B367"/>
      <c r="C367"/>
      <c r="D367"/>
      <c r="E367"/>
      <c r="F367"/>
      <c r="G367"/>
      <c r="H367"/>
      <c r="I367"/>
      <c r="J367"/>
      <c r="K367"/>
    </row>
    <row r="368" spans="1:11">
      <c r="A368"/>
      <c r="B368"/>
      <c r="C368"/>
      <c r="D368"/>
      <c r="E368"/>
      <c r="F368"/>
      <c r="G368"/>
      <c r="H368"/>
      <c r="I368"/>
      <c r="J368"/>
      <c r="K368"/>
    </row>
    <row r="369" spans="1:11">
      <c r="A369"/>
      <c r="B369"/>
      <c r="C369"/>
      <c r="D369"/>
      <c r="E369"/>
      <c r="F369"/>
      <c r="G369"/>
      <c r="H369"/>
      <c r="I369"/>
      <c r="J369"/>
      <c r="K369"/>
    </row>
    <row r="370" spans="1:11">
      <c r="A370"/>
      <c r="B370"/>
      <c r="C370"/>
      <c r="D370"/>
      <c r="E370"/>
      <c r="F370"/>
      <c r="G370"/>
      <c r="H370"/>
      <c r="I370"/>
      <c r="J370"/>
      <c r="K370"/>
    </row>
    <row r="371" spans="1:11">
      <c r="A371"/>
      <c r="B371"/>
      <c r="C371"/>
      <c r="D371"/>
      <c r="E371"/>
      <c r="F371"/>
      <c r="G371"/>
      <c r="H371"/>
      <c r="I371"/>
      <c r="J371"/>
      <c r="K371"/>
    </row>
    <row r="372" spans="1:11">
      <c r="A372"/>
      <c r="B372"/>
      <c r="C372"/>
      <c r="D372"/>
      <c r="E372"/>
      <c r="F372"/>
      <c r="G372"/>
      <c r="H372"/>
      <c r="I372"/>
      <c r="J372"/>
      <c r="K372"/>
    </row>
    <row r="373" spans="1:11">
      <c r="A373"/>
      <c r="B373"/>
      <c r="C373"/>
      <c r="D373"/>
      <c r="E373"/>
      <c r="F373"/>
      <c r="G373"/>
      <c r="H373"/>
      <c r="I373"/>
      <c r="J373"/>
      <c r="K373"/>
    </row>
    <row r="374" spans="1:11">
      <c r="A374"/>
      <c r="B374"/>
      <c r="C374"/>
      <c r="D374"/>
      <c r="E374"/>
      <c r="F374"/>
      <c r="G374"/>
      <c r="H374"/>
      <c r="I374"/>
      <c r="J374"/>
      <c r="K374"/>
    </row>
    <row r="375" spans="1:11">
      <c r="A375"/>
      <c r="B375"/>
      <c r="C375"/>
      <c r="D375"/>
      <c r="E375"/>
      <c r="F375"/>
      <c r="G375"/>
      <c r="H375"/>
      <c r="I375"/>
      <c r="J375"/>
      <c r="K375"/>
    </row>
    <row r="376" spans="1:11">
      <c r="A376"/>
      <c r="B376"/>
      <c r="C376"/>
      <c r="D376"/>
      <c r="E376"/>
      <c r="F376"/>
      <c r="G376"/>
      <c r="H376"/>
      <c r="I376"/>
      <c r="J376"/>
      <c r="K376"/>
    </row>
    <row r="377" spans="1:11">
      <c r="A377"/>
      <c r="B377"/>
      <c r="C377"/>
      <c r="D377"/>
      <c r="E377"/>
      <c r="F377"/>
      <c r="G377"/>
      <c r="H377"/>
      <c r="I377"/>
      <c r="J377"/>
      <c r="K377"/>
    </row>
    <row r="378" spans="1:11">
      <c r="A378"/>
      <c r="B378"/>
      <c r="C378"/>
      <c r="D378"/>
      <c r="E378"/>
      <c r="F378"/>
      <c r="G378"/>
      <c r="H378"/>
      <c r="I378"/>
      <c r="J378"/>
      <c r="K378"/>
    </row>
    <row r="379" spans="1:11">
      <c r="A379"/>
      <c r="B379"/>
      <c r="C379"/>
      <c r="D379"/>
      <c r="E379"/>
      <c r="F379"/>
      <c r="G379"/>
      <c r="H379"/>
      <c r="I379"/>
      <c r="J379"/>
      <c r="K379"/>
    </row>
    <row r="380" spans="1:11">
      <c r="A380"/>
      <c r="B380"/>
      <c r="C380"/>
      <c r="D380"/>
      <c r="E380"/>
      <c r="F380"/>
      <c r="G380"/>
      <c r="H380"/>
      <c r="I380"/>
      <c r="J380"/>
      <c r="K380"/>
    </row>
    <row r="381" spans="1:11">
      <c r="A381"/>
      <c r="B381"/>
      <c r="C381"/>
      <c r="D381"/>
      <c r="E381"/>
      <c r="F381"/>
      <c r="G381"/>
      <c r="H381"/>
      <c r="I381"/>
      <c r="J381"/>
      <c r="K381"/>
    </row>
    <row r="382" spans="1:11">
      <c r="A382"/>
      <c r="B382"/>
      <c r="C382"/>
      <c r="D382"/>
      <c r="E382"/>
      <c r="F382"/>
      <c r="G382"/>
      <c r="H382"/>
      <c r="I382"/>
      <c r="J382"/>
      <c r="K382"/>
    </row>
    <row r="383" spans="1:11">
      <c r="A383"/>
      <c r="B383"/>
      <c r="C383"/>
      <c r="D383"/>
      <c r="E383"/>
      <c r="F383"/>
      <c r="G383"/>
      <c r="H383"/>
      <c r="I383"/>
      <c r="J383"/>
      <c r="K383"/>
    </row>
    <row r="384" spans="1:11">
      <c r="A384"/>
      <c r="B384"/>
      <c r="C384"/>
      <c r="D384"/>
      <c r="E384"/>
      <c r="F384"/>
      <c r="G384"/>
      <c r="H384"/>
      <c r="I384"/>
      <c r="J384"/>
      <c r="K384"/>
    </row>
    <row r="385" spans="1:11">
      <c r="A385"/>
      <c r="B385"/>
      <c r="C385"/>
      <c r="D385"/>
      <c r="E385"/>
      <c r="F385"/>
      <c r="G385"/>
      <c r="H385"/>
      <c r="I385"/>
      <c r="J385"/>
      <c r="K385"/>
    </row>
    <row r="386" spans="1:11">
      <c r="A386"/>
      <c r="B386"/>
      <c r="C386"/>
      <c r="D386"/>
      <c r="E386"/>
      <c r="F386"/>
      <c r="G386"/>
      <c r="H386"/>
      <c r="I386"/>
      <c r="J386"/>
      <c r="K386"/>
    </row>
    <row r="387" spans="1:11">
      <c r="A387"/>
      <c r="B387"/>
      <c r="C387"/>
      <c r="D387"/>
      <c r="E387"/>
      <c r="F387"/>
      <c r="G387"/>
      <c r="H387"/>
      <c r="I387"/>
      <c r="J387"/>
      <c r="K387"/>
    </row>
    <row r="388" spans="1:11">
      <c r="A388"/>
      <c r="B388"/>
      <c r="C388"/>
      <c r="D388"/>
      <c r="E388"/>
      <c r="F388"/>
      <c r="G388"/>
      <c r="H388"/>
      <c r="I388"/>
      <c r="J388"/>
      <c r="K388"/>
    </row>
    <row r="389" spans="1:11">
      <c r="A389"/>
      <c r="B389"/>
      <c r="C389"/>
      <c r="D389"/>
      <c r="E389"/>
      <c r="F389"/>
      <c r="G389"/>
      <c r="H389"/>
      <c r="I389"/>
      <c r="J389"/>
      <c r="K389"/>
    </row>
    <row r="390" spans="1:11">
      <c r="A390"/>
      <c r="B390"/>
      <c r="C390"/>
      <c r="D390"/>
      <c r="E390"/>
      <c r="F390"/>
      <c r="G390"/>
      <c r="H390"/>
      <c r="I390"/>
      <c r="J390"/>
      <c r="K390"/>
    </row>
    <row r="391" spans="1:11">
      <c r="A391"/>
      <c r="B391"/>
      <c r="C391"/>
      <c r="D391"/>
      <c r="E391"/>
      <c r="F391"/>
      <c r="G391"/>
      <c r="H391"/>
      <c r="I391"/>
      <c r="J391"/>
      <c r="K391"/>
    </row>
    <row r="392" spans="1:11">
      <c r="A392"/>
      <c r="B392"/>
      <c r="C392"/>
      <c r="D392"/>
      <c r="E392"/>
      <c r="F392"/>
      <c r="G392"/>
      <c r="H392"/>
      <c r="I392"/>
      <c r="J392"/>
      <c r="K392"/>
    </row>
    <row r="393" spans="1:11">
      <c r="A393"/>
      <c r="B393"/>
      <c r="C393"/>
      <c r="D393"/>
      <c r="E393"/>
      <c r="F393"/>
      <c r="G393"/>
      <c r="H393"/>
      <c r="I393"/>
      <c r="J393"/>
      <c r="K393"/>
    </row>
    <row r="394" spans="1:11">
      <c r="A394"/>
      <c r="B394"/>
      <c r="C394"/>
      <c r="D394"/>
      <c r="E394"/>
      <c r="F394"/>
      <c r="G394"/>
      <c r="H394"/>
      <c r="I394"/>
      <c r="J394"/>
      <c r="K394"/>
    </row>
    <row r="395" spans="1:11">
      <c r="A395"/>
      <c r="B395"/>
      <c r="C395"/>
      <c r="D395"/>
      <c r="E395"/>
      <c r="F395"/>
      <c r="G395"/>
      <c r="H395"/>
      <c r="I395"/>
      <c r="J395"/>
      <c r="K395"/>
    </row>
    <row r="396" spans="1:11">
      <c r="A396"/>
      <c r="B396"/>
      <c r="C396"/>
      <c r="D396"/>
      <c r="E396"/>
      <c r="F396"/>
      <c r="G396"/>
      <c r="H396"/>
      <c r="I396"/>
      <c r="J396"/>
      <c r="K396"/>
    </row>
    <row r="397" spans="1:11">
      <c r="A397"/>
      <c r="B397"/>
      <c r="C397"/>
      <c r="D397"/>
      <c r="E397"/>
      <c r="F397"/>
      <c r="G397"/>
      <c r="H397"/>
      <c r="I397"/>
      <c r="J397"/>
      <c r="K397"/>
    </row>
    <row r="398" spans="1:11">
      <c r="A398"/>
      <c r="B398"/>
      <c r="C398"/>
      <c r="D398"/>
      <c r="E398"/>
      <c r="F398"/>
      <c r="G398"/>
      <c r="H398"/>
      <c r="I398"/>
      <c r="J398"/>
      <c r="K398"/>
    </row>
    <row r="399" spans="1:11">
      <c r="A399"/>
      <c r="B399"/>
      <c r="C399"/>
      <c r="D399"/>
      <c r="E399"/>
      <c r="F399"/>
      <c r="G399"/>
      <c r="H399"/>
      <c r="I399"/>
      <c r="J399"/>
      <c r="K399"/>
    </row>
    <row r="400" spans="1:11">
      <c r="A400"/>
      <c r="B400"/>
      <c r="C400"/>
      <c r="D400"/>
      <c r="E400"/>
      <c r="F400"/>
      <c r="G400"/>
      <c r="H400"/>
      <c r="I400"/>
      <c r="J400"/>
      <c r="K400"/>
    </row>
    <row r="401" spans="1:11">
      <c r="A401"/>
      <c r="B401"/>
      <c r="C401"/>
      <c r="D401"/>
      <c r="E401"/>
      <c r="F401"/>
      <c r="G401"/>
      <c r="H401"/>
      <c r="I401"/>
      <c r="J401"/>
      <c r="K401"/>
    </row>
    <row r="402" spans="1:11">
      <c r="A402"/>
      <c r="B402"/>
      <c r="C402"/>
      <c r="D402"/>
      <c r="E402"/>
      <c r="F402"/>
      <c r="G402"/>
      <c r="H402"/>
      <c r="I402"/>
      <c r="J402"/>
      <c r="K402"/>
    </row>
    <row r="403" spans="1:11">
      <c r="A403"/>
      <c r="B403"/>
      <c r="C403"/>
      <c r="D403"/>
      <c r="E403"/>
      <c r="F403"/>
      <c r="G403"/>
      <c r="H403"/>
      <c r="I403"/>
      <c r="J403"/>
      <c r="K403"/>
    </row>
    <row r="404" spans="1:11">
      <c r="A404"/>
      <c r="B404"/>
      <c r="C404"/>
      <c r="D404"/>
      <c r="E404"/>
      <c r="F404"/>
      <c r="G404"/>
      <c r="H404"/>
      <c r="I404"/>
      <c r="J404"/>
      <c r="K404"/>
    </row>
    <row r="405" spans="1:11">
      <c r="A405"/>
      <c r="B405"/>
      <c r="C405"/>
      <c r="D405"/>
      <c r="E405"/>
      <c r="F405"/>
      <c r="G405"/>
      <c r="H405"/>
      <c r="I405"/>
      <c r="J405"/>
      <c r="K405"/>
    </row>
    <row r="406" spans="1:11">
      <c r="A406"/>
      <c r="B406"/>
      <c r="C406"/>
      <c r="D406"/>
      <c r="E406"/>
      <c r="F406"/>
      <c r="G406"/>
      <c r="H406"/>
      <c r="I406"/>
      <c r="J406"/>
      <c r="K406"/>
    </row>
    <row r="407" spans="1:11">
      <c r="A407"/>
      <c r="B407"/>
      <c r="C407"/>
      <c r="D407"/>
      <c r="E407"/>
      <c r="F407"/>
      <c r="G407"/>
      <c r="H407"/>
      <c r="I407"/>
      <c r="J407"/>
      <c r="K407"/>
    </row>
    <row r="408" spans="1:11">
      <c r="A408"/>
      <c r="B408"/>
      <c r="C408"/>
      <c r="D408"/>
      <c r="E408"/>
      <c r="F408"/>
      <c r="G408"/>
      <c r="H408"/>
      <c r="I408"/>
      <c r="J408"/>
      <c r="K408"/>
    </row>
    <row r="409" spans="1:11">
      <c r="A409"/>
      <c r="B409"/>
      <c r="C409"/>
      <c r="D409"/>
      <c r="E409"/>
      <c r="F409"/>
      <c r="G409"/>
      <c r="H409"/>
      <c r="I409"/>
      <c r="J409"/>
      <c r="K409"/>
    </row>
    <row r="410" spans="1:11">
      <c r="A410"/>
      <c r="B410"/>
      <c r="C410"/>
      <c r="D410"/>
      <c r="E410"/>
      <c r="F410"/>
      <c r="G410"/>
      <c r="H410"/>
      <c r="I410"/>
      <c r="J410"/>
      <c r="K410"/>
    </row>
    <row r="411" spans="1:11">
      <c r="A411"/>
      <c r="B411"/>
      <c r="C411"/>
      <c r="D411"/>
      <c r="E411"/>
      <c r="F411"/>
      <c r="G411"/>
      <c r="H411"/>
      <c r="I411"/>
      <c r="J411"/>
      <c r="K411"/>
    </row>
    <row r="412" spans="1:11">
      <c r="A412"/>
      <c r="B412"/>
      <c r="C412"/>
      <c r="D412"/>
      <c r="E412"/>
      <c r="F412"/>
      <c r="G412"/>
      <c r="H412"/>
      <c r="I412"/>
      <c r="J412"/>
      <c r="K412"/>
    </row>
    <row r="413" spans="1:11">
      <c r="A413"/>
      <c r="B413"/>
      <c r="C413"/>
      <c r="D413"/>
      <c r="E413"/>
      <c r="F413"/>
      <c r="G413"/>
      <c r="H413"/>
      <c r="I413"/>
      <c r="J413"/>
      <c r="K413"/>
    </row>
    <row r="414" spans="1:11">
      <c r="A414"/>
      <c r="B414"/>
      <c r="C414"/>
      <c r="D414"/>
      <c r="E414"/>
      <c r="F414"/>
      <c r="G414"/>
      <c r="H414"/>
      <c r="I414"/>
      <c r="J414"/>
      <c r="K414"/>
    </row>
    <row r="415" spans="1:11">
      <c r="A415"/>
      <c r="B415"/>
      <c r="C415"/>
      <c r="D415"/>
      <c r="E415"/>
      <c r="F415"/>
      <c r="G415"/>
      <c r="H415"/>
      <c r="I415"/>
      <c r="J415"/>
      <c r="K415"/>
    </row>
    <row r="416" spans="1:11">
      <c r="A416"/>
      <c r="B416"/>
      <c r="C416"/>
      <c r="D416"/>
      <c r="E416"/>
      <c r="F416"/>
      <c r="G416"/>
      <c r="H416"/>
      <c r="I416"/>
      <c r="J416"/>
      <c r="K416"/>
    </row>
    <row r="417" spans="1:11">
      <c r="A417"/>
      <c r="B417"/>
      <c r="C417"/>
      <c r="D417"/>
      <c r="E417"/>
      <c r="F417"/>
      <c r="G417"/>
      <c r="H417"/>
      <c r="I417"/>
      <c r="J417"/>
      <c r="K417"/>
    </row>
    <row r="418" spans="1:11">
      <c r="A418"/>
      <c r="B418"/>
      <c r="C418"/>
      <c r="D418"/>
      <c r="E418"/>
      <c r="F418"/>
      <c r="G418"/>
      <c r="H418"/>
      <c r="I418"/>
      <c r="J418"/>
      <c r="K418"/>
    </row>
    <row r="419" spans="1:11">
      <c r="A419"/>
      <c r="B419"/>
      <c r="C419"/>
      <c r="D419"/>
      <c r="E419"/>
      <c r="F419"/>
      <c r="G419"/>
      <c r="H419"/>
      <c r="I419"/>
      <c r="J419"/>
      <c r="K419"/>
    </row>
    <row r="420" spans="1:11">
      <c r="A420"/>
      <c r="B420"/>
      <c r="C420"/>
      <c r="D420"/>
      <c r="E420"/>
      <c r="F420"/>
      <c r="G420"/>
      <c r="H420"/>
      <c r="I420"/>
      <c r="J420"/>
      <c r="K420"/>
    </row>
    <row r="421" spans="1:11">
      <c r="A421"/>
      <c r="B421"/>
      <c r="C421"/>
      <c r="D421"/>
      <c r="E421"/>
      <c r="F421"/>
      <c r="G421"/>
      <c r="H421"/>
      <c r="I421"/>
      <c r="J421"/>
      <c r="K421"/>
    </row>
    <row r="422" spans="1:11">
      <c r="A422"/>
      <c r="B422"/>
      <c r="C422"/>
      <c r="D422"/>
      <c r="E422"/>
      <c r="F422"/>
      <c r="G422"/>
      <c r="H422"/>
      <c r="I422"/>
      <c r="J422"/>
      <c r="K422"/>
    </row>
    <row r="423" spans="1:11">
      <c r="A423"/>
      <c r="B423"/>
      <c r="C423"/>
      <c r="D423"/>
      <c r="E423"/>
      <c r="F423"/>
      <c r="G423"/>
      <c r="H423"/>
      <c r="I423"/>
      <c r="J423"/>
      <c r="K423"/>
    </row>
    <row r="424" spans="1:11">
      <c r="A424"/>
      <c r="B424"/>
      <c r="C424"/>
      <c r="D424"/>
      <c r="E424"/>
      <c r="F424"/>
      <c r="G424"/>
      <c r="H424"/>
      <c r="I424"/>
      <c r="J424"/>
      <c r="K424"/>
    </row>
    <row r="425" spans="1:11">
      <c r="A425"/>
      <c r="B425"/>
      <c r="C425"/>
      <c r="D425"/>
      <c r="E425"/>
      <c r="F425"/>
      <c r="G425"/>
      <c r="H425"/>
      <c r="I425"/>
      <c r="J425"/>
      <c r="K425"/>
    </row>
    <row r="426" spans="1:11">
      <c r="A426"/>
      <c r="B426"/>
      <c r="C426"/>
      <c r="D426"/>
      <c r="E426"/>
      <c r="F426"/>
      <c r="G426"/>
      <c r="H426"/>
      <c r="I426"/>
      <c r="J426"/>
      <c r="K426"/>
    </row>
    <row r="427" spans="1:11">
      <c r="A427"/>
      <c r="B427"/>
      <c r="C427"/>
      <c r="D427"/>
      <c r="E427"/>
      <c r="F427"/>
      <c r="G427"/>
      <c r="H427"/>
      <c r="I427"/>
      <c r="J427"/>
      <c r="K427"/>
    </row>
    <row r="428" spans="1:11">
      <c r="A428"/>
      <c r="B428"/>
      <c r="C428"/>
      <c r="D428"/>
      <c r="E428"/>
      <c r="F428"/>
      <c r="G428"/>
      <c r="H428"/>
      <c r="I428"/>
      <c r="J428"/>
      <c r="K428"/>
    </row>
    <row r="429" spans="1:11">
      <c r="A429"/>
      <c r="B429"/>
      <c r="C429"/>
      <c r="D429"/>
      <c r="E429"/>
      <c r="F429"/>
      <c r="G429"/>
      <c r="H429"/>
      <c r="I429"/>
      <c r="J429"/>
      <c r="K429"/>
    </row>
    <row r="430" spans="1:11">
      <c r="A430"/>
      <c r="B430"/>
      <c r="C430"/>
      <c r="D430"/>
      <c r="E430"/>
      <c r="F430"/>
      <c r="G430"/>
      <c r="H430"/>
      <c r="I430"/>
      <c r="J430"/>
      <c r="K430"/>
    </row>
    <row r="431" spans="1:11">
      <c r="A431"/>
      <c r="B431"/>
      <c r="C431"/>
      <c r="D431"/>
      <c r="E431"/>
      <c r="F431"/>
      <c r="G431"/>
      <c r="H431"/>
      <c r="I431"/>
      <c r="J431"/>
      <c r="K431"/>
    </row>
    <row r="432" spans="1:11">
      <c r="A432"/>
      <c r="B432"/>
      <c r="C432"/>
      <c r="D432"/>
      <c r="E432"/>
      <c r="F432"/>
      <c r="G432"/>
      <c r="H432"/>
      <c r="I432"/>
      <c r="J432"/>
      <c r="K432"/>
    </row>
    <row r="433" spans="1:11">
      <c r="A433"/>
      <c r="B433"/>
      <c r="C433"/>
      <c r="D433"/>
      <c r="E433"/>
      <c r="F433"/>
      <c r="G433"/>
      <c r="H433"/>
      <c r="I433"/>
      <c r="J433"/>
      <c r="K433"/>
    </row>
    <row r="434" spans="1:11">
      <c r="A434"/>
      <c r="B434"/>
      <c r="C434"/>
      <c r="D434"/>
      <c r="E434"/>
      <c r="F434"/>
      <c r="G434"/>
      <c r="H434"/>
      <c r="I434"/>
      <c r="J434"/>
      <c r="K434"/>
    </row>
    <row r="435" spans="1:11">
      <c r="A435"/>
      <c r="B435"/>
      <c r="C435"/>
      <c r="D435"/>
      <c r="E435"/>
      <c r="F435"/>
      <c r="G435"/>
      <c r="H435"/>
      <c r="I435"/>
      <c r="J435"/>
      <c r="K435"/>
    </row>
    <row r="436" spans="1:11">
      <c r="A436"/>
      <c r="B436"/>
      <c r="C436"/>
      <c r="D436"/>
      <c r="E436"/>
      <c r="F436"/>
      <c r="G436"/>
      <c r="H436"/>
      <c r="I436"/>
      <c r="J436"/>
      <c r="K436"/>
    </row>
    <row r="437" spans="1:11">
      <c r="A437"/>
      <c r="B437"/>
      <c r="C437"/>
      <c r="D437"/>
      <c r="E437"/>
      <c r="F437"/>
      <c r="G437"/>
      <c r="H437"/>
      <c r="I437"/>
      <c r="J437"/>
      <c r="K437"/>
    </row>
    <row r="438" spans="1:11">
      <c r="A438"/>
      <c r="B438"/>
      <c r="C438"/>
      <c r="D438"/>
      <c r="E438"/>
      <c r="F438"/>
      <c r="G438"/>
      <c r="H438"/>
      <c r="I438"/>
      <c r="J438"/>
      <c r="K438"/>
    </row>
    <row r="439" spans="1:11">
      <c r="A439"/>
      <c r="B439"/>
      <c r="C439"/>
      <c r="D439"/>
      <c r="E439"/>
      <c r="F439"/>
      <c r="G439"/>
      <c r="H439"/>
      <c r="I439"/>
      <c r="J439"/>
      <c r="K439"/>
    </row>
    <row r="440" spans="1:11">
      <c r="A440"/>
      <c r="B440"/>
      <c r="C440"/>
      <c r="D440"/>
      <c r="E440"/>
      <c r="F440"/>
      <c r="G440"/>
      <c r="H440"/>
      <c r="I440"/>
      <c r="J440"/>
      <c r="K440"/>
    </row>
    <row r="441" spans="1:11">
      <c r="A441"/>
      <c r="B441"/>
      <c r="C441"/>
      <c r="D441"/>
      <c r="E441"/>
      <c r="F441"/>
      <c r="G441"/>
      <c r="H441"/>
      <c r="I441"/>
      <c r="J441"/>
      <c r="K441"/>
    </row>
    <row r="442" spans="1:11">
      <c r="A442"/>
      <c r="B442"/>
      <c r="C442"/>
      <c r="D442"/>
      <c r="E442"/>
      <c r="F442"/>
      <c r="G442"/>
      <c r="H442"/>
      <c r="I442"/>
      <c r="J442"/>
      <c r="K442"/>
    </row>
    <row r="443" spans="1:11">
      <c r="A443"/>
      <c r="B443"/>
      <c r="C443"/>
      <c r="D443"/>
      <c r="E443"/>
      <c r="F443"/>
      <c r="G443"/>
      <c r="H443"/>
      <c r="I443"/>
      <c r="J443"/>
      <c r="K443"/>
    </row>
    <row r="444" spans="1:11">
      <c r="A444"/>
      <c r="B444"/>
      <c r="C444"/>
      <c r="D444"/>
      <c r="E444"/>
      <c r="F444"/>
      <c r="G444"/>
      <c r="H444"/>
      <c r="I444"/>
      <c r="J444"/>
      <c r="K444"/>
    </row>
    <row r="445" spans="1:11">
      <c r="A445"/>
      <c r="B445"/>
      <c r="C445"/>
      <c r="D445"/>
      <c r="E445"/>
      <c r="F445"/>
      <c r="G445"/>
      <c r="H445"/>
      <c r="I445"/>
      <c r="J445"/>
      <c r="K445"/>
    </row>
    <row r="446" spans="1:11">
      <c r="A446"/>
      <c r="B446"/>
      <c r="C446"/>
      <c r="D446"/>
      <c r="E446"/>
      <c r="F446"/>
      <c r="G446"/>
      <c r="H446"/>
      <c r="I446"/>
      <c r="J446"/>
      <c r="K446"/>
    </row>
    <row r="447" spans="1:11">
      <c r="A447"/>
      <c r="B447"/>
      <c r="C447"/>
      <c r="D447"/>
      <c r="E447"/>
      <c r="F447"/>
      <c r="G447"/>
      <c r="H447"/>
      <c r="I447"/>
      <c r="J447"/>
      <c r="K447"/>
    </row>
    <row r="448" spans="1:11">
      <c r="A448"/>
      <c r="B448"/>
      <c r="C448"/>
      <c r="D448"/>
      <c r="E448"/>
      <c r="F448"/>
      <c r="G448"/>
      <c r="H448"/>
      <c r="I448"/>
      <c r="J448"/>
      <c r="K448"/>
    </row>
    <row r="449" spans="1:11">
      <c r="A449"/>
      <c r="B449"/>
      <c r="C449"/>
      <c r="D449"/>
      <c r="E449"/>
      <c r="F449"/>
      <c r="G449"/>
      <c r="H449"/>
      <c r="I449"/>
      <c r="J449"/>
      <c r="K449"/>
    </row>
    <row r="450" spans="1:11">
      <c r="A450"/>
      <c r="B450"/>
      <c r="C450"/>
      <c r="D450"/>
      <c r="E450"/>
      <c r="F450"/>
      <c r="G450"/>
      <c r="H450"/>
      <c r="I450"/>
      <c r="J450"/>
      <c r="K450"/>
    </row>
    <row r="451" spans="1:11">
      <c r="A451"/>
      <c r="B451"/>
      <c r="C451"/>
      <c r="D451"/>
      <c r="E451"/>
      <c r="F451"/>
      <c r="G451"/>
      <c r="H451"/>
      <c r="I451"/>
      <c r="J451"/>
      <c r="K451"/>
    </row>
    <row r="452" spans="1:11">
      <c r="A452"/>
      <c r="B452"/>
      <c r="C452"/>
      <c r="D452"/>
      <c r="E452"/>
      <c r="F452"/>
      <c r="G452"/>
      <c r="H452"/>
      <c r="I452"/>
      <c r="J452"/>
      <c r="K452"/>
    </row>
    <row r="453" spans="1:11">
      <c r="A453"/>
      <c r="B453"/>
      <c r="C453"/>
      <c r="D453"/>
      <c r="E453"/>
      <c r="F453"/>
      <c r="G453"/>
      <c r="H453"/>
      <c r="I453"/>
      <c r="J453"/>
      <c r="K453"/>
    </row>
    <row r="454" spans="1:11">
      <c r="A454"/>
      <c r="B454"/>
      <c r="C454"/>
      <c r="D454"/>
      <c r="E454"/>
      <c r="F454"/>
      <c r="G454"/>
      <c r="H454"/>
      <c r="I454"/>
      <c r="J454"/>
      <c r="K454"/>
    </row>
    <row r="455" spans="1:11">
      <c r="A455"/>
      <c r="B455"/>
      <c r="C455"/>
      <c r="D455"/>
      <c r="E455"/>
      <c r="F455"/>
      <c r="G455"/>
      <c r="H455"/>
      <c r="I455"/>
      <c r="J455"/>
      <c r="K455"/>
    </row>
    <row r="456" spans="1:11">
      <c r="A456"/>
      <c r="B456"/>
      <c r="C456"/>
      <c r="D456"/>
      <c r="E456"/>
      <c r="F456"/>
      <c r="G456"/>
      <c r="H456"/>
      <c r="I456"/>
      <c r="J456"/>
      <c r="K456"/>
    </row>
    <row r="457" spans="1:11">
      <c r="A457"/>
      <c r="B457"/>
      <c r="C457"/>
      <c r="D457"/>
      <c r="E457"/>
      <c r="F457"/>
      <c r="G457"/>
      <c r="H457"/>
      <c r="I457"/>
      <c r="J457"/>
      <c r="K457"/>
    </row>
    <row r="458" spans="1:11">
      <c r="A458"/>
      <c r="B458"/>
      <c r="C458"/>
      <c r="D458"/>
      <c r="E458"/>
      <c r="F458"/>
      <c r="G458"/>
      <c r="H458"/>
      <c r="I458"/>
      <c r="J458"/>
      <c r="K458"/>
    </row>
    <row r="459" spans="1:11">
      <c r="A459"/>
      <c r="B459"/>
      <c r="C459"/>
      <c r="D459"/>
      <c r="E459"/>
      <c r="F459"/>
      <c r="G459"/>
      <c r="H459"/>
      <c r="I459"/>
      <c r="J459"/>
      <c r="K459"/>
    </row>
    <row r="460" spans="1:11">
      <c r="A460"/>
      <c r="B460"/>
      <c r="C460"/>
      <c r="D460"/>
      <c r="E460"/>
      <c r="F460"/>
      <c r="G460"/>
      <c r="H460"/>
      <c r="I460"/>
      <c r="J460"/>
      <c r="K460"/>
    </row>
    <row r="461" spans="1:11">
      <c r="A461"/>
      <c r="B461"/>
      <c r="C461"/>
      <c r="D461"/>
      <c r="E461"/>
      <c r="F461"/>
      <c r="G461"/>
      <c r="H461"/>
      <c r="I461"/>
      <c r="J461"/>
      <c r="K461"/>
    </row>
    <row r="462" spans="1:11">
      <c r="A462"/>
      <c r="B462"/>
      <c r="C462"/>
      <c r="D462"/>
      <c r="E462"/>
      <c r="F462"/>
      <c r="G462"/>
      <c r="H462"/>
      <c r="I462"/>
      <c r="J462"/>
      <c r="K462"/>
    </row>
    <row r="463" spans="1:11">
      <c r="A463"/>
      <c r="B463"/>
      <c r="C463"/>
      <c r="D463"/>
      <c r="E463"/>
      <c r="F463"/>
      <c r="G463"/>
      <c r="H463"/>
      <c r="I463"/>
      <c r="J463"/>
      <c r="K463"/>
    </row>
    <row r="464" spans="1:11">
      <c r="A464"/>
      <c r="B464"/>
      <c r="C464"/>
      <c r="D464"/>
      <c r="E464"/>
      <c r="F464"/>
      <c r="G464"/>
      <c r="H464"/>
      <c r="I464"/>
      <c r="J464"/>
      <c r="K464"/>
    </row>
    <row r="465" spans="1:11">
      <c r="A465"/>
      <c r="B465"/>
      <c r="C465"/>
      <c r="D465"/>
      <c r="E465"/>
      <c r="F465"/>
      <c r="G465"/>
      <c r="H465"/>
      <c r="I465"/>
      <c r="J465"/>
      <c r="K465"/>
    </row>
    <row r="466" spans="1:11">
      <c r="A466"/>
      <c r="B466"/>
      <c r="C466"/>
      <c r="D466"/>
      <c r="E466"/>
      <c r="F466"/>
      <c r="G466"/>
      <c r="H466"/>
      <c r="I466"/>
      <c r="J466"/>
      <c r="K466"/>
    </row>
    <row r="467" spans="1:11">
      <c r="A467"/>
      <c r="B467"/>
      <c r="C467"/>
      <c r="D467"/>
      <c r="E467"/>
      <c r="F467"/>
      <c r="G467"/>
      <c r="H467"/>
      <c r="I467"/>
      <c r="J467"/>
      <c r="K467"/>
    </row>
    <row r="468" spans="1:11">
      <c r="A468"/>
      <c r="B468"/>
      <c r="C468"/>
      <c r="D468"/>
      <c r="E468"/>
      <c r="F468"/>
      <c r="G468"/>
      <c r="H468"/>
      <c r="I468"/>
      <c r="J468"/>
      <c r="K468"/>
    </row>
    <row r="469" spans="1:11">
      <c r="A469"/>
      <c r="B469"/>
      <c r="C469"/>
      <c r="D469"/>
      <c r="E469"/>
      <c r="F469"/>
      <c r="G469"/>
      <c r="H469"/>
      <c r="I469"/>
      <c r="J469"/>
      <c r="K469"/>
    </row>
    <row r="470" spans="1:11">
      <c r="A470"/>
      <c r="B470"/>
      <c r="C470"/>
      <c r="D470"/>
      <c r="E470"/>
      <c r="F470"/>
      <c r="G470"/>
      <c r="H470"/>
      <c r="I470"/>
      <c r="J470"/>
      <c r="K470"/>
    </row>
    <row r="471" spans="1:11">
      <c r="A471"/>
      <c r="B471"/>
      <c r="C471"/>
      <c r="D471"/>
      <c r="E471"/>
      <c r="F471"/>
      <c r="G471"/>
      <c r="H471"/>
      <c r="I471"/>
      <c r="J471"/>
      <c r="K471"/>
    </row>
    <row r="472" spans="1:11">
      <c r="A472"/>
      <c r="B472"/>
      <c r="C472"/>
      <c r="D472"/>
      <c r="E472"/>
      <c r="F472"/>
      <c r="G472"/>
      <c r="H472"/>
      <c r="I472"/>
      <c r="J472"/>
      <c r="K472"/>
    </row>
    <row r="473" spans="1:11">
      <c r="A473"/>
      <c r="B473"/>
      <c r="C473"/>
      <c r="D473"/>
      <c r="E473"/>
      <c r="F473"/>
      <c r="G473"/>
      <c r="H473"/>
      <c r="I473"/>
      <c r="J473"/>
      <c r="K473"/>
    </row>
    <row r="474" spans="1:11">
      <c r="A474"/>
      <c r="B474"/>
      <c r="C474"/>
      <c r="D474"/>
      <c r="E474"/>
      <c r="F474"/>
      <c r="G474"/>
      <c r="H474"/>
      <c r="I474"/>
      <c r="J474"/>
      <c r="K474"/>
    </row>
    <row r="475" spans="1:11">
      <c r="A475"/>
      <c r="B475"/>
      <c r="C475"/>
      <c r="D475"/>
      <c r="E475"/>
      <c r="F475"/>
      <c r="G475"/>
      <c r="H475"/>
      <c r="I475"/>
      <c r="J475"/>
      <c r="K475"/>
    </row>
    <row r="476" spans="1:11">
      <c r="A476"/>
      <c r="B476"/>
      <c r="C476"/>
      <c r="D476"/>
      <c r="E476"/>
      <c r="F476"/>
      <c r="G476"/>
      <c r="H476"/>
      <c r="I476"/>
      <c r="J476"/>
      <c r="K476"/>
    </row>
    <row r="477" spans="1:11">
      <c r="A477"/>
      <c r="B477"/>
      <c r="C477"/>
      <c r="D477"/>
      <c r="E477"/>
      <c r="F477"/>
      <c r="G477"/>
      <c r="H477"/>
      <c r="I477"/>
      <c r="J477"/>
      <c r="K477"/>
    </row>
    <row r="478" spans="1:11">
      <c r="A478"/>
      <c r="B478"/>
      <c r="C478"/>
      <c r="D478"/>
      <c r="E478"/>
      <c r="F478"/>
      <c r="G478"/>
      <c r="H478"/>
      <c r="I478"/>
      <c r="J478"/>
      <c r="K478"/>
    </row>
    <row r="479" spans="1:11">
      <c r="A479"/>
      <c r="B479"/>
      <c r="C479"/>
      <c r="D479"/>
      <c r="E479"/>
      <c r="F479"/>
      <c r="G479"/>
      <c r="H479"/>
      <c r="I479"/>
      <c r="J479"/>
      <c r="K479"/>
    </row>
    <row r="480" spans="1:11">
      <c r="A480"/>
      <c r="B480"/>
      <c r="C480"/>
      <c r="D480"/>
      <c r="E480"/>
      <c r="F480"/>
      <c r="G480"/>
      <c r="H480"/>
      <c r="I480"/>
      <c r="J480"/>
      <c r="K480"/>
    </row>
    <row r="481" spans="1:11">
      <c r="A481"/>
      <c r="B481"/>
      <c r="C481"/>
      <c r="D481"/>
      <c r="E481"/>
      <c r="F481"/>
      <c r="G481"/>
      <c r="H481"/>
      <c r="I481"/>
      <c r="J481"/>
      <c r="K481"/>
    </row>
    <row r="482" spans="1:11">
      <c r="A482"/>
      <c r="B482"/>
      <c r="C482"/>
      <c r="D482"/>
      <c r="E482"/>
      <c r="F482"/>
      <c r="G482"/>
      <c r="H482"/>
      <c r="I482"/>
      <c r="J482"/>
      <c r="K482"/>
    </row>
    <row r="483" spans="1:11">
      <c r="A483"/>
      <c r="B483"/>
      <c r="C483"/>
      <c r="D483"/>
      <c r="E483"/>
      <c r="F483"/>
      <c r="G483"/>
      <c r="H483"/>
      <c r="I483"/>
      <c r="J483"/>
      <c r="K483"/>
    </row>
    <row r="484" spans="1:11">
      <c r="A484"/>
      <c r="B484"/>
      <c r="C484"/>
      <c r="D484"/>
      <c r="E484"/>
      <c r="F484"/>
      <c r="G484"/>
      <c r="H484"/>
      <c r="I484"/>
      <c r="J484"/>
      <c r="K484"/>
    </row>
    <row r="485" spans="1:11">
      <c r="A485"/>
      <c r="B485"/>
      <c r="C485"/>
      <c r="D485"/>
      <c r="E485"/>
      <c r="F485"/>
      <c r="G485"/>
      <c r="H485"/>
      <c r="I485"/>
      <c r="J485"/>
      <c r="K485"/>
    </row>
    <row r="486" spans="1:11">
      <c r="A486"/>
      <c r="B486"/>
      <c r="C486"/>
      <c r="D486"/>
      <c r="E486"/>
      <c r="F486"/>
      <c r="G486"/>
      <c r="H486"/>
      <c r="I486"/>
      <c r="J486"/>
      <c r="K486"/>
    </row>
    <row r="487" spans="1:11">
      <c r="A487"/>
      <c r="B487"/>
      <c r="C487"/>
      <c r="D487"/>
      <c r="E487"/>
      <c r="F487"/>
      <c r="G487"/>
      <c r="H487"/>
      <c r="I487"/>
      <c r="J487"/>
      <c r="K487"/>
    </row>
    <row r="488" spans="1:11">
      <c r="A488"/>
      <c r="B488"/>
      <c r="C488"/>
      <c r="D488"/>
      <c r="E488"/>
      <c r="F488"/>
      <c r="G488"/>
      <c r="H488"/>
      <c r="I488"/>
      <c r="J488"/>
      <c r="K488"/>
    </row>
    <row r="489" spans="1:11">
      <c r="A489"/>
      <c r="B489"/>
      <c r="C489"/>
      <c r="D489"/>
      <c r="E489"/>
      <c r="F489"/>
      <c r="G489"/>
      <c r="H489"/>
      <c r="I489"/>
      <c r="J489"/>
      <c r="K489"/>
    </row>
    <row r="490" spans="1:11">
      <c r="A490"/>
      <c r="B490"/>
      <c r="C490"/>
      <c r="D490"/>
      <c r="E490"/>
      <c r="F490"/>
      <c r="G490"/>
      <c r="H490"/>
      <c r="I490"/>
      <c r="J490"/>
      <c r="K490"/>
    </row>
    <row r="491" spans="1:11">
      <c r="A491"/>
      <c r="B491"/>
      <c r="C491"/>
      <c r="D491"/>
      <c r="E491"/>
      <c r="F491"/>
      <c r="G491"/>
      <c r="H491"/>
      <c r="I491"/>
      <c r="J491"/>
      <c r="K491"/>
    </row>
    <row r="492" spans="1:11">
      <c r="A492"/>
      <c r="B492"/>
      <c r="C492"/>
      <c r="D492"/>
      <c r="E492"/>
      <c r="F492"/>
      <c r="G492"/>
      <c r="H492"/>
      <c r="I492"/>
      <c r="J492"/>
      <c r="K492"/>
    </row>
    <row r="493" spans="1:11">
      <c r="A493"/>
      <c r="B493"/>
      <c r="C493"/>
      <c r="D493"/>
      <c r="E493"/>
      <c r="F493"/>
      <c r="G493"/>
      <c r="H493"/>
      <c r="I493"/>
      <c r="J493"/>
      <c r="K493"/>
    </row>
    <row r="494" spans="1:11">
      <c r="A494"/>
      <c r="B494"/>
      <c r="C494"/>
      <c r="D494"/>
      <c r="E494"/>
      <c r="F494"/>
      <c r="G494"/>
      <c r="H494"/>
      <c r="I494"/>
      <c r="J494"/>
      <c r="K494"/>
    </row>
    <row r="495" spans="1:11">
      <c r="A495"/>
      <c r="B495"/>
      <c r="C495"/>
      <c r="D495"/>
      <c r="E495"/>
      <c r="F495"/>
      <c r="G495"/>
      <c r="H495"/>
      <c r="I495"/>
      <c r="J495"/>
      <c r="K495"/>
    </row>
    <row r="496" spans="1:11">
      <c r="A496"/>
      <c r="B496"/>
      <c r="C496"/>
      <c r="D496"/>
      <c r="E496"/>
      <c r="F496"/>
      <c r="G496"/>
      <c r="H496"/>
      <c r="I496"/>
      <c r="J496"/>
      <c r="K496"/>
    </row>
    <row r="497" spans="1:11">
      <c r="A497"/>
      <c r="B497"/>
      <c r="C497"/>
      <c r="D497"/>
      <c r="E497"/>
      <c r="F497"/>
      <c r="G497"/>
      <c r="H497"/>
      <c r="I497"/>
      <c r="J497"/>
      <c r="K497"/>
    </row>
    <row r="498" spans="1:11">
      <c r="A498"/>
      <c r="B498"/>
      <c r="C498"/>
      <c r="D498"/>
      <c r="E498"/>
      <c r="F498"/>
      <c r="G498"/>
      <c r="H498"/>
      <c r="I498"/>
      <c r="J498"/>
      <c r="K498"/>
    </row>
    <row r="499" spans="1:11">
      <c r="A499"/>
      <c r="B499"/>
      <c r="C499"/>
      <c r="D499"/>
      <c r="E499"/>
      <c r="F499"/>
      <c r="G499"/>
      <c r="H499"/>
      <c r="I499"/>
      <c r="J499"/>
      <c r="K499"/>
    </row>
    <row r="500" spans="1:11">
      <c r="A500"/>
      <c r="B500"/>
      <c r="C500"/>
      <c r="D500"/>
      <c r="E500"/>
      <c r="F500"/>
      <c r="G500"/>
      <c r="H500"/>
      <c r="I500"/>
      <c r="J500"/>
      <c r="K500"/>
    </row>
    <row r="501" spans="1:11">
      <c r="A501"/>
      <c r="B501"/>
      <c r="C501"/>
      <c r="D501"/>
      <c r="E501"/>
      <c r="F501"/>
      <c r="G501"/>
      <c r="H501"/>
      <c r="I501"/>
      <c r="J501"/>
      <c r="K501"/>
    </row>
    <row r="502" spans="1:11">
      <c r="A502"/>
      <c r="B502"/>
      <c r="C502"/>
      <c r="D502"/>
      <c r="E502"/>
      <c r="F502"/>
      <c r="G502"/>
      <c r="H502"/>
      <c r="I502"/>
      <c r="J502"/>
      <c r="K502"/>
    </row>
    <row r="503" spans="1:11">
      <c r="A503"/>
      <c r="B503"/>
      <c r="C503"/>
      <c r="D503"/>
      <c r="E503"/>
      <c r="F503"/>
      <c r="G503"/>
      <c r="H503"/>
      <c r="I503"/>
      <c r="J503"/>
      <c r="K503"/>
    </row>
    <row r="504" spans="1:11">
      <c r="A504"/>
      <c r="B504"/>
      <c r="C504"/>
      <c r="D504"/>
      <c r="E504"/>
      <c r="F504"/>
      <c r="G504"/>
      <c r="H504"/>
      <c r="I504"/>
      <c r="J504"/>
      <c r="K504"/>
    </row>
    <row r="505" spans="1:11">
      <c r="A505"/>
      <c r="B505"/>
      <c r="C505"/>
      <c r="D505"/>
      <c r="E505"/>
      <c r="F505"/>
      <c r="G505"/>
      <c r="H505"/>
      <c r="I505"/>
      <c r="J505"/>
      <c r="K505"/>
    </row>
    <row r="506" spans="1:11">
      <c r="A506"/>
      <c r="B506"/>
      <c r="C506"/>
      <c r="D506"/>
      <c r="E506"/>
      <c r="F506"/>
      <c r="G506"/>
      <c r="H506"/>
      <c r="I506"/>
      <c r="J506"/>
      <c r="K506"/>
    </row>
    <row r="507" spans="1:11">
      <c r="A507"/>
      <c r="B507"/>
      <c r="C507"/>
      <c r="D507"/>
      <c r="E507"/>
      <c r="F507"/>
      <c r="G507"/>
      <c r="H507"/>
      <c r="I507"/>
      <c r="J507"/>
      <c r="K507"/>
    </row>
    <row r="508" spans="1:11">
      <c r="A508"/>
      <c r="B508"/>
      <c r="C508"/>
      <c r="D508"/>
      <c r="E508"/>
      <c r="F508"/>
      <c r="G508"/>
      <c r="H508"/>
      <c r="I508"/>
      <c r="J508"/>
      <c r="K508"/>
    </row>
    <row r="509" spans="1:11">
      <c r="A509"/>
      <c r="B509"/>
      <c r="C509"/>
      <c r="D509"/>
      <c r="E509"/>
      <c r="F509"/>
      <c r="G509"/>
      <c r="H509"/>
      <c r="I509"/>
      <c r="J509"/>
      <c r="K509"/>
    </row>
    <row r="510" spans="1:11">
      <c r="A510"/>
      <c r="B510"/>
      <c r="C510"/>
      <c r="D510"/>
      <c r="E510"/>
      <c r="F510"/>
      <c r="G510"/>
      <c r="H510"/>
      <c r="I510"/>
      <c r="J510"/>
      <c r="K510"/>
    </row>
    <row r="511" spans="1:11">
      <c r="A511"/>
      <c r="B511"/>
      <c r="C511"/>
      <c r="D511"/>
      <c r="E511"/>
      <c r="F511"/>
      <c r="G511"/>
      <c r="H511"/>
      <c r="I511"/>
      <c r="J511"/>
      <c r="K511"/>
    </row>
    <row r="512" spans="1:11">
      <c r="A512"/>
      <c r="B512"/>
      <c r="C512"/>
      <c r="D512"/>
      <c r="E512"/>
      <c r="F512"/>
      <c r="G512"/>
      <c r="H512"/>
      <c r="I512"/>
      <c r="J512"/>
      <c r="K512"/>
    </row>
    <row r="513" spans="1:11">
      <c r="A513"/>
      <c r="B513"/>
      <c r="C513"/>
      <c r="D513"/>
      <c r="E513"/>
      <c r="F513"/>
      <c r="G513"/>
      <c r="H513"/>
      <c r="I513"/>
      <c r="J513"/>
      <c r="K513"/>
    </row>
    <row r="514" spans="1:11">
      <c r="A514"/>
      <c r="B514"/>
      <c r="C514"/>
      <c r="D514"/>
      <c r="E514"/>
      <c r="F514"/>
      <c r="G514"/>
      <c r="H514"/>
      <c r="I514"/>
      <c r="J514"/>
      <c r="K514"/>
    </row>
    <row r="515" spans="1:11">
      <c r="A515"/>
      <c r="B515"/>
      <c r="C515"/>
      <c r="D515"/>
      <c r="E515"/>
      <c r="F515"/>
      <c r="G515"/>
      <c r="H515"/>
      <c r="I515"/>
      <c r="J515"/>
      <c r="K515"/>
    </row>
    <row r="516" spans="1:11">
      <c r="A516"/>
      <c r="B516"/>
      <c r="C516"/>
      <c r="D516"/>
      <c r="E516"/>
      <c r="F516"/>
      <c r="G516"/>
      <c r="H516"/>
      <c r="I516"/>
      <c r="J516"/>
      <c r="K516"/>
    </row>
    <row r="517" spans="1:11">
      <c r="A517"/>
      <c r="B517"/>
      <c r="C517"/>
      <c r="D517"/>
      <c r="E517"/>
      <c r="F517"/>
      <c r="G517"/>
      <c r="H517"/>
      <c r="I517"/>
      <c r="J517"/>
      <c r="K517"/>
    </row>
    <row r="518" spans="1:11">
      <c r="A518"/>
      <c r="B518"/>
      <c r="C518"/>
      <c r="D518"/>
      <c r="E518"/>
      <c r="F518"/>
      <c r="G518"/>
      <c r="H518"/>
      <c r="I518"/>
      <c r="J518"/>
      <c r="K518"/>
    </row>
    <row r="519" spans="1:11">
      <c r="A519"/>
      <c r="B519"/>
      <c r="C519"/>
      <c r="D519"/>
      <c r="E519"/>
      <c r="F519"/>
      <c r="G519"/>
      <c r="H519"/>
      <c r="I519"/>
      <c r="J519"/>
      <c r="K519"/>
    </row>
    <row r="520" spans="1:11">
      <c r="A520"/>
      <c r="B520"/>
      <c r="C520"/>
      <c r="D520"/>
      <c r="E520"/>
      <c r="F520"/>
      <c r="G520"/>
      <c r="H520"/>
      <c r="I520"/>
      <c r="J520"/>
      <c r="K520"/>
    </row>
    <row r="521" spans="1:11">
      <c r="A521"/>
      <c r="B521"/>
      <c r="C521"/>
      <c r="D521"/>
      <c r="E521"/>
      <c r="F521"/>
      <c r="G521"/>
      <c r="H521"/>
      <c r="I521"/>
      <c r="J521"/>
      <c r="K521"/>
    </row>
    <row r="522" spans="1:11">
      <c r="A522"/>
      <c r="B522"/>
      <c r="C522"/>
      <c r="D522"/>
      <c r="E522"/>
      <c r="F522"/>
      <c r="G522"/>
      <c r="H522"/>
      <c r="I522"/>
      <c r="J522"/>
      <c r="K522"/>
    </row>
    <row r="523" spans="1:11">
      <c r="A523"/>
      <c r="B523"/>
      <c r="C523"/>
      <c r="D523"/>
      <c r="E523"/>
      <c r="F523"/>
      <c r="G523"/>
      <c r="H523"/>
      <c r="I523"/>
      <c r="J523"/>
      <c r="K523"/>
    </row>
    <row r="524" spans="1:11">
      <c r="A524"/>
      <c r="B524"/>
      <c r="C524"/>
      <c r="D524"/>
      <c r="E524"/>
      <c r="F524"/>
      <c r="G524"/>
      <c r="H524"/>
      <c r="I524"/>
      <c r="J524"/>
      <c r="K524"/>
    </row>
    <row r="525" spans="1:11">
      <c r="A525"/>
      <c r="B525"/>
      <c r="C525"/>
      <c r="D525"/>
      <c r="E525"/>
      <c r="F525"/>
      <c r="G525"/>
      <c r="H525"/>
      <c r="I525"/>
      <c r="J525"/>
      <c r="K525"/>
    </row>
    <row r="526" spans="1:11">
      <c r="A526"/>
      <c r="B526"/>
      <c r="C526"/>
      <c r="D526"/>
      <c r="E526"/>
      <c r="F526"/>
      <c r="G526"/>
      <c r="H526"/>
      <c r="I526"/>
      <c r="J526"/>
      <c r="K526"/>
    </row>
    <row r="527" spans="1:11">
      <c r="A527"/>
      <c r="B527"/>
      <c r="C527"/>
      <c r="D527"/>
      <c r="E527"/>
      <c r="F527"/>
      <c r="G527"/>
      <c r="H527"/>
      <c r="I527"/>
      <c r="J527"/>
      <c r="K527"/>
    </row>
    <row r="528" spans="1:11">
      <c r="A528"/>
      <c r="B528"/>
      <c r="C528"/>
      <c r="D528"/>
      <c r="E528"/>
      <c r="F528"/>
      <c r="G528"/>
      <c r="H528"/>
      <c r="I528"/>
      <c r="J528"/>
      <c r="K528"/>
    </row>
    <row r="529" spans="1:11">
      <c r="A529"/>
      <c r="B529"/>
      <c r="C529"/>
      <c r="D529"/>
      <c r="E529"/>
      <c r="F529"/>
      <c r="G529"/>
      <c r="H529"/>
      <c r="I529"/>
      <c r="J529"/>
      <c r="K529"/>
    </row>
    <row r="530" spans="1:11">
      <c r="A530"/>
      <c r="B530"/>
      <c r="C530"/>
      <c r="D530"/>
      <c r="E530"/>
      <c r="F530"/>
      <c r="G530"/>
      <c r="H530"/>
      <c r="I530"/>
      <c r="J530"/>
      <c r="K530"/>
    </row>
    <row r="531" spans="1:11">
      <c r="A531"/>
      <c r="B531"/>
      <c r="C531"/>
      <c r="D531"/>
      <c r="E531"/>
      <c r="F531"/>
      <c r="G531"/>
      <c r="H531"/>
      <c r="I531"/>
      <c r="J531"/>
      <c r="K531"/>
    </row>
    <row r="532" spans="1:11">
      <c r="A532"/>
      <c r="B532"/>
      <c r="C532"/>
      <c r="D532"/>
      <c r="E532"/>
      <c r="F532"/>
      <c r="G532"/>
      <c r="H532"/>
      <c r="I532"/>
      <c r="J532"/>
      <c r="K532"/>
    </row>
    <row r="533" spans="1:11">
      <c r="A533"/>
      <c r="B533"/>
      <c r="C533"/>
      <c r="D533"/>
      <c r="E533"/>
      <c r="F533"/>
      <c r="G533"/>
      <c r="H533"/>
      <c r="I533"/>
      <c r="J533"/>
      <c r="K533"/>
    </row>
    <row r="534" spans="1:11">
      <c r="A534"/>
      <c r="B534"/>
      <c r="C534"/>
      <c r="D534"/>
      <c r="E534"/>
      <c r="F534"/>
      <c r="G534"/>
      <c r="H534"/>
      <c r="I534"/>
      <c r="J534"/>
      <c r="K534"/>
    </row>
    <row r="535" spans="1:11">
      <c r="A535"/>
      <c r="B535"/>
      <c r="C535"/>
      <c r="D535"/>
      <c r="E535"/>
      <c r="F535"/>
      <c r="G535"/>
      <c r="H535"/>
      <c r="I535"/>
      <c r="J535"/>
      <c r="K535"/>
    </row>
    <row r="536" spans="1:11">
      <c r="A536"/>
      <c r="B536"/>
      <c r="C536"/>
      <c r="D536"/>
      <c r="E536"/>
      <c r="F536"/>
      <c r="G536"/>
      <c r="H536"/>
      <c r="I536"/>
      <c r="J536"/>
      <c r="K536"/>
    </row>
    <row r="537" spans="1:11">
      <c r="A537"/>
      <c r="B537"/>
      <c r="C537"/>
      <c r="D537"/>
      <c r="E537"/>
      <c r="F537"/>
      <c r="G537"/>
      <c r="H537"/>
      <c r="I537"/>
      <c r="J537"/>
      <c r="K537"/>
    </row>
    <row r="538" spans="1:11">
      <c r="A538"/>
      <c r="B538"/>
      <c r="C538"/>
      <c r="D538"/>
      <c r="E538"/>
      <c r="F538"/>
      <c r="G538"/>
      <c r="H538"/>
      <c r="I538"/>
      <c r="J538"/>
      <c r="K538"/>
    </row>
    <row r="539" spans="1:11">
      <c r="A539"/>
      <c r="B539"/>
      <c r="C539"/>
      <c r="D539"/>
      <c r="E539"/>
      <c r="F539"/>
      <c r="G539"/>
      <c r="H539"/>
      <c r="I539"/>
      <c r="J539"/>
      <c r="K539"/>
    </row>
    <row r="540" spans="1:11">
      <c r="A540"/>
      <c r="B540"/>
      <c r="C540"/>
      <c r="D540"/>
      <c r="E540"/>
      <c r="F540"/>
      <c r="G540"/>
      <c r="H540"/>
      <c r="I540"/>
      <c r="J540"/>
      <c r="K540"/>
    </row>
    <row r="541" spans="1:11">
      <c r="A541"/>
      <c r="B541"/>
      <c r="C541"/>
      <c r="D541"/>
      <c r="E541"/>
      <c r="F541"/>
      <c r="G541"/>
      <c r="H541"/>
      <c r="I541"/>
      <c r="J541"/>
      <c r="K541"/>
    </row>
    <row r="542" spans="1:11">
      <c r="A542"/>
      <c r="B542"/>
      <c r="C542"/>
      <c r="D542"/>
      <c r="E542"/>
      <c r="F542"/>
      <c r="G542"/>
      <c r="H542"/>
      <c r="I542"/>
      <c r="J542"/>
      <c r="K542"/>
    </row>
    <row r="543" spans="1:11">
      <c r="A543"/>
      <c r="B543"/>
      <c r="C543"/>
      <c r="D543"/>
      <c r="E543"/>
      <c r="F543"/>
      <c r="G543"/>
      <c r="H543"/>
      <c r="I543"/>
      <c r="J543"/>
      <c r="K543"/>
    </row>
    <row r="544" spans="1:11">
      <c r="A544"/>
      <c r="B544"/>
      <c r="C544"/>
      <c r="D544"/>
      <c r="E544"/>
      <c r="F544"/>
      <c r="G544"/>
      <c r="H544"/>
      <c r="I544"/>
      <c r="J544"/>
      <c r="K544"/>
    </row>
    <row r="545" spans="1:11">
      <c r="A545"/>
      <c r="B545"/>
      <c r="C545"/>
      <c r="D545"/>
      <c r="E545"/>
      <c r="F545"/>
      <c r="G545"/>
      <c r="H545"/>
      <c r="I545"/>
      <c r="J545"/>
      <c r="K545"/>
    </row>
    <row r="546" spans="1:11">
      <c r="A546"/>
      <c r="B546"/>
      <c r="C546"/>
      <c r="D546"/>
      <c r="E546"/>
      <c r="F546"/>
      <c r="G546"/>
      <c r="H546"/>
      <c r="I546"/>
      <c r="J546"/>
      <c r="K546"/>
    </row>
    <row r="547" spans="1:11">
      <c r="A547"/>
      <c r="B547"/>
      <c r="C547"/>
      <c r="D547"/>
      <c r="E547"/>
      <c r="F547"/>
      <c r="G547"/>
      <c r="H547"/>
      <c r="I547"/>
      <c r="J547"/>
      <c r="K547"/>
    </row>
    <row r="548" spans="1:11">
      <c r="A548"/>
      <c r="B548"/>
      <c r="C548"/>
      <c r="D548"/>
      <c r="E548"/>
      <c r="F548"/>
      <c r="G548"/>
      <c r="H548"/>
      <c r="I548"/>
      <c r="J548"/>
      <c r="K548"/>
    </row>
    <row r="549" spans="1:11">
      <c r="A549"/>
      <c r="B549"/>
      <c r="C549"/>
      <c r="D549"/>
      <c r="E549"/>
      <c r="F549"/>
      <c r="G549"/>
      <c r="H549"/>
      <c r="I549"/>
      <c r="J549"/>
      <c r="K549"/>
    </row>
    <row r="550" spans="1:11">
      <c r="A550"/>
      <c r="B550"/>
      <c r="C550"/>
      <c r="D550"/>
      <c r="E550"/>
      <c r="F550"/>
      <c r="G550"/>
      <c r="H550"/>
      <c r="I550"/>
      <c r="J550"/>
      <c r="K550"/>
    </row>
    <row r="551" spans="1:11">
      <c r="A551"/>
      <c r="B551"/>
      <c r="C551"/>
      <c r="D551"/>
      <c r="E551"/>
      <c r="F551"/>
      <c r="G551"/>
      <c r="H551"/>
      <c r="I551"/>
      <c r="J551"/>
      <c r="K551"/>
    </row>
    <row r="552" spans="1:11">
      <c r="A552"/>
      <c r="B552"/>
      <c r="C552"/>
      <c r="D552"/>
      <c r="E552"/>
      <c r="F552"/>
      <c r="G552"/>
      <c r="H552"/>
      <c r="I552"/>
      <c r="J552"/>
      <c r="K552"/>
    </row>
    <row r="553" spans="1:11">
      <c r="A553"/>
      <c r="B553"/>
      <c r="C553"/>
      <c r="D553"/>
      <c r="E553"/>
      <c r="F553"/>
      <c r="G553"/>
      <c r="H553"/>
      <c r="I553"/>
      <c r="J553"/>
      <c r="K553"/>
    </row>
    <row r="554" spans="1:11">
      <c r="A554"/>
      <c r="B554"/>
      <c r="C554"/>
      <c r="D554"/>
      <c r="E554"/>
      <c r="F554"/>
      <c r="G554"/>
      <c r="H554"/>
      <c r="I554"/>
      <c r="J554"/>
      <c r="K554"/>
    </row>
    <row r="555" spans="1:11">
      <c r="A555"/>
      <c r="B555"/>
      <c r="C555"/>
      <c r="D555"/>
      <c r="E555"/>
      <c r="F555"/>
      <c r="G555"/>
      <c r="H555"/>
      <c r="I555"/>
      <c r="J555"/>
      <c r="K555"/>
    </row>
    <row r="556" spans="1:11">
      <c r="A556"/>
      <c r="B556"/>
      <c r="C556"/>
      <c r="D556"/>
      <c r="E556"/>
      <c r="F556"/>
      <c r="G556"/>
      <c r="H556"/>
      <c r="I556"/>
      <c r="J556"/>
      <c r="K556"/>
    </row>
    <row r="557" spans="1:11">
      <c r="A557"/>
      <c r="B557"/>
      <c r="C557"/>
      <c r="D557"/>
      <c r="E557"/>
      <c r="F557"/>
      <c r="G557"/>
      <c r="H557"/>
      <c r="I557"/>
      <c r="J557"/>
      <c r="K557"/>
    </row>
    <row r="558" spans="1:11">
      <c r="A558"/>
      <c r="B558"/>
      <c r="C558"/>
      <c r="D558"/>
      <c r="E558"/>
      <c r="F558"/>
      <c r="G558"/>
      <c r="H558"/>
      <c r="I558"/>
      <c r="J558"/>
      <c r="K558"/>
    </row>
    <row r="559" spans="1:11">
      <c r="A559"/>
      <c r="B559"/>
      <c r="C559"/>
      <c r="D559"/>
      <c r="E559"/>
      <c r="F559"/>
      <c r="G559"/>
      <c r="H559"/>
      <c r="I559"/>
      <c r="J559"/>
      <c r="K559"/>
    </row>
    <row r="560" spans="1:11">
      <c r="A560"/>
      <c r="B560"/>
      <c r="C560"/>
      <c r="D560"/>
      <c r="E560"/>
      <c r="F560"/>
      <c r="G560"/>
      <c r="H560"/>
      <c r="I560"/>
      <c r="J560"/>
      <c r="K560"/>
    </row>
    <row r="561" spans="1:11">
      <c r="A561"/>
      <c r="B561"/>
      <c r="C561"/>
      <c r="D561"/>
      <c r="E561"/>
      <c r="F561"/>
      <c r="G561"/>
      <c r="H561"/>
      <c r="I561"/>
      <c r="J561"/>
      <c r="K561"/>
    </row>
    <row r="562" spans="1:11">
      <c r="A562"/>
      <c r="B562"/>
      <c r="C562"/>
      <c r="D562"/>
      <c r="E562"/>
      <c r="F562"/>
      <c r="G562"/>
      <c r="H562"/>
      <c r="I562"/>
      <c r="J562"/>
      <c r="K562"/>
    </row>
    <row r="563" spans="1:11">
      <c r="A563"/>
      <c r="B563"/>
      <c r="C563"/>
      <c r="D563"/>
      <c r="E563"/>
      <c r="F563"/>
      <c r="G563"/>
      <c r="H563"/>
      <c r="I563"/>
      <c r="J563"/>
      <c r="K563"/>
    </row>
    <row r="564" spans="1:11">
      <c r="A564"/>
      <c r="B564"/>
      <c r="C564"/>
      <c r="D564"/>
      <c r="E564"/>
      <c r="F564"/>
      <c r="G564"/>
      <c r="H564"/>
      <c r="I564"/>
      <c r="J564"/>
      <c r="K564"/>
    </row>
    <row r="565" spans="1:11">
      <c r="A565"/>
      <c r="B565"/>
      <c r="C565"/>
      <c r="D565"/>
      <c r="E565"/>
      <c r="F565"/>
      <c r="G565"/>
      <c r="H565"/>
      <c r="I565"/>
      <c r="J565"/>
      <c r="K565"/>
    </row>
    <row r="566" spans="1:11">
      <c r="A566"/>
      <c r="B566"/>
      <c r="C566"/>
      <c r="D566"/>
      <c r="E566"/>
      <c r="F566"/>
      <c r="G566"/>
      <c r="H566"/>
      <c r="I566"/>
      <c r="J566"/>
      <c r="K566"/>
    </row>
    <row r="567" spans="1:11">
      <c r="A567"/>
      <c r="B567"/>
      <c r="C567"/>
      <c r="D567"/>
      <c r="E567"/>
      <c r="F567"/>
      <c r="G567"/>
      <c r="H567"/>
      <c r="I567"/>
      <c r="J567"/>
      <c r="K567"/>
    </row>
    <row r="568" spans="1:11">
      <c r="A568"/>
      <c r="B568"/>
      <c r="C568"/>
      <c r="D568"/>
      <c r="E568"/>
      <c r="F568"/>
      <c r="G568"/>
      <c r="H568"/>
      <c r="I568"/>
      <c r="J568"/>
      <c r="K568"/>
    </row>
    <row r="569" spans="1:11">
      <c r="A569"/>
      <c r="B569"/>
      <c r="C569"/>
      <c r="D569"/>
      <c r="E569"/>
      <c r="F569"/>
      <c r="G569"/>
      <c r="H569"/>
      <c r="I569"/>
      <c r="J569"/>
      <c r="K569"/>
    </row>
    <row r="570" spans="1:11">
      <c r="A570"/>
      <c r="B570"/>
      <c r="C570"/>
      <c r="D570"/>
      <c r="E570"/>
      <c r="F570"/>
      <c r="G570"/>
      <c r="H570"/>
      <c r="I570"/>
      <c r="J570"/>
      <c r="K570"/>
    </row>
    <row r="571" spans="1:11">
      <c r="A571"/>
      <c r="B571"/>
      <c r="C571"/>
      <c r="D571"/>
      <c r="E571"/>
      <c r="F571"/>
      <c r="G571"/>
      <c r="H571"/>
      <c r="I571"/>
      <c r="J571"/>
      <c r="K571"/>
    </row>
    <row r="572" spans="1:11">
      <c r="A572"/>
      <c r="B572"/>
      <c r="C572"/>
      <c r="D572"/>
      <c r="E572"/>
      <c r="F572"/>
      <c r="G572"/>
      <c r="H572"/>
      <c r="I572"/>
      <c r="J572"/>
      <c r="K572"/>
    </row>
    <row r="573" spans="1:11">
      <c r="A573"/>
      <c r="B573"/>
      <c r="C573"/>
      <c r="D573"/>
      <c r="E573"/>
      <c r="F573"/>
      <c r="G573"/>
      <c r="H573"/>
      <c r="I573"/>
      <c r="J573"/>
      <c r="K573"/>
    </row>
    <row r="574" spans="1:11">
      <c r="A574"/>
      <c r="B574"/>
      <c r="C574"/>
      <c r="D574"/>
      <c r="E574"/>
      <c r="F574"/>
      <c r="G574"/>
      <c r="H574"/>
      <c r="I574"/>
      <c r="J574"/>
      <c r="K574"/>
    </row>
    <row r="575" spans="1:11">
      <c r="A575"/>
      <c r="B575"/>
      <c r="C575"/>
      <c r="D575"/>
      <c r="E575"/>
      <c r="F575"/>
      <c r="G575"/>
      <c r="H575"/>
      <c r="I575"/>
      <c r="J575"/>
      <c r="K575"/>
    </row>
    <row r="576" spans="1:11">
      <c r="A576"/>
      <c r="B576"/>
      <c r="C576"/>
      <c r="D576"/>
      <c r="E576"/>
      <c r="F576"/>
      <c r="G576"/>
      <c r="H576"/>
      <c r="I576"/>
      <c r="J576"/>
      <c r="K576"/>
    </row>
    <row r="577" spans="1:11">
      <c r="A577"/>
      <c r="B577"/>
      <c r="C577"/>
      <c r="D577"/>
      <c r="E577"/>
      <c r="F577"/>
      <c r="G577"/>
      <c r="H577"/>
      <c r="I577"/>
      <c r="J577"/>
      <c r="K577"/>
    </row>
    <row r="578" spans="1:11">
      <c r="A578"/>
      <c r="B578"/>
      <c r="C578"/>
      <c r="D578"/>
      <c r="E578"/>
      <c r="F578"/>
      <c r="G578"/>
      <c r="H578"/>
      <c r="I578"/>
      <c r="J578"/>
      <c r="K578"/>
    </row>
    <row r="579" spans="1:11">
      <c r="A579"/>
      <c r="B579"/>
      <c r="C579"/>
      <c r="D579"/>
      <c r="E579"/>
      <c r="F579"/>
      <c r="G579"/>
      <c r="H579"/>
      <c r="I579"/>
      <c r="J579"/>
      <c r="K579"/>
    </row>
    <row r="580" spans="1:11">
      <c r="A580"/>
      <c r="B580"/>
      <c r="C580"/>
      <c r="D580"/>
      <c r="E580"/>
      <c r="F580"/>
      <c r="G580"/>
      <c r="H580"/>
      <c r="I580"/>
      <c r="J580"/>
      <c r="K580"/>
    </row>
    <row r="581" spans="1:11">
      <c r="A581"/>
      <c r="B581"/>
      <c r="C581"/>
      <c r="D581"/>
      <c r="E581"/>
      <c r="F581"/>
      <c r="G581"/>
      <c r="H581"/>
      <c r="I581"/>
      <c r="J581"/>
      <c r="K581"/>
    </row>
    <row r="582" spans="1:11">
      <c r="A582"/>
      <c r="B582"/>
      <c r="C582"/>
      <c r="D582"/>
      <c r="E582"/>
      <c r="F582"/>
      <c r="G582"/>
      <c r="H582"/>
      <c r="I582"/>
      <c r="J582"/>
      <c r="K582"/>
    </row>
    <row r="583" spans="1:11">
      <c r="A583"/>
      <c r="B583"/>
      <c r="C583"/>
      <c r="D583"/>
      <c r="E583"/>
      <c r="F583"/>
      <c r="G583"/>
      <c r="H583"/>
      <c r="I583"/>
      <c r="J583"/>
      <c r="K583"/>
    </row>
    <row r="584" spans="1:11">
      <c r="A584"/>
      <c r="B584"/>
      <c r="C584"/>
      <c r="D584"/>
      <c r="E584"/>
      <c r="F584"/>
      <c r="G584"/>
      <c r="H584"/>
      <c r="I584"/>
      <c r="J584"/>
      <c r="K584"/>
    </row>
    <row r="585" spans="1:11">
      <c r="A585"/>
      <c r="B585"/>
      <c r="C585"/>
      <c r="D585"/>
      <c r="E585"/>
      <c r="F585"/>
      <c r="G585"/>
      <c r="H585"/>
      <c r="I585"/>
      <c r="J585"/>
      <c r="K585"/>
    </row>
    <row r="586" spans="1:11">
      <c r="A586"/>
      <c r="B586"/>
      <c r="C586"/>
      <c r="D586"/>
      <c r="E586"/>
      <c r="F586"/>
      <c r="G586"/>
      <c r="H586"/>
      <c r="I586"/>
      <c r="J586"/>
      <c r="K586"/>
    </row>
    <row r="587" spans="1:11">
      <c r="A587"/>
      <c r="B587"/>
      <c r="C587"/>
      <c r="D587"/>
      <c r="E587"/>
      <c r="F587"/>
      <c r="G587"/>
      <c r="H587"/>
      <c r="I587"/>
      <c r="J587"/>
      <c r="K587"/>
    </row>
    <row r="588" spans="1:11">
      <c r="A588"/>
      <c r="B588"/>
      <c r="C588"/>
      <c r="D588"/>
      <c r="E588"/>
      <c r="F588"/>
      <c r="G588"/>
      <c r="H588"/>
      <c r="I588"/>
      <c r="J588"/>
      <c r="K588"/>
    </row>
    <row r="589" spans="1:11">
      <c r="A589"/>
      <c r="B589"/>
      <c r="C589"/>
      <c r="D589"/>
      <c r="E589"/>
      <c r="F589"/>
      <c r="G589"/>
      <c r="H589"/>
      <c r="I589"/>
      <c r="J589"/>
      <c r="K589"/>
    </row>
    <row r="590" spans="1:11">
      <c r="A590"/>
      <c r="B590"/>
      <c r="C590"/>
      <c r="D590"/>
      <c r="E590"/>
      <c r="F590"/>
      <c r="G590"/>
      <c r="H590"/>
      <c r="I590"/>
      <c r="J590"/>
      <c r="K590"/>
    </row>
    <row r="591" spans="1:11">
      <c r="A591"/>
      <c r="B591"/>
      <c r="C591"/>
      <c r="D591"/>
      <c r="E591"/>
      <c r="F591"/>
      <c r="G591"/>
      <c r="H591"/>
      <c r="I591"/>
      <c r="J591"/>
      <c r="K591"/>
    </row>
    <row r="592" spans="1:11">
      <c r="A592"/>
      <c r="B592"/>
      <c r="C592"/>
      <c r="D592"/>
      <c r="E592"/>
      <c r="F592"/>
      <c r="G592"/>
      <c r="H592"/>
      <c r="I592"/>
      <c r="J592"/>
      <c r="K592"/>
    </row>
    <row r="593" spans="1:11">
      <c r="A593"/>
      <c r="B593"/>
      <c r="C593"/>
      <c r="D593"/>
      <c r="E593"/>
      <c r="F593"/>
      <c r="G593"/>
      <c r="H593"/>
      <c r="I593"/>
      <c r="J593"/>
      <c r="K593"/>
    </row>
    <row r="594" spans="1:11">
      <c r="A594"/>
      <c r="B594"/>
      <c r="C594"/>
      <c r="D594"/>
      <c r="E594"/>
      <c r="F594"/>
      <c r="G594"/>
      <c r="H594"/>
      <c r="I594"/>
      <c r="J594"/>
      <c r="K594"/>
    </row>
    <row r="595" spans="1:11">
      <c r="A595"/>
      <c r="B595"/>
      <c r="C595"/>
      <c r="D595"/>
      <c r="E595"/>
      <c r="F595"/>
      <c r="G595"/>
      <c r="H595"/>
      <c r="I595"/>
      <c r="J595"/>
      <c r="K595"/>
    </row>
    <row r="596" spans="1:11">
      <c r="A596"/>
      <c r="B596"/>
      <c r="C596"/>
      <c r="D596"/>
      <c r="E596"/>
      <c r="F596"/>
      <c r="G596"/>
      <c r="H596"/>
      <c r="I596"/>
      <c r="J596"/>
      <c r="K596"/>
    </row>
    <row r="597" spans="1:11">
      <c r="A597"/>
      <c r="B597"/>
      <c r="C597"/>
      <c r="D597"/>
      <c r="E597"/>
      <c r="F597"/>
      <c r="G597"/>
      <c r="H597"/>
      <c r="I597"/>
      <c r="J597"/>
      <c r="K597"/>
    </row>
    <row r="598" spans="1:11">
      <c r="A598"/>
      <c r="B598"/>
      <c r="C598"/>
      <c r="D598"/>
      <c r="E598"/>
      <c r="F598"/>
      <c r="G598"/>
      <c r="H598"/>
      <c r="I598"/>
      <c r="J598"/>
      <c r="K598"/>
    </row>
    <row r="599" spans="1:11">
      <c r="A599"/>
      <c r="B599"/>
      <c r="C599"/>
      <c r="D599"/>
      <c r="E599"/>
      <c r="F599"/>
      <c r="G599"/>
      <c r="H599"/>
      <c r="I599"/>
      <c r="J599"/>
      <c r="K599"/>
    </row>
    <row r="600" spans="1:11">
      <c r="A600"/>
      <c r="B600"/>
      <c r="C600"/>
      <c r="D600"/>
      <c r="E600"/>
      <c r="F600"/>
      <c r="G600"/>
      <c r="H600"/>
      <c r="I600"/>
      <c r="J600"/>
      <c r="K600"/>
    </row>
    <row r="601" spans="1:11">
      <c r="A601"/>
      <c r="B601"/>
      <c r="C601"/>
      <c r="D601"/>
      <c r="E601"/>
      <c r="F601"/>
      <c r="G601"/>
      <c r="H601"/>
      <c r="I601"/>
      <c r="J601"/>
      <c r="K601"/>
    </row>
    <row r="602" spans="1:11">
      <c r="A602"/>
      <c r="B602"/>
      <c r="C602"/>
      <c r="D602"/>
      <c r="E602"/>
      <c r="F602"/>
      <c r="G602"/>
      <c r="H602"/>
      <c r="I602"/>
      <c r="J602"/>
      <c r="K602"/>
    </row>
    <row r="603" spans="1:11">
      <c r="A603"/>
      <c r="B603"/>
      <c r="C603"/>
      <c r="D603"/>
      <c r="E603"/>
      <c r="F603"/>
      <c r="G603"/>
      <c r="H603"/>
      <c r="I603"/>
      <c r="J603"/>
      <c r="K603"/>
    </row>
    <row r="604" spans="1:11">
      <c r="A604"/>
      <c r="B604"/>
      <c r="C604"/>
      <c r="D604"/>
      <c r="E604"/>
      <c r="F604"/>
      <c r="G604"/>
      <c r="H604"/>
      <c r="I604"/>
      <c r="J604"/>
      <c r="K604"/>
    </row>
    <row r="605" spans="1:11">
      <c r="A605"/>
      <c r="B605"/>
      <c r="C605"/>
      <c r="D605"/>
      <c r="E605"/>
      <c r="F605"/>
      <c r="G605"/>
      <c r="H605"/>
      <c r="I605"/>
      <c r="J605"/>
      <c r="K605"/>
    </row>
    <row r="606" spans="1:11">
      <c r="A606"/>
      <c r="B606"/>
      <c r="C606"/>
      <c r="D606"/>
      <c r="E606"/>
      <c r="F606"/>
      <c r="G606"/>
      <c r="H606"/>
      <c r="I606"/>
      <c r="J606"/>
      <c r="K606"/>
    </row>
    <row r="607" spans="1:11">
      <c r="A607"/>
      <c r="B607"/>
      <c r="C607"/>
      <c r="D607"/>
      <c r="E607"/>
      <c r="F607"/>
      <c r="G607"/>
      <c r="H607"/>
      <c r="I607"/>
      <c r="J607"/>
      <c r="K607"/>
    </row>
    <row r="608" spans="1:11">
      <c r="A608"/>
      <c r="B608"/>
      <c r="C608"/>
      <c r="D608"/>
      <c r="E608"/>
      <c r="F608"/>
      <c r="G608"/>
      <c r="H608"/>
      <c r="I608"/>
      <c r="J608"/>
      <c r="K608"/>
    </row>
    <row r="609" spans="1:11">
      <c r="A609"/>
      <c r="B609"/>
      <c r="C609"/>
      <c r="D609"/>
      <c r="E609"/>
      <c r="F609"/>
      <c r="G609"/>
      <c r="H609"/>
      <c r="I609"/>
      <c r="J609"/>
      <c r="K609"/>
    </row>
    <row r="610" spans="1:11">
      <c r="A610"/>
      <c r="B610"/>
      <c r="C610"/>
      <c r="D610"/>
      <c r="E610"/>
      <c r="F610"/>
      <c r="G610"/>
      <c r="H610"/>
      <c r="I610"/>
      <c r="J610"/>
      <c r="K610"/>
    </row>
    <row r="611" spans="1:11">
      <c r="A611"/>
      <c r="B611"/>
      <c r="C611"/>
      <c r="D611"/>
      <c r="E611"/>
      <c r="F611"/>
      <c r="G611"/>
      <c r="H611"/>
      <c r="I611"/>
      <c r="J611"/>
      <c r="K611"/>
    </row>
    <row r="612" spans="1:11">
      <c r="A612"/>
      <c r="B612"/>
      <c r="C612"/>
      <c r="D612"/>
      <c r="E612"/>
      <c r="F612"/>
      <c r="G612"/>
      <c r="H612"/>
      <c r="I612"/>
      <c r="J612"/>
      <c r="K612"/>
    </row>
    <row r="613" spans="1:11">
      <c r="A613"/>
      <c r="B613"/>
      <c r="C613"/>
      <c r="D613"/>
      <c r="E613"/>
      <c r="F613"/>
      <c r="G613"/>
      <c r="H613"/>
      <c r="I613"/>
      <c r="J613"/>
      <c r="K613"/>
    </row>
    <row r="614" spans="1:11">
      <c r="A614"/>
      <c r="B614"/>
      <c r="C614"/>
      <c r="D614"/>
      <c r="E614"/>
      <c r="F614"/>
      <c r="G614"/>
      <c r="H614"/>
      <c r="I614"/>
      <c r="J614"/>
      <c r="K614"/>
    </row>
    <row r="615" spans="1:11">
      <c r="A615"/>
      <c r="B615"/>
      <c r="C615"/>
      <c r="D615"/>
      <c r="E615"/>
      <c r="F615"/>
      <c r="G615"/>
      <c r="H615"/>
      <c r="I615"/>
      <c r="J615"/>
      <c r="K615"/>
    </row>
    <row r="616" spans="1:11">
      <c r="A616"/>
      <c r="B616"/>
      <c r="C616"/>
      <c r="D616"/>
      <c r="E616"/>
      <c r="F616"/>
      <c r="G616"/>
      <c r="H616"/>
      <c r="I616"/>
      <c r="J616"/>
      <c r="K616"/>
    </row>
    <row r="617" spans="1:11">
      <c r="A617"/>
      <c r="B617"/>
      <c r="C617"/>
      <c r="D617"/>
      <c r="E617"/>
      <c r="F617"/>
      <c r="G617"/>
      <c r="H617"/>
      <c r="I617"/>
      <c r="J617"/>
      <c r="K617"/>
    </row>
    <row r="618" spans="1:11">
      <c r="A618"/>
      <c r="B618"/>
      <c r="C618"/>
      <c r="D618"/>
      <c r="E618"/>
      <c r="F618"/>
      <c r="G618"/>
      <c r="H618"/>
      <c r="I618"/>
      <c r="J618"/>
      <c r="K618"/>
    </row>
    <row r="619" spans="1:11">
      <c r="A619"/>
      <c r="B619"/>
      <c r="C619"/>
      <c r="D619"/>
      <c r="E619"/>
      <c r="F619"/>
      <c r="G619"/>
      <c r="H619"/>
      <c r="I619"/>
      <c r="J619"/>
      <c r="K619"/>
    </row>
    <row r="620" spans="1:11">
      <c r="A620"/>
      <c r="B620"/>
      <c r="C620"/>
      <c r="D620"/>
      <c r="E620"/>
      <c r="F620"/>
      <c r="G620"/>
      <c r="H620"/>
      <c r="I620"/>
      <c r="J620"/>
      <c r="K620"/>
    </row>
    <row r="621" spans="1:11">
      <c r="A621"/>
      <c r="B621"/>
      <c r="C621"/>
      <c r="D621"/>
      <c r="E621"/>
      <c r="F621"/>
      <c r="G621"/>
      <c r="H621"/>
      <c r="I621"/>
      <c r="J621"/>
      <c r="K621"/>
    </row>
    <row r="622" spans="1:11">
      <c r="A622"/>
      <c r="B622"/>
      <c r="C622"/>
      <c r="D622"/>
      <c r="E622"/>
      <c r="F622"/>
      <c r="G622"/>
      <c r="H622"/>
      <c r="I622"/>
      <c r="J622"/>
      <c r="K622"/>
    </row>
    <row r="623" spans="1:11">
      <c r="A623"/>
      <c r="B623"/>
      <c r="C623"/>
      <c r="D623"/>
      <c r="E623"/>
      <c r="F623"/>
      <c r="G623"/>
      <c r="H623"/>
      <c r="I623"/>
      <c r="J623"/>
      <c r="K623"/>
    </row>
    <row r="624" spans="1:11">
      <c r="A624"/>
      <c r="B624"/>
      <c r="C624"/>
      <c r="D624"/>
      <c r="E624"/>
      <c r="F624"/>
      <c r="G624"/>
      <c r="H624"/>
      <c r="I624"/>
      <c r="J624"/>
      <c r="K624"/>
    </row>
    <row r="625" spans="1:11">
      <c r="A625"/>
      <c r="B625"/>
      <c r="C625"/>
      <c r="D625"/>
      <c r="E625"/>
      <c r="F625"/>
      <c r="G625"/>
      <c r="H625"/>
      <c r="I625"/>
      <c r="J625"/>
      <c r="K625"/>
    </row>
    <row r="626" spans="1:11">
      <c r="A626"/>
      <c r="B626"/>
      <c r="C626"/>
      <c r="D626"/>
      <c r="E626"/>
      <c r="F626"/>
      <c r="G626"/>
      <c r="H626"/>
      <c r="I626"/>
      <c r="J626"/>
      <c r="K626"/>
    </row>
    <row r="627" spans="1:11">
      <c r="A627"/>
      <c r="B627"/>
      <c r="C627"/>
      <c r="D627"/>
      <c r="E627"/>
      <c r="F627"/>
      <c r="G627"/>
      <c r="H627"/>
      <c r="I627"/>
      <c r="J627"/>
      <c r="K627"/>
    </row>
    <row r="628" spans="1:11">
      <c r="A628"/>
      <c r="B628"/>
      <c r="C628"/>
      <c r="D628"/>
      <c r="E628"/>
      <c r="F628"/>
      <c r="G628"/>
      <c r="H628"/>
      <c r="I628"/>
      <c r="J628"/>
      <c r="K628"/>
    </row>
    <row r="629" spans="1:11">
      <c r="A629"/>
      <c r="B629"/>
      <c r="C629"/>
      <c r="D629"/>
      <c r="E629"/>
      <c r="F629"/>
      <c r="G629"/>
      <c r="H629"/>
      <c r="I629"/>
      <c r="J629"/>
      <c r="K629"/>
    </row>
    <row r="630" spans="1:11">
      <c r="A630"/>
      <c r="B630"/>
      <c r="C630"/>
      <c r="D630"/>
      <c r="E630"/>
      <c r="F630"/>
      <c r="G630"/>
      <c r="H630"/>
      <c r="I630"/>
      <c r="J630"/>
      <c r="K630"/>
    </row>
    <row r="631" spans="1:11">
      <c r="A631"/>
      <c r="B631"/>
      <c r="C631"/>
      <c r="D631"/>
      <c r="E631"/>
      <c r="F631"/>
      <c r="G631"/>
      <c r="H631"/>
      <c r="I631"/>
      <c r="J631"/>
      <c r="K631"/>
    </row>
    <row r="632" spans="1:11">
      <c r="A632"/>
      <c r="B632"/>
      <c r="C632"/>
      <c r="D632"/>
      <c r="E632"/>
      <c r="F632"/>
      <c r="G632"/>
      <c r="H632"/>
      <c r="I632"/>
      <c r="J632"/>
      <c r="K632"/>
    </row>
    <row r="633" spans="1:11">
      <c r="A633"/>
      <c r="B633"/>
      <c r="C633"/>
      <c r="D633"/>
      <c r="E633"/>
      <c r="F633"/>
      <c r="G633"/>
      <c r="H633"/>
      <c r="I633"/>
      <c r="J633"/>
      <c r="K633"/>
    </row>
    <row r="634" spans="1:11">
      <c r="A634"/>
      <c r="B634"/>
      <c r="C634"/>
      <c r="D634"/>
      <c r="E634"/>
      <c r="F634"/>
      <c r="G634"/>
      <c r="H634"/>
      <c r="I634"/>
      <c r="J634"/>
      <c r="K634"/>
    </row>
    <row r="635" spans="1:11">
      <c r="A635"/>
      <c r="B635"/>
      <c r="C635"/>
      <c r="D635"/>
      <c r="E635"/>
      <c r="F635"/>
      <c r="G635"/>
      <c r="H635"/>
      <c r="I635"/>
      <c r="J635"/>
      <c r="K635"/>
    </row>
    <row r="636" spans="1:11">
      <c r="A636"/>
      <c r="B636"/>
      <c r="C636"/>
      <c r="D636"/>
      <c r="E636"/>
      <c r="F636"/>
      <c r="G636"/>
      <c r="H636"/>
      <c r="I636"/>
      <c r="J636"/>
      <c r="K636"/>
    </row>
    <row r="637" spans="1:11">
      <c r="A637"/>
      <c r="B637"/>
      <c r="C637"/>
      <c r="D637"/>
      <c r="E637"/>
      <c r="F637"/>
      <c r="G637"/>
      <c r="H637"/>
      <c r="I637"/>
      <c r="J637"/>
      <c r="K637"/>
    </row>
    <row r="638" spans="1:11">
      <c r="A638"/>
      <c r="B638"/>
      <c r="C638"/>
      <c r="D638"/>
      <c r="E638"/>
      <c r="F638"/>
      <c r="G638"/>
      <c r="H638"/>
      <c r="I638"/>
      <c r="J638"/>
      <c r="K638"/>
    </row>
    <row r="639" spans="1:11">
      <c r="A639"/>
      <c r="B639"/>
      <c r="C639"/>
      <c r="D639"/>
      <c r="E639"/>
      <c r="F639"/>
      <c r="G639"/>
      <c r="H639"/>
      <c r="I639"/>
      <c r="J639"/>
      <c r="K639"/>
    </row>
    <row r="640" spans="1:11">
      <c r="A640"/>
      <c r="B640"/>
      <c r="C640"/>
      <c r="D640"/>
      <c r="E640"/>
      <c r="F640"/>
      <c r="G640"/>
      <c r="H640"/>
      <c r="I640"/>
      <c r="J640"/>
      <c r="K640"/>
    </row>
    <row r="641" spans="1:11">
      <c r="A641"/>
      <c r="B641"/>
      <c r="C641"/>
      <c r="D641"/>
      <c r="E641"/>
      <c r="F641"/>
      <c r="G641"/>
      <c r="H641"/>
      <c r="I641"/>
      <c r="J641"/>
      <c r="K641"/>
    </row>
    <row r="642" spans="1:11">
      <c r="A642"/>
      <c r="B642"/>
      <c r="C642"/>
      <c r="D642"/>
      <c r="E642"/>
      <c r="F642"/>
      <c r="G642"/>
      <c r="H642"/>
      <c r="I642"/>
      <c r="J642"/>
      <c r="K642"/>
    </row>
    <row r="643" spans="1:11">
      <c r="A643"/>
      <c r="B643"/>
      <c r="C643"/>
      <c r="D643"/>
      <c r="E643"/>
      <c r="F643"/>
      <c r="G643"/>
      <c r="H643"/>
      <c r="I643"/>
      <c r="J643"/>
      <c r="K643"/>
    </row>
    <row r="644" spans="1:11">
      <c r="A644"/>
      <c r="B644"/>
      <c r="C644"/>
      <c r="D644"/>
      <c r="E644"/>
      <c r="F644"/>
      <c r="G644"/>
      <c r="H644"/>
      <c r="I644"/>
      <c r="J644"/>
      <c r="K644"/>
    </row>
    <row r="645" spans="1:11">
      <c r="A645"/>
      <c r="B645"/>
      <c r="C645"/>
      <c r="D645"/>
      <c r="E645"/>
      <c r="F645"/>
      <c r="G645"/>
      <c r="H645"/>
      <c r="I645"/>
      <c r="J645"/>
      <c r="K645"/>
    </row>
    <row r="646" spans="1:11">
      <c r="A646"/>
      <c r="B646"/>
      <c r="C646"/>
      <c r="D646"/>
      <c r="E646"/>
      <c r="F646"/>
      <c r="G646"/>
      <c r="H646"/>
      <c r="I646"/>
      <c r="J646"/>
      <c r="K646"/>
    </row>
    <row r="647" spans="1:11">
      <c r="A647"/>
      <c r="B647"/>
      <c r="C647"/>
      <c r="D647"/>
      <c r="E647"/>
      <c r="F647"/>
      <c r="G647"/>
      <c r="H647"/>
      <c r="I647"/>
      <c r="J647"/>
      <c r="K647"/>
    </row>
    <row r="648" spans="1:11">
      <c r="A648"/>
      <c r="B648"/>
      <c r="C648"/>
      <c r="D648"/>
      <c r="E648"/>
      <c r="F648"/>
      <c r="G648"/>
      <c r="H648"/>
      <c r="I648"/>
      <c r="J648"/>
      <c r="K648"/>
    </row>
    <row r="649" spans="1:11">
      <c r="A649"/>
      <c r="B649"/>
      <c r="C649"/>
      <c r="D649"/>
      <c r="E649"/>
      <c r="F649"/>
      <c r="G649"/>
      <c r="H649"/>
      <c r="I649"/>
      <c r="J649"/>
      <c r="K649"/>
    </row>
    <row r="650" spans="1:11">
      <c r="A650"/>
      <c r="B650"/>
      <c r="C650"/>
      <c r="D650"/>
      <c r="E650"/>
      <c r="F650"/>
      <c r="G650"/>
      <c r="H650"/>
      <c r="I650"/>
      <c r="J650"/>
      <c r="K650"/>
    </row>
    <row r="651" spans="1:11">
      <c r="A651"/>
      <c r="B651"/>
      <c r="C651"/>
      <c r="D651"/>
      <c r="E651"/>
      <c r="F651"/>
      <c r="G651"/>
      <c r="H651"/>
      <c r="I651"/>
      <c r="J651"/>
      <c r="K651"/>
    </row>
    <row r="652" spans="1:11">
      <c r="A652"/>
      <c r="B652"/>
      <c r="C652"/>
      <c r="D652"/>
      <c r="E652"/>
      <c r="F652"/>
      <c r="G652"/>
      <c r="H652"/>
      <c r="I652"/>
      <c r="J652"/>
      <c r="K652"/>
    </row>
    <row r="653" spans="1:11">
      <c r="A653"/>
      <c r="B653"/>
      <c r="C653"/>
      <c r="D653"/>
      <c r="E653"/>
      <c r="F653"/>
      <c r="G653"/>
      <c r="H653"/>
      <c r="I653"/>
      <c r="J653"/>
      <c r="K653"/>
    </row>
    <row r="654" spans="1:11">
      <c r="A654"/>
      <c r="B654"/>
      <c r="C654"/>
      <c r="D654"/>
      <c r="E654"/>
      <c r="F654"/>
      <c r="G654"/>
      <c r="H654"/>
      <c r="I654"/>
      <c r="J654"/>
      <c r="K654"/>
    </row>
    <row r="655" spans="1:11">
      <c r="A655"/>
      <c r="B655"/>
      <c r="C655"/>
      <c r="D655"/>
      <c r="E655"/>
      <c r="F655"/>
      <c r="G655"/>
      <c r="H655"/>
      <c r="I655"/>
      <c r="J655"/>
      <c r="K655"/>
    </row>
    <row r="656" spans="1:11">
      <c r="A656"/>
      <c r="B656"/>
      <c r="C656"/>
      <c r="D656"/>
      <c r="E656"/>
      <c r="F656"/>
      <c r="G656"/>
      <c r="H656"/>
      <c r="I656"/>
      <c r="J656"/>
      <c r="K656"/>
    </row>
    <row r="657" spans="1:11">
      <c r="A657"/>
      <c r="B657"/>
      <c r="C657"/>
      <c r="D657"/>
      <c r="E657"/>
      <c r="F657"/>
      <c r="G657"/>
      <c r="H657"/>
      <c r="I657"/>
      <c r="J657"/>
      <c r="K657"/>
    </row>
    <row r="658" spans="1:11">
      <c r="A658"/>
      <c r="B658"/>
      <c r="C658"/>
      <c r="D658"/>
      <c r="E658"/>
      <c r="F658"/>
      <c r="G658"/>
      <c r="H658"/>
      <c r="I658"/>
      <c r="J658"/>
      <c r="K658"/>
    </row>
    <row r="659" spans="1:11">
      <c r="A659"/>
      <c r="B659"/>
      <c r="C659"/>
      <c r="D659"/>
      <c r="E659"/>
      <c r="F659"/>
      <c r="G659"/>
      <c r="H659"/>
      <c r="I659"/>
      <c r="J659"/>
      <c r="K659"/>
    </row>
    <row r="660" spans="1:11">
      <c r="A660"/>
      <c r="B660"/>
      <c r="C660"/>
      <c r="D660"/>
      <c r="E660"/>
      <c r="F660"/>
      <c r="G660"/>
      <c r="H660"/>
      <c r="I660"/>
      <c r="J660"/>
      <c r="K660"/>
    </row>
    <row r="661" spans="1:11">
      <c r="A661"/>
      <c r="B661"/>
      <c r="C661"/>
      <c r="D661"/>
      <c r="E661"/>
      <c r="F661"/>
      <c r="G661"/>
      <c r="H661"/>
      <c r="I661"/>
      <c r="J661"/>
      <c r="K661"/>
    </row>
    <row r="662" spans="1:11">
      <c r="A662"/>
      <c r="B662"/>
      <c r="C662"/>
      <c r="D662"/>
      <c r="E662"/>
      <c r="F662"/>
      <c r="G662"/>
      <c r="H662"/>
      <c r="I662"/>
      <c r="J662"/>
      <c r="K662"/>
    </row>
    <row r="663" spans="1:11">
      <c r="A663"/>
      <c r="B663"/>
      <c r="C663"/>
      <c r="D663"/>
      <c r="E663"/>
      <c r="F663"/>
      <c r="G663"/>
      <c r="H663"/>
      <c r="I663"/>
      <c r="J663"/>
      <c r="K663"/>
    </row>
    <row r="664" spans="1:11">
      <c r="A664"/>
      <c r="B664"/>
      <c r="C664"/>
      <c r="D664"/>
      <c r="E664"/>
      <c r="F664"/>
      <c r="G664"/>
      <c r="H664"/>
      <c r="I664"/>
      <c r="J664"/>
      <c r="K664"/>
    </row>
    <row r="665" spans="1:11">
      <c r="A665"/>
      <c r="B665"/>
      <c r="C665"/>
      <c r="D665"/>
      <c r="E665"/>
      <c r="F665"/>
      <c r="G665"/>
      <c r="H665"/>
      <c r="I665"/>
      <c r="J665"/>
      <c r="K665"/>
    </row>
    <row r="666" spans="1:11">
      <c r="A666"/>
      <c r="B666"/>
      <c r="C666"/>
      <c r="D666"/>
      <c r="E666"/>
      <c r="F666"/>
      <c r="G666"/>
      <c r="H666"/>
      <c r="I666"/>
      <c r="J666"/>
      <c r="K666"/>
    </row>
    <row r="667" spans="1:11">
      <c r="A667"/>
      <c r="B667"/>
      <c r="C667"/>
      <c r="D667"/>
      <c r="E667"/>
      <c r="F667"/>
      <c r="G667"/>
      <c r="H667"/>
      <c r="I667"/>
      <c r="J667"/>
      <c r="K667"/>
    </row>
    <row r="668" spans="1:11">
      <c r="A668"/>
      <c r="B668"/>
      <c r="C668"/>
      <c r="D668"/>
      <c r="E668"/>
      <c r="F668"/>
      <c r="G668"/>
      <c r="H668"/>
      <c r="I668"/>
      <c r="J668"/>
      <c r="K668"/>
    </row>
    <row r="669" spans="1:11">
      <c r="A669"/>
      <c r="B669"/>
      <c r="C669"/>
      <c r="D669"/>
      <c r="E669"/>
      <c r="F669"/>
      <c r="G669"/>
      <c r="H669"/>
      <c r="I669"/>
      <c r="J669"/>
      <c r="K669"/>
    </row>
    <row r="670" spans="1:11">
      <c r="A670"/>
      <c r="B670"/>
      <c r="C670"/>
      <c r="D670"/>
      <c r="E670"/>
      <c r="F670"/>
      <c r="G670"/>
      <c r="H670"/>
      <c r="I670"/>
      <c r="J670"/>
      <c r="K670"/>
    </row>
    <row r="671" spans="1:11">
      <c r="A671"/>
      <c r="B671"/>
      <c r="C671"/>
      <c r="D671"/>
      <c r="E671"/>
      <c r="F671"/>
      <c r="G671"/>
      <c r="H671"/>
      <c r="I671"/>
      <c r="J671"/>
      <c r="K671"/>
    </row>
    <row r="672" spans="1:11">
      <c r="A672"/>
      <c r="B672"/>
      <c r="C672"/>
      <c r="D672"/>
      <c r="E672"/>
      <c r="F672"/>
      <c r="G672"/>
      <c r="H672"/>
      <c r="I672"/>
      <c r="J672"/>
      <c r="K672"/>
    </row>
    <row r="673" spans="1:11">
      <c r="A673"/>
      <c r="B673"/>
      <c r="C673"/>
      <c r="D673"/>
      <c r="E673"/>
      <c r="F673"/>
      <c r="G673"/>
      <c r="H673"/>
      <c r="I673"/>
      <c r="J673"/>
      <c r="K673"/>
    </row>
    <row r="674" spans="1:11">
      <c r="A674"/>
      <c r="B674"/>
      <c r="C674"/>
      <c r="D674"/>
      <c r="E674"/>
      <c r="F674"/>
      <c r="G674"/>
      <c r="H674"/>
      <c r="I674"/>
      <c r="J674"/>
      <c r="K674"/>
    </row>
    <row r="675" spans="1:11">
      <c r="A675"/>
      <c r="B675"/>
      <c r="C675"/>
      <c r="D675"/>
      <c r="E675"/>
      <c r="F675"/>
      <c r="G675"/>
      <c r="H675"/>
      <c r="I675"/>
      <c r="J675"/>
      <c r="K675"/>
    </row>
    <row r="676" spans="1:11">
      <c r="A676"/>
      <c r="B676"/>
      <c r="C676"/>
      <c r="D676"/>
      <c r="E676"/>
      <c r="F676"/>
      <c r="G676"/>
      <c r="H676"/>
      <c r="I676"/>
      <c r="J676"/>
      <c r="K676"/>
    </row>
    <row r="677" spans="1:11">
      <c r="A677"/>
      <c r="B677"/>
      <c r="C677"/>
      <c r="D677"/>
      <c r="E677"/>
      <c r="F677"/>
      <c r="G677"/>
      <c r="H677"/>
      <c r="I677"/>
      <c r="J677"/>
      <c r="K677"/>
    </row>
    <row r="678" spans="1:11">
      <c r="A678"/>
      <c r="B678"/>
      <c r="C678"/>
      <c r="D678"/>
      <c r="E678"/>
      <c r="F678"/>
      <c r="G678"/>
      <c r="H678"/>
      <c r="I678"/>
      <c r="J678"/>
      <c r="K678"/>
    </row>
    <row r="679" spans="1:11">
      <c r="A679"/>
      <c r="B679"/>
      <c r="C679"/>
      <c r="D679"/>
      <c r="E679"/>
      <c r="F679"/>
      <c r="G679"/>
      <c r="H679"/>
      <c r="I679"/>
      <c r="J679"/>
      <c r="K679"/>
    </row>
    <row r="680" spans="1:11">
      <c r="A680"/>
      <c r="B680"/>
      <c r="C680"/>
      <c r="D680"/>
      <c r="E680"/>
      <c r="F680"/>
      <c r="G680"/>
      <c r="H680"/>
      <c r="I680"/>
      <c r="J680"/>
      <c r="K680"/>
    </row>
    <row r="681" spans="1:11">
      <c r="A681"/>
      <c r="B681"/>
      <c r="C681"/>
      <c r="D681"/>
      <c r="E681"/>
      <c r="F681"/>
      <c r="G681"/>
      <c r="H681"/>
      <c r="I681"/>
      <c r="J681"/>
      <c r="K681"/>
    </row>
    <row r="682" spans="1:11">
      <c r="A682"/>
      <c r="B682"/>
      <c r="C682"/>
      <c r="D682"/>
      <c r="E682"/>
      <c r="F682"/>
      <c r="G682"/>
      <c r="H682"/>
      <c r="I682"/>
      <c r="J682"/>
      <c r="K682"/>
    </row>
    <row r="683" spans="1:11">
      <c r="A683"/>
      <c r="B683"/>
      <c r="C683"/>
      <c r="D683"/>
      <c r="E683"/>
      <c r="F683"/>
      <c r="G683"/>
      <c r="H683"/>
      <c r="I683"/>
      <c r="J683"/>
      <c r="K683"/>
    </row>
    <row r="684" spans="1:11">
      <c r="A684"/>
      <c r="B684"/>
      <c r="C684"/>
      <c r="D684"/>
      <c r="E684"/>
      <c r="F684"/>
      <c r="G684"/>
      <c r="H684"/>
      <c r="I684"/>
      <c r="J684"/>
      <c r="K684"/>
    </row>
    <row r="685" spans="1:11">
      <c r="A685"/>
      <c r="B685"/>
      <c r="C685"/>
      <c r="D685"/>
      <c r="E685"/>
      <c r="F685"/>
      <c r="G685"/>
      <c r="H685"/>
      <c r="I685"/>
      <c r="J685"/>
      <c r="K685"/>
    </row>
    <row r="686" spans="1:11">
      <c r="A686"/>
      <c r="B686"/>
      <c r="C686"/>
      <c r="D686"/>
      <c r="E686"/>
      <c r="F686"/>
      <c r="G686"/>
      <c r="H686"/>
      <c r="I686"/>
      <c r="J686"/>
      <c r="K686"/>
    </row>
    <row r="687" spans="1:11">
      <c r="A687"/>
      <c r="B687"/>
      <c r="C687"/>
      <c r="D687"/>
      <c r="E687"/>
      <c r="F687"/>
      <c r="G687"/>
      <c r="H687"/>
      <c r="I687"/>
      <c r="J687"/>
      <c r="K687"/>
    </row>
    <row r="688" spans="1:11">
      <c r="A688"/>
      <c r="B688"/>
      <c r="C688"/>
      <c r="D688"/>
      <c r="E688"/>
      <c r="F688"/>
      <c r="G688"/>
      <c r="H688"/>
      <c r="I688"/>
      <c r="J688"/>
      <c r="K688"/>
    </row>
    <row r="689" spans="1:11">
      <c r="A689"/>
      <c r="B689"/>
      <c r="C689"/>
      <c r="D689"/>
      <c r="E689"/>
      <c r="F689"/>
      <c r="G689"/>
      <c r="H689"/>
      <c r="I689"/>
      <c r="J689"/>
      <c r="K689"/>
    </row>
    <row r="690" spans="1:11">
      <c r="A690"/>
      <c r="B690"/>
      <c r="C690"/>
      <c r="D690"/>
      <c r="E690"/>
      <c r="F690"/>
      <c r="G690"/>
      <c r="H690"/>
      <c r="I690"/>
      <c r="J690"/>
      <c r="K690"/>
    </row>
    <row r="691" spans="1:11">
      <c r="A691"/>
      <c r="B691"/>
      <c r="C691"/>
      <c r="D691"/>
      <c r="E691"/>
      <c r="F691"/>
      <c r="G691"/>
      <c r="H691"/>
      <c r="I691"/>
      <c r="J691"/>
      <c r="K691"/>
    </row>
    <row r="692" spans="1:11">
      <c r="A692"/>
      <c r="B692"/>
      <c r="C692"/>
      <c r="D692"/>
      <c r="E692"/>
      <c r="F692"/>
      <c r="G692"/>
      <c r="H692"/>
      <c r="I692"/>
      <c r="J692"/>
      <c r="K692"/>
    </row>
    <row r="693" spans="1:11">
      <c r="A693"/>
      <c r="B693"/>
      <c r="C693"/>
      <c r="D693"/>
      <c r="E693"/>
      <c r="F693"/>
      <c r="G693"/>
      <c r="H693"/>
      <c r="I693"/>
      <c r="J693"/>
      <c r="K693"/>
    </row>
    <row r="694" spans="1:11">
      <c r="A694"/>
      <c r="B694"/>
      <c r="C694"/>
      <c r="D694"/>
      <c r="E694"/>
      <c r="F694"/>
      <c r="G694"/>
      <c r="H694"/>
      <c r="I694"/>
      <c r="J694"/>
      <c r="K694"/>
    </row>
    <row r="695" spans="1:11">
      <c r="A695"/>
      <c r="B695"/>
      <c r="C695"/>
      <c r="D695"/>
      <c r="E695"/>
      <c r="F695"/>
      <c r="G695"/>
      <c r="H695"/>
      <c r="I695"/>
      <c r="J695"/>
      <c r="K695"/>
    </row>
    <row r="696" spans="1:11">
      <c r="A696"/>
      <c r="B696"/>
      <c r="C696"/>
      <c r="D696"/>
      <c r="E696"/>
      <c r="F696"/>
      <c r="G696"/>
      <c r="H696"/>
      <c r="I696"/>
      <c r="J696"/>
      <c r="K696"/>
    </row>
    <row r="697" spans="1:11">
      <c r="A697"/>
      <c r="B697"/>
      <c r="C697"/>
      <c r="D697"/>
      <c r="E697"/>
      <c r="F697"/>
      <c r="G697"/>
      <c r="H697"/>
      <c r="I697"/>
      <c r="J697"/>
      <c r="K697"/>
    </row>
    <row r="698" spans="1:11">
      <c r="A698"/>
      <c r="B698"/>
      <c r="C698"/>
      <c r="D698"/>
      <c r="E698"/>
      <c r="F698"/>
      <c r="G698"/>
      <c r="H698"/>
      <c r="I698"/>
      <c r="J698"/>
      <c r="K698"/>
    </row>
    <row r="699" spans="1:11">
      <c r="A699"/>
      <c r="B699"/>
      <c r="C699"/>
      <c r="D699"/>
      <c r="E699"/>
      <c r="F699"/>
      <c r="G699"/>
      <c r="H699"/>
      <c r="I699"/>
      <c r="J699"/>
      <c r="K699"/>
    </row>
    <row r="700" spans="1:11">
      <c r="A700"/>
      <c r="B700"/>
      <c r="C700"/>
      <c r="D700"/>
      <c r="E700"/>
      <c r="F700"/>
      <c r="G700"/>
      <c r="H700"/>
      <c r="I700"/>
      <c r="J700"/>
      <c r="K700"/>
    </row>
    <row r="701" spans="1:11">
      <c r="A701"/>
      <c r="B701"/>
      <c r="C701"/>
      <c r="D701"/>
      <c r="E701"/>
      <c r="F701"/>
      <c r="G701"/>
      <c r="H701"/>
      <c r="I701"/>
      <c r="J701"/>
      <c r="K701"/>
    </row>
    <row r="702" spans="1:11">
      <c r="A702"/>
      <c r="B702"/>
      <c r="C702"/>
      <c r="D702"/>
      <c r="E702"/>
      <c r="F702"/>
      <c r="G702"/>
      <c r="H702"/>
      <c r="I702"/>
      <c r="J702"/>
      <c r="K702"/>
    </row>
    <row r="703" spans="1:11">
      <c r="A703"/>
      <c r="B703"/>
      <c r="C703"/>
      <c r="D703"/>
      <c r="E703"/>
      <c r="F703"/>
      <c r="G703"/>
      <c r="H703"/>
      <c r="I703"/>
      <c r="J703"/>
      <c r="K703"/>
    </row>
    <row r="704" spans="1:11">
      <c r="A704"/>
      <c r="B704"/>
      <c r="C704"/>
      <c r="D704"/>
      <c r="E704"/>
      <c r="F704"/>
      <c r="G704"/>
      <c r="H704"/>
      <c r="I704"/>
      <c r="J704"/>
      <c r="K704"/>
    </row>
    <row r="705" spans="1:11">
      <c r="A705"/>
      <c r="B705"/>
      <c r="C705"/>
      <c r="D705"/>
      <c r="E705"/>
      <c r="F705"/>
      <c r="G705"/>
      <c r="H705"/>
      <c r="I705"/>
      <c r="J705"/>
      <c r="K705"/>
    </row>
    <row r="706" spans="1:11">
      <c r="A706"/>
      <c r="B706"/>
      <c r="C706"/>
      <c r="D706"/>
      <c r="E706"/>
      <c r="F706"/>
      <c r="G706"/>
      <c r="H706"/>
      <c r="I706"/>
      <c r="J706"/>
      <c r="K706"/>
    </row>
    <row r="707" spans="1:11">
      <c r="A707"/>
      <c r="B707"/>
      <c r="C707"/>
      <c r="D707"/>
      <c r="E707"/>
      <c r="F707"/>
      <c r="G707"/>
      <c r="H707"/>
      <c r="I707"/>
      <c r="J707"/>
      <c r="K707"/>
    </row>
    <row r="708" spans="1:11">
      <c r="A708"/>
      <c r="B708"/>
      <c r="C708"/>
      <c r="D708"/>
      <c r="E708"/>
      <c r="F708"/>
      <c r="G708"/>
      <c r="H708"/>
      <c r="I708"/>
      <c r="J708"/>
      <c r="K708"/>
    </row>
    <row r="709" spans="1:11">
      <c r="A709"/>
      <c r="B709"/>
      <c r="C709"/>
      <c r="D709"/>
      <c r="E709"/>
      <c r="F709"/>
      <c r="G709"/>
      <c r="H709"/>
      <c r="I709"/>
      <c r="J709"/>
      <c r="K709"/>
    </row>
    <row r="710" spans="1:11">
      <c r="A710"/>
      <c r="B710"/>
      <c r="C710"/>
      <c r="D710"/>
      <c r="E710"/>
      <c r="F710"/>
      <c r="G710"/>
      <c r="H710"/>
      <c r="I710"/>
      <c r="J710"/>
      <c r="K710"/>
    </row>
    <row r="711" spans="1:11">
      <c r="A711"/>
      <c r="B711"/>
      <c r="C711"/>
      <c r="D711"/>
      <c r="E711"/>
      <c r="F711"/>
      <c r="G711"/>
      <c r="H711"/>
      <c r="I711"/>
      <c r="J711"/>
      <c r="K711"/>
    </row>
    <row r="712" spans="1:11">
      <c r="A712"/>
      <c r="B712"/>
      <c r="C712"/>
      <c r="D712"/>
      <c r="E712"/>
      <c r="F712"/>
      <c r="G712"/>
      <c r="H712"/>
      <c r="I712"/>
      <c r="J712"/>
      <c r="K712"/>
    </row>
    <row r="713" spans="1:11">
      <c r="A713"/>
      <c r="B713"/>
      <c r="C713"/>
      <c r="D713"/>
      <c r="E713"/>
      <c r="F713"/>
      <c r="G713"/>
      <c r="H713"/>
      <c r="I713"/>
      <c r="J713"/>
      <c r="K713"/>
    </row>
    <row r="714" spans="1:11">
      <c r="A714"/>
      <c r="B714"/>
      <c r="C714"/>
      <c r="D714"/>
      <c r="E714"/>
      <c r="F714"/>
      <c r="G714"/>
      <c r="H714"/>
      <c r="I714"/>
      <c r="J714"/>
      <c r="K714"/>
    </row>
    <row r="715" spans="1:11">
      <c r="A715"/>
      <c r="B715"/>
      <c r="C715"/>
      <c r="D715"/>
      <c r="E715"/>
      <c r="F715"/>
      <c r="G715"/>
      <c r="H715"/>
      <c r="I715"/>
      <c r="J715"/>
      <c r="K715"/>
    </row>
    <row r="716" spans="1:11">
      <c r="A716"/>
      <c r="B716"/>
      <c r="C716"/>
      <c r="D716"/>
      <c r="E716"/>
      <c r="F716"/>
      <c r="G716"/>
      <c r="H716"/>
      <c r="I716"/>
      <c r="J716"/>
      <c r="K716"/>
    </row>
    <row r="717" spans="1:11">
      <c r="A717"/>
      <c r="B717"/>
      <c r="C717"/>
      <c r="D717"/>
      <c r="E717"/>
      <c r="F717"/>
      <c r="G717"/>
      <c r="H717"/>
      <c r="I717"/>
      <c r="J717"/>
      <c r="K717"/>
    </row>
    <row r="718" spans="1:11">
      <c r="A718"/>
      <c r="B718"/>
      <c r="C718"/>
      <c r="D718"/>
      <c r="E718"/>
      <c r="F718"/>
      <c r="G718"/>
      <c r="H718"/>
      <c r="I718"/>
      <c r="J718"/>
      <c r="K718"/>
    </row>
    <row r="719" spans="1:11">
      <c r="A719"/>
      <c r="B719"/>
      <c r="C719"/>
      <c r="D719"/>
      <c r="E719"/>
      <c r="F719"/>
      <c r="G719"/>
      <c r="H719"/>
      <c r="I719"/>
      <c r="J719"/>
      <c r="K719"/>
    </row>
    <row r="720" spans="1:11">
      <c r="A720"/>
      <c r="B720"/>
      <c r="C720"/>
      <c r="D720"/>
      <c r="E720"/>
      <c r="F720"/>
      <c r="G720"/>
      <c r="H720"/>
      <c r="I720"/>
      <c r="J720"/>
      <c r="K720"/>
    </row>
    <row r="721" spans="1:11">
      <c r="A721"/>
      <c r="B721"/>
      <c r="C721"/>
      <c r="D721"/>
      <c r="E721"/>
      <c r="F721"/>
      <c r="G721"/>
      <c r="H721"/>
      <c r="I721"/>
      <c r="J721"/>
      <c r="K721"/>
    </row>
    <row r="722" spans="1:11">
      <c r="A722"/>
      <c r="B722"/>
      <c r="C722"/>
      <c r="D722"/>
      <c r="E722"/>
      <c r="F722"/>
      <c r="G722"/>
      <c r="H722"/>
      <c r="I722"/>
      <c r="J722"/>
      <c r="K722"/>
    </row>
    <row r="723" spans="1:11">
      <c r="A723"/>
      <c r="B723"/>
      <c r="C723"/>
      <c r="D723"/>
      <c r="E723"/>
      <c r="F723"/>
      <c r="G723"/>
      <c r="H723"/>
      <c r="I723"/>
      <c r="J723"/>
      <c r="K723"/>
    </row>
    <row r="724" spans="1:11">
      <c r="A724"/>
      <c r="B724"/>
      <c r="C724"/>
      <c r="D724"/>
      <c r="E724"/>
      <c r="F724"/>
      <c r="G724"/>
      <c r="H724"/>
      <c r="I724"/>
      <c r="J724"/>
      <c r="K724"/>
    </row>
    <row r="725" spans="1:11">
      <c r="A725"/>
      <c r="B725"/>
      <c r="C725"/>
      <c r="D725"/>
      <c r="E725"/>
      <c r="F725"/>
      <c r="G725"/>
      <c r="H725"/>
      <c r="I725"/>
      <c r="J725"/>
      <c r="K725"/>
    </row>
    <row r="726" spans="1:11">
      <c r="A726"/>
      <c r="B726"/>
      <c r="C726"/>
      <c r="D726"/>
      <c r="E726"/>
      <c r="F726"/>
      <c r="G726"/>
      <c r="H726"/>
      <c r="I726"/>
      <c r="J726"/>
      <c r="K726"/>
    </row>
    <row r="727" spans="1:11">
      <c r="A727"/>
      <c r="B727"/>
      <c r="C727"/>
      <c r="D727"/>
      <c r="E727"/>
      <c r="F727"/>
      <c r="G727"/>
      <c r="H727"/>
      <c r="I727"/>
      <c r="J727"/>
      <c r="K727"/>
    </row>
    <row r="728" spans="1:11">
      <c r="A728"/>
      <c r="B728"/>
      <c r="C728"/>
      <c r="D728"/>
      <c r="E728"/>
      <c r="F728"/>
      <c r="G728"/>
      <c r="H728"/>
      <c r="I728"/>
      <c r="J728"/>
      <c r="K728"/>
    </row>
    <row r="729" spans="1:11">
      <c r="A729"/>
      <c r="B729"/>
      <c r="C729"/>
      <c r="D729"/>
      <c r="E729"/>
      <c r="F729"/>
      <c r="G729"/>
      <c r="H729"/>
      <c r="I729"/>
      <c r="J729"/>
      <c r="K729"/>
    </row>
    <row r="730" spans="1:11">
      <c r="A730"/>
      <c r="B730"/>
      <c r="C730"/>
      <c r="D730"/>
      <c r="E730"/>
      <c r="F730"/>
      <c r="G730"/>
      <c r="H730"/>
      <c r="I730"/>
      <c r="J730"/>
      <c r="K730"/>
    </row>
    <row r="731" spans="1:11">
      <c r="A731"/>
      <c r="B731"/>
      <c r="C731"/>
      <c r="D731"/>
      <c r="E731"/>
      <c r="F731"/>
      <c r="G731"/>
      <c r="H731"/>
      <c r="I731"/>
      <c r="J731"/>
      <c r="K731"/>
    </row>
    <row r="732" spans="1:11">
      <c r="A732"/>
      <c r="B732"/>
      <c r="C732"/>
      <c r="D732"/>
      <c r="E732"/>
      <c r="F732"/>
      <c r="G732"/>
      <c r="H732"/>
      <c r="I732"/>
      <c r="J732"/>
      <c r="K732"/>
    </row>
    <row r="733" spans="1:11">
      <c r="A733"/>
      <c r="B733"/>
      <c r="C733"/>
      <c r="D733"/>
      <c r="E733"/>
      <c r="F733"/>
      <c r="G733"/>
      <c r="H733"/>
      <c r="I733"/>
      <c r="J733"/>
      <c r="K733"/>
    </row>
    <row r="734" spans="1:11">
      <c r="A734"/>
      <c r="B734"/>
      <c r="C734"/>
      <c r="D734"/>
      <c r="E734"/>
      <c r="F734"/>
      <c r="G734"/>
      <c r="H734"/>
      <c r="I734"/>
      <c r="J734"/>
      <c r="K734"/>
    </row>
    <row r="735" spans="1:11">
      <c r="A735"/>
      <c r="B735"/>
      <c r="C735"/>
      <c r="D735"/>
      <c r="E735"/>
      <c r="F735"/>
      <c r="G735"/>
      <c r="H735"/>
      <c r="I735"/>
      <c r="J735"/>
      <c r="K735"/>
    </row>
    <row r="736" spans="1:11">
      <c r="A736"/>
      <c r="B736"/>
      <c r="C736"/>
      <c r="D736"/>
      <c r="E736"/>
      <c r="F736"/>
      <c r="G736"/>
      <c r="H736"/>
      <c r="I736"/>
      <c r="J736"/>
      <c r="K736"/>
    </row>
    <row r="737" spans="1:11">
      <c r="A737"/>
      <c r="B737"/>
      <c r="C737"/>
      <c r="D737"/>
      <c r="E737"/>
      <c r="F737"/>
      <c r="G737"/>
      <c r="H737"/>
      <c r="I737"/>
      <c r="J737"/>
      <c r="K737"/>
    </row>
    <row r="738" spans="1:11">
      <c r="A738"/>
      <c r="B738"/>
      <c r="C738"/>
      <c r="D738"/>
      <c r="E738"/>
      <c r="F738"/>
      <c r="G738"/>
      <c r="H738"/>
      <c r="I738"/>
      <c r="J738"/>
      <c r="K738"/>
    </row>
    <row r="739" spans="1:11">
      <c r="A739"/>
      <c r="B739"/>
      <c r="C739"/>
      <c r="D739"/>
      <c r="E739"/>
      <c r="F739"/>
      <c r="G739"/>
      <c r="H739"/>
      <c r="I739"/>
      <c r="J739"/>
      <c r="K739"/>
    </row>
    <row r="740" spans="1:11">
      <c r="A740"/>
      <c r="B740"/>
      <c r="C740"/>
      <c r="D740"/>
      <c r="E740"/>
      <c r="F740"/>
      <c r="G740"/>
      <c r="H740"/>
      <c r="I740"/>
      <c r="J740"/>
      <c r="K740"/>
    </row>
    <row r="741" spans="1:11">
      <c r="A741"/>
      <c r="B741"/>
      <c r="C741"/>
      <c r="D741"/>
      <c r="E741"/>
      <c r="F741"/>
      <c r="G741"/>
      <c r="H741"/>
      <c r="I741"/>
      <c r="J741"/>
      <c r="K741"/>
    </row>
    <row r="742" spans="1:11">
      <c r="A742"/>
      <c r="B742"/>
      <c r="C742"/>
      <c r="D742"/>
      <c r="E742"/>
      <c r="F742"/>
      <c r="G742"/>
      <c r="H742"/>
      <c r="I742"/>
      <c r="J742"/>
      <c r="K742"/>
    </row>
    <row r="743" spans="1:11">
      <c r="A743"/>
      <c r="B743"/>
      <c r="C743"/>
      <c r="D743"/>
      <c r="E743"/>
      <c r="F743"/>
      <c r="G743"/>
      <c r="H743"/>
      <c r="I743"/>
      <c r="J743"/>
      <c r="K743"/>
    </row>
    <row r="744" spans="1:11">
      <c r="A744"/>
      <c r="B744"/>
      <c r="C744"/>
      <c r="D744"/>
      <c r="E744"/>
      <c r="F744"/>
      <c r="G744"/>
      <c r="H744"/>
      <c r="I744"/>
      <c r="J744"/>
      <c r="K744"/>
    </row>
    <row r="745" spans="1:11">
      <c r="A745"/>
      <c r="B745"/>
      <c r="C745"/>
      <c r="D745"/>
      <c r="E745"/>
      <c r="F745"/>
      <c r="G745"/>
      <c r="H745"/>
      <c r="I745"/>
      <c r="J745"/>
      <c r="K745"/>
    </row>
    <row r="746" spans="1:11">
      <c r="A746"/>
      <c r="B746"/>
      <c r="C746"/>
      <c r="D746"/>
      <c r="E746"/>
      <c r="F746"/>
      <c r="G746"/>
      <c r="H746"/>
      <c r="I746"/>
      <c r="J746"/>
      <c r="K746"/>
    </row>
    <row r="747" spans="1:11">
      <c r="A747"/>
      <c r="B747"/>
      <c r="C747"/>
      <c r="D747"/>
      <c r="E747"/>
      <c r="F747"/>
      <c r="G747"/>
      <c r="H747"/>
      <c r="I747"/>
      <c r="J747"/>
      <c r="K747"/>
    </row>
    <row r="748" spans="1:11">
      <c r="A748"/>
      <c r="B748"/>
      <c r="C748"/>
      <c r="D748"/>
      <c r="E748"/>
      <c r="F748"/>
      <c r="G748"/>
      <c r="H748"/>
      <c r="I748"/>
      <c r="J748"/>
      <c r="K748"/>
    </row>
    <row r="749" spans="1:11">
      <c r="A749"/>
      <c r="B749"/>
      <c r="C749"/>
      <c r="D749"/>
      <c r="E749"/>
      <c r="F749"/>
      <c r="G749"/>
      <c r="H749"/>
      <c r="I749"/>
      <c r="J749"/>
      <c r="K749"/>
    </row>
    <row r="750" spans="1:11">
      <c r="A750"/>
      <c r="B750"/>
      <c r="C750"/>
      <c r="D750"/>
      <c r="E750"/>
      <c r="F750"/>
      <c r="G750"/>
      <c r="H750"/>
      <c r="I750"/>
      <c r="J750"/>
      <c r="K750"/>
    </row>
    <row r="751" spans="1:11">
      <c r="A751"/>
      <c r="B751"/>
      <c r="C751"/>
      <c r="D751"/>
      <c r="E751"/>
      <c r="F751"/>
      <c r="G751"/>
      <c r="H751"/>
      <c r="I751"/>
      <c r="J751"/>
      <c r="K751"/>
    </row>
    <row r="752" spans="1:11">
      <c r="A752"/>
      <c r="B752"/>
      <c r="C752"/>
      <c r="D752"/>
      <c r="E752"/>
      <c r="F752"/>
      <c r="G752"/>
      <c r="H752"/>
      <c r="I752"/>
      <c r="J752"/>
      <c r="K752"/>
    </row>
    <row r="753" spans="1:11">
      <c r="A753"/>
      <c r="B753"/>
      <c r="C753"/>
      <c r="D753"/>
      <c r="E753"/>
      <c r="F753"/>
      <c r="G753"/>
      <c r="H753"/>
      <c r="I753"/>
      <c r="J753"/>
      <c r="K753"/>
    </row>
    <row r="754" spans="1:11">
      <c r="A754"/>
      <c r="B754"/>
      <c r="C754"/>
      <c r="D754"/>
      <c r="E754"/>
      <c r="F754"/>
      <c r="G754"/>
      <c r="H754"/>
      <c r="I754"/>
      <c r="J754"/>
      <c r="K754"/>
    </row>
    <row r="755" spans="1:11">
      <c r="A755"/>
      <c r="B755"/>
      <c r="C755"/>
      <c r="D755"/>
      <c r="E755"/>
      <c r="F755"/>
      <c r="G755"/>
      <c r="H755"/>
      <c r="I755"/>
      <c r="J755"/>
      <c r="K755"/>
    </row>
    <row r="756" spans="1:11">
      <c r="A756"/>
      <c r="B756"/>
      <c r="C756"/>
      <c r="D756"/>
      <c r="E756"/>
      <c r="F756"/>
      <c r="G756"/>
      <c r="H756"/>
      <c r="I756"/>
      <c r="J756"/>
      <c r="K756"/>
    </row>
    <row r="757" spans="1:11">
      <c r="A757"/>
      <c r="B757"/>
      <c r="C757"/>
      <c r="D757"/>
      <c r="E757"/>
      <c r="F757"/>
      <c r="G757"/>
      <c r="H757"/>
      <c r="I757"/>
      <c r="J757"/>
      <c r="K757"/>
    </row>
    <row r="758" spans="1:11">
      <c r="A758"/>
      <c r="B758"/>
      <c r="C758"/>
      <c r="D758"/>
      <c r="E758"/>
      <c r="F758"/>
      <c r="G758"/>
      <c r="H758"/>
      <c r="I758"/>
      <c r="J758"/>
      <c r="K758"/>
    </row>
    <row r="759" spans="1:11">
      <c r="A759"/>
      <c r="B759"/>
      <c r="C759"/>
      <c r="D759"/>
      <c r="E759"/>
      <c r="F759"/>
      <c r="G759"/>
      <c r="H759"/>
      <c r="I759"/>
      <c r="J759"/>
      <c r="K759"/>
    </row>
    <row r="760" spans="1:11">
      <c r="A760"/>
      <c r="B760"/>
      <c r="C760"/>
      <c r="D760"/>
      <c r="E760"/>
      <c r="F760"/>
      <c r="G760"/>
      <c r="H760"/>
      <c r="I760"/>
      <c r="J760"/>
      <c r="K760"/>
    </row>
    <row r="761" spans="1:11">
      <c r="A761"/>
      <c r="B761"/>
      <c r="C761"/>
      <c r="D761"/>
      <c r="E761"/>
      <c r="F761"/>
      <c r="G761"/>
      <c r="H761"/>
      <c r="I761"/>
      <c r="J761"/>
      <c r="K761"/>
    </row>
    <row r="762" spans="1:11">
      <c r="A762"/>
      <c r="B762"/>
      <c r="C762"/>
      <c r="D762"/>
      <c r="E762"/>
      <c r="F762"/>
      <c r="G762"/>
      <c r="H762"/>
      <c r="I762"/>
      <c r="J762"/>
      <c r="K762"/>
    </row>
    <row r="763" spans="1:11">
      <c r="A763"/>
      <c r="B763"/>
      <c r="C763"/>
      <c r="D763"/>
      <c r="E763"/>
      <c r="F763"/>
      <c r="G763"/>
      <c r="H763"/>
      <c r="I763"/>
      <c r="J763"/>
      <c r="K763"/>
    </row>
    <row r="764" spans="1:11">
      <c r="A764"/>
      <c r="B764"/>
      <c r="C764"/>
      <c r="D764"/>
      <c r="E764"/>
      <c r="F764"/>
      <c r="G764"/>
      <c r="H764"/>
      <c r="I764"/>
      <c r="J764"/>
      <c r="K764"/>
    </row>
    <row r="765" spans="1:11">
      <c r="A765"/>
      <c r="B765"/>
      <c r="C765"/>
      <c r="D765"/>
      <c r="E765"/>
      <c r="F765"/>
      <c r="G765"/>
      <c r="H765"/>
      <c r="I765"/>
      <c r="J765"/>
      <c r="K765"/>
    </row>
    <row r="766" spans="1:11">
      <c r="A766"/>
      <c r="B766"/>
      <c r="C766"/>
      <c r="D766"/>
      <c r="E766"/>
      <c r="F766"/>
      <c r="G766"/>
      <c r="H766"/>
      <c r="I766"/>
      <c r="J766"/>
      <c r="K766"/>
    </row>
    <row r="767" spans="1:11">
      <c r="A767"/>
      <c r="B767"/>
      <c r="C767"/>
      <c r="D767"/>
      <c r="E767"/>
      <c r="F767"/>
      <c r="G767"/>
      <c r="H767"/>
      <c r="I767"/>
      <c r="J767"/>
      <c r="K767"/>
    </row>
    <row r="768" spans="1:11">
      <c r="A768"/>
      <c r="B768"/>
      <c r="C768"/>
      <c r="D768"/>
      <c r="E768"/>
      <c r="F768"/>
      <c r="G768"/>
      <c r="H768"/>
      <c r="I768"/>
      <c r="J768"/>
      <c r="K768"/>
    </row>
    <row r="769" spans="1:11">
      <c r="A769"/>
      <c r="B769"/>
      <c r="C769"/>
      <c r="D769"/>
      <c r="E769"/>
      <c r="F769"/>
      <c r="G769"/>
      <c r="H769"/>
      <c r="I769"/>
      <c r="J769"/>
      <c r="K769"/>
    </row>
    <row r="770" spans="1:11">
      <c r="A770"/>
      <c r="B770"/>
      <c r="C770"/>
      <c r="D770"/>
      <c r="E770"/>
      <c r="F770"/>
      <c r="G770"/>
      <c r="H770"/>
      <c r="I770"/>
      <c r="J770"/>
      <c r="K770"/>
    </row>
    <row r="771" spans="1:11">
      <c r="A771"/>
      <c r="B771"/>
      <c r="C771"/>
      <c r="D771"/>
      <c r="E771"/>
      <c r="F771"/>
      <c r="G771"/>
      <c r="H771"/>
      <c r="I771"/>
      <c r="J771"/>
      <c r="K771"/>
    </row>
    <row r="772" spans="1:11">
      <c r="A772"/>
      <c r="B772"/>
      <c r="C772"/>
      <c r="D772"/>
      <c r="E772"/>
      <c r="F772"/>
      <c r="G772"/>
      <c r="H772"/>
      <c r="I772"/>
      <c r="J772"/>
      <c r="K772"/>
    </row>
    <row r="773" spans="1:11">
      <c r="A773"/>
      <c r="B773"/>
      <c r="C773"/>
      <c r="D773"/>
      <c r="E773"/>
      <c r="F773"/>
      <c r="G773"/>
      <c r="H773"/>
      <c r="I773"/>
      <c r="J773"/>
      <c r="K773"/>
    </row>
    <row r="774" spans="1:11">
      <c r="A774"/>
      <c r="B774"/>
      <c r="C774"/>
      <c r="D774"/>
      <c r="E774"/>
      <c r="F774"/>
      <c r="G774"/>
      <c r="H774"/>
      <c r="I774"/>
      <c r="J774"/>
      <c r="K774"/>
    </row>
    <row r="775" spans="1:11">
      <c r="A775"/>
      <c r="B775"/>
      <c r="C775"/>
      <c r="D775"/>
      <c r="E775"/>
      <c r="F775"/>
      <c r="G775"/>
      <c r="H775"/>
      <c r="I775"/>
      <c r="J775"/>
      <c r="K775"/>
    </row>
    <row r="776" spans="1:11">
      <c r="A776"/>
      <c r="B776"/>
      <c r="C776"/>
      <c r="D776"/>
      <c r="E776"/>
      <c r="F776"/>
      <c r="G776"/>
      <c r="H776"/>
      <c r="I776"/>
      <c r="J776"/>
      <c r="K776"/>
    </row>
    <row r="777" spans="1:11">
      <c r="A777"/>
      <c r="B777"/>
      <c r="C777"/>
      <c r="D777"/>
      <c r="E777"/>
      <c r="F777"/>
      <c r="G777"/>
      <c r="H777"/>
      <c r="I777"/>
      <c r="J777"/>
      <c r="K777"/>
    </row>
    <row r="778" spans="1:11">
      <c r="A778"/>
      <c r="B778"/>
      <c r="C778"/>
      <c r="D778"/>
      <c r="E778"/>
      <c r="F778"/>
      <c r="G778"/>
      <c r="H778"/>
      <c r="I778"/>
      <c r="J778"/>
      <c r="K778"/>
    </row>
    <row r="779" spans="1:11">
      <c r="A779"/>
      <c r="B779"/>
      <c r="C779"/>
      <c r="D779"/>
      <c r="E779"/>
      <c r="F779"/>
      <c r="G779"/>
      <c r="H779"/>
      <c r="I779"/>
      <c r="J779"/>
      <c r="K779"/>
    </row>
    <row r="780" spans="1:11">
      <c r="A780"/>
      <c r="B780"/>
      <c r="C780"/>
      <c r="D780"/>
      <c r="E780"/>
      <c r="F780"/>
      <c r="G780"/>
      <c r="H780"/>
      <c r="I780"/>
      <c r="J780"/>
      <c r="K780"/>
    </row>
    <row r="781" spans="1:11">
      <c r="A781"/>
      <c r="B781"/>
      <c r="C781"/>
      <c r="D781"/>
      <c r="E781"/>
      <c r="F781"/>
      <c r="G781"/>
      <c r="H781"/>
      <c r="I781"/>
      <c r="J781"/>
      <c r="K781"/>
    </row>
    <row r="782" spans="1:11">
      <c r="A782"/>
      <c r="B782"/>
      <c r="C782"/>
      <c r="D782"/>
      <c r="E782"/>
      <c r="F782"/>
      <c r="G782"/>
      <c r="H782"/>
      <c r="I782"/>
      <c r="J782"/>
      <c r="K782"/>
    </row>
    <row r="783" spans="1:11">
      <c r="A783"/>
      <c r="B783"/>
      <c r="C783"/>
      <c r="D783"/>
      <c r="E783"/>
      <c r="F783"/>
      <c r="G783"/>
      <c r="H783"/>
      <c r="I783"/>
      <c r="J783"/>
      <c r="K783"/>
    </row>
    <row r="784" spans="1:11">
      <c r="A784"/>
      <c r="B784"/>
      <c r="C784"/>
      <c r="D784"/>
      <c r="E784"/>
      <c r="F784"/>
      <c r="G784"/>
      <c r="H784"/>
      <c r="I784"/>
      <c r="J784"/>
      <c r="K784"/>
    </row>
    <row r="785" spans="1:11">
      <c r="A785"/>
      <c r="B785"/>
      <c r="C785"/>
      <c r="D785"/>
      <c r="E785"/>
      <c r="F785"/>
      <c r="G785"/>
      <c r="H785"/>
      <c r="I785"/>
      <c r="J785"/>
      <c r="K785"/>
    </row>
    <row r="786" spans="1:11">
      <c r="A786"/>
      <c r="B786"/>
      <c r="C786"/>
      <c r="D786"/>
      <c r="E786"/>
      <c r="F786"/>
      <c r="G786"/>
      <c r="H786"/>
      <c r="I786"/>
      <c r="J786"/>
      <c r="K786"/>
    </row>
    <row r="787" spans="1:11">
      <c r="A787"/>
      <c r="B787"/>
      <c r="C787"/>
      <c r="D787"/>
      <c r="E787"/>
      <c r="F787"/>
      <c r="G787"/>
      <c r="H787"/>
      <c r="I787"/>
      <c r="J787"/>
      <c r="K787"/>
    </row>
    <row r="788" spans="1:11">
      <c r="A788"/>
      <c r="B788"/>
      <c r="C788"/>
      <c r="D788"/>
      <c r="E788"/>
      <c r="F788"/>
      <c r="G788"/>
      <c r="H788"/>
      <c r="I788"/>
      <c r="J788"/>
      <c r="K788"/>
    </row>
    <row r="789" spans="1:11">
      <c r="A789"/>
      <c r="B789"/>
      <c r="C789"/>
      <c r="D789"/>
      <c r="E789"/>
      <c r="F789"/>
      <c r="G789"/>
      <c r="H789"/>
      <c r="I789"/>
      <c r="J789"/>
      <c r="K789"/>
    </row>
    <row r="790" spans="1:11">
      <c r="A790"/>
      <c r="B790"/>
      <c r="C790"/>
      <c r="D790"/>
      <c r="E790"/>
      <c r="F790"/>
      <c r="G790"/>
      <c r="H790"/>
      <c r="I790"/>
      <c r="J790"/>
      <c r="K790"/>
    </row>
    <row r="791" spans="1:11">
      <c r="A791"/>
      <c r="B791"/>
      <c r="C791"/>
      <c r="D791"/>
      <c r="E791"/>
      <c r="F791"/>
      <c r="G791"/>
      <c r="H791"/>
      <c r="I791"/>
      <c r="J791"/>
      <c r="K791"/>
    </row>
    <row r="792" spans="1:11">
      <c r="A792"/>
      <c r="B792"/>
      <c r="C792"/>
      <c r="D792"/>
      <c r="E792"/>
      <c r="F792"/>
      <c r="G792"/>
      <c r="H792"/>
      <c r="I792"/>
      <c r="J792"/>
      <c r="K792"/>
    </row>
    <row r="793" spans="1:11">
      <c r="A793"/>
      <c r="B793"/>
      <c r="C793"/>
      <c r="D793"/>
      <c r="E793"/>
      <c r="F793"/>
      <c r="G793"/>
      <c r="H793"/>
      <c r="I793"/>
      <c r="J793"/>
      <c r="K793"/>
    </row>
    <row r="794" spans="1:11">
      <c r="A794"/>
      <c r="B794"/>
      <c r="C794"/>
      <c r="D794"/>
      <c r="E794"/>
      <c r="F794"/>
      <c r="G794"/>
      <c r="H794"/>
      <c r="I794"/>
      <c r="J794"/>
      <c r="K794"/>
    </row>
    <row r="795" spans="1:11">
      <c r="A795"/>
      <c r="B795"/>
      <c r="C795"/>
      <c r="D795"/>
      <c r="E795"/>
      <c r="F795"/>
      <c r="G795"/>
      <c r="H795"/>
      <c r="I795"/>
      <c r="J795"/>
      <c r="K795"/>
    </row>
    <row r="796" spans="1:11">
      <c r="A796"/>
      <c r="B796"/>
      <c r="C796"/>
      <c r="D796"/>
      <c r="E796"/>
      <c r="F796"/>
      <c r="G796"/>
      <c r="H796"/>
      <c r="I796"/>
      <c r="J796"/>
      <c r="K796"/>
    </row>
    <row r="797" spans="1:11">
      <c r="A797"/>
      <c r="B797"/>
      <c r="C797"/>
      <c r="D797"/>
      <c r="E797"/>
      <c r="F797"/>
      <c r="G797"/>
      <c r="H797"/>
      <c r="I797"/>
      <c r="J797"/>
      <c r="K797"/>
    </row>
    <row r="798" spans="1:11">
      <c r="A798"/>
      <c r="B798"/>
      <c r="C798"/>
      <c r="D798"/>
      <c r="E798"/>
      <c r="F798"/>
      <c r="G798"/>
      <c r="H798"/>
      <c r="I798"/>
      <c r="J798"/>
      <c r="K798"/>
    </row>
    <row r="799" spans="1:11">
      <c r="A799"/>
      <c r="B799"/>
      <c r="C799"/>
      <c r="D799"/>
      <c r="E799"/>
      <c r="F799"/>
      <c r="G799"/>
      <c r="H799"/>
      <c r="I799"/>
      <c r="J799"/>
      <c r="K799"/>
    </row>
    <row r="800" spans="1:11">
      <c r="A800"/>
      <c r="B800"/>
      <c r="C800"/>
      <c r="D800"/>
      <c r="E800"/>
      <c r="F800"/>
      <c r="G800"/>
      <c r="H800"/>
      <c r="I800"/>
      <c r="J800"/>
      <c r="K800"/>
    </row>
    <row r="801" spans="1:11">
      <c r="A801"/>
      <c r="B801"/>
      <c r="C801"/>
      <c r="D801"/>
      <c r="E801"/>
      <c r="F801"/>
      <c r="G801"/>
      <c r="H801"/>
      <c r="I801"/>
      <c r="J801"/>
      <c r="K801"/>
    </row>
    <row r="802" spans="1:11">
      <c r="A802"/>
      <c r="B802"/>
      <c r="C802"/>
      <c r="D802"/>
      <c r="E802"/>
      <c r="F802"/>
      <c r="G802"/>
      <c r="H802"/>
      <c r="I802"/>
      <c r="J802"/>
      <c r="K802"/>
    </row>
    <row r="803" spans="1:11">
      <c r="A803"/>
      <c r="B803"/>
      <c r="C803"/>
      <c r="D803"/>
      <c r="E803"/>
      <c r="F803"/>
      <c r="G803"/>
      <c r="H803"/>
      <c r="I803"/>
      <c r="J803"/>
      <c r="K803"/>
    </row>
    <row r="804" spans="1:11">
      <c r="A804"/>
      <c r="B804"/>
      <c r="C804"/>
      <c r="D804"/>
      <c r="E804"/>
      <c r="F804"/>
      <c r="G804"/>
      <c r="H804"/>
      <c r="I804"/>
      <c r="J804"/>
      <c r="K804"/>
    </row>
    <row r="805" spans="1:11">
      <c r="A805"/>
      <c r="B805"/>
      <c r="C805"/>
      <c r="D805"/>
      <c r="E805"/>
      <c r="F805"/>
      <c r="G805"/>
      <c r="H805"/>
      <c r="I805"/>
      <c r="J805"/>
      <c r="K805"/>
    </row>
    <row r="806" spans="1:11">
      <c r="A806"/>
      <c r="B806"/>
      <c r="C806"/>
      <c r="D806"/>
      <c r="E806"/>
      <c r="F806"/>
      <c r="G806"/>
      <c r="H806"/>
      <c r="I806"/>
      <c r="J806"/>
      <c r="K806"/>
    </row>
    <row r="807" spans="1:11">
      <c r="A807"/>
      <c r="B807"/>
      <c r="C807"/>
      <c r="D807"/>
      <c r="E807"/>
      <c r="F807"/>
      <c r="G807"/>
      <c r="H807"/>
      <c r="I807"/>
      <c r="J807"/>
      <c r="K807"/>
    </row>
    <row r="808" spans="1:11">
      <c r="A808"/>
      <c r="B808"/>
      <c r="C808"/>
      <c r="D808"/>
      <c r="E808"/>
      <c r="F808"/>
      <c r="G808"/>
      <c r="H808"/>
      <c r="I808"/>
      <c r="J808"/>
      <c r="K808"/>
    </row>
    <row r="809" spans="1:11">
      <c r="A809"/>
      <c r="B809"/>
      <c r="C809"/>
      <c r="D809"/>
      <c r="E809"/>
      <c r="F809"/>
      <c r="G809"/>
      <c r="H809"/>
      <c r="I809"/>
      <c r="J809"/>
      <c r="K809"/>
    </row>
    <row r="810" spans="1:11">
      <c r="A810"/>
      <c r="B810"/>
      <c r="C810"/>
      <c r="D810"/>
      <c r="E810"/>
      <c r="F810"/>
      <c r="G810"/>
      <c r="H810"/>
      <c r="I810"/>
      <c r="J810"/>
      <c r="K810"/>
    </row>
    <row r="811" spans="1:11">
      <c r="A811"/>
      <c r="B811"/>
      <c r="C811"/>
      <c r="D811"/>
      <c r="E811"/>
      <c r="F811"/>
      <c r="G811"/>
      <c r="H811"/>
      <c r="I811"/>
      <c r="J811"/>
      <c r="K811"/>
    </row>
    <row r="812" spans="1:11">
      <c r="A812"/>
      <c r="B812"/>
      <c r="C812"/>
      <c r="D812"/>
      <c r="E812"/>
      <c r="F812"/>
      <c r="G812"/>
      <c r="H812"/>
      <c r="I812"/>
      <c r="J812"/>
      <c r="K812"/>
    </row>
    <row r="813" spans="1:11">
      <c r="A813"/>
      <c r="B813"/>
      <c r="C813"/>
      <c r="D813"/>
      <c r="E813"/>
      <c r="F813"/>
      <c r="G813"/>
      <c r="H813"/>
      <c r="I813"/>
      <c r="J813"/>
      <c r="K813"/>
    </row>
    <row r="814" spans="1:11">
      <c r="A814"/>
      <c r="B814"/>
      <c r="C814"/>
      <c r="D814"/>
      <c r="E814"/>
      <c r="F814"/>
      <c r="G814"/>
      <c r="H814"/>
      <c r="I814"/>
      <c r="J814"/>
      <c r="K814"/>
    </row>
    <row r="815" spans="1:11">
      <c r="A815"/>
      <c r="B815"/>
      <c r="C815"/>
      <c r="D815"/>
      <c r="E815"/>
      <c r="F815"/>
      <c r="G815"/>
      <c r="H815"/>
      <c r="I815"/>
      <c r="J815"/>
      <c r="K815"/>
    </row>
    <row r="816" spans="1:11">
      <c r="A816"/>
      <c r="B816"/>
      <c r="C816"/>
      <c r="D816"/>
      <c r="E816"/>
      <c r="F816"/>
      <c r="G816"/>
      <c r="H816"/>
      <c r="I816"/>
      <c r="J816"/>
      <c r="K816"/>
    </row>
    <row r="817" spans="1:11">
      <c r="A817"/>
      <c r="B817"/>
      <c r="C817"/>
      <c r="D817"/>
      <c r="E817"/>
      <c r="F817"/>
      <c r="G817"/>
      <c r="H817"/>
      <c r="I817"/>
      <c r="J817"/>
      <c r="K817"/>
    </row>
    <row r="818" spans="1:11">
      <c r="A818"/>
      <c r="B818"/>
      <c r="C818"/>
      <c r="D818"/>
      <c r="E818"/>
      <c r="F818"/>
      <c r="G818"/>
      <c r="H818"/>
      <c r="I818"/>
      <c r="J818"/>
      <c r="K818"/>
    </row>
    <row r="819" spans="1:11">
      <c r="A819"/>
      <c r="B819"/>
      <c r="C819"/>
      <c r="D819"/>
      <c r="E819"/>
      <c r="F819"/>
      <c r="G819"/>
      <c r="H819"/>
      <c r="I819"/>
      <c r="J819"/>
      <c r="K819"/>
    </row>
    <row r="820" spans="1:11">
      <c r="A820"/>
      <c r="B820"/>
      <c r="C820"/>
      <c r="D820"/>
      <c r="E820"/>
      <c r="F820"/>
      <c r="G820"/>
      <c r="H820"/>
      <c r="I820"/>
      <c r="J820"/>
      <c r="K820"/>
    </row>
    <row r="821" spans="1:11">
      <c r="A821"/>
      <c r="B821"/>
      <c r="C821"/>
      <c r="D821"/>
      <c r="E821"/>
      <c r="F821"/>
      <c r="G821"/>
      <c r="H821"/>
      <c r="I821"/>
      <c r="J821"/>
      <c r="K821"/>
    </row>
    <row r="822" spans="1:11">
      <c r="A822"/>
      <c r="B822"/>
      <c r="C822"/>
      <c r="D822"/>
      <c r="E822"/>
      <c r="F822"/>
      <c r="G822"/>
      <c r="H822"/>
      <c r="I822"/>
      <c r="J822"/>
      <c r="K822"/>
    </row>
    <row r="823" spans="1:11">
      <c r="A823"/>
      <c r="B823"/>
      <c r="C823"/>
      <c r="D823"/>
      <c r="E823"/>
      <c r="F823"/>
      <c r="G823"/>
      <c r="H823"/>
      <c r="I823"/>
      <c r="J823"/>
      <c r="K823"/>
    </row>
    <row r="824" spans="1:11">
      <c r="A824"/>
      <c r="B824"/>
      <c r="C824"/>
      <c r="D824"/>
      <c r="E824"/>
      <c r="F824"/>
      <c r="G824"/>
      <c r="H824"/>
      <c r="I824"/>
      <c r="J824"/>
      <c r="K824"/>
    </row>
    <row r="825" spans="1:11">
      <c r="A825"/>
      <c r="B825"/>
      <c r="C825"/>
      <c r="D825"/>
      <c r="E825"/>
      <c r="F825"/>
      <c r="G825"/>
      <c r="H825"/>
      <c r="I825"/>
      <c r="J825"/>
      <c r="K825"/>
    </row>
    <row r="826" spans="1:11">
      <c r="A826"/>
      <c r="B826"/>
      <c r="C826"/>
      <c r="D826"/>
      <c r="E826"/>
      <c r="F826"/>
      <c r="G826"/>
      <c r="H826"/>
      <c r="I826"/>
      <c r="J826"/>
      <c r="K826"/>
    </row>
    <row r="827" spans="1:11">
      <c r="A827"/>
      <c r="B827"/>
      <c r="C827"/>
      <c r="D827"/>
      <c r="E827"/>
      <c r="F827"/>
      <c r="G827"/>
      <c r="H827"/>
      <c r="I827"/>
      <c r="J827"/>
      <c r="K827"/>
    </row>
    <row r="828" spans="1:11">
      <c r="A828"/>
      <c r="B828"/>
      <c r="C828"/>
      <c r="D828"/>
      <c r="E828"/>
      <c r="F828"/>
      <c r="G828"/>
      <c r="H828"/>
      <c r="I828"/>
      <c r="J828"/>
      <c r="K828"/>
    </row>
    <row r="829" spans="1:11">
      <c r="A829"/>
      <c r="B829"/>
      <c r="C829"/>
      <c r="D829"/>
      <c r="E829"/>
      <c r="F829"/>
      <c r="G829"/>
      <c r="H829"/>
      <c r="I829"/>
      <c r="J829"/>
      <c r="K829"/>
    </row>
    <row r="830" spans="1:11">
      <c r="A830"/>
      <c r="B830"/>
      <c r="C830"/>
      <c r="D830"/>
      <c r="E830"/>
      <c r="F830"/>
      <c r="G830"/>
      <c r="H830"/>
      <c r="I830"/>
      <c r="J830"/>
      <c r="K830"/>
    </row>
    <row r="831" spans="1:11">
      <c r="A831"/>
      <c r="B831"/>
      <c r="C831"/>
      <c r="D831"/>
      <c r="E831"/>
      <c r="F831"/>
      <c r="G831"/>
      <c r="H831"/>
      <c r="I831"/>
      <c r="J831"/>
      <c r="K831"/>
    </row>
    <row r="832" spans="1:11">
      <c r="A832"/>
      <c r="B832"/>
      <c r="C832"/>
      <c r="D832"/>
      <c r="E832"/>
      <c r="F832"/>
      <c r="G832"/>
      <c r="H832"/>
      <c r="I832"/>
      <c r="J832"/>
      <c r="K832"/>
    </row>
    <row r="833" spans="1:11">
      <c r="A833"/>
      <c r="B833"/>
      <c r="C833"/>
      <c r="D833"/>
      <c r="E833"/>
      <c r="F833"/>
      <c r="G833"/>
      <c r="H833"/>
      <c r="I833"/>
      <c r="J833"/>
      <c r="K833"/>
    </row>
    <row r="834" spans="1:11">
      <c r="A834"/>
      <c r="B834"/>
      <c r="C834"/>
      <c r="D834"/>
      <c r="E834"/>
      <c r="F834"/>
      <c r="G834"/>
      <c r="H834"/>
      <c r="I834"/>
      <c r="J834"/>
      <c r="K834"/>
    </row>
    <row r="835" spans="1:11">
      <c r="A835"/>
      <c r="B835"/>
      <c r="C835"/>
      <c r="D835"/>
      <c r="E835"/>
      <c r="F835"/>
      <c r="G835"/>
      <c r="H835"/>
      <c r="I835"/>
      <c r="J835"/>
      <c r="K835"/>
    </row>
    <row r="836" spans="1:11">
      <c r="A836"/>
      <c r="B836"/>
      <c r="C836"/>
      <c r="D836"/>
      <c r="E836"/>
      <c r="F836"/>
      <c r="G836"/>
      <c r="H836"/>
      <c r="I836"/>
      <c r="J836"/>
      <c r="K836"/>
    </row>
    <row r="837" spans="1:11">
      <c r="A837"/>
      <c r="B837"/>
      <c r="C837"/>
      <c r="D837"/>
      <c r="E837"/>
      <c r="F837"/>
      <c r="G837"/>
      <c r="H837"/>
      <c r="I837"/>
      <c r="J837"/>
      <c r="K837"/>
    </row>
    <row r="838" spans="1:11">
      <c r="A838"/>
      <c r="B838"/>
      <c r="C838"/>
      <c r="D838"/>
      <c r="E838"/>
      <c r="F838"/>
      <c r="G838"/>
      <c r="H838"/>
      <c r="I838"/>
      <c r="J838"/>
      <c r="K838"/>
    </row>
    <row r="839" spans="1:11">
      <c r="A839"/>
      <c r="B839"/>
      <c r="C839"/>
      <c r="D839"/>
      <c r="E839"/>
      <c r="F839"/>
      <c r="G839"/>
      <c r="H839"/>
      <c r="I839"/>
      <c r="J839"/>
      <c r="K839"/>
    </row>
    <row r="840" spans="1:11">
      <c r="A840"/>
      <c r="B840"/>
      <c r="C840"/>
      <c r="D840"/>
      <c r="E840"/>
      <c r="F840"/>
      <c r="G840"/>
      <c r="H840"/>
      <c r="I840"/>
      <c r="J840"/>
      <c r="K840"/>
    </row>
    <row r="841" spans="1:11">
      <c r="A841"/>
      <c r="B841"/>
      <c r="C841"/>
      <c r="D841"/>
      <c r="E841"/>
      <c r="F841"/>
      <c r="G841"/>
      <c r="H841"/>
      <c r="I841"/>
      <c r="J841"/>
      <c r="K841"/>
    </row>
    <row r="842" spans="1:11">
      <c r="A842"/>
      <c r="B842"/>
      <c r="C842"/>
      <c r="D842"/>
      <c r="E842"/>
      <c r="F842"/>
      <c r="G842"/>
      <c r="H842"/>
      <c r="I842"/>
      <c r="J842"/>
      <c r="K842"/>
    </row>
    <row r="843" spans="1:11">
      <c r="A843"/>
      <c r="B843"/>
      <c r="C843"/>
      <c r="D843"/>
      <c r="E843"/>
      <c r="F843"/>
      <c r="G843"/>
      <c r="H843"/>
      <c r="I843"/>
      <c r="J843"/>
      <c r="K843"/>
    </row>
    <row r="844" spans="1:11">
      <c r="A844"/>
      <c r="B844"/>
      <c r="C844"/>
      <c r="D844"/>
      <c r="E844"/>
      <c r="F844"/>
      <c r="G844"/>
      <c r="H844"/>
      <c r="I844"/>
      <c r="J844"/>
      <c r="K844"/>
    </row>
    <row r="845" spans="1:11">
      <c r="A845"/>
      <c r="B845"/>
      <c r="C845"/>
      <c r="D845"/>
      <c r="E845"/>
      <c r="F845"/>
      <c r="G845"/>
      <c r="H845"/>
      <c r="I845"/>
      <c r="J845"/>
      <c r="K845"/>
    </row>
    <row r="846" spans="1:11">
      <c r="A846"/>
      <c r="B846"/>
      <c r="C846"/>
      <c r="D846"/>
      <c r="E846"/>
      <c r="F846"/>
      <c r="G846"/>
      <c r="H846"/>
      <c r="I846"/>
      <c r="J846"/>
      <c r="K846"/>
    </row>
    <row r="847" spans="1:11">
      <c r="A847"/>
      <c r="B847"/>
      <c r="C847"/>
      <c r="D847"/>
      <c r="E847"/>
      <c r="F847"/>
      <c r="G847"/>
      <c r="H847"/>
      <c r="I847"/>
      <c r="J847"/>
      <c r="K847"/>
    </row>
    <row r="848" spans="1:11">
      <c r="A848"/>
      <c r="B848"/>
      <c r="C848"/>
      <c r="D848"/>
      <c r="E848"/>
      <c r="F848"/>
      <c r="G848"/>
      <c r="H848"/>
      <c r="I848"/>
      <c r="J848"/>
      <c r="K848"/>
    </row>
    <row r="849" spans="1:11">
      <c r="A849"/>
      <c r="B849"/>
      <c r="C849"/>
      <c r="D849"/>
      <c r="E849"/>
      <c r="F849"/>
      <c r="G849"/>
      <c r="H849"/>
      <c r="I849"/>
      <c r="J849"/>
      <c r="K849"/>
    </row>
    <row r="850" spans="1:11">
      <c r="A850"/>
      <c r="B850"/>
      <c r="C850"/>
      <c r="D850"/>
      <c r="E850"/>
      <c r="F850"/>
      <c r="G850"/>
      <c r="H850"/>
      <c r="I850"/>
      <c r="J850"/>
      <c r="K850"/>
    </row>
    <row r="851" spans="1:11">
      <c r="A851"/>
      <c r="B851"/>
      <c r="C851"/>
      <c r="D851"/>
      <c r="E851"/>
      <c r="F851"/>
      <c r="G851"/>
      <c r="H851"/>
      <c r="I851"/>
      <c r="J851"/>
      <c r="K851"/>
    </row>
    <row r="852" spans="1:11">
      <c r="A852"/>
      <c r="B852"/>
      <c r="C852"/>
      <c r="D852"/>
      <c r="E852"/>
      <c r="F852"/>
      <c r="G852"/>
      <c r="H852"/>
      <c r="I852"/>
      <c r="J852"/>
      <c r="K852"/>
    </row>
    <row r="853" spans="1:11">
      <c r="A853"/>
      <c r="B853"/>
      <c r="C853"/>
      <c r="D853"/>
      <c r="E853"/>
      <c r="F853"/>
      <c r="G853"/>
      <c r="H853"/>
      <c r="I853"/>
      <c r="J853"/>
      <c r="K853"/>
    </row>
    <row r="854" spans="1:11">
      <c r="A854"/>
      <c r="B854"/>
      <c r="C854"/>
      <c r="D854"/>
      <c r="E854"/>
      <c r="F854"/>
      <c r="G854"/>
      <c r="H854"/>
      <c r="I854"/>
      <c r="J854"/>
      <c r="K854"/>
    </row>
    <row r="855" spans="1:11">
      <c r="A855"/>
      <c r="B855"/>
      <c r="C855"/>
      <c r="D855"/>
      <c r="E855"/>
      <c r="F855"/>
      <c r="G855"/>
      <c r="H855"/>
      <c r="I855"/>
      <c r="J855"/>
      <c r="K855"/>
    </row>
    <row r="856" spans="1:11">
      <c r="A856"/>
      <c r="B856"/>
      <c r="C856"/>
      <c r="D856"/>
      <c r="E856"/>
      <c r="F856"/>
      <c r="G856"/>
      <c r="H856"/>
      <c r="I856"/>
      <c r="J856"/>
      <c r="K856"/>
    </row>
    <row r="857" spans="1:11">
      <c r="A857"/>
      <c r="B857"/>
      <c r="C857"/>
      <c r="D857"/>
      <c r="E857"/>
      <c r="F857"/>
      <c r="G857"/>
      <c r="H857"/>
      <c r="I857"/>
      <c r="J857"/>
      <c r="K857"/>
    </row>
    <row r="858" spans="1:11">
      <c r="A858"/>
      <c r="B858"/>
      <c r="C858"/>
      <c r="D858"/>
      <c r="E858"/>
      <c r="F858"/>
      <c r="G858"/>
      <c r="H858"/>
      <c r="I858"/>
      <c r="J858"/>
      <c r="K858"/>
    </row>
    <row r="859" spans="1:11">
      <c r="A859"/>
      <c r="B859"/>
      <c r="C859"/>
      <c r="D859"/>
      <c r="E859"/>
      <c r="F859"/>
      <c r="G859"/>
      <c r="H859"/>
      <c r="I859"/>
      <c r="J859"/>
      <c r="K859"/>
    </row>
    <row r="860" spans="1:11">
      <c r="A860"/>
      <c r="B860"/>
      <c r="C860"/>
      <c r="D860"/>
      <c r="E860"/>
      <c r="F860"/>
      <c r="G860"/>
      <c r="H860"/>
      <c r="I860"/>
      <c r="J860"/>
      <c r="K860"/>
    </row>
    <row r="861" spans="1:11">
      <c r="A861"/>
      <c r="B861"/>
      <c r="C861"/>
      <c r="D861"/>
      <c r="E861"/>
      <c r="F861"/>
      <c r="G861"/>
      <c r="H861"/>
      <c r="I861"/>
      <c r="J861"/>
      <c r="K861"/>
    </row>
    <row r="862" spans="1:11">
      <c r="A862"/>
      <c r="B862"/>
      <c r="C862"/>
      <c r="D862"/>
      <c r="E862"/>
      <c r="F862"/>
      <c r="G862"/>
      <c r="H862"/>
      <c r="I862"/>
      <c r="J862"/>
      <c r="K862"/>
    </row>
    <row r="863" spans="1:11">
      <c r="A863"/>
      <c r="B863"/>
      <c r="C863"/>
      <c r="D863"/>
      <c r="E863"/>
      <c r="F863"/>
      <c r="G863"/>
      <c r="H863"/>
      <c r="I863"/>
      <c r="J863"/>
      <c r="K863"/>
    </row>
    <row r="864" spans="1:11">
      <c r="A864"/>
      <c r="B864"/>
      <c r="C864"/>
      <c r="D864"/>
      <c r="E864"/>
      <c r="F864"/>
      <c r="G864"/>
      <c r="H864"/>
      <c r="I864"/>
      <c r="J864"/>
      <c r="K864"/>
    </row>
    <row r="865" spans="1:11">
      <c r="A865"/>
      <c r="B865"/>
      <c r="C865"/>
      <c r="D865"/>
      <c r="E865"/>
      <c r="F865"/>
      <c r="G865"/>
      <c r="H865"/>
      <c r="I865"/>
      <c r="J865"/>
      <c r="K865"/>
    </row>
    <row r="866" spans="1:11">
      <c r="A866"/>
      <c r="B866"/>
      <c r="C866"/>
      <c r="D866"/>
      <c r="E866"/>
      <c r="F866"/>
      <c r="G866"/>
      <c r="H866"/>
      <c r="I866"/>
      <c r="J866"/>
      <c r="K866"/>
    </row>
    <row r="867" spans="1:11">
      <c r="A867"/>
      <c r="B867"/>
      <c r="C867"/>
      <c r="D867"/>
      <c r="E867"/>
      <c r="F867"/>
      <c r="G867"/>
      <c r="H867"/>
      <c r="I867"/>
      <c r="J867"/>
      <c r="K867"/>
    </row>
    <row r="868" spans="1:11">
      <c r="A868"/>
      <c r="B868"/>
      <c r="C868"/>
      <c r="D868"/>
      <c r="E868"/>
      <c r="F868"/>
      <c r="G868"/>
      <c r="H868"/>
      <c r="I868"/>
      <c r="J868"/>
      <c r="K868"/>
    </row>
    <row r="869" spans="1:11">
      <c r="A869"/>
      <c r="B869"/>
      <c r="C869"/>
      <c r="D869"/>
      <c r="E869"/>
      <c r="F869"/>
      <c r="G869"/>
      <c r="H869"/>
      <c r="I869"/>
      <c r="J869"/>
      <c r="K869"/>
    </row>
    <row r="870" spans="1:11">
      <c r="A870"/>
      <c r="B870"/>
      <c r="C870"/>
      <c r="D870"/>
      <c r="E870"/>
      <c r="F870"/>
      <c r="G870"/>
      <c r="H870"/>
      <c r="I870"/>
      <c r="J870"/>
      <c r="K870"/>
    </row>
    <row r="871" spans="1:11">
      <c r="A871"/>
      <c r="B871"/>
      <c r="C871"/>
      <c r="D871"/>
      <c r="E871"/>
      <c r="F871"/>
      <c r="G871"/>
      <c r="H871"/>
      <c r="I871"/>
      <c r="J871"/>
      <c r="K871"/>
    </row>
    <row r="872" spans="1:11">
      <c r="A872"/>
      <c r="B872"/>
      <c r="C872"/>
      <c r="D872"/>
      <c r="E872"/>
      <c r="F872"/>
      <c r="G872"/>
      <c r="H872"/>
      <c r="I872"/>
      <c r="J872"/>
      <c r="K872"/>
    </row>
    <row r="873" spans="1:11">
      <c r="A873"/>
      <c r="B873"/>
      <c r="C873"/>
      <c r="D873"/>
      <c r="E873"/>
      <c r="F873"/>
      <c r="G873"/>
      <c r="H873"/>
      <c r="I873"/>
      <c r="J873"/>
      <c r="K873"/>
    </row>
    <row r="874" spans="1:11">
      <c r="A874"/>
      <c r="B874"/>
      <c r="C874"/>
      <c r="D874"/>
      <c r="E874"/>
      <c r="F874"/>
      <c r="G874"/>
      <c r="H874"/>
      <c r="I874"/>
      <c r="J874"/>
      <c r="K874"/>
    </row>
    <row r="875" spans="1:11">
      <c r="A875"/>
      <c r="B875"/>
      <c r="C875"/>
      <c r="D875"/>
      <c r="E875"/>
      <c r="F875"/>
      <c r="G875"/>
      <c r="H875"/>
      <c r="I875"/>
      <c r="J875"/>
      <c r="K875"/>
    </row>
    <row r="876" spans="1:11">
      <c r="A876"/>
      <c r="B876"/>
      <c r="C876"/>
      <c r="D876"/>
      <c r="E876"/>
      <c r="F876"/>
      <c r="G876"/>
      <c r="H876"/>
      <c r="I876"/>
      <c r="J876"/>
      <c r="K876"/>
    </row>
    <row r="877" spans="1:11">
      <c r="A877"/>
      <c r="B877"/>
      <c r="C877"/>
      <c r="D877"/>
      <c r="E877"/>
      <c r="F877"/>
      <c r="G877"/>
      <c r="H877"/>
      <c r="I877"/>
      <c r="J877"/>
      <c r="K877"/>
    </row>
    <row r="878" spans="1:11">
      <c r="A878"/>
      <c r="B878"/>
      <c r="C878"/>
      <c r="D878"/>
      <c r="E878"/>
      <c r="F878"/>
      <c r="G878"/>
      <c r="H878"/>
      <c r="I878"/>
      <c r="J878"/>
      <c r="K878"/>
    </row>
    <row r="879" spans="1:11">
      <c r="A879"/>
      <c r="B879"/>
      <c r="C879"/>
      <c r="D879"/>
      <c r="E879"/>
      <c r="F879"/>
      <c r="G879"/>
      <c r="H879"/>
      <c r="I879"/>
      <c r="J879"/>
      <c r="K879"/>
    </row>
    <row r="880" spans="1:11">
      <c r="A880"/>
      <c r="B880"/>
      <c r="C880"/>
      <c r="D880"/>
      <c r="E880"/>
      <c r="F880"/>
      <c r="G880"/>
      <c r="H880"/>
      <c r="I880"/>
      <c r="J880"/>
      <c r="K880"/>
    </row>
    <row r="881" spans="1:11">
      <c r="A881"/>
      <c r="B881"/>
      <c r="C881"/>
      <c r="D881"/>
      <c r="E881"/>
      <c r="F881"/>
      <c r="G881"/>
      <c r="H881"/>
      <c r="I881"/>
      <c r="J881"/>
      <c r="K881"/>
    </row>
    <row r="882" spans="1:11">
      <c r="A882"/>
      <c r="B882"/>
      <c r="C882"/>
      <c r="D882"/>
      <c r="E882"/>
      <c r="F882"/>
      <c r="G882"/>
      <c r="H882"/>
      <c r="I882"/>
      <c r="J882"/>
      <c r="K882"/>
    </row>
    <row r="883" spans="1:11">
      <c r="A883"/>
      <c r="B883"/>
      <c r="C883"/>
      <c r="D883"/>
      <c r="E883"/>
      <c r="F883"/>
      <c r="G883"/>
      <c r="H883"/>
      <c r="I883"/>
      <c r="J883"/>
      <c r="K883"/>
    </row>
    <row r="884" spans="1:11">
      <c r="A884"/>
      <c r="B884"/>
      <c r="C884"/>
      <c r="D884"/>
      <c r="E884"/>
      <c r="F884"/>
      <c r="G884"/>
      <c r="H884"/>
      <c r="I884"/>
      <c r="J884"/>
      <c r="K884"/>
    </row>
    <row r="885" spans="1:11">
      <c r="A885"/>
      <c r="B885"/>
      <c r="C885"/>
      <c r="D885"/>
      <c r="E885"/>
      <c r="F885"/>
      <c r="G885"/>
      <c r="H885"/>
      <c r="I885"/>
      <c r="J885"/>
      <c r="K885"/>
    </row>
    <row r="886" spans="1:11">
      <c r="A886"/>
      <c r="B886"/>
      <c r="C886"/>
      <c r="D886"/>
      <c r="E886"/>
      <c r="F886"/>
      <c r="G886"/>
      <c r="H886"/>
      <c r="I886"/>
      <c r="J886"/>
      <c r="K886"/>
    </row>
    <row r="887" spans="1:11">
      <c r="A887"/>
      <c r="B887"/>
      <c r="C887"/>
      <c r="D887"/>
      <c r="E887"/>
      <c r="F887"/>
      <c r="G887"/>
      <c r="H887"/>
      <c r="I887"/>
      <c r="J887"/>
      <c r="K887"/>
    </row>
    <row r="888" spans="1:11">
      <c r="A888"/>
      <c r="B888"/>
      <c r="C888"/>
      <c r="D888"/>
      <c r="E888"/>
      <c r="F888"/>
      <c r="G888"/>
      <c r="H888"/>
      <c r="I888"/>
      <c r="J888"/>
      <c r="K888"/>
    </row>
    <row r="889" spans="1:11">
      <c r="A889"/>
      <c r="B889"/>
      <c r="C889"/>
      <c r="D889"/>
      <c r="E889"/>
      <c r="F889"/>
      <c r="G889"/>
      <c r="H889"/>
      <c r="I889"/>
      <c r="J889"/>
      <c r="K889"/>
    </row>
    <row r="890" spans="1:11">
      <c r="A890"/>
      <c r="B890"/>
      <c r="C890"/>
      <c r="D890"/>
      <c r="E890"/>
      <c r="F890"/>
      <c r="G890"/>
      <c r="H890"/>
      <c r="I890"/>
      <c r="J890"/>
      <c r="K890"/>
    </row>
    <row r="891" spans="1:11">
      <c r="A891"/>
      <c r="B891"/>
      <c r="C891"/>
      <c r="D891"/>
      <c r="E891"/>
      <c r="F891"/>
      <c r="G891"/>
      <c r="H891"/>
      <c r="I891"/>
      <c r="J891"/>
      <c r="K891"/>
    </row>
    <row r="892" spans="1:11">
      <c r="A892"/>
      <c r="B892"/>
      <c r="C892"/>
      <c r="D892"/>
      <c r="E892"/>
      <c r="F892"/>
      <c r="G892"/>
      <c r="H892"/>
      <c r="I892"/>
      <c r="J892"/>
      <c r="K892"/>
    </row>
    <row r="893" spans="1:11">
      <c r="A893"/>
      <c r="B893"/>
      <c r="C893"/>
      <c r="D893"/>
      <c r="E893"/>
      <c r="F893"/>
      <c r="G893"/>
      <c r="H893"/>
      <c r="I893"/>
      <c r="J893"/>
      <c r="K893"/>
    </row>
    <row r="894" spans="1:11">
      <c r="A894"/>
      <c r="B894"/>
      <c r="C894"/>
      <c r="D894"/>
      <c r="E894"/>
      <c r="F894"/>
      <c r="G894"/>
      <c r="H894"/>
      <c r="I894"/>
      <c r="J894"/>
      <c r="K894"/>
    </row>
    <row r="895" spans="1:11">
      <c r="A895"/>
      <c r="B895"/>
      <c r="C895"/>
      <c r="D895"/>
      <c r="E895"/>
      <c r="F895"/>
      <c r="G895"/>
      <c r="H895"/>
      <c r="I895"/>
      <c r="J895"/>
      <c r="K895"/>
    </row>
    <row r="896" spans="1:11">
      <c r="A896"/>
      <c r="B896"/>
      <c r="C896"/>
      <c r="D896"/>
      <c r="E896"/>
      <c r="F896"/>
      <c r="G896"/>
      <c r="H896"/>
      <c r="I896"/>
      <c r="J896"/>
      <c r="K896"/>
    </row>
    <row r="897" spans="1:11">
      <c r="A897"/>
      <c r="B897"/>
      <c r="C897"/>
      <c r="D897"/>
      <c r="E897"/>
      <c r="F897"/>
      <c r="G897"/>
      <c r="H897"/>
      <c r="I897"/>
      <c r="J897"/>
      <c r="K897"/>
    </row>
    <row r="898" spans="1:11">
      <c r="A898"/>
      <c r="B898"/>
      <c r="C898"/>
      <c r="D898"/>
      <c r="E898"/>
      <c r="F898"/>
      <c r="G898"/>
      <c r="H898"/>
      <c r="I898"/>
      <c r="J898"/>
      <c r="K898"/>
    </row>
    <row r="899" spans="1:11">
      <c r="A899"/>
      <c r="B899"/>
      <c r="C899"/>
      <c r="D899"/>
      <c r="E899"/>
      <c r="F899"/>
      <c r="G899"/>
      <c r="H899"/>
      <c r="I899"/>
      <c r="J899"/>
      <c r="K899"/>
    </row>
    <row r="900" spans="1:11">
      <c r="A900"/>
      <c r="B900"/>
      <c r="C900"/>
      <c r="D900"/>
      <c r="E900"/>
      <c r="F900"/>
      <c r="G900"/>
      <c r="H900"/>
      <c r="I900"/>
      <c r="J900"/>
      <c r="K900"/>
    </row>
    <row r="901" spans="1:11">
      <c r="A901"/>
      <c r="B901"/>
      <c r="C901"/>
      <c r="D901"/>
      <c r="E901"/>
      <c r="F901"/>
      <c r="G901"/>
      <c r="H901"/>
      <c r="I901"/>
      <c r="J901"/>
      <c r="K901"/>
    </row>
    <row r="902" spans="1:11">
      <c r="A902"/>
      <c r="B902"/>
      <c r="C902"/>
      <c r="D902"/>
      <c r="E902"/>
      <c r="F902"/>
      <c r="G902"/>
      <c r="H902"/>
      <c r="I902"/>
      <c r="J902"/>
      <c r="K902"/>
    </row>
    <row r="903" spans="1:11">
      <c r="A903"/>
      <c r="B903"/>
      <c r="C903"/>
      <c r="D903"/>
      <c r="E903"/>
      <c r="F903"/>
      <c r="G903"/>
      <c r="H903"/>
      <c r="I903"/>
      <c r="J903"/>
      <c r="K903"/>
    </row>
    <row r="904" spans="1:11">
      <c r="A904"/>
      <c r="B904"/>
      <c r="C904"/>
      <c r="D904"/>
      <c r="E904"/>
      <c r="F904"/>
      <c r="G904"/>
      <c r="H904"/>
      <c r="I904"/>
      <c r="J904"/>
      <c r="K904"/>
    </row>
    <row r="905" spans="1:11">
      <c r="A905"/>
      <c r="B905"/>
      <c r="C905"/>
      <c r="D905"/>
      <c r="E905"/>
      <c r="F905"/>
      <c r="G905"/>
      <c r="H905"/>
      <c r="I905"/>
      <c r="J905"/>
      <c r="K905"/>
    </row>
    <row r="906" spans="1:11">
      <c r="A906"/>
      <c r="B906"/>
      <c r="C906"/>
      <c r="D906"/>
      <c r="E906"/>
      <c r="F906"/>
      <c r="G906"/>
      <c r="H906"/>
      <c r="I906"/>
      <c r="J906"/>
      <c r="K906"/>
    </row>
    <row r="907" spans="1:11">
      <c r="A907"/>
      <c r="B907"/>
      <c r="C907"/>
      <c r="D907"/>
      <c r="E907"/>
      <c r="F907"/>
      <c r="G907"/>
      <c r="H907"/>
      <c r="I907"/>
      <c r="J907"/>
      <c r="K907"/>
    </row>
    <row r="908" spans="1:11">
      <c r="A908"/>
      <c r="B908"/>
      <c r="C908"/>
      <c r="D908"/>
      <c r="E908"/>
      <c r="F908"/>
      <c r="G908"/>
      <c r="H908"/>
      <c r="I908"/>
      <c r="J908"/>
      <c r="K908"/>
    </row>
    <row r="909" spans="1:11">
      <c r="A909"/>
      <c r="B909"/>
      <c r="C909"/>
      <c r="D909"/>
      <c r="E909"/>
      <c r="F909"/>
      <c r="G909"/>
      <c r="H909"/>
      <c r="I909"/>
      <c r="J909"/>
      <c r="K909"/>
    </row>
    <row r="910" spans="1:11">
      <c r="A910"/>
      <c r="B910"/>
      <c r="C910"/>
      <c r="D910"/>
      <c r="E910"/>
      <c r="F910"/>
      <c r="G910"/>
      <c r="H910"/>
      <c r="I910"/>
      <c r="J910"/>
      <c r="K910"/>
    </row>
    <row r="911" spans="1:11">
      <c r="A911"/>
      <c r="B911"/>
      <c r="C911"/>
      <c r="D911"/>
      <c r="E911"/>
      <c r="F911"/>
      <c r="G911"/>
      <c r="H911"/>
      <c r="I911"/>
      <c r="J911"/>
      <c r="K911"/>
    </row>
    <row r="912" spans="1:11">
      <c r="A912"/>
      <c r="B912"/>
      <c r="C912"/>
      <c r="D912"/>
      <c r="E912"/>
      <c r="F912"/>
      <c r="G912"/>
      <c r="H912"/>
      <c r="I912"/>
      <c r="J912"/>
      <c r="K912"/>
    </row>
    <row r="913" spans="1:11">
      <c r="A913"/>
      <c r="B913"/>
      <c r="C913"/>
      <c r="D913"/>
      <c r="E913"/>
      <c r="F913"/>
      <c r="G913"/>
      <c r="H913"/>
      <c r="I913"/>
      <c r="J913"/>
      <c r="K913"/>
    </row>
    <row r="914" spans="1:11">
      <c r="A914"/>
      <c r="B914"/>
      <c r="C914"/>
      <c r="D914"/>
      <c r="E914"/>
      <c r="F914"/>
      <c r="G914"/>
      <c r="H914"/>
      <c r="I914"/>
      <c r="J914"/>
      <c r="K914"/>
    </row>
    <row r="915" spans="1:11">
      <c r="A915"/>
      <c r="B915"/>
      <c r="C915"/>
      <c r="D915"/>
      <c r="E915"/>
      <c r="F915"/>
      <c r="G915"/>
      <c r="H915"/>
      <c r="I915"/>
      <c r="J915"/>
      <c r="K915"/>
    </row>
    <row r="916" spans="1:11">
      <c r="A916"/>
      <c r="B916"/>
      <c r="C916"/>
      <c r="D916"/>
      <c r="E916"/>
      <c r="F916"/>
      <c r="G916"/>
      <c r="H916"/>
      <c r="I916"/>
      <c r="J916"/>
      <c r="K916"/>
    </row>
    <row r="917" spans="1:11">
      <c r="A917"/>
      <c r="B917"/>
      <c r="C917"/>
      <c r="D917"/>
      <c r="E917"/>
      <c r="F917"/>
      <c r="G917"/>
      <c r="H917"/>
      <c r="I917"/>
      <c r="J917"/>
      <c r="K917"/>
    </row>
    <row r="918" spans="1:11">
      <c r="A918"/>
      <c r="B918"/>
      <c r="C918"/>
      <c r="D918"/>
      <c r="E918"/>
      <c r="F918"/>
      <c r="G918"/>
      <c r="H918"/>
      <c r="I918"/>
      <c r="J918"/>
      <c r="K918"/>
    </row>
    <row r="919" spans="1:11">
      <c r="A919"/>
      <c r="B919"/>
      <c r="C919"/>
      <c r="D919"/>
      <c r="E919"/>
      <c r="F919"/>
      <c r="G919"/>
      <c r="H919"/>
      <c r="I919"/>
      <c r="J919"/>
      <c r="K919"/>
    </row>
    <row r="920" spans="1:11">
      <c r="A920"/>
      <c r="B920"/>
      <c r="C920"/>
      <c r="D920"/>
      <c r="E920"/>
      <c r="F920"/>
      <c r="G920"/>
      <c r="H920"/>
      <c r="I920"/>
      <c r="J920"/>
      <c r="K920"/>
    </row>
    <row r="921" spans="1:11">
      <c r="A921"/>
      <c r="B921"/>
      <c r="C921"/>
      <c r="D921"/>
      <c r="E921"/>
      <c r="F921"/>
      <c r="G921"/>
      <c r="H921"/>
      <c r="I921"/>
      <c r="J921"/>
      <c r="K921"/>
    </row>
    <row r="922" spans="1:11">
      <c r="A922"/>
      <c r="B922"/>
      <c r="C922"/>
      <c r="D922"/>
      <c r="E922"/>
      <c r="F922"/>
      <c r="G922"/>
      <c r="H922"/>
      <c r="I922"/>
      <c r="J922"/>
      <c r="K922"/>
    </row>
    <row r="923" spans="1:11">
      <c r="A923"/>
      <c r="B923"/>
      <c r="C923"/>
      <c r="D923"/>
      <c r="E923"/>
      <c r="F923"/>
      <c r="G923"/>
      <c r="H923"/>
      <c r="I923"/>
      <c r="J923"/>
      <c r="K923"/>
    </row>
    <row r="924" spans="1:11">
      <c r="A924"/>
      <c r="B924"/>
      <c r="C924"/>
      <c r="D924"/>
      <c r="E924"/>
      <c r="F924"/>
      <c r="G924"/>
      <c r="H924"/>
      <c r="I924"/>
      <c r="J924"/>
      <c r="K924"/>
    </row>
    <row r="925" spans="1:11">
      <c r="A925"/>
      <c r="B925"/>
      <c r="C925"/>
      <c r="D925"/>
      <c r="E925"/>
      <c r="F925"/>
      <c r="G925"/>
      <c r="H925"/>
      <c r="I925"/>
      <c r="J925"/>
      <c r="K925"/>
    </row>
    <row r="926" spans="1:11">
      <c r="A926"/>
      <c r="B926"/>
      <c r="C926"/>
      <c r="D926"/>
      <c r="E926"/>
      <c r="F926"/>
      <c r="G926"/>
      <c r="H926"/>
      <c r="I926"/>
      <c r="J926"/>
      <c r="K926"/>
    </row>
    <row r="927" spans="1:11">
      <c r="A927"/>
      <c r="B927"/>
      <c r="C927"/>
      <c r="D927"/>
      <c r="E927"/>
      <c r="F927"/>
      <c r="G927"/>
      <c r="H927"/>
      <c r="I927"/>
      <c r="J927"/>
      <c r="K927"/>
    </row>
    <row r="928" spans="1:11">
      <c r="A928"/>
      <c r="B928"/>
      <c r="C928"/>
      <c r="D928"/>
      <c r="E928"/>
      <c r="F928"/>
      <c r="G928"/>
      <c r="H928"/>
      <c r="I928"/>
      <c r="J928"/>
      <c r="K928"/>
    </row>
    <row r="929" spans="1:11">
      <c r="A929"/>
      <c r="B929"/>
      <c r="C929"/>
      <c r="D929"/>
      <c r="E929"/>
      <c r="F929"/>
      <c r="G929"/>
      <c r="H929"/>
      <c r="I929"/>
      <c r="J929"/>
      <c r="K929"/>
    </row>
    <row r="930" spans="1:11">
      <c r="A930"/>
      <c r="B930"/>
      <c r="C930"/>
      <c r="D930"/>
      <c r="E930"/>
      <c r="F930"/>
      <c r="G930"/>
      <c r="H930"/>
      <c r="I930"/>
      <c r="J930"/>
      <c r="K930"/>
    </row>
    <row r="931" spans="1:11">
      <c r="A931"/>
      <c r="B931"/>
      <c r="C931"/>
      <c r="D931"/>
      <c r="E931"/>
      <c r="F931"/>
      <c r="G931"/>
      <c r="H931"/>
      <c r="I931"/>
      <c r="J931"/>
      <c r="K931"/>
    </row>
    <row r="932" spans="1:11">
      <c r="A932"/>
      <c r="B932"/>
      <c r="C932"/>
      <c r="D932"/>
      <c r="E932"/>
      <c r="F932"/>
      <c r="G932"/>
      <c r="H932"/>
      <c r="I932"/>
      <c r="J932"/>
      <c r="K932"/>
    </row>
    <row r="933" spans="1:11">
      <c r="A933"/>
      <c r="B933"/>
      <c r="C933"/>
      <c r="D933"/>
      <c r="E933"/>
      <c r="F933"/>
      <c r="G933"/>
      <c r="H933"/>
      <c r="I933"/>
      <c r="J933"/>
      <c r="K933"/>
    </row>
    <row r="934" spans="1:11">
      <c r="A934"/>
      <c r="B934"/>
      <c r="C934"/>
      <c r="D934"/>
      <c r="E934"/>
      <c r="F934"/>
      <c r="G934"/>
      <c r="H934"/>
      <c r="I934"/>
      <c r="J934"/>
      <c r="K934"/>
    </row>
    <row r="935" spans="1:11">
      <c r="A935"/>
      <c r="B935"/>
      <c r="C935"/>
      <c r="D935"/>
      <c r="E935"/>
      <c r="F935"/>
      <c r="G935"/>
      <c r="H935"/>
      <c r="I935"/>
      <c r="J935"/>
      <c r="K935"/>
    </row>
    <row r="936" spans="1:11">
      <c r="A936"/>
      <c r="B936"/>
      <c r="C936"/>
      <c r="D936"/>
      <c r="E936"/>
      <c r="F936"/>
      <c r="G936"/>
      <c r="H936"/>
      <c r="I936"/>
      <c r="J936"/>
      <c r="K936"/>
    </row>
    <row r="937" spans="1:11">
      <c r="A937"/>
      <c r="B937"/>
      <c r="C937"/>
      <c r="D937"/>
      <c r="E937"/>
      <c r="F937"/>
      <c r="G937"/>
      <c r="H937"/>
      <c r="I937"/>
      <c r="J937"/>
      <c r="K937"/>
    </row>
    <row r="938" spans="1:11">
      <c r="A938"/>
      <c r="B938"/>
      <c r="C938"/>
      <c r="D938"/>
      <c r="E938"/>
      <c r="F938"/>
      <c r="G938"/>
      <c r="H938"/>
      <c r="I938"/>
      <c r="J938"/>
      <c r="K938"/>
    </row>
    <row r="939" spans="1:11">
      <c r="A939"/>
      <c r="B939"/>
      <c r="C939"/>
      <c r="D939"/>
      <c r="E939"/>
      <c r="F939"/>
      <c r="G939"/>
      <c r="H939"/>
      <c r="I939"/>
      <c r="J939"/>
      <c r="K939"/>
    </row>
    <row r="940" spans="1:11">
      <c r="A940"/>
      <c r="B940"/>
      <c r="C940"/>
      <c r="D940"/>
      <c r="E940"/>
      <c r="F940"/>
      <c r="G940"/>
      <c r="H940"/>
      <c r="I940"/>
      <c r="J940"/>
      <c r="K940"/>
    </row>
    <row r="941" spans="1:11">
      <c r="A941"/>
      <c r="B941"/>
      <c r="C941"/>
      <c r="D941"/>
      <c r="E941"/>
      <c r="F941"/>
      <c r="G941"/>
      <c r="H941"/>
      <c r="I941"/>
      <c r="J941"/>
      <c r="K941"/>
    </row>
    <row r="942" spans="1:11">
      <c r="A942"/>
      <c r="B942"/>
      <c r="C942"/>
      <c r="D942"/>
      <c r="E942"/>
      <c r="F942"/>
      <c r="G942"/>
      <c r="H942"/>
      <c r="I942"/>
      <c r="J942"/>
      <c r="K942"/>
    </row>
    <row r="943" spans="1:11">
      <c r="A943"/>
      <c r="B943"/>
      <c r="C943"/>
      <c r="D943"/>
      <c r="E943"/>
      <c r="F943"/>
      <c r="G943"/>
      <c r="H943"/>
      <c r="I943"/>
      <c r="J943"/>
      <c r="K943"/>
    </row>
    <row r="944" spans="1:11">
      <c r="A944"/>
      <c r="B944"/>
      <c r="C944"/>
      <c r="D944"/>
      <c r="E944"/>
      <c r="F944"/>
      <c r="G944"/>
      <c r="H944"/>
      <c r="I944"/>
      <c r="J944"/>
      <c r="K944"/>
    </row>
    <row r="945" spans="1:11">
      <c r="A945"/>
      <c r="B945"/>
      <c r="C945"/>
      <c r="D945"/>
      <c r="E945"/>
      <c r="F945"/>
      <c r="G945"/>
      <c r="H945"/>
      <c r="I945"/>
      <c r="J945"/>
      <c r="K945"/>
    </row>
    <row r="946" spans="1:11">
      <c r="A946"/>
      <c r="B946"/>
      <c r="C946"/>
      <c r="D946"/>
      <c r="E946"/>
      <c r="F946"/>
      <c r="G946"/>
      <c r="H946"/>
      <c r="I946"/>
      <c r="J946"/>
      <c r="K946"/>
    </row>
    <row r="947" spans="1:11">
      <c r="A947"/>
      <c r="B947"/>
      <c r="C947"/>
      <c r="D947"/>
      <c r="E947"/>
      <c r="F947"/>
      <c r="G947"/>
      <c r="H947"/>
      <c r="I947"/>
      <c r="J947"/>
      <c r="K947"/>
    </row>
    <row r="948" spans="1:11">
      <c r="A948"/>
      <c r="B948"/>
      <c r="C948"/>
      <c r="D948"/>
      <c r="E948"/>
      <c r="F948"/>
      <c r="G948"/>
      <c r="H948"/>
      <c r="I948"/>
      <c r="J948"/>
      <c r="K948"/>
    </row>
    <row r="949" spans="1:11">
      <c r="A949"/>
      <c r="B949"/>
      <c r="C949"/>
      <c r="D949"/>
      <c r="E949"/>
      <c r="F949"/>
      <c r="G949"/>
      <c r="H949"/>
      <c r="I949"/>
      <c r="J949"/>
      <c r="K949"/>
    </row>
    <row r="950" spans="1:11">
      <c r="A950"/>
      <c r="B950"/>
      <c r="C950"/>
      <c r="D950"/>
      <c r="E950"/>
      <c r="F950"/>
      <c r="G950"/>
      <c r="H950"/>
      <c r="I950"/>
      <c r="J950"/>
      <c r="K950"/>
    </row>
    <row r="951" spans="1:11">
      <c r="A951"/>
      <c r="B951"/>
      <c r="C951"/>
      <c r="D951"/>
      <c r="E951"/>
      <c r="F951"/>
      <c r="G951"/>
      <c r="H951"/>
      <c r="I951"/>
      <c r="J951"/>
      <c r="K951"/>
    </row>
    <row r="952" spans="1:11">
      <c r="A952"/>
      <c r="B952"/>
      <c r="C952"/>
      <c r="D952"/>
      <c r="E952"/>
      <c r="F952"/>
      <c r="G952"/>
      <c r="H952"/>
      <c r="I952"/>
      <c r="J952"/>
      <c r="K952"/>
    </row>
    <row r="953" spans="1:11">
      <c r="A953"/>
      <c r="B953"/>
      <c r="C953"/>
      <c r="D953"/>
      <c r="E953"/>
      <c r="F953"/>
      <c r="G953"/>
      <c r="H953"/>
      <c r="I953"/>
      <c r="J953"/>
      <c r="K953"/>
    </row>
    <row r="954" spans="1:11">
      <c r="A954"/>
      <c r="B954"/>
      <c r="C954"/>
      <c r="D954"/>
      <c r="E954"/>
      <c r="F954"/>
      <c r="G954"/>
      <c r="H954"/>
      <c r="I954"/>
      <c r="J954"/>
      <c r="K954"/>
    </row>
    <row r="955" spans="1:11">
      <c r="A955"/>
      <c r="B955"/>
      <c r="C955"/>
      <c r="D955"/>
      <c r="E955"/>
      <c r="F955"/>
      <c r="G955"/>
      <c r="H955"/>
      <c r="I955"/>
      <c r="J955"/>
      <c r="K955"/>
    </row>
    <row r="956" spans="1:11">
      <c r="A956"/>
      <c r="B956"/>
      <c r="C956"/>
      <c r="D956"/>
      <c r="E956"/>
      <c r="F956"/>
      <c r="G956"/>
      <c r="H956"/>
      <c r="I956"/>
      <c r="J956"/>
      <c r="K956"/>
    </row>
    <row r="957" spans="1:11">
      <c r="A957"/>
      <c r="B957"/>
      <c r="C957"/>
      <c r="D957"/>
      <c r="E957"/>
      <c r="F957"/>
      <c r="G957"/>
      <c r="H957"/>
      <c r="I957"/>
      <c r="J957"/>
      <c r="K957"/>
    </row>
    <row r="958" spans="1:11">
      <c r="A958"/>
      <c r="B958"/>
      <c r="C958"/>
      <c r="D958"/>
      <c r="E958"/>
      <c r="F958"/>
      <c r="G958"/>
      <c r="H958"/>
      <c r="I958"/>
      <c r="J958"/>
      <c r="K958"/>
    </row>
    <row r="959" spans="1:11">
      <c r="A959"/>
      <c r="B959"/>
      <c r="C959"/>
      <c r="D959"/>
      <c r="E959"/>
      <c r="F959"/>
      <c r="G959"/>
      <c r="H959"/>
      <c r="I959"/>
      <c r="J959"/>
      <c r="K959"/>
    </row>
    <row r="960" spans="1:11">
      <c r="A960"/>
      <c r="B960"/>
      <c r="C960"/>
      <c r="D960"/>
      <c r="E960"/>
      <c r="F960"/>
      <c r="G960"/>
      <c r="H960"/>
      <c r="I960"/>
      <c r="J960"/>
      <c r="K960"/>
    </row>
    <row r="961" spans="1:11">
      <c r="A961"/>
      <c r="B961"/>
      <c r="C961"/>
      <c r="D961"/>
      <c r="E961"/>
      <c r="F961"/>
      <c r="G961"/>
      <c r="H961"/>
      <c r="I961"/>
      <c r="J961"/>
      <c r="K961"/>
    </row>
    <row r="962" spans="1:11">
      <c r="A962"/>
      <c r="B962"/>
      <c r="C962"/>
      <c r="D962"/>
      <c r="E962"/>
      <c r="F962"/>
      <c r="G962"/>
      <c r="H962"/>
      <c r="I962"/>
      <c r="J962"/>
      <c r="K962"/>
    </row>
    <row r="963" spans="1:11">
      <c r="A963"/>
      <c r="B963"/>
      <c r="C963"/>
      <c r="D963"/>
      <c r="E963"/>
      <c r="F963"/>
      <c r="G963"/>
      <c r="H963"/>
      <c r="I963"/>
      <c r="J963"/>
      <c r="K963"/>
    </row>
    <row r="964" spans="1:11">
      <c r="A964"/>
      <c r="B964"/>
      <c r="C964"/>
      <c r="D964"/>
      <c r="E964"/>
      <c r="F964"/>
      <c r="G964"/>
      <c r="H964"/>
      <c r="I964"/>
      <c r="J964"/>
      <c r="K964"/>
    </row>
    <row r="965" spans="1:11">
      <c r="A965"/>
      <c r="B965"/>
      <c r="C965"/>
      <c r="D965"/>
      <c r="E965"/>
      <c r="F965"/>
      <c r="G965"/>
      <c r="H965"/>
      <c r="I965"/>
      <c r="J965"/>
      <c r="K965"/>
    </row>
    <row r="966" spans="1:11">
      <c r="A966"/>
      <c r="B966"/>
      <c r="C966"/>
      <c r="D966"/>
      <c r="E966"/>
      <c r="F966"/>
      <c r="G966"/>
      <c r="H966"/>
      <c r="I966"/>
      <c r="J966"/>
      <c r="K966"/>
    </row>
    <row r="967" spans="1:11">
      <c r="A967"/>
      <c r="B967"/>
      <c r="C967"/>
      <c r="D967"/>
      <c r="E967"/>
      <c r="F967"/>
      <c r="G967"/>
      <c r="H967"/>
      <c r="I967"/>
      <c r="J967"/>
      <c r="K967"/>
    </row>
    <row r="968" spans="1:11">
      <c r="A968"/>
      <c r="B968"/>
      <c r="C968"/>
      <c r="D968"/>
      <c r="E968"/>
      <c r="F968"/>
      <c r="G968"/>
      <c r="H968"/>
      <c r="I968"/>
      <c r="J968"/>
      <c r="K968"/>
    </row>
    <row r="969" spans="1:11">
      <c r="A969"/>
      <c r="B969"/>
      <c r="C969"/>
      <c r="D969"/>
      <c r="E969"/>
      <c r="F969"/>
      <c r="G969"/>
      <c r="H969"/>
      <c r="I969"/>
      <c r="J969"/>
      <c r="K969"/>
    </row>
    <row r="970" spans="1:11">
      <c r="A970"/>
      <c r="B970"/>
      <c r="C970"/>
      <c r="D970"/>
      <c r="E970"/>
      <c r="F970"/>
      <c r="G970"/>
      <c r="H970"/>
      <c r="I970"/>
      <c r="J970"/>
      <c r="K970"/>
    </row>
    <row r="971" spans="1:11">
      <c r="A971"/>
      <c r="B971"/>
      <c r="C971"/>
      <c r="D971"/>
      <c r="E971"/>
      <c r="F971"/>
      <c r="G971"/>
      <c r="H971"/>
      <c r="I971"/>
      <c r="J971"/>
      <c r="K971"/>
    </row>
    <row r="972" spans="1:11">
      <c r="A972"/>
      <c r="B972"/>
      <c r="C972"/>
      <c r="D972"/>
      <c r="E972"/>
      <c r="F972"/>
      <c r="G972"/>
      <c r="H972"/>
      <c r="I972"/>
      <c r="J972"/>
      <c r="K972"/>
    </row>
    <row r="973" spans="1:11">
      <c r="A973"/>
      <c r="B973"/>
      <c r="C973"/>
      <c r="D973"/>
      <c r="E973"/>
      <c r="F973"/>
      <c r="G973"/>
      <c r="H973"/>
      <c r="I973"/>
      <c r="J973"/>
      <c r="K973"/>
    </row>
    <row r="974" spans="1:11">
      <c r="A974"/>
      <c r="B974"/>
      <c r="C974"/>
      <c r="D974"/>
      <c r="E974"/>
      <c r="F974"/>
      <c r="G974"/>
      <c r="H974"/>
      <c r="I974"/>
      <c r="J974"/>
      <c r="K974"/>
    </row>
    <row r="975" spans="1:11">
      <c r="A975"/>
      <c r="B975"/>
      <c r="C975"/>
      <c r="D975"/>
      <c r="E975"/>
      <c r="F975"/>
      <c r="G975"/>
      <c r="H975"/>
      <c r="I975"/>
      <c r="J975"/>
      <c r="K975"/>
    </row>
    <row r="976" spans="1:11">
      <c r="A976"/>
      <c r="B976"/>
      <c r="C976"/>
      <c r="D976"/>
      <c r="E976"/>
      <c r="F976"/>
      <c r="G976"/>
      <c r="H976"/>
      <c r="I976"/>
      <c r="J976"/>
      <c r="K976"/>
    </row>
    <row r="977" spans="1:11">
      <c r="A977"/>
      <c r="B977"/>
      <c r="C977"/>
      <c r="D977"/>
      <c r="E977"/>
      <c r="F977"/>
      <c r="G977"/>
      <c r="H977"/>
      <c r="I977"/>
      <c r="J977"/>
      <c r="K977"/>
    </row>
    <row r="978" spans="1:11">
      <c r="A978"/>
      <c r="B978"/>
      <c r="C978"/>
      <c r="D978"/>
      <c r="E978"/>
      <c r="F978"/>
      <c r="G978"/>
      <c r="H978"/>
      <c r="I978"/>
      <c r="J978"/>
      <c r="K978"/>
    </row>
    <row r="979" spans="1:11">
      <c r="A979"/>
      <c r="B979"/>
      <c r="C979"/>
      <c r="D979"/>
      <c r="E979"/>
      <c r="F979"/>
      <c r="G979"/>
      <c r="H979"/>
      <c r="I979"/>
      <c r="J979"/>
      <c r="K979"/>
    </row>
    <row r="980" spans="1:11">
      <c r="A980"/>
      <c r="B980"/>
      <c r="C980"/>
      <c r="D980"/>
      <c r="E980"/>
      <c r="F980"/>
      <c r="G980"/>
      <c r="H980"/>
      <c r="I980"/>
      <c r="J980"/>
      <c r="K980"/>
    </row>
    <row r="981" spans="1:11">
      <c r="A981"/>
      <c r="B981"/>
      <c r="C981"/>
      <c r="D981"/>
      <c r="E981"/>
      <c r="F981"/>
      <c r="G981"/>
      <c r="H981"/>
      <c r="I981"/>
      <c r="J981"/>
      <c r="K981"/>
    </row>
    <row r="982" spans="1:11">
      <c r="A982"/>
      <c r="B982"/>
      <c r="C982"/>
      <c r="D982"/>
      <c r="E982"/>
      <c r="F982"/>
      <c r="G982"/>
      <c r="H982"/>
      <c r="I982"/>
      <c r="J982"/>
      <c r="K982"/>
    </row>
    <row r="983" spans="1:11">
      <c r="A983"/>
      <c r="B983"/>
      <c r="C983"/>
      <c r="D983"/>
      <c r="E983"/>
      <c r="F983"/>
      <c r="G983"/>
      <c r="H983"/>
      <c r="I983"/>
      <c r="J983"/>
      <c r="K983"/>
    </row>
    <row r="984" spans="1:11">
      <c r="A984"/>
      <c r="B984"/>
      <c r="C984"/>
      <c r="D984"/>
      <c r="E984"/>
      <c r="F984"/>
      <c r="G984"/>
      <c r="H984"/>
      <c r="I984"/>
      <c r="J984"/>
      <c r="K984"/>
    </row>
    <row r="985" spans="1:11">
      <c r="A985"/>
      <c r="B985"/>
      <c r="C985"/>
      <c r="D985"/>
      <c r="E985"/>
      <c r="F985"/>
      <c r="G985"/>
      <c r="H985"/>
      <c r="I985"/>
      <c r="J985"/>
      <c r="K985"/>
    </row>
    <row r="986" spans="1:11">
      <c r="A986"/>
      <c r="B986"/>
      <c r="C986"/>
      <c r="D986"/>
      <c r="E986"/>
      <c r="F986"/>
      <c r="G986"/>
      <c r="H986"/>
      <c r="I986"/>
      <c r="J986"/>
      <c r="K986"/>
    </row>
    <row r="987" spans="1:11">
      <c r="A987"/>
      <c r="B987"/>
      <c r="C987"/>
      <c r="D987"/>
      <c r="E987"/>
      <c r="F987"/>
      <c r="G987"/>
      <c r="H987"/>
      <c r="I987"/>
      <c r="J987"/>
      <c r="K987"/>
    </row>
    <row r="988" spans="1:11">
      <c r="A988"/>
      <c r="B988"/>
      <c r="C988"/>
      <c r="D988"/>
      <c r="E988"/>
      <c r="F988"/>
      <c r="G988"/>
      <c r="H988"/>
      <c r="I988"/>
      <c r="J988"/>
      <c r="K988"/>
    </row>
    <row r="989" spans="1:11">
      <c r="A989"/>
      <c r="B989"/>
      <c r="C989"/>
      <c r="D989"/>
      <c r="E989"/>
      <c r="F989"/>
      <c r="G989"/>
      <c r="H989"/>
      <c r="I989"/>
      <c r="J989"/>
      <c r="K989"/>
    </row>
    <row r="990" spans="1:11">
      <c r="A990"/>
      <c r="B990"/>
      <c r="C990"/>
      <c r="D990"/>
      <c r="E990"/>
      <c r="F990"/>
      <c r="G990"/>
      <c r="H990"/>
      <c r="I990"/>
      <c r="J990"/>
      <c r="K990"/>
    </row>
    <row r="991" spans="1:11">
      <c r="A991"/>
      <c r="B991"/>
      <c r="C991"/>
      <c r="D991"/>
      <c r="E991"/>
      <c r="F991"/>
      <c r="G991"/>
      <c r="H991"/>
      <c r="I991"/>
      <c r="J991"/>
      <c r="K991"/>
    </row>
    <row r="992" spans="1:11">
      <c r="A992"/>
      <c r="B992"/>
      <c r="C992"/>
      <c r="D992"/>
      <c r="E992"/>
      <c r="F992"/>
      <c r="G992"/>
      <c r="H992"/>
      <c r="I992"/>
      <c r="J992"/>
      <c r="K992"/>
    </row>
    <row r="993" spans="1:11">
      <c r="A993"/>
      <c r="B993"/>
      <c r="C993"/>
      <c r="D993"/>
      <c r="E993"/>
      <c r="F993"/>
      <c r="G993"/>
      <c r="H993"/>
      <c r="I993"/>
      <c r="J993"/>
      <c r="K993"/>
    </row>
    <row r="994" spans="1:11">
      <c r="A994"/>
      <c r="B994"/>
      <c r="C994"/>
      <c r="D994"/>
      <c r="E994"/>
      <c r="F994"/>
      <c r="G994"/>
      <c r="H994"/>
      <c r="I994"/>
      <c r="J994"/>
      <c r="K994"/>
    </row>
    <row r="995" spans="1:11">
      <c r="A995"/>
      <c r="B995"/>
      <c r="C995"/>
      <c r="D995"/>
      <c r="E995"/>
      <c r="F995"/>
      <c r="G995"/>
      <c r="H995"/>
      <c r="I995"/>
      <c r="J995"/>
      <c r="K995"/>
    </row>
    <row r="996" spans="1:11">
      <c r="A996"/>
      <c r="B996"/>
      <c r="C996"/>
      <c r="D996"/>
      <c r="E996"/>
      <c r="F996"/>
      <c r="G996"/>
      <c r="H996"/>
      <c r="I996"/>
      <c r="J996"/>
      <c r="K996"/>
    </row>
    <row r="997" spans="1:11">
      <c r="A997"/>
      <c r="B997"/>
      <c r="C997"/>
      <c r="D997"/>
      <c r="E997"/>
      <c r="F997"/>
      <c r="G997"/>
      <c r="H997"/>
      <c r="I997"/>
      <c r="J997"/>
      <c r="K997"/>
    </row>
    <row r="998" spans="1:11">
      <c r="A998"/>
      <c r="B998"/>
      <c r="C998"/>
      <c r="D998"/>
      <c r="E998"/>
      <c r="F998"/>
      <c r="G998"/>
      <c r="H998"/>
      <c r="I998"/>
      <c r="J998"/>
      <c r="K998"/>
    </row>
    <row r="999" spans="1:11">
      <c r="A999"/>
      <c r="B999"/>
      <c r="C999"/>
      <c r="D999"/>
      <c r="E999"/>
      <c r="F999"/>
      <c r="G999"/>
      <c r="H999"/>
      <c r="I999"/>
      <c r="J999"/>
      <c r="K999"/>
    </row>
    <row r="1000" spans="1:11">
      <c r="A1000"/>
      <c r="B1000"/>
      <c r="C1000"/>
      <c r="D1000"/>
      <c r="E1000"/>
      <c r="F1000"/>
      <c r="G1000"/>
      <c r="H1000"/>
      <c r="I1000"/>
      <c r="J1000"/>
      <c r="K1000"/>
    </row>
    <row r="1001" spans="1:11">
      <c r="A1001"/>
      <c r="B1001"/>
      <c r="C1001"/>
      <c r="D1001"/>
      <c r="E1001"/>
      <c r="F1001"/>
      <c r="G1001"/>
      <c r="H1001"/>
      <c r="I1001"/>
      <c r="J1001"/>
      <c r="K1001"/>
    </row>
    <row r="1002" spans="1:11">
      <c r="A1002"/>
      <c r="B1002"/>
      <c r="C1002"/>
      <c r="D1002"/>
      <c r="E1002"/>
      <c r="F1002"/>
      <c r="G1002"/>
      <c r="H1002"/>
      <c r="I1002"/>
      <c r="J1002"/>
      <c r="K1002"/>
    </row>
    <row r="1003" spans="1:11">
      <c r="A1003"/>
      <c r="B1003"/>
      <c r="C1003"/>
      <c r="D1003"/>
      <c r="E1003"/>
      <c r="F1003"/>
      <c r="G1003"/>
      <c r="H1003"/>
      <c r="I1003"/>
      <c r="J1003"/>
      <c r="K1003"/>
    </row>
    <row r="1004" spans="1:11">
      <c r="A1004"/>
      <c r="B1004"/>
      <c r="C1004"/>
      <c r="D1004"/>
      <c r="E1004"/>
      <c r="F1004"/>
      <c r="G1004"/>
      <c r="H1004"/>
      <c r="I1004"/>
      <c r="J1004"/>
      <c r="K1004"/>
    </row>
    <row r="1005" spans="1:11">
      <c r="A1005"/>
      <c r="B1005"/>
      <c r="C1005"/>
      <c r="D1005"/>
      <c r="E1005"/>
      <c r="F1005"/>
      <c r="G1005"/>
      <c r="H1005"/>
      <c r="I1005"/>
      <c r="J1005"/>
      <c r="K1005"/>
    </row>
    <row r="1006" spans="1:11">
      <c r="A1006"/>
      <c r="B1006"/>
      <c r="C1006"/>
      <c r="D1006"/>
      <c r="E1006"/>
      <c r="F1006"/>
      <c r="G1006"/>
      <c r="H1006"/>
      <c r="I1006"/>
      <c r="J1006"/>
      <c r="K1006"/>
    </row>
    <row r="1007" spans="1:11">
      <c r="A1007"/>
      <c r="B1007"/>
      <c r="C1007"/>
      <c r="D1007"/>
      <c r="E1007"/>
      <c r="F1007"/>
      <c r="G1007"/>
      <c r="H1007"/>
      <c r="I1007"/>
      <c r="J1007"/>
      <c r="K1007"/>
    </row>
    <row r="1008" spans="1:11">
      <c r="A1008"/>
      <c r="B1008"/>
      <c r="C1008"/>
      <c r="D1008"/>
      <c r="E1008"/>
      <c r="F1008"/>
      <c r="G1008"/>
      <c r="H1008"/>
      <c r="I1008"/>
      <c r="J1008"/>
      <c r="K1008"/>
    </row>
    <row r="1009" spans="1:11">
      <c r="A1009"/>
      <c r="B1009"/>
      <c r="C1009"/>
      <c r="D1009"/>
      <c r="E1009"/>
      <c r="F1009"/>
      <c r="G1009"/>
      <c r="H1009"/>
      <c r="I1009"/>
      <c r="J1009"/>
      <c r="K1009"/>
    </row>
    <row r="1010" spans="1:11">
      <c r="A1010"/>
      <c r="B1010"/>
      <c r="C1010"/>
      <c r="D1010"/>
      <c r="E1010"/>
      <c r="F1010"/>
      <c r="G1010"/>
      <c r="H1010"/>
      <c r="I1010"/>
      <c r="J1010"/>
      <c r="K1010"/>
    </row>
    <row r="1011" spans="1:11">
      <c r="A1011"/>
      <c r="B1011"/>
      <c r="C1011"/>
      <c r="D1011"/>
      <c r="E1011"/>
      <c r="F1011"/>
      <c r="G1011"/>
      <c r="H1011"/>
      <c r="I1011"/>
      <c r="J1011"/>
      <c r="K1011"/>
    </row>
    <row r="1012" spans="1:11">
      <c r="A1012"/>
      <c r="B1012"/>
      <c r="C1012"/>
      <c r="D1012"/>
      <c r="E1012"/>
      <c r="F1012"/>
      <c r="G1012"/>
      <c r="H1012"/>
      <c r="I1012"/>
      <c r="J1012"/>
      <c r="K1012"/>
    </row>
    <row r="1013" spans="1:11">
      <c r="A1013"/>
      <c r="B1013"/>
      <c r="C1013"/>
      <c r="D1013"/>
      <c r="E1013"/>
      <c r="F1013"/>
      <c r="G1013"/>
      <c r="H1013"/>
      <c r="I1013"/>
      <c r="J1013"/>
      <c r="K1013"/>
    </row>
    <row r="1014" spans="1:11">
      <c r="A1014"/>
      <c r="B1014"/>
      <c r="C1014"/>
      <c r="D1014"/>
      <c r="E1014"/>
      <c r="F1014"/>
      <c r="G1014"/>
      <c r="H1014"/>
      <c r="I1014"/>
      <c r="J1014"/>
      <c r="K1014"/>
    </row>
    <row r="1015" spans="1:11">
      <c r="A1015"/>
      <c r="B1015"/>
      <c r="C1015"/>
      <c r="D1015"/>
      <c r="E1015"/>
      <c r="F1015"/>
      <c r="G1015"/>
      <c r="H1015"/>
      <c r="I1015"/>
      <c r="J1015"/>
      <c r="K1015"/>
    </row>
    <row r="1016" spans="1:11">
      <c r="A1016"/>
      <c r="B1016"/>
      <c r="C1016"/>
      <c r="D1016"/>
      <c r="E1016"/>
      <c r="F1016"/>
      <c r="G1016"/>
      <c r="H1016"/>
      <c r="I1016"/>
      <c r="J1016"/>
      <c r="K1016"/>
    </row>
    <row r="1017" spans="1:11">
      <c r="A1017"/>
      <c r="B1017"/>
      <c r="C1017"/>
      <c r="D1017"/>
      <c r="E1017"/>
      <c r="F1017"/>
      <c r="G1017"/>
      <c r="H1017"/>
      <c r="I1017"/>
      <c r="J1017"/>
      <c r="K1017"/>
    </row>
    <row r="1018" spans="1:11">
      <c r="A1018"/>
      <c r="B1018"/>
      <c r="C1018"/>
      <c r="D1018"/>
      <c r="E1018"/>
      <c r="F1018"/>
      <c r="G1018"/>
      <c r="H1018"/>
      <c r="I1018"/>
      <c r="J1018"/>
      <c r="K1018"/>
    </row>
    <row r="1019" spans="1:11">
      <c r="A1019"/>
      <c r="B1019"/>
      <c r="C1019"/>
      <c r="D1019"/>
      <c r="E1019"/>
      <c r="F1019"/>
      <c r="G1019"/>
      <c r="H1019"/>
      <c r="I1019"/>
      <c r="J1019"/>
      <c r="K1019"/>
    </row>
    <row r="1020" spans="1:11">
      <c r="A1020"/>
      <c r="B1020"/>
      <c r="C1020"/>
      <c r="D1020"/>
      <c r="E1020"/>
      <c r="F1020"/>
      <c r="G1020"/>
      <c r="H1020"/>
      <c r="I1020"/>
      <c r="J1020"/>
      <c r="K1020"/>
    </row>
    <row r="1021" spans="1:11">
      <c r="A1021"/>
      <c r="B1021"/>
      <c r="C1021"/>
      <c r="D1021"/>
      <c r="E1021"/>
      <c r="F1021"/>
      <c r="G1021"/>
      <c r="H1021"/>
      <c r="I1021"/>
      <c r="J1021"/>
      <c r="K1021"/>
    </row>
    <row r="1022" spans="1:11">
      <c r="A1022"/>
      <c r="B1022"/>
      <c r="C1022"/>
      <c r="D1022"/>
      <c r="E1022"/>
      <c r="F1022"/>
      <c r="G1022"/>
      <c r="H1022"/>
      <c r="I1022"/>
      <c r="J1022"/>
      <c r="K1022"/>
    </row>
    <row r="1023" spans="1:11">
      <c r="A1023"/>
      <c r="B1023"/>
      <c r="C1023"/>
      <c r="D1023"/>
      <c r="E1023"/>
      <c r="F1023"/>
      <c r="G1023"/>
      <c r="H1023"/>
      <c r="I1023"/>
      <c r="J1023"/>
      <c r="K1023"/>
    </row>
    <row r="1024" spans="1:11">
      <c r="A1024"/>
      <c r="B1024"/>
      <c r="C1024"/>
      <c r="D1024"/>
      <c r="E1024"/>
      <c r="F1024"/>
      <c r="G1024"/>
      <c r="H1024"/>
      <c r="I1024"/>
      <c r="J1024"/>
      <c r="K1024"/>
    </row>
    <row r="1025" spans="1:11">
      <c r="A1025"/>
      <c r="B1025"/>
      <c r="C1025"/>
      <c r="D1025"/>
      <c r="E1025"/>
      <c r="F1025"/>
      <c r="G1025"/>
      <c r="H1025"/>
      <c r="I1025"/>
      <c r="J1025"/>
      <c r="K1025"/>
    </row>
    <row r="1026" spans="1:11">
      <c r="A1026"/>
      <c r="B1026"/>
      <c r="C1026"/>
      <c r="D1026"/>
      <c r="E1026"/>
      <c r="F1026"/>
      <c r="G1026"/>
      <c r="H1026"/>
      <c r="I1026"/>
      <c r="J1026"/>
      <c r="K1026"/>
    </row>
    <row r="1027" spans="1:11">
      <c r="A1027"/>
      <c r="B1027"/>
      <c r="C1027"/>
      <c r="D1027"/>
      <c r="E1027"/>
      <c r="F1027"/>
      <c r="G1027"/>
      <c r="H1027"/>
      <c r="I1027"/>
      <c r="J1027"/>
      <c r="K1027"/>
    </row>
    <row r="1028" spans="1:11">
      <c r="A1028"/>
      <c r="B1028"/>
      <c r="C1028"/>
      <c r="D1028"/>
      <c r="E1028"/>
      <c r="F1028"/>
      <c r="G1028"/>
      <c r="H1028"/>
      <c r="I1028"/>
      <c r="J1028"/>
      <c r="K1028"/>
    </row>
    <row r="1029" spans="1:11">
      <c r="A1029"/>
      <c r="B1029"/>
      <c r="C1029"/>
      <c r="D1029"/>
      <c r="E1029"/>
      <c r="F1029"/>
      <c r="G1029"/>
      <c r="H1029"/>
      <c r="I1029"/>
      <c r="J1029"/>
      <c r="K1029"/>
    </row>
    <row r="1030" spans="1:11">
      <c r="A1030"/>
      <c r="B1030"/>
      <c r="C1030"/>
      <c r="D1030"/>
      <c r="E1030"/>
      <c r="F1030"/>
      <c r="G1030"/>
      <c r="H1030"/>
      <c r="I1030"/>
      <c r="J1030"/>
      <c r="K1030"/>
    </row>
    <row r="1031" spans="1:11">
      <c r="A1031"/>
      <c r="B1031"/>
      <c r="C1031"/>
      <c r="D1031"/>
      <c r="E1031"/>
      <c r="F1031"/>
      <c r="G1031"/>
      <c r="H1031"/>
      <c r="I1031"/>
      <c r="J1031"/>
      <c r="K1031"/>
    </row>
    <row r="1032" spans="1:11">
      <c r="A1032"/>
      <c r="B1032"/>
      <c r="C1032"/>
      <c r="D1032"/>
      <c r="E1032"/>
      <c r="F1032"/>
      <c r="G1032"/>
      <c r="H1032"/>
      <c r="I1032"/>
      <c r="J1032"/>
      <c r="K1032"/>
    </row>
    <row r="1033" spans="1:11">
      <c r="A1033"/>
      <c r="B1033"/>
      <c r="C1033"/>
      <c r="D1033"/>
      <c r="E1033"/>
      <c r="F1033"/>
      <c r="G1033"/>
      <c r="H1033"/>
      <c r="I1033"/>
      <c r="J1033"/>
      <c r="K1033"/>
    </row>
    <row r="1034" spans="1:11">
      <c r="A1034"/>
      <c r="B1034"/>
      <c r="C1034"/>
      <c r="D1034"/>
      <c r="E1034"/>
      <c r="F1034"/>
      <c r="G1034"/>
      <c r="H1034"/>
      <c r="I1034"/>
      <c r="J1034"/>
      <c r="K1034"/>
    </row>
    <row r="1035" spans="1:11">
      <c r="A1035"/>
      <c r="B1035"/>
      <c r="C1035"/>
      <c r="D1035"/>
      <c r="E1035"/>
      <c r="F1035"/>
      <c r="G1035"/>
      <c r="H1035"/>
      <c r="I1035"/>
      <c r="J1035"/>
      <c r="K1035"/>
    </row>
    <row r="1036" spans="1:11">
      <c r="A1036"/>
      <c r="B1036"/>
      <c r="C1036"/>
      <c r="D1036"/>
      <c r="E1036"/>
      <c r="F1036"/>
      <c r="G1036"/>
      <c r="H1036"/>
      <c r="I1036"/>
      <c r="J1036"/>
      <c r="K1036"/>
    </row>
    <row r="1037" spans="1:11">
      <c r="A1037"/>
      <c r="B1037"/>
      <c r="C1037"/>
      <c r="D1037"/>
      <c r="E1037"/>
      <c r="F1037"/>
      <c r="G1037"/>
      <c r="H1037"/>
      <c r="I1037"/>
      <c r="J1037"/>
      <c r="K1037"/>
    </row>
    <row r="1038" spans="1:11">
      <c r="A1038"/>
      <c r="B1038"/>
      <c r="C1038"/>
      <c r="D1038"/>
      <c r="E1038"/>
      <c r="F1038"/>
      <c r="G1038"/>
      <c r="H1038"/>
      <c r="I1038"/>
      <c r="J1038"/>
      <c r="K1038"/>
    </row>
    <row r="1039" spans="1:11">
      <c r="A1039"/>
      <c r="B1039"/>
      <c r="C1039"/>
      <c r="D1039"/>
      <c r="E1039"/>
      <c r="F1039"/>
      <c r="G1039"/>
      <c r="H1039"/>
      <c r="I1039"/>
      <c r="J1039"/>
      <c r="K1039"/>
    </row>
    <row r="1040" spans="1:11">
      <c r="A1040"/>
      <c r="B1040"/>
      <c r="C1040"/>
      <c r="D1040"/>
      <c r="E1040"/>
      <c r="F1040"/>
      <c r="G1040"/>
      <c r="H1040"/>
      <c r="I1040"/>
      <c r="J1040"/>
      <c r="K1040"/>
    </row>
    <row r="1041" spans="1:11">
      <c r="A1041"/>
      <c r="B1041"/>
      <c r="C1041"/>
      <c r="D1041"/>
      <c r="E1041"/>
      <c r="F1041"/>
      <c r="G1041"/>
      <c r="H1041"/>
      <c r="I1041"/>
      <c r="J1041"/>
      <c r="K1041"/>
    </row>
    <row r="1042" spans="1:11">
      <c r="A1042"/>
      <c r="B1042"/>
      <c r="C1042"/>
      <c r="D1042"/>
      <c r="E1042"/>
      <c r="F1042"/>
      <c r="G1042"/>
      <c r="H1042"/>
      <c r="I1042"/>
      <c r="J1042"/>
      <c r="K1042"/>
    </row>
    <row r="1043" spans="1:11">
      <c r="A1043"/>
      <c r="B1043"/>
      <c r="C1043"/>
      <c r="D1043"/>
      <c r="E1043"/>
      <c r="F1043"/>
      <c r="G1043"/>
      <c r="H1043"/>
      <c r="I1043"/>
      <c r="J1043"/>
      <c r="K1043"/>
    </row>
    <row r="1044" spans="1:11">
      <c r="A1044"/>
      <c r="B1044"/>
      <c r="C1044"/>
      <c r="D1044"/>
      <c r="E1044"/>
      <c r="F1044"/>
      <c r="G1044"/>
      <c r="H1044"/>
      <c r="I1044"/>
      <c r="J1044"/>
      <c r="K1044"/>
    </row>
    <row r="1045" spans="1:11">
      <c r="A1045"/>
      <c r="B1045"/>
      <c r="C1045"/>
      <c r="D1045"/>
      <c r="E1045"/>
      <c r="F1045"/>
      <c r="G1045"/>
      <c r="H1045"/>
      <c r="I1045"/>
      <c r="J1045"/>
      <c r="K1045"/>
    </row>
    <row r="1046" spans="1:11">
      <c r="A1046"/>
      <c r="B1046"/>
      <c r="C1046"/>
      <c r="D1046"/>
      <c r="E1046"/>
      <c r="F1046"/>
      <c r="G1046"/>
      <c r="H1046"/>
      <c r="I1046"/>
      <c r="J1046"/>
      <c r="K1046"/>
    </row>
    <row r="1047" spans="1:11">
      <c r="A1047"/>
      <c r="B1047"/>
      <c r="C1047"/>
      <c r="D1047"/>
      <c r="E1047"/>
      <c r="F1047"/>
      <c r="G1047"/>
      <c r="H1047"/>
      <c r="I1047"/>
      <c r="J1047"/>
      <c r="K1047"/>
    </row>
    <row r="1048" spans="1:11">
      <c r="A1048"/>
      <c r="B1048"/>
      <c r="C1048"/>
      <c r="D1048"/>
      <c r="E1048"/>
      <c r="F1048"/>
      <c r="G1048"/>
      <c r="H1048"/>
      <c r="I1048"/>
      <c r="J1048"/>
      <c r="K1048"/>
    </row>
    <row r="1049" spans="1:11">
      <c r="A1049"/>
      <c r="B1049"/>
      <c r="C1049"/>
      <c r="D1049"/>
      <c r="E1049"/>
      <c r="F1049"/>
      <c r="G1049"/>
      <c r="H1049"/>
      <c r="I1049"/>
      <c r="J1049"/>
      <c r="K1049"/>
    </row>
    <row r="1050" spans="1:11">
      <c r="A1050"/>
      <c r="B1050"/>
      <c r="C1050"/>
      <c r="D1050"/>
      <c r="E1050"/>
      <c r="F1050"/>
      <c r="G1050"/>
      <c r="H1050"/>
      <c r="I1050"/>
      <c r="J1050"/>
      <c r="K1050"/>
    </row>
    <row r="1051" spans="1:11">
      <c r="A1051"/>
      <c r="B1051"/>
      <c r="C1051"/>
      <c r="D1051"/>
      <c r="E1051"/>
      <c r="F1051"/>
      <c r="G1051"/>
      <c r="H1051"/>
      <c r="I1051"/>
      <c r="J1051"/>
      <c r="K1051"/>
    </row>
    <row r="1052" spans="1:11">
      <c r="A1052"/>
      <c r="B1052"/>
      <c r="C1052"/>
      <c r="D1052"/>
      <c r="E1052"/>
      <c r="F1052"/>
      <c r="G1052"/>
      <c r="H1052"/>
      <c r="I1052"/>
      <c r="J1052"/>
      <c r="K1052"/>
    </row>
    <row r="1053" spans="1:11">
      <c r="A1053"/>
      <c r="B1053"/>
      <c r="C1053"/>
      <c r="D1053"/>
      <c r="E1053"/>
      <c r="F1053"/>
      <c r="G1053"/>
      <c r="H1053"/>
      <c r="I1053"/>
      <c r="J1053"/>
      <c r="K1053"/>
    </row>
    <row r="1054" spans="1:11">
      <c r="A1054"/>
      <c r="B1054"/>
      <c r="C1054"/>
      <c r="D1054"/>
      <c r="E1054"/>
      <c r="F1054"/>
      <c r="G1054"/>
      <c r="H1054"/>
      <c r="I1054"/>
      <c r="J1054"/>
      <c r="K1054"/>
    </row>
    <row r="1055" spans="1:11">
      <c r="A1055"/>
      <c r="B1055"/>
      <c r="C1055"/>
      <c r="D1055"/>
      <c r="E1055"/>
      <c r="F1055"/>
      <c r="G1055"/>
      <c r="H1055"/>
      <c r="I1055"/>
      <c r="J1055"/>
      <c r="K1055"/>
    </row>
    <row r="1056" spans="1:11">
      <c r="A1056"/>
      <c r="B1056"/>
      <c r="C1056"/>
      <c r="D1056"/>
      <c r="E1056"/>
      <c r="F1056"/>
      <c r="G1056"/>
      <c r="H1056"/>
      <c r="I1056"/>
      <c r="J1056"/>
      <c r="K1056"/>
    </row>
    <row r="1057" spans="1:11">
      <c r="A1057"/>
      <c r="B1057"/>
      <c r="C1057"/>
      <c r="D1057"/>
      <c r="E1057"/>
      <c r="F1057"/>
      <c r="G1057"/>
      <c r="H1057"/>
      <c r="I1057"/>
      <c r="J1057"/>
      <c r="K1057"/>
    </row>
    <row r="1058" spans="1:11">
      <c r="A1058"/>
      <c r="B1058"/>
      <c r="C1058"/>
      <c r="D1058"/>
      <c r="E1058"/>
      <c r="F1058"/>
      <c r="G1058"/>
      <c r="H1058"/>
      <c r="I1058"/>
      <c r="J1058"/>
      <c r="K1058"/>
    </row>
    <row r="1059" spans="1:11">
      <c r="A1059"/>
      <c r="B1059"/>
      <c r="C1059"/>
      <c r="D1059"/>
      <c r="E1059"/>
      <c r="F1059"/>
      <c r="G1059"/>
      <c r="H1059"/>
      <c r="I1059"/>
      <c r="J1059"/>
      <c r="K1059"/>
    </row>
    <row r="1060" spans="1:11">
      <c r="A1060"/>
      <c r="B1060"/>
      <c r="C1060"/>
      <c r="D1060"/>
      <c r="E1060"/>
      <c r="F1060"/>
      <c r="G1060"/>
      <c r="H1060"/>
      <c r="I1060"/>
      <c r="J1060"/>
      <c r="K1060"/>
    </row>
    <row r="1061" spans="1:11">
      <c r="A1061"/>
      <c r="B1061"/>
      <c r="C1061"/>
      <c r="D1061"/>
      <c r="E1061"/>
      <c r="F1061"/>
      <c r="G1061"/>
      <c r="H1061"/>
      <c r="I1061"/>
      <c r="J1061"/>
      <c r="K1061"/>
    </row>
    <row r="1062" spans="1:11">
      <c r="A1062"/>
      <c r="B1062"/>
      <c r="C1062"/>
      <c r="D1062"/>
      <c r="E1062"/>
      <c r="F1062"/>
      <c r="G1062"/>
      <c r="H1062"/>
      <c r="I1062"/>
      <c r="J1062"/>
      <c r="K1062"/>
    </row>
    <row r="1063" spans="1:11">
      <c r="A1063"/>
      <c r="B1063"/>
      <c r="C1063"/>
      <c r="D1063"/>
      <c r="E1063"/>
      <c r="F1063"/>
      <c r="G1063"/>
      <c r="H1063"/>
      <c r="I1063"/>
      <c r="J1063"/>
      <c r="K1063"/>
    </row>
    <row r="1064" spans="1:11">
      <c r="A1064"/>
      <c r="B1064"/>
      <c r="C1064"/>
      <c r="D1064"/>
      <c r="E1064"/>
      <c r="F1064"/>
      <c r="G1064"/>
      <c r="H1064"/>
      <c r="I1064"/>
      <c r="J1064"/>
      <c r="K1064"/>
    </row>
    <row r="1065" spans="1:11">
      <c r="A1065"/>
      <c r="B1065"/>
      <c r="C1065"/>
      <c r="D1065"/>
      <c r="E1065"/>
      <c r="F1065"/>
      <c r="G1065"/>
      <c r="H1065"/>
      <c r="I1065"/>
      <c r="J1065"/>
      <c r="K1065"/>
    </row>
    <row r="1066" spans="1:11">
      <c r="A1066"/>
      <c r="B1066"/>
      <c r="C1066"/>
      <c r="D1066"/>
      <c r="E1066"/>
      <c r="F1066"/>
      <c r="G1066"/>
      <c r="H1066"/>
      <c r="I1066"/>
      <c r="J1066"/>
      <c r="K1066"/>
    </row>
    <row r="1067" spans="1:11">
      <c r="A1067"/>
      <c r="B1067"/>
      <c r="C1067"/>
      <c r="D1067"/>
      <c r="E1067"/>
      <c r="F1067"/>
      <c r="G1067"/>
      <c r="H1067"/>
      <c r="I1067"/>
      <c r="J1067"/>
      <c r="K1067"/>
    </row>
    <row r="1068" spans="1:11">
      <c r="A1068"/>
      <c r="B1068"/>
      <c r="C1068"/>
      <c r="D1068"/>
      <c r="E1068"/>
      <c r="F1068"/>
      <c r="G1068"/>
      <c r="H1068"/>
      <c r="I1068"/>
      <c r="J1068"/>
      <c r="K1068"/>
    </row>
    <row r="1069" spans="1:11">
      <c r="A1069"/>
      <c r="B1069"/>
      <c r="C1069"/>
      <c r="D1069"/>
      <c r="E1069"/>
      <c r="F1069"/>
      <c r="G1069"/>
      <c r="H1069"/>
      <c r="I1069"/>
      <c r="J1069"/>
      <c r="K1069"/>
    </row>
    <row r="1070" spans="1:11">
      <c r="A1070"/>
      <c r="B1070"/>
      <c r="C1070"/>
      <c r="D1070"/>
      <c r="E1070"/>
      <c r="F1070"/>
      <c r="G1070"/>
      <c r="H1070"/>
      <c r="I1070"/>
      <c r="J1070"/>
      <c r="K1070"/>
    </row>
    <row r="1071" spans="1:11">
      <c r="A1071"/>
      <c r="B1071"/>
      <c r="C1071"/>
      <c r="D1071"/>
      <c r="E1071"/>
      <c r="F1071"/>
      <c r="G1071"/>
      <c r="H1071"/>
      <c r="I1071"/>
      <c r="J1071"/>
      <c r="K1071"/>
    </row>
    <row r="1072" spans="1:11">
      <c r="A1072"/>
      <c r="B1072"/>
      <c r="C1072"/>
      <c r="D1072"/>
      <c r="E1072"/>
      <c r="F1072"/>
      <c r="G1072"/>
      <c r="H1072"/>
      <c r="I1072"/>
      <c r="J1072"/>
      <c r="K1072"/>
    </row>
    <row r="1073" spans="1:11">
      <c r="A1073"/>
      <c r="B1073"/>
      <c r="C1073"/>
      <c r="D1073"/>
      <c r="E1073"/>
      <c r="F1073"/>
      <c r="G1073"/>
      <c r="H1073"/>
      <c r="I1073"/>
      <c r="J1073"/>
      <c r="K1073"/>
    </row>
    <row r="1074" spans="1:11">
      <c r="A1074"/>
      <c r="B1074"/>
      <c r="C1074"/>
      <c r="D1074"/>
      <c r="E1074"/>
      <c r="F1074"/>
      <c r="G1074"/>
      <c r="H1074"/>
      <c r="I1074"/>
      <c r="J1074"/>
      <c r="K1074"/>
    </row>
    <row r="1075" spans="1:11">
      <c r="A1075"/>
      <c r="B1075"/>
      <c r="C1075"/>
      <c r="D1075"/>
      <c r="E1075"/>
      <c r="F1075"/>
      <c r="G1075"/>
      <c r="H1075"/>
      <c r="I1075"/>
      <c r="J1075"/>
      <c r="K1075"/>
    </row>
    <row r="1076" spans="1:11">
      <c r="A1076"/>
      <c r="B1076"/>
      <c r="C1076"/>
      <c r="D1076"/>
      <c r="E1076"/>
      <c r="F1076"/>
      <c r="G1076"/>
      <c r="H1076"/>
      <c r="I1076"/>
      <c r="J1076"/>
      <c r="K1076"/>
    </row>
    <row r="1077" spans="1:11">
      <c r="A1077"/>
      <c r="B1077"/>
      <c r="C1077"/>
      <c r="D1077"/>
      <c r="E1077"/>
      <c r="F1077"/>
      <c r="G1077"/>
      <c r="H1077"/>
      <c r="I1077"/>
      <c r="J1077"/>
      <c r="K1077"/>
    </row>
    <row r="1078" spans="1:11">
      <c r="A1078"/>
      <c r="B1078"/>
      <c r="C1078"/>
      <c r="D1078"/>
      <c r="E1078"/>
      <c r="F1078"/>
      <c r="G1078"/>
      <c r="H1078"/>
      <c r="I1078"/>
      <c r="J1078"/>
      <c r="K1078"/>
    </row>
    <row r="1079" spans="1:11">
      <c r="A1079"/>
      <c r="B1079"/>
      <c r="C1079"/>
      <c r="D1079"/>
      <c r="E1079"/>
      <c r="F1079"/>
      <c r="G1079"/>
      <c r="H1079"/>
      <c r="I1079"/>
      <c r="J1079"/>
      <c r="K1079"/>
    </row>
    <row r="1080" spans="1:11">
      <c r="A1080"/>
      <c r="B1080"/>
      <c r="C1080"/>
      <c r="D1080"/>
      <c r="E1080"/>
      <c r="F1080"/>
      <c r="G1080"/>
      <c r="H1080"/>
      <c r="I1080"/>
      <c r="J1080"/>
      <c r="K1080"/>
    </row>
    <row r="1081" spans="1:11">
      <c r="A1081"/>
      <c r="B1081"/>
      <c r="C1081"/>
      <c r="D1081"/>
      <c r="E1081"/>
      <c r="F1081"/>
      <c r="G1081"/>
      <c r="H1081"/>
      <c r="I1081"/>
      <c r="J1081"/>
      <c r="K1081"/>
    </row>
    <row r="1082" spans="1:11">
      <c r="A1082"/>
      <c r="B1082"/>
      <c r="C1082"/>
      <c r="D1082"/>
      <c r="E1082"/>
      <c r="F1082"/>
      <c r="G1082"/>
      <c r="H1082"/>
      <c r="I1082"/>
      <c r="J1082"/>
      <c r="K1082"/>
    </row>
    <row r="1083" spans="1:11">
      <c r="A1083"/>
      <c r="B1083"/>
      <c r="C1083"/>
      <c r="D1083"/>
      <c r="E1083"/>
      <c r="F1083"/>
      <c r="G1083"/>
      <c r="H1083"/>
      <c r="I1083"/>
      <c r="J1083"/>
      <c r="K1083"/>
    </row>
    <row r="1084" spans="1:11">
      <c r="A1084"/>
      <c r="B1084"/>
      <c r="C1084"/>
      <c r="D1084"/>
      <c r="E1084"/>
      <c r="F1084"/>
      <c r="G1084"/>
      <c r="H1084"/>
      <c r="I1084"/>
      <c r="J1084"/>
      <c r="K1084"/>
    </row>
    <row r="1085" spans="1:11">
      <c r="A1085"/>
      <c r="B1085"/>
      <c r="C1085"/>
      <c r="D1085"/>
      <c r="E1085"/>
      <c r="F1085"/>
      <c r="G1085"/>
      <c r="H1085"/>
      <c r="I1085"/>
      <c r="J1085"/>
      <c r="K1085"/>
    </row>
    <row r="1086" spans="1:11">
      <c r="A1086"/>
      <c r="B1086"/>
      <c r="C1086"/>
      <c r="D1086"/>
      <c r="E1086"/>
      <c r="F1086"/>
      <c r="G1086"/>
      <c r="H1086"/>
      <c r="I1086"/>
      <c r="J1086"/>
      <c r="K1086"/>
    </row>
    <row r="1087" spans="1:11">
      <c r="A1087"/>
      <c r="B1087"/>
      <c r="C1087"/>
      <c r="D1087"/>
      <c r="E1087"/>
      <c r="F1087"/>
      <c r="G1087"/>
      <c r="H1087"/>
      <c r="I1087"/>
      <c r="J1087"/>
      <c r="K1087"/>
    </row>
    <row r="1088" spans="1:11">
      <c r="A1088"/>
      <c r="B1088"/>
      <c r="C1088"/>
      <c r="D1088"/>
      <c r="E1088"/>
      <c r="F1088"/>
      <c r="G1088"/>
      <c r="H1088"/>
      <c r="I1088"/>
      <c r="J1088"/>
      <c r="K1088"/>
    </row>
    <row r="1089" spans="1:11">
      <c r="A1089"/>
      <c r="B1089"/>
      <c r="C1089"/>
      <c r="D1089"/>
      <c r="E1089"/>
      <c r="F1089"/>
      <c r="G1089"/>
      <c r="H1089"/>
      <c r="I1089"/>
      <c r="J1089"/>
      <c r="K1089"/>
    </row>
    <row r="1090" spans="1:11">
      <c r="A1090"/>
      <c r="B1090"/>
      <c r="C1090"/>
      <c r="D1090"/>
      <c r="E1090"/>
      <c r="F1090"/>
      <c r="G1090"/>
      <c r="H1090"/>
      <c r="I1090"/>
      <c r="J1090"/>
      <c r="K1090"/>
    </row>
    <row r="1091" spans="1:11">
      <c r="A1091"/>
      <c r="B1091"/>
      <c r="C1091"/>
      <c r="D1091"/>
      <c r="E1091"/>
      <c r="F1091"/>
      <c r="G1091"/>
      <c r="H1091"/>
      <c r="I1091"/>
      <c r="J1091"/>
      <c r="K1091"/>
    </row>
    <row r="1092" spans="1:11">
      <c r="A1092"/>
      <c r="B1092"/>
      <c r="C1092"/>
      <c r="D1092"/>
      <c r="E1092"/>
      <c r="F1092"/>
      <c r="G1092"/>
      <c r="H1092"/>
      <c r="I1092"/>
      <c r="J1092"/>
      <c r="K1092"/>
    </row>
    <row r="1093" spans="1:11">
      <c r="A1093"/>
      <c r="B1093"/>
      <c r="C1093"/>
      <c r="D1093"/>
      <c r="E1093"/>
      <c r="F1093"/>
      <c r="G1093"/>
      <c r="H1093"/>
      <c r="I1093"/>
      <c r="J1093"/>
      <c r="K1093"/>
    </row>
    <row r="1094" spans="1:11">
      <c r="A1094"/>
      <c r="B1094"/>
      <c r="C1094"/>
      <c r="D1094"/>
      <c r="E1094"/>
      <c r="F1094"/>
      <c r="G1094"/>
      <c r="H1094"/>
      <c r="I1094"/>
      <c r="J1094"/>
      <c r="K1094"/>
    </row>
    <row r="1095" spans="1:11">
      <c r="A1095"/>
      <c r="B1095"/>
      <c r="C1095"/>
      <c r="D1095"/>
      <c r="E1095"/>
      <c r="F1095"/>
      <c r="G1095"/>
      <c r="H1095"/>
      <c r="I1095"/>
      <c r="J1095"/>
      <c r="K1095"/>
    </row>
    <row r="1096" spans="1:11">
      <c r="A1096"/>
      <c r="B1096"/>
      <c r="C1096"/>
      <c r="D1096"/>
      <c r="E1096"/>
      <c r="F1096"/>
      <c r="G1096"/>
      <c r="H1096"/>
      <c r="I1096"/>
      <c r="J1096"/>
      <c r="K1096"/>
    </row>
    <row r="1097" spans="1:11">
      <c r="A1097"/>
      <c r="B1097"/>
      <c r="C1097"/>
      <c r="D1097"/>
      <c r="E1097"/>
      <c r="F1097"/>
      <c r="G1097"/>
      <c r="H1097"/>
      <c r="I1097"/>
      <c r="J1097"/>
      <c r="K1097"/>
    </row>
    <row r="1098" spans="1:11">
      <c r="A1098"/>
      <c r="B1098"/>
      <c r="C1098"/>
      <c r="D1098"/>
      <c r="E1098"/>
      <c r="F1098"/>
      <c r="G1098"/>
      <c r="H1098"/>
      <c r="I1098"/>
      <c r="J1098"/>
      <c r="K1098"/>
    </row>
    <row r="1099" spans="1:11">
      <c r="A1099"/>
      <c r="B1099"/>
      <c r="C1099"/>
      <c r="D1099"/>
      <c r="E1099"/>
      <c r="F1099"/>
      <c r="G1099"/>
      <c r="H1099"/>
      <c r="I1099"/>
      <c r="J1099"/>
      <c r="K1099"/>
    </row>
    <row r="1100" spans="1:11">
      <c r="A1100"/>
      <c r="B1100"/>
      <c r="C1100"/>
      <c r="D1100"/>
      <c r="E1100"/>
      <c r="F1100"/>
      <c r="G1100"/>
      <c r="H1100"/>
      <c r="I1100"/>
      <c r="J1100"/>
      <c r="K1100"/>
    </row>
    <row r="1101" spans="1:11">
      <c r="A1101"/>
      <c r="B1101"/>
      <c r="C1101"/>
      <c r="D1101"/>
      <c r="E1101"/>
      <c r="F1101"/>
      <c r="G1101"/>
      <c r="H1101"/>
      <c r="I1101"/>
      <c r="J1101"/>
      <c r="K1101"/>
    </row>
    <row r="1102" spans="1:11">
      <c r="A1102"/>
      <c r="B1102"/>
      <c r="C1102"/>
      <c r="D1102"/>
      <c r="E1102"/>
      <c r="F1102"/>
      <c r="G1102"/>
      <c r="H1102"/>
      <c r="I1102"/>
      <c r="J1102"/>
      <c r="K1102"/>
    </row>
    <row r="1103" spans="1:11">
      <c r="A1103"/>
      <c r="B1103"/>
      <c r="C1103"/>
      <c r="D1103"/>
      <c r="E1103"/>
      <c r="F1103"/>
      <c r="G1103"/>
      <c r="H1103"/>
      <c r="I1103"/>
      <c r="J1103"/>
      <c r="K1103"/>
    </row>
    <row r="1104" spans="1:11">
      <c r="A1104"/>
      <c r="B1104"/>
      <c r="C1104"/>
      <c r="D1104"/>
      <c r="E1104"/>
      <c r="F1104"/>
      <c r="G1104"/>
      <c r="H1104"/>
      <c r="I1104"/>
      <c r="J1104"/>
      <c r="K1104"/>
    </row>
    <row r="1105" spans="1:11">
      <c r="A1105"/>
      <c r="B1105"/>
      <c r="C1105"/>
      <c r="D1105"/>
      <c r="E1105"/>
      <c r="F1105"/>
      <c r="G1105"/>
      <c r="H1105"/>
      <c r="I1105"/>
      <c r="J1105"/>
      <c r="K1105"/>
    </row>
    <row r="1106" spans="1:11">
      <c r="A1106"/>
      <c r="B1106"/>
      <c r="C1106"/>
      <c r="D1106"/>
      <c r="E1106"/>
      <c r="F1106"/>
      <c r="G1106"/>
      <c r="H1106"/>
      <c r="I1106"/>
      <c r="J1106"/>
      <c r="K1106"/>
    </row>
    <row r="1107" spans="1:11">
      <c r="A1107"/>
      <c r="B1107"/>
      <c r="C1107"/>
      <c r="D1107"/>
      <c r="E1107"/>
      <c r="F1107"/>
      <c r="G1107"/>
      <c r="H1107"/>
      <c r="I1107"/>
      <c r="J1107"/>
      <c r="K1107"/>
    </row>
    <row r="1108" spans="1:11">
      <c r="A1108"/>
      <c r="B1108"/>
      <c r="C1108"/>
      <c r="D1108"/>
      <c r="E1108"/>
      <c r="F1108"/>
      <c r="G1108"/>
      <c r="H1108"/>
      <c r="I1108"/>
      <c r="J1108"/>
      <c r="K1108"/>
    </row>
    <row r="1109" spans="1:11">
      <c r="A1109"/>
      <c r="B1109"/>
      <c r="C1109"/>
      <c r="D1109"/>
      <c r="E1109"/>
      <c r="F1109"/>
      <c r="G1109"/>
      <c r="H1109"/>
      <c r="I1109"/>
      <c r="J1109"/>
      <c r="K1109"/>
    </row>
    <row r="1110" spans="1:11">
      <c r="A1110"/>
      <c r="B1110"/>
      <c r="C1110"/>
      <c r="D1110"/>
      <c r="E1110"/>
      <c r="F1110"/>
      <c r="G1110"/>
      <c r="H1110"/>
      <c r="I1110"/>
      <c r="J1110"/>
      <c r="K1110"/>
    </row>
    <row r="1111" spans="1:11">
      <c r="A1111"/>
      <c r="B1111"/>
      <c r="C1111"/>
      <c r="D1111"/>
      <c r="E1111"/>
      <c r="F1111"/>
      <c r="G1111"/>
      <c r="H1111"/>
      <c r="I1111"/>
      <c r="J1111"/>
      <c r="K1111"/>
    </row>
    <row r="1112" spans="1:11">
      <c r="A1112"/>
      <c r="B1112"/>
      <c r="C1112"/>
      <c r="D1112"/>
      <c r="E1112"/>
      <c r="F1112"/>
      <c r="G1112"/>
      <c r="H1112"/>
      <c r="I1112"/>
      <c r="J1112"/>
      <c r="K1112"/>
    </row>
    <row r="1113" spans="1:11">
      <c r="A1113"/>
      <c r="B1113"/>
      <c r="C1113"/>
      <c r="D1113"/>
      <c r="E1113"/>
      <c r="F1113"/>
      <c r="G1113"/>
      <c r="H1113"/>
      <c r="I1113"/>
      <c r="J1113"/>
      <c r="K1113"/>
    </row>
    <row r="1114" spans="1:11">
      <c r="A1114"/>
      <c r="B1114"/>
      <c r="C1114"/>
      <c r="D1114"/>
      <c r="E1114"/>
      <c r="F1114"/>
      <c r="G1114"/>
      <c r="H1114"/>
      <c r="I1114"/>
      <c r="J1114"/>
      <c r="K1114"/>
    </row>
    <row r="1115" spans="1:11">
      <c r="A1115"/>
      <c r="B1115"/>
      <c r="C1115"/>
      <c r="D1115"/>
      <c r="E1115"/>
      <c r="F1115"/>
      <c r="G1115"/>
      <c r="H1115"/>
      <c r="I1115"/>
      <c r="J1115"/>
      <c r="K1115"/>
    </row>
    <row r="1116" spans="1:11">
      <c r="A1116"/>
      <c r="B1116"/>
      <c r="C1116"/>
      <c r="D1116"/>
      <c r="E1116"/>
      <c r="F1116"/>
      <c r="G1116"/>
      <c r="H1116"/>
      <c r="I1116"/>
      <c r="J1116"/>
      <c r="K1116"/>
    </row>
    <row r="1117" spans="1:11">
      <c r="A1117"/>
      <c r="B1117"/>
      <c r="C1117"/>
      <c r="D1117"/>
      <c r="E1117"/>
      <c r="F1117"/>
      <c r="G1117"/>
      <c r="H1117"/>
      <c r="I1117"/>
      <c r="J1117"/>
      <c r="K1117"/>
    </row>
    <row r="1118" spans="1:11">
      <c r="A1118"/>
      <c r="B1118"/>
      <c r="C1118"/>
      <c r="D1118"/>
      <c r="E1118"/>
      <c r="F1118"/>
      <c r="G1118"/>
      <c r="H1118"/>
      <c r="I1118"/>
      <c r="J1118"/>
      <c r="K1118"/>
    </row>
    <row r="1119" spans="1:11">
      <c r="A1119"/>
      <c r="B1119"/>
      <c r="C1119"/>
      <c r="D1119"/>
      <c r="E1119"/>
      <c r="F1119"/>
      <c r="G1119"/>
      <c r="H1119"/>
      <c r="I1119"/>
      <c r="J1119"/>
      <c r="K1119"/>
    </row>
    <row r="1120" spans="1:11">
      <c r="A1120"/>
      <c r="B1120"/>
      <c r="C1120"/>
      <c r="D1120"/>
      <c r="E1120"/>
      <c r="F1120"/>
      <c r="G1120"/>
      <c r="H1120"/>
      <c r="I1120"/>
      <c r="J1120"/>
      <c r="K1120"/>
    </row>
    <row r="1121" spans="1:11">
      <c r="A1121"/>
      <c r="B1121"/>
      <c r="C1121"/>
      <c r="D1121"/>
      <c r="E1121"/>
      <c r="F1121"/>
      <c r="G1121"/>
      <c r="H1121"/>
      <c r="I1121"/>
      <c r="J1121"/>
      <c r="K1121"/>
    </row>
    <row r="1122" spans="1:11">
      <c r="A1122"/>
      <c r="B1122"/>
      <c r="C1122"/>
      <c r="D1122"/>
      <c r="E1122"/>
      <c r="F1122"/>
      <c r="G1122"/>
      <c r="H1122"/>
      <c r="I1122"/>
      <c r="J1122"/>
      <c r="K1122"/>
    </row>
    <row r="1123" spans="1:11">
      <c r="A1123"/>
      <c r="B1123"/>
      <c r="C1123"/>
      <c r="D1123"/>
      <c r="E1123"/>
      <c r="F1123"/>
      <c r="G1123"/>
      <c r="H1123"/>
      <c r="I1123"/>
      <c r="J1123"/>
      <c r="K1123"/>
    </row>
    <row r="1124" spans="1:11">
      <c r="A1124"/>
      <c r="B1124"/>
      <c r="C1124"/>
      <c r="D1124"/>
      <c r="E1124"/>
      <c r="F1124"/>
      <c r="G1124"/>
      <c r="H1124"/>
      <c r="I1124"/>
      <c r="J1124"/>
      <c r="K1124"/>
    </row>
    <row r="1125" spans="1:11">
      <c r="A1125"/>
      <c r="B1125"/>
      <c r="C1125"/>
      <c r="D1125"/>
      <c r="E1125"/>
      <c r="F1125"/>
      <c r="G1125"/>
      <c r="H1125"/>
      <c r="I1125"/>
      <c r="J1125"/>
      <c r="K1125"/>
    </row>
    <row r="1126" spans="1:11">
      <c r="A1126"/>
      <c r="B1126"/>
      <c r="C1126"/>
      <c r="D1126"/>
      <c r="E1126"/>
      <c r="F1126"/>
      <c r="G1126"/>
      <c r="H1126"/>
      <c r="I1126"/>
      <c r="J1126"/>
      <c r="K1126"/>
    </row>
    <row r="1127" spans="1:11">
      <c r="A1127"/>
      <c r="B1127"/>
      <c r="C1127"/>
      <c r="D1127"/>
      <c r="E1127"/>
      <c r="F1127"/>
      <c r="G1127"/>
      <c r="H1127"/>
      <c r="I1127"/>
      <c r="J1127"/>
      <c r="K1127"/>
    </row>
    <row r="1128" spans="1:11">
      <c r="A1128"/>
      <c r="B1128"/>
      <c r="C1128"/>
      <c r="D1128"/>
      <c r="E1128"/>
      <c r="F1128"/>
      <c r="G1128"/>
      <c r="H1128"/>
      <c r="I1128"/>
      <c r="J1128"/>
      <c r="K1128"/>
    </row>
    <row r="1129" spans="1:11">
      <c r="A1129"/>
      <c r="B1129"/>
      <c r="C1129"/>
      <c r="D1129"/>
      <c r="E1129"/>
      <c r="F1129"/>
      <c r="G1129"/>
      <c r="H1129"/>
      <c r="I1129"/>
      <c r="J1129"/>
      <c r="K1129"/>
    </row>
    <row r="1130" spans="1:11">
      <c r="A1130"/>
      <c r="B1130"/>
      <c r="C1130"/>
      <c r="D1130"/>
      <c r="E1130"/>
      <c r="F1130"/>
      <c r="G1130"/>
      <c r="H1130"/>
      <c r="I1130"/>
      <c r="J1130"/>
      <c r="K1130"/>
    </row>
    <row r="1131" spans="1:11">
      <c r="A1131"/>
      <c r="B1131"/>
      <c r="C1131"/>
      <c r="D1131"/>
      <c r="E1131"/>
      <c r="F1131"/>
      <c r="G1131"/>
      <c r="H1131"/>
      <c r="I1131"/>
      <c r="J1131"/>
      <c r="K1131"/>
    </row>
    <row r="1132" spans="1:11">
      <c r="A1132"/>
      <c r="B1132"/>
      <c r="C1132"/>
      <c r="D1132"/>
      <c r="E1132"/>
      <c r="F1132"/>
      <c r="G1132"/>
      <c r="H1132"/>
      <c r="I1132"/>
      <c r="J1132"/>
      <c r="K1132"/>
    </row>
    <row r="1133" spans="1:11">
      <c r="A1133"/>
      <c r="B1133"/>
      <c r="C1133"/>
      <c r="D1133"/>
      <c r="E1133"/>
      <c r="F1133"/>
      <c r="G1133"/>
      <c r="H1133"/>
      <c r="I1133"/>
      <c r="J1133"/>
      <c r="K1133"/>
    </row>
    <row r="1134" spans="1:11">
      <c r="A1134"/>
      <c r="B1134"/>
      <c r="C1134"/>
      <c r="D1134"/>
      <c r="E1134"/>
      <c r="F1134"/>
      <c r="G1134"/>
      <c r="H1134"/>
      <c r="I1134"/>
      <c r="J1134"/>
      <c r="K1134"/>
    </row>
    <row r="1135" spans="1:11">
      <c r="A1135"/>
      <c r="B1135"/>
      <c r="C1135"/>
      <c r="D1135"/>
      <c r="E1135"/>
      <c r="F1135"/>
      <c r="G1135"/>
      <c r="H1135"/>
      <c r="I1135"/>
      <c r="J1135"/>
      <c r="K1135"/>
    </row>
    <row r="1136" spans="1:11">
      <c r="A1136"/>
      <c r="B1136"/>
      <c r="C1136"/>
      <c r="D1136"/>
      <c r="E1136"/>
      <c r="F1136"/>
      <c r="G1136"/>
      <c r="H1136"/>
      <c r="I1136"/>
      <c r="J1136"/>
      <c r="K1136"/>
    </row>
    <row r="1137" spans="1:11">
      <c r="A1137"/>
      <c r="B1137"/>
      <c r="C1137"/>
      <c r="D1137"/>
      <c r="E1137"/>
      <c r="F1137"/>
      <c r="G1137"/>
      <c r="H1137"/>
      <c r="I1137"/>
      <c r="J1137"/>
      <c r="K1137"/>
    </row>
    <row r="1138" spans="1:11">
      <c r="A1138"/>
      <c r="B1138"/>
      <c r="C1138"/>
      <c r="D1138"/>
      <c r="E1138"/>
      <c r="F1138"/>
      <c r="G1138"/>
      <c r="H1138"/>
      <c r="I1138"/>
      <c r="J1138"/>
      <c r="K1138"/>
    </row>
    <row r="1139" spans="1:11">
      <c r="A1139"/>
      <c r="B1139"/>
      <c r="C1139"/>
      <c r="D1139"/>
      <c r="E1139"/>
      <c r="F1139"/>
      <c r="G1139"/>
      <c r="H1139"/>
      <c r="I1139"/>
      <c r="J1139"/>
      <c r="K1139"/>
    </row>
    <row r="1140" spans="1:11">
      <c r="A1140"/>
      <c r="B1140"/>
      <c r="C1140"/>
      <c r="D1140"/>
      <c r="E1140"/>
      <c r="F1140"/>
      <c r="G1140"/>
      <c r="H1140"/>
      <c r="I1140"/>
      <c r="J1140"/>
      <c r="K1140"/>
    </row>
    <row r="1141" spans="1:11">
      <c r="A1141"/>
      <c r="B1141"/>
      <c r="C1141"/>
      <c r="D1141"/>
      <c r="E1141"/>
      <c r="F1141"/>
      <c r="G1141"/>
      <c r="H1141"/>
      <c r="I1141"/>
      <c r="J1141"/>
      <c r="K1141"/>
    </row>
    <row r="1142" spans="1:11">
      <c r="A1142"/>
      <c r="B1142"/>
      <c r="C1142"/>
      <c r="D1142"/>
      <c r="E1142"/>
      <c r="F1142"/>
      <c r="G1142"/>
      <c r="H1142"/>
      <c r="I1142"/>
      <c r="J1142"/>
      <c r="K1142"/>
    </row>
    <row r="1143" spans="1:11">
      <c r="A1143"/>
      <c r="B1143"/>
      <c r="C1143"/>
      <c r="D1143"/>
      <c r="E1143"/>
      <c r="F1143"/>
      <c r="G1143"/>
      <c r="H1143"/>
      <c r="I1143"/>
      <c r="J1143"/>
      <c r="K1143"/>
    </row>
    <row r="1144" spans="1:11">
      <c r="A1144"/>
      <c r="B1144"/>
      <c r="C1144"/>
      <c r="D1144"/>
      <c r="E1144"/>
      <c r="F1144"/>
      <c r="G1144"/>
      <c r="H1144"/>
      <c r="I1144"/>
      <c r="J1144"/>
      <c r="K1144"/>
    </row>
    <row r="1145" spans="1:11">
      <c r="A1145"/>
      <c r="B1145"/>
      <c r="C1145"/>
      <c r="D1145"/>
      <c r="E1145"/>
      <c r="F1145"/>
      <c r="G1145"/>
      <c r="H1145"/>
      <c r="I1145"/>
      <c r="J1145"/>
      <c r="K1145"/>
    </row>
    <row r="1146" spans="1:11">
      <c r="A1146"/>
      <c r="B1146"/>
      <c r="C1146"/>
      <c r="D1146"/>
      <c r="E1146"/>
      <c r="F1146"/>
      <c r="G1146"/>
      <c r="H1146"/>
      <c r="I1146"/>
      <c r="J1146"/>
      <c r="K1146"/>
    </row>
    <row r="1147" spans="1:11">
      <c r="A1147"/>
      <c r="B1147"/>
      <c r="C1147"/>
      <c r="D1147"/>
      <c r="E1147"/>
      <c r="F1147"/>
      <c r="G1147"/>
      <c r="H1147"/>
      <c r="I1147"/>
      <c r="J1147"/>
      <c r="K1147"/>
    </row>
    <row r="1148" spans="1:11">
      <c r="A1148"/>
      <c r="B1148"/>
      <c r="C1148"/>
      <c r="D1148"/>
      <c r="E1148"/>
      <c r="F1148"/>
      <c r="G1148"/>
      <c r="H1148"/>
      <c r="I1148"/>
      <c r="J1148"/>
      <c r="K1148"/>
    </row>
    <row r="1149" spans="1:11">
      <c r="A1149"/>
      <c r="B1149"/>
      <c r="C1149"/>
      <c r="D1149"/>
      <c r="E1149"/>
      <c r="F1149"/>
      <c r="G1149"/>
      <c r="H1149"/>
      <c r="I1149"/>
      <c r="J1149"/>
      <c r="K1149"/>
    </row>
    <row r="1150" spans="1:11">
      <c r="A1150"/>
      <c r="B1150"/>
      <c r="C1150"/>
      <c r="D1150"/>
      <c r="E1150"/>
      <c r="F1150"/>
      <c r="G1150"/>
      <c r="H1150"/>
      <c r="I1150"/>
      <c r="J1150"/>
      <c r="K1150"/>
    </row>
    <row r="1151" spans="1:11">
      <c r="A1151"/>
      <c r="B1151"/>
      <c r="C1151"/>
      <c r="D1151"/>
      <c r="E1151"/>
      <c r="F1151"/>
      <c r="G1151"/>
      <c r="H1151"/>
      <c r="I1151"/>
      <c r="J1151"/>
      <c r="K1151"/>
    </row>
    <row r="1152" spans="1:11">
      <c r="A1152"/>
      <c r="B1152"/>
      <c r="C1152"/>
      <c r="D1152"/>
      <c r="E1152"/>
      <c r="F1152"/>
      <c r="G1152"/>
      <c r="H1152"/>
      <c r="I1152"/>
      <c r="J1152"/>
      <c r="K1152"/>
    </row>
    <row r="1153" spans="1:11">
      <c r="A1153"/>
      <c r="B1153"/>
      <c r="C1153"/>
      <c r="D1153"/>
      <c r="E1153"/>
      <c r="F1153"/>
      <c r="G1153"/>
      <c r="H1153"/>
      <c r="I1153"/>
      <c r="J1153"/>
      <c r="K1153"/>
    </row>
    <row r="1154" spans="1:11">
      <c r="A1154"/>
      <c r="B1154"/>
      <c r="C1154"/>
      <c r="D1154"/>
      <c r="E1154"/>
      <c r="F1154"/>
      <c r="G1154"/>
      <c r="H1154"/>
      <c r="I1154"/>
      <c r="J1154"/>
      <c r="K1154"/>
    </row>
    <row r="1155" spans="1:11">
      <c r="A1155"/>
      <c r="B1155"/>
      <c r="C1155"/>
      <c r="D1155"/>
      <c r="E1155"/>
      <c r="F1155"/>
      <c r="G1155"/>
      <c r="H1155"/>
      <c r="I1155"/>
      <c r="J1155"/>
      <c r="K1155"/>
    </row>
    <row r="1156" spans="1:11">
      <c r="A1156"/>
      <c r="B1156"/>
      <c r="C1156"/>
      <c r="D1156"/>
      <c r="E1156"/>
      <c r="F1156"/>
      <c r="G1156"/>
      <c r="H1156"/>
      <c r="I1156"/>
      <c r="J1156"/>
      <c r="K1156"/>
    </row>
    <row r="1157" spans="1:11">
      <c r="A1157"/>
      <c r="B1157"/>
      <c r="C1157"/>
      <c r="D1157"/>
      <c r="E1157"/>
      <c r="F1157"/>
      <c r="G1157"/>
      <c r="H1157"/>
      <c r="I1157"/>
      <c r="J1157"/>
      <c r="K1157"/>
    </row>
    <row r="1158" spans="1:11">
      <c r="A1158"/>
      <c r="B1158"/>
      <c r="C1158"/>
      <c r="D1158"/>
      <c r="E1158"/>
      <c r="F1158"/>
      <c r="G1158"/>
      <c r="H1158"/>
      <c r="I1158"/>
      <c r="J1158"/>
      <c r="K1158"/>
    </row>
    <row r="1159" spans="1:11">
      <c r="A1159"/>
      <c r="B1159"/>
      <c r="C1159"/>
      <c r="D1159"/>
      <c r="E1159"/>
      <c r="F1159"/>
      <c r="G1159"/>
      <c r="H1159"/>
      <c r="I1159"/>
      <c r="J1159"/>
      <c r="K1159"/>
    </row>
    <row r="1160" spans="1:11">
      <c r="A1160"/>
      <c r="B1160"/>
      <c r="C1160"/>
      <c r="D1160"/>
      <c r="E1160"/>
      <c r="F1160"/>
      <c r="G1160"/>
      <c r="H1160"/>
      <c r="I1160"/>
      <c r="J1160"/>
      <c r="K1160"/>
    </row>
    <row r="1161" spans="1:11">
      <c r="A1161"/>
      <c r="B1161"/>
      <c r="C1161"/>
      <c r="D1161"/>
      <c r="E1161"/>
      <c r="F1161"/>
      <c r="G1161"/>
      <c r="H1161"/>
      <c r="I1161"/>
      <c r="J1161"/>
      <c r="K1161"/>
    </row>
    <row r="1162" spans="1:11">
      <c r="A1162"/>
      <c r="B1162"/>
      <c r="C1162"/>
      <c r="D1162"/>
      <c r="E1162"/>
      <c r="F1162"/>
      <c r="G1162"/>
      <c r="H1162"/>
      <c r="I1162"/>
      <c r="J1162"/>
      <c r="K1162"/>
    </row>
    <row r="1163" spans="1:11">
      <c r="A1163"/>
      <c r="B1163"/>
      <c r="C1163"/>
      <c r="D1163"/>
      <c r="E1163"/>
      <c r="F1163"/>
      <c r="G1163"/>
      <c r="H1163"/>
      <c r="I1163"/>
      <c r="J1163"/>
      <c r="K1163"/>
    </row>
    <row r="1164" spans="1:11">
      <c r="A1164"/>
      <c r="B1164"/>
      <c r="C1164"/>
      <c r="D1164"/>
      <c r="E1164"/>
      <c r="F1164"/>
      <c r="G1164"/>
      <c r="H1164"/>
      <c r="I1164"/>
      <c r="J1164"/>
      <c r="K1164"/>
    </row>
    <row r="1165" spans="1:11">
      <c r="A1165"/>
      <c r="B1165"/>
      <c r="C1165"/>
      <c r="D1165"/>
      <c r="E1165"/>
      <c r="F1165"/>
      <c r="G1165"/>
      <c r="H1165"/>
      <c r="I1165"/>
      <c r="J1165"/>
      <c r="K1165"/>
    </row>
    <row r="1166" spans="1:11">
      <c r="A1166"/>
      <c r="B1166"/>
      <c r="C1166"/>
      <c r="D1166"/>
      <c r="E1166"/>
      <c r="F1166"/>
      <c r="G1166"/>
      <c r="H1166"/>
      <c r="I1166"/>
      <c r="J1166"/>
      <c r="K1166"/>
    </row>
    <row r="1167" spans="1:11">
      <c r="A1167"/>
      <c r="B1167"/>
      <c r="C1167"/>
      <c r="D1167"/>
      <c r="E1167"/>
      <c r="F1167"/>
      <c r="G1167"/>
      <c r="H1167"/>
      <c r="I1167"/>
      <c r="J1167"/>
      <c r="K1167"/>
    </row>
    <row r="1168" spans="1:11">
      <c r="A1168"/>
      <c r="B1168"/>
      <c r="C1168"/>
      <c r="D1168"/>
      <c r="E1168"/>
      <c r="F1168"/>
      <c r="G1168"/>
      <c r="H1168"/>
      <c r="I1168"/>
      <c r="J1168"/>
      <c r="K1168"/>
    </row>
    <row r="1169" spans="1:11">
      <c r="A1169"/>
      <c r="B1169"/>
      <c r="C1169"/>
      <c r="D1169"/>
      <c r="E1169"/>
      <c r="F1169"/>
      <c r="G1169"/>
      <c r="H1169"/>
      <c r="I1169"/>
      <c r="J1169"/>
      <c r="K1169"/>
    </row>
    <row r="1170" spans="1:11">
      <c r="A1170"/>
      <c r="B1170"/>
      <c r="C1170"/>
      <c r="D1170"/>
      <c r="E1170"/>
      <c r="F1170"/>
      <c r="G1170"/>
      <c r="H1170"/>
      <c r="I1170"/>
      <c r="J1170"/>
      <c r="K1170"/>
    </row>
    <row r="1171" spans="1:11">
      <c r="A1171"/>
      <c r="B1171"/>
      <c r="C1171"/>
      <c r="D1171"/>
      <c r="E1171"/>
      <c r="F1171"/>
      <c r="G1171"/>
      <c r="H1171"/>
      <c r="I1171"/>
      <c r="J1171"/>
      <c r="K1171"/>
    </row>
    <row r="1172" spans="1:11">
      <c r="A1172"/>
      <c r="B1172"/>
      <c r="C1172"/>
      <c r="D1172"/>
      <c r="E1172"/>
      <c r="F1172"/>
      <c r="G1172"/>
      <c r="H1172"/>
      <c r="I1172"/>
      <c r="J1172"/>
      <c r="K1172"/>
    </row>
    <row r="1173" spans="1:11">
      <c r="A1173"/>
      <c r="B1173"/>
      <c r="C1173"/>
      <c r="D1173"/>
      <c r="E1173"/>
      <c r="F1173"/>
      <c r="G1173"/>
      <c r="H1173"/>
      <c r="I1173"/>
      <c r="J1173"/>
      <c r="K1173"/>
    </row>
    <row r="1174" spans="1:11">
      <c r="A1174"/>
      <c r="B1174"/>
      <c r="C1174"/>
      <c r="D1174"/>
      <c r="E1174"/>
      <c r="F1174"/>
      <c r="G1174"/>
      <c r="H1174"/>
      <c r="I1174"/>
      <c r="J1174"/>
      <c r="K1174"/>
    </row>
    <row r="1175" spans="1:11">
      <c r="A1175"/>
      <c r="B1175"/>
      <c r="C1175"/>
      <c r="D1175"/>
      <c r="E1175"/>
      <c r="F1175"/>
      <c r="G1175"/>
      <c r="H1175"/>
      <c r="I1175"/>
      <c r="J1175"/>
      <c r="K1175"/>
    </row>
    <row r="1176" spans="1:11">
      <c r="A1176"/>
      <c r="B1176"/>
      <c r="C1176"/>
      <c r="D1176"/>
      <c r="E1176"/>
      <c r="F1176"/>
      <c r="G1176"/>
      <c r="H1176"/>
      <c r="I1176"/>
      <c r="J1176"/>
      <c r="K1176"/>
    </row>
    <row r="1177" spans="1:11">
      <c r="A1177"/>
      <c r="B1177"/>
      <c r="C1177"/>
      <c r="D1177"/>
      <c r="E1177"/>
      <c r="F1177"/>
      <c r="G1177"/>
      <c r="H1177"/>
      <c r="I1177"/>
      <c r="J1177"/>
      <c r="K1177"/>
    </row>
    <row r="1178" spans="1:11">
      <c r="A1178"/>
      <c r="B1178"/>
      <c r="C1178"/>
      <c r="D1178"/>
      <c r="E1178"/>
      <c r="F1178"/>
      <c r="G1178"/>
      <c r="H1178"/>
      <c r="I1178"/>
      <c r="J1178"/>
      <c r="K1178"/>
    </row>
    <row r="1179" spans="1:11">
      <c r="A1179"/>
      <c r="B1179"/>
      <c r="C1179"/>
      <c r="D1179"/>
      <c r="E1179"/>
      <c r="F1179"/>
      <c r="G1179"/>
      <c r="H1179"/>
      <c r="I1179"/>
      <c r="J1179"/>
      <c r="K1179"/>
    </row>
    <row r="1180" spans="1:11">
      <c r="A1180"/>
      <c r="B1180"/>
      <c r="C1180"/>
      <c r="D1180"/>
      <c r="E1180"/>
      <c r="F1180"/>
      <c r="G1180"/>
      <c r="H1180"/>
      <c r="I1180"/>
      <c r="J1180"/>
      <c r="K1180"/>
    </row>
    <row r="1181" spans="1:11">
      <c r="A1181"/>
      <c r="B1181"/>
      <c r="C1181"/>
      <c r="D1181"/>
      <c r="E1181"/>
      <c r="F1181"/>
      <c r="G1181"/>
      <c r="H1181"/>
      <c r="I1181"/>
      <c r="J1181"/>
      <c r="K1181"/>
    </row>
    <row r="1182" spans="1:11">
      <c r="A1182"/>
      <c r="B1182"/>
      <c r="C1182"/>
      <c r="D1182"/>
      <c r="E1182"/>
      <c r="F1182"/>
      <c r="G1182"/>
      <c r="H1182"/>
      <c r="I1182"/>
      <c r="J1182"/>
      <c r="K1182"/>
    </row>
    <row r="1183" spans="1:11">
      <c r="A1183"/>
      <c r="B1183"/>
      <c r="C1183"/>
      <c r="D1183"/>
      <c r="E1183"/>
      <c r="F1183"/>
      <c r="G1183"/>
      <c r="H1183"/>
      <c r="I1183"/>
      <c r="J1183"/>
      <c r="K1183"/>
    </row>
    <row r="1184" spans="1:11">
      <c r="A1184"/>
      <c r="B1184"/>
      <c r="C1184"/>
      <c r="D1184"/>
      <c r="E1184"/>
      <c r="F1184"/>
      <c r="G1184"/>
      <c r="H1184"/>
      <c r="I1184"/>
      <c r="J1184"/>
      <c r="K1184"/>
    </row>
    <row r="1185" spans="1:11">
      <c r="A1185"/>
      <c r="B1185"/>
      <c r="C1185"/>
      <c r="D1185"/>
      <c r="E1185"/>
      <c r="F1185"/>
      <c r="G1185"/>
      <c r="H1185"/>
      <c r="I1185"/>
      <c r="J1185"/>
      <c r="K1185"/>
    </row>
    <row r="1186" spans="1:11">
      <c r="A1186"/>
      <c r="B1186"/>
      <c r="C1186"/>
      <c r="D1186"/>
      <c r="E1186"/>
      <c r="F1186"/>
      <c r="G1186"/>
      <c r="H1186"/>
      <c r="I1186"/>
      <c r="J1186"/>
      <c r="K1186"/>
    </row>
    <row r="1187" spans="1:11">
      <c r="A1187"/>
      <c r="B1187"/>
      <c r="C1187"/>
      <c r="D1187"/>
      <c r="E1187"/>
      <c r="F1187"/>
      <c r="G1187"/>
      <c r="H1187"/>
      <c r="I1187"/>
      <c r="J1187"/>
      <c r="K1187"/>
    </row>
    <row r="1188" spans="1:11">
      <c r="A1188"/>
      <c r="B1188"/>
      <c r="C1188"/>
      <c r="D1188"/>
      <c r="E1188"/>
      <c r="F1188"/>
      <c r="G1188"/>
      <c r="H1188"/>
      <c r="I1188"/>
      <c r="J1188"/>
      <c r="K1188"/>
    </row>
    <row r="1189" spans="1:11">
      <c r="A1189"/>
      <c r="B1189"/>
      <c r="C1189"/>
      <c r="D1189"/>
      <c r="E1189"/>
      <c r="F1189"/>
      <c r="G1189"/>
      <c r="H1189"/>
      <c r="I1189"/>
      <c r="J1189"/>
      <c r="K1189"/>
    </row>
    <row r="1190" spans="1:11">
      <c r="A1190"/>
      <c r="B1190"/>
      <c r="C1190"/>
      <c r="D1190"/>
      <c r="E1190"/>
      <c r="F1190"/>
      <c r="G1190"/>
      <c r="H1190"/>
      <c r="I1190"/>
      <c r="J1190"/>
      <c r="K1190"/>
    </row>
    <row r="1191" spans="1:11">
      <c r="A1191"/>
      <c r="B1191"/>
      <c r="C1191"/>
      <c r="D1191"/>
      <c r="E1191"/>
      <c r="F1191"/>
      <c r="G1191"/>
      <c r="H1191"/>
      <c r="I1191"/>
      <c r="J1191"/>
      <c r="K1191"/>
    </row>
    <row r="1192" spans="1:11">
      <c r="A1192"/>
      <c r="B1192"/>
      <c r="C1192"/>
      <c r="D1192"/>
      <c r="E1192"/>
      <c r="F1192"/>
      <c r="G1192"/>
      <c r="H1192"/>
      <c r="I1192"/>
      <c r="J1192"/>
      <c r="K1192"/>
    </row>
    <row r="1193" spans="1:11">
      <c r="A1193"/>
      <c r="B1193"/>
      <c r="C1193"/>
      <c r="D1193"/>
      <c r="E1193"/>
      <c r="F1193"/>
      <c r="G1193"/>
      <c r="H1193"/>
      <c r="I1193"/>
      <c r="J1193"/>
      <c r="K1193"/>
    </row>
    <row r="1194" spans="1:11">
      <c r="A1194"/>
      <c r="B1194"/>
      <c r="C1194"/>
      <c r="D1194"/>
      <c r="E1194"/>
      <c r="F1194"/>
      <c r="G1194"/>
      <c r="H1194"/>
      <c r="I1194"/>
      <c r="J1194"/>
      <c r="K1194"/>
    </row>
    <row r="1195" spans="1:11">
      <c r="A1195"/>
      <c r="B1195"/>
      <c r="C1195"/>
      <c r="D1195"/>
      <c r="E1195"/>
      <c r="F1195"/>
      <c r="G1195"/>
      <c r="H1195"/>
      <c r="I1195"/>
      <c r="J1195"/>
      <c r="K1195"/>
    </row>
    <row r="1196" spans="1:11">
      <c r="A1196"/>
      <c r="B1196"/>
      <c r="C1196"/>
      <c r="D1196"/>
      <c r="E1196"/>
      <c r="F1196"/>
      <c r="G1196"/>
      <c r="H1196"/>
      <c r="I1196"/>
      <c r="J1196"/>
      <c r="K1196"/>
    </row>
    <row r="1197" spans="1:11">
      <c r="A1197"/>
      <c r="B1197"/>
      <c r="C1197"/>
      <c r="D1197"/>
      <c r="E1197"/>
      <c r="F1197"/>
      <c r="G1197"/>
      <c r="H1197"/>
      <c r="I1197"/>
      <c r="J1197"/>
      <c r="K1197"/>
    </row>
    <row r="1198" spans="1:11">
      <c r="A1198"/>
      <c r="B1198"/>
      <c r="C1198"/>
      <c r="D1198"/>
      <c r="E1198"/>
      <c r="F1198"/>
      <c r="G1198"/>
      <c r="H1198"/>
      <c r="I1198"/>
      <c r="J1198"/>
      <c r="K1198"/>
    </row>
    <row r="1199" spans="1:11">
      <c r="A1199"/>
      <c r="B1199"/>
      <c r="C1199"/>
      <c r="D1199"/>
      <c r="E1199"/>
      <c r="F1199"/>
      <c r="G1199"/>
      <c r="H1199"/>
      <c r="I1199"/>
      <c r="J1199"/>
      <c r="K1199"/>
    </row>
    <row r="1200" spans="1:11">
      <c r="A1200"/>
      <c r="B1200"/>
      <c r="C1200"/>
      <c r="D1200"/>
      <c r="E1200"/>
      <c r="F1200"/>
      <c r="G1200"/>
      <c r="H1200"/>
      <c r="I1200"/>
      <c r="J1200"/>
      <c r="K1200"/>
    </row>
    <row r="1201" spans="1:11">
      <c r="A1201"/>
      <c r="B1201"/>
      <c r="C1201"/>
      <c r="D1201"/>
      <c r="E1201"/>
      <c r="F1201"/>
      <c r="G1201"/>
      <c r="H1201"/>
      <c r="I1201"/>
      <c r="J1201"/>
      <c r="K1201"/>
    </row>
    <row r="1202" spans="1:11">
      <c r="A1202"/>
      <c r="B1202"/>
      <c r="C1202"/>
      <c r="D1202"/>
      <c r="E1202"/>
      <c r="F1202"/>
      <c r="G1202"/>
      <c r="H1202"/>
      <c r="I1202"/>
      <c r="J1202"/>
      <c r="K1202"/>
    </row>
    <row r="1203" spans="1:11">
      <c r="A1203"/>
      <c r="B1203"/>
      <c r="C1203"/>
      <c r="D1203"/>
      <c r="E1203"/>
      <c r="F1203"/>
      <c r="G1203"/>
      <c r="H1203"/>
      <c r="I1203"/>
      <c r="J1203"/>
      <c r="K1203"/>
    </row>
    <row r="1204" spans="1:11">
      <c r="A1204"/>
      <c r="B1204"/>
      <c r="C1204"/>
      <c r="D1204"/>
      <c r="E1204"/>
      <c r="F1204"/>
      <c r="G1204"/>
      <c r="H1204"/>
      <c r="I1204"/>
      <c r="J1204"/>
      <c r="K1204"/>
    </row>
    <row r="1205" spans="1:11">
      <c r="A1205"/>
      <c r="B1205"/>
      <c r="C1205"/>
      <c r="D1205"/>
      <c r="E1205"/>
      <c r="F1205"/>
      <c r="G1205"/>
      <c r="H1205"/>
      <c r="I1205"/>
      <c r="J1205"/>
      <c r="K1205"/>
    </row>
    <row r="1206" spans="1:11">
      <c r="A1206"/>
      <c r="B1206"/>
      <c r="C1206"/>
      <c r="D1206"/>
      <c r="E1206"/>
      <c r="F1206"/>
      <c r="G1206"/>
      <c r="H1206"/>
      <c r="I1206"/>
      <c r="J1206"/>
      <c r="K1206"/>
    </row>
    <row r="1207" spans="1:11">
      <c r="A1207"/>
      <c r="B1207"/>
      <c r="C1207"/>
      <c r="D1207"/>
      <c r="E1207"/>
      <c r="F1207"/>
      <c r="G1207"/>
      <c r="H1207"/>
      <c r="I1207"/>
      <c r="J1207"/>
      <c r="K1207"/>
    </row>
    <row r="1208" spans="1:11">
      <c r="A1208"/>
      <c r="B1208"/>
      <c r="C1208"/>
      <c r="D1208"/>
      <c r="E1208"/>
      <c r="F1208"/>
      <c r="G1208"/>
      <c r="H1208"/>
      <c r="I1208"/>
      <c r="J1208"/>
      <c r="K1208"/>
    </row>
    <row r="1209" spans="1:11">
      <c r="A1209"/>
      <c r="B1209"/>
      <c r="C1209"/>
      <c r="D1209"/>
      <c r="E1209"/>
      <c r="F1209"/>
      <c r="G1209"/>
      <c r="H1209"/>
      <c r="I1209"/>
      <c r="J1209"/>
      <c r="K1209"/>
    </row>
    <row r="1210" spans="1:11">
      <c r="A1210"/>
      <c r="B1210"/>
      <c r="C1210"/>
      <c r="D1210"/>
      <c r="E1210"/>
      <c r="F1210"/>
      <c r="G1210"/>
      <c r="H1210"/>
      <c r="I1210"/>
      <c r="J1210"/>
      <c r="K1210"/>
    </row>
    <row r="1211" spans="1:11">
      <c r="A1211"/>
      <c r="B1211"/>
      <c r="C1211"/>
      <c r="D1211"/>
      <c r="E1211"/>
      <c r="F1211"/>
      <c r="G1211"/>
      <c r="H1211"/>
      <c r="I1211"/>
      <c r="J1211"/>
      <c r="K1211"/>
    </row>
    <row r="1212" spans="1:11">
      <c r="A1212"/>
      <c r="B1212"/>
      <c r="C1212"/>
      <c r="D1212"/>
      <c r="E1212"/>
      <c r="F1212"/>
      <c r="G1212"/>
      <c r="H1212"/>
      <c r="I1212"/>
      <c r="J1212"/>
      <c r="K1212"/>
    </row>
    <row r="1213" spans="1:11">
      <c r="A1213"/>
      <c r="B1213"/>
      <c r="C1213"/>
      <c r="D1213"/>
      <c r="E1213"/>
      <c r="F1213"/>
      <c r="G1213"/>
      <c r="H1213"/>
      <c r="I1213"/>
      <c r="J1213"/>
      <c r="K1213"/>
    </row>
    <row r="1214" spans="1:11">
      <c r="A1214"/>
      <c r="B1214"/>
      <c r="C1214"/>
      <c r="D1214"/>
      <c r="E1214"/>
      <c r="F1214"/>
      <c r="G1214"/>
      <c r="H1214"/>
      <c r="I1214"/>
      <c r="J1214"/>
      <c r="K1214"/>
    </row>
    <row r="1215" spans="1:11">
      <c r="A1215"/>
      <c r="B1215"/>
      <c r="C1215"/>
      <c r="D1215"/>
      <c r="E1215"/>
      <c r="F1215"/>
      <c r="G1215"/>
      <c r="H1215"/>
      <c r="I1215"/>
      <c r="J1215"/>
      <c r="K1215"/>
    </row>
    <row r="1216" spans="1:11">
      <c r="A1216"/>
      <c r="B1216"/>
      <c r="C1216"/>
      <c r="D1216"/>
      <c r="E1216"/>
      <c r="F1216"/>
      <c r="G1216"/>
      <c r="H1216"/>
      <c r="I1216"/>
      <c r="J1216"/>
      <c r="K1216"/>
    </row>
    <row r="1217" spans="1:11">
      <c r="A1217"/>
      <c r="B1217"/>
      <c r="C1217"/>
      <c r="D1217"/>
      <c r="E1217"/>
      <c r="F1217"/>
      <c r="G1217"/>
      <c r="H1217"/>
      <c r="I1217"/>
      <c r="J1217"/>
      <c r="K1217"/>
    </row>
    <row r="1218" spans="1:11">
      <c r="A1218"/>
      <c r="B1218"/>
      <c r="C1218"/>
      <c r="D1218"/>
      <c r="E1218"/>
      <c r="F1218"/>
      <c r="G1218"/>
      <c r="H1218"/>
      <c r="I1218"/>
      <c r="J1218"/>
      <c r="K1218"/>
    </row>
    <row r="1219" spans="1:11">
      <c r="A1219"/>
      <c r="B1219"/>
      <c r="C1219"/>
      <c r="D1219"/>
      <c r="E1219"/>
      <c r="F1219"/>
      <c r="G1219"/>
      <c r="H1219"/>
      <c r="I1219"/>
      <c r="J1219"/>
      <c r="K1219"/>
    </row>
    <row r="1220" spans="1:11">
      <c r="A1220"/>
      <c r="B1220"/>
      <c r="C1220"/>
      <c r="D1220"/>
      <c r="E1220"/>
      <c r="F1220"/>
      <c r="G1220"/>
      <c r="H1220"/>
      <c r="I1220"/>
      <c r="J1220"/>
      <c r="K1220"/>
    </row>
    <row r="1221" spans="1:11">
      <c r="A1221"/>
      <c r="B1221"/>
      <c r="C1221"/>
      <c r="D1221"/>
      <c r="E1221"/>
      <c r="F1221"/>
      <c r="G1221"/>
      <c r="H1221"/>
      <c r="I1221"/>
      <c r="J1221"/>
      <c r="K1221"/>
    </row>
    <row r="1222" spans="1:11">
      <c r="A1222"/>
      <c r="B1222"/>
      <c r="C1222"/>
      <c r="D1222"/>
      <c r="E1222"/>
      <c r="F1222"/>
      <c r="G1222"/>
      <c r="H1222"/>
      <c r="I1222"/>
      <c r="J1222"/>
      <c r="K1222"/>
    </row>
    <row r="1223" spans="1:11">
      <c r="A1223"/>
      <c r="B1223"/>
      <c r="C1223"/>
      <c r="D1223"/>
      <c r="E1223"/>
      <c r="F1223"/>
      <c r="G1223"/>
      <c r="H1223"/>
      <c r="I1223"/>
      <c r="J1223"/>
      <c r="K1223"/>
    </row>
    <row r="1224" spans="1:11">
      <c r="A1224"/>
      <c r="B1224"/>
      <c r="C1224"/>
      <c r="D1224"/>
      <c r="E1224"/>
      <c r="F1224"/>
      <c r="G1224"/>
      <c r="H1224"/>
      <c r="I1224"/>
      <c r="J1224"/>
      <c r="K1224"/>
    </row>
    <row r="1225" spans="1:11">
      <c r="A1225"/>
      <c r="B1225"/>
      <c r="C1225"/>
      <c r="D1225"/>
      <c r="E1225"/>
      <c r="F1225"/>
      <c r="G1225"/>
      <c r="H1225"/>
      <c r="I1225"/>
      <c r="J1225"/>
      <c r="K1225"/>
    </row>
    <row r="1226" spans="1:11">
      <c r="A1226"/>
      <c r="B1226"/>
      <c r="C1226"/>
      <c r="D1226"/>
      <c r="E1226"/>
      <c r="F1226"/>
      <c r="G1226"/>
      <c r="H1226"/>
      <c r="I1226"/>
      <c r="J1226"/>
      <c r="K1226"/>
    </row>
    <row r="1227" spans="1:11">
      <c r="A1227"/>
      <c r="B1227"/>
      <c r="C1227"/>
      <c r="D1227"/>
      <c r="E1227"/>
      <c r="F1227"/>
      <c r="G1227"/>
      <c r="H1227"/>
      <c r="I1227"/>
      <c r="J1227"/>
      <c r="K1227"/>
    </row>
    <row r="1228" spans="1:11">
      <c r="A1228"/>
      <c r="B1228"/>
      <c r="C1228"/>
      <c r="D1228"/>
      <c r="E1228"/>
      <c r="F1228"/>
      <c r="G1228"/>
      <c r="H1228"/>
      <c r="I1228"/>
      <c r="J1228"/>
      <c r="K1228"/>
    </row>
    <row r="1229" spans="1:11">
      <c r="A1229"/>
      <c r="B1229"/>
      <c r="C1229"/>
      <c r="D1229"/>
      <c r="E1229"/>
      <c r="F1229"/>
      <c r="G1229"/>
      <c r="H1229"/>
      <c r="I1229"/>
      <c r="J1229"/>
      <c r="K1229"/>
    </row>
    <row r="1230" spans="1:11">
      <c r="A1230"/>
      <c r="B1230"/>
      <c r="C1230"/>
      <c r="D1230"/>
      <c r="E1230"/>
      <c r="F1230"/>
      <c r="G1230"/>
      <c r="H1230"/>
      <c r="I1230"/>
      <c r="J1230"/>
      <c r="K1230"/>
    </row>
    <row r="1231" spans="1:11">
      <c r="A1231"/>
      <c r="B1231"/>
      <c r="C1231"/>
      <c r="D1231"/>
      <c r="E1231"/>
      <c r="F1231"/>
      <c r="G1231"/>
      <c r="H1231"/>
      <c r="I1231"/>
      <c r="J1231"/>
      <c r="K1231"/>
    </row>
    <row r="1232" spans="1:11">
      <c r="A1232"/>
      <c r="B1232"/>
      <c r="C1232"/>
      <c r="D1232"/>
      <c r="E1232"/>
      <c r="F1232"/>
      <c r="G1232"/>
      <c r="H1232"/>
      <c r="I1232"/>
      <c r="J1232"/>
      <c r="K1232"/>
    </row>
    <row r="1233" spans="1:11">
      <c r="A1233"/>
      <c r="B1233"/>
      <c r="C1233"/>
      <c r="D1233"/>
      <c r="E1233"/>
      <c r="F1233"/>
      <c r="G1233"/>
      <c r="H1233"/>
      <c r="I1233"/>
      <c r="J1233"/>
      <c r="K1233"/>
    </row>
    <row r="1234" spans="1:11">
      <c r="A1234"/>
      <c r="B1234"/>
      <c r="C1234"/>
      <c r="D1234"/>
      <c r="E1234"/>
      <c r="F1234"/>
      <c r="G1234"/>
      <c r="H1234"/>
      <c r="I1234"/>
      <c r="J1234"/>
      <c r="K1234"/>
    </row>
    <row r="1235" spans="1:11">
      <c r="A1235"/>
      <c r="B1235"/>
      <c r="C1235"/>
      <c r="D1235"/>
      <c r="E1235"/>
      <c r="F1235"/>
      <c r="G1235"/>
      <c r="H1235"/>
      <c r="I1235"/>
      <c r="J1235"/>
      <c r="K1235"/>
    </row>
    <row r="1236" spans="1:11">
      <c r="A1236"/>
      <c r="B1236"/>
      <c r="C1236"/>
      <c r="D1236"/>
      <c r="E1236"/>
      <c r="F1236"/>
      <c r="G1236"/>
      <c r="H1236"/>
      <c r="I1236"/>
      <c r="J1236"/>
      <c r="K1236"/>
    </row>
    <row r="1237" spans="1:11">
      <c r="A1237"/>
      <c r="B1237"/>
      <c r="C1237"/>
      <c r="D1237"/>
      <c r="E1237"/>
      <c r="F1237"/>
      <c r="G1237"/>
      <c r="H1237"/>
      <c r="I1237"/>
      <c r="J1237"/>
      <c r="K1237"/>
    </row>
    <row r="1238" spans="1:11">
      <c r="A1238"/>
      <c r="B1238"/>
      <c r="C1238"/>
      <c r="D1238"/>
      <c r="E1238"/>
      <c r="F1238"/>
      <c r="G1238"/>
      <c r="H1238"/>
      <c r="I1238"/>
      <c r="J1238"/>
      <c r="K1238"/>
    </row>
    <row r="1239" spans="1:11">
      <c r="A1239"/>
      <c r="B1239"/>
      <c r="C1239"/>
      <c r="D1239"/>
      <c r="E1239"/>
      <c r="F1239"/>
      <c r="G1239"/>
      <c r="H1239"/>
      <c r="I1239"/>
      <c r="J1239"/>
      <c r="K1239"/>
    </row>
    <row r="1240" spans="1:11">
      <c r="A1240"/>
      <c r="B1240"/>
      <c r="C1240"/>
      <c r="D1240"/>
      <c r="E1240"/>
      <c r="F1240"/>
      <c r="G1240"/>
      <c r="H1240"/>
      <c r="I1240"/>
      <c r="J1240"/>
      <c r="K1240"/>
    </row>
    <row r="1241" spans="1:11">
      <c r="A1241"/>
      <c r="B1241"/>
      <c r="C1241"/>
      <c r="D1241"/>
      <c r="E1241"/>
      <c r="F1241"/>
      <c r="G1241"/>
      <c r="H1241"/>
      <c r="I1241"/>
      <c r="J1241"/>
      <c r="K1241"/>
    </row>
    <row r="1242" spans="1:11">
      <c r="A1242"/>
      <c r="B1242"/>
      <c r="C1242"/>
      <c r="D1242"/>
      <c r="E1242"/>
      <c r="F1242"/>
      <c r="G1242"/>
      <c r="H1242"/>
      <c r="I1242"/>
      <c r="J1242"/>
      <c r="K1242"/>
    </row>
    <row r="1243" spans="1:11">
      <c r="A1243"/>
      <c r="B1243"/>
      <c r="C1243"/>
      <c r="D1243"/>
      <c r="E1243"/>
      <c r="F1243"/>
      <c r="G1243"/>
      <c r="H1243"/>
      <c r="I1243"/>
      <c r="J1243"/>
      <c r="K1243"/>
    </row>
    <row r="1244" spans="1:11">
      <c r="A1244"/>
      <c r="B1244"/>
      <c r="C1244"/>
      <c r="D1244"/>
      <c r="E1244"/>
      <c r="F1244"/>
      <c r="G1244"/>
      <c r="H1244"/>
      <c r="I1244"/>
      <c r="J1244"/>
      <c r="K1244"/>
    </row>
    <row r="1245" spans="1:11">
      <c r="A1245"/>
      <c r="B1245"/>
      <c r="C1245"/>
      <c r="D1245"/>
      <c r="E1245"/>
      <c r="F1245"/>
      <c r="G1245"/>
      <c r="H1245"/>
      <c r="I1245"/>
      <c r="J1245"/>
      <c r="K1245"/>
    </row>
    <row r="1246" spans="1:11">
      <c r="A1246"/>
      <c r="B1246"/>
      <c r="C1246"/>
      <c r="D1246"/>
      <c r="E1246"/>
      <c r="F1246"/>
      <c r="G1246"/>
      <c r="H1246"/>
      <c r="I1246"/>
      <c r="J1246"/>
      <c r="K1246"/>
    </row>
    <row r="1247" spans="1:11">
      <c r="A1247"/>
      <c r="B1247"/>
      <c r="C1247"/>
      <c r="D1247"/>
      <c r="E1247"/>
      <c r="F1247"/>
      <c r="G1247"/>
      <c r="H1247"/>
      <c r="I1247"/>
      <c r="J1247"/>
      <c r="K1247"/>
    </row>
    <row r="1248" spans="1:11">
      <c r="A1248"/>
      <c r="B1248"/>
      <c r="C1248"/>
      <c r="D1248"/>
      <c r="E1248"/>
      <c r="F1248"/>
      <c r="G1248"/>
      <c r="H1248"/>
      <c r="I1248"/>
      <c r="J1248"/>
      <c r="K1248"/>
    </row>
    <row r="1249" spans="1:11">
      <c r="A1249"/>
      <c r="B1249"/>
      <c r="C1249"/>
      <c r="D1249"/>
      <c r="E1249"/>
      <c r="F1249"/>
      <c r="G1249"/>
      <c r="H1249"/>
      <c r="I1249"/>
      <c r="J1249"/>
      <c r="K1249"/>
    </row>
    <row r="1250" spans="1:11">
      <c r="A1250"/>
      <c r="B1250"/>
      <c r="C1250"/>
      <c r="D1250"/>
      <c r="E1250"/>
      <c r="F1250"/>
      <c r="G1250"/>
      <c r="H1250"/>
      <c r="I1250"/>
      <c r="J1250"/>
      <c r="K1250"/>
    </row>
    <row r="1251" spans="1:11">
      <c r="A1251"/>
      <c r="B1251"/>
      <c r="C1251"/>
      <c r="D1251"/>
      <c r="E1251"/>
      <c r="F1251"/>
      <c r="G1251"/>
      <c r="H1251"/>
      <c r="I1251"/>
      <c r="J1251"/>
      <c r="K1251"/>
    </row>
    <row r="1252" spans="1:11">
      <c r="A1252"/>
      <c r="B1252"/>
      <c r="C1252"/>
      <c r="D1252"/>
      <c r="E1252"/>
      <c r="F1252"/>
      <c r="G1252"/>
      <c r="H1252"/>
      <c r="I1252"/>
      <c r="J1252"/>
      <c r="K1252"/>
    </row>
    <row r="1253" spans="1:11">
      <c r="A1253"/>
      <c r="B1253"/>
      <c r="C1253"/>
      <c r="D1253"/>
      <c r="E1253"/>
      <c r="F1253"/>
      <c r="G1253"/>
      <c r="H1253"/>
      <c r="I1253"/>
      <c r="J1253"/>
      <c r="K1253"/>
    </row>
    <row r="1254" spans="1:11">
      <c r="A1254"/>
      <c r="B1254"/>
      <c r="C1254"/>
      <c r="D1254"/>
      <c r="E1254"/>
      <c r="F1254"/>
      <c r="G1254"/>
      <c r="H1254"/>
      <c r="I1254"/>
      <c r="J1254"/>
      <c r="K1254"/>
    </row>
    <row r="1255" spans="1:11">
      <c r="A1255"/>
      <c r="B1255"/>
      <c r="C1255"/>
      <c r="D1255"/>
      <c r="E1255"/>
      <c r="F1255"/>
      <c r="G1255"/>
      <c r="H1255"/>
      <c r="I1255"/>
      <c r="J1255"/>
      <c r="K1255"/>
    </row>
    <row r="1256" spans="1:11">
      <c r="A1256"/>
      <c r="B1256"/>
      <c r="C1256"/>
      <c r="D1256"/>
      <c r="E1256"/>
      <c r="F1256"/>
      <c r="G1256"/>
      <c r="H1256"/>
      <c r="I1256"/>
      <c r="J1256"/>
      <c r="K1256"/>
    </row>
    <row r="1257" spans="1:11">
      <c r="A1257"/>
      <c r="B1257"/>
      <c r="C1257"/>
      <c r="D1257"/>
      <c r="E1257"/>
      <c r="F1257"/>
      <c r="G1257"/>
      <c r="H1257"/>
      <c r="I1257"/>
      <c r="J1257"/>
      <c r="K1257"/>
    </row>
    <row r="1258" spans="1:11">
      <c r="A1258"/>
      <c r="B1258"/>
      <c r="C1258"/>
      <c r="D1258"/>
      <c r="E1258"/>
      <c r="F1258"/>
      <c r="G1258"/>
      <c r="H1258"/>
      <c r="I1258"/>
      <c r="J1258"/>
      <c r="K1258"/>
    </row>
    <row r="1259" spans="1:11">
      <c r="A1259"/>
      <c r="B1259"/>
      <c r="C1259"/>
      <c r="D1259"/>
      <c r="E1259"/>
      <c r="F1259"/>
      <c r="G1259"/>
      <c r="H1259"/>
      <c r="I1259"/>
      <c r="J1259"/>
      <c r="K1259"/>
    </row>
    <row r="1260" spans="1:11">
      <c r="A1260"/>
      <c r="B1260"/>
      <c r="C1260"/>
      <c r="D1260"/>
      <c r="E1260"/>
      <c r="F1260"/>
      <c r="G1260"/>
      <c r="H1260"/>
      <c r="I1260"/>
      <c r="J1260"/>
      <c r="K1260"/>
    </row>
    <row r="1261" spans="1:11">
      <c r="A1261"/>
      <c r="B1261"/>
      <c r="C1261"/>
      <c r="D1261"/>
      <c r="E1261"/>
      <c r="F1261"/>
      <c r="G1261"/>
      <c r="H1261"/>
      <c r="I1261"/>
      <c r="J1261"/>
      <c r="K1261"/>
    </row>
    <row r="1262" spans="1:11">
      <c r="A1262"/>
      <c r="B1262"/>
      <c r="C1262"/>
      <c r="D1262"/>
      <c r="E1262"/>
      <c r="F1262"/>
      <c r="G1262"/>
      <c r="H1262"/>
      <c r="I1262"/>
      <c r="J1262"/>
      <c r="K1262"/>
    </row>
    <row r="1263" spans="1:11">
      <c r="A1263"/>
      <c r="B1263"/>
      <c r="C1263"/>
      <c r="D1263"/>
      <c r="E1263"/>
      <c r="F1263"/>
      <c r="G1263"/>
      <c r="H1263"/>
      <c r="I1263"/>
      <c r="J1263"/>
      <c r="K1263"/>
    </row>
    <row r="1264" spans="1:11">
      <c r="A1264"/>
      <c r="B1264"/>
      <c r="C1264"/>
      <c r="D1264"/>
      <c r="E1264"/>
      <c r="F1264"/>
      <c r="G1264"/>
      <c r="H1264"/>
      <c r="I1264"/>
      <c r="J1264"/>
      <c r="K1264"/>
    </row>
    <row r="1265" spans="1:11">
      <c r="A1265"/>
      <c r="B1265"/>
      <c r="C1265"/>
      <c r="D1265"/>
      <c r="E1265"/>
      <c r="F1265"/>
      <c r="G1265"/>
      <c r="H1265"/>
      <c r="I1265"/>
      <c r="J1265"/>
      <c r="K1265"/>
    </row>
    <row r="1266" spans="1:11">
      <c r="A1266"/>
      <c r="B1266"/>
      <c r="C1266"/>
      <c r="D1266"/>
      <c r="E1266"/>
      <c r="F1266"/>
      <c r="G1266"/>
      <c r="H1266"/>
      <c r="I1266"/>
      <c r="J1266"/>
      <c r="K1266"/>
    </row>
    <row r="1267" spans="1:11">
      <c r="A1267"/>
      <c r="B1267"/>
      <c r="C1267"/>
      <c r="D1267"/>
      <c r="E1267"/>
      <c r="F1267"/>
      <c r="G1267"/>
      <c r="H1267"/>
      <c r="I1267"/>
      <c r="J1267"/>
      <c r="K1267"/>
    </row>
    <row r="1268" spans="1:11">
      <c r="A1268"/>
      <c r="B1268"/>
      <c r="C1268"/>
      <c r="D1268"/>
      <c r="E1268"/>
      <c r="F1268"/>
      <c r="G1268"/>
      <c r="H1268"/>
      <c r="I1268"/>
      <c r="J1268"/>
      <c r="K1268"/>
    </row>
    <row r="1269" spans="1:11">
      <c r="A1269"/>
      <c r="B1269"/>
      <c r="C1269"/>
      <c r="D1269"/>
      <c r="E1269"/>
      <c r="F1269"/>
      <c r="G1269"/>
      <c r="H1269"/>
      <c r="I1269"/>
      <c r="J1269"/>
      <c r="K1269"/>
    </row>
    <row r="1270" spans="1:11">
      <c r="A1270"/>
      <c r="B1270"/>
      <c r="C1270"/>
      <c r="D1270"/>
      <c r="E1270"/>
      <c r="F1270"/>
      <c r="G1270"/>
      <c r="H1270"/>
      <c r="I1270"/>
      <c r="J1270"/>
      <c r="K1270"/>
    </row>
    <row r="1271" spans="1:11">
      <c r="A1271"/>
      <c r="B1271"/>
      <c r="C1271"/>
      <c r="D1271"/>
      <c r="E1271"/>
      <c r="F1271"/>
      <c r="G1271"/>
      <c r="H1271"/>
      <c r="I1271"/>
      <c r="J1271"/>
      <c r="K1271"/>
    </row>
  </sheetData>
  <sheetProtection selectLockedCells="1" autoFilter="0" pivotTables="0"/>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E6C6C-92A3-4629-97E9-9777AFE6164A}">
  <sheetPr codeName="Hoja6"/>
  <dimension ref="A1:AZ116"/>
  <sheetViews>
    <sheetView showGridLines="0" zoomScaleNormal="100" workbookViewId="0">
      <selection activeCell="G25" sqref="G25"/>
    </sheetView>
  </sheetViews>
  <sheetFormatPr baseColWidth="10" defaultColWidth="11.5546875" defaultRowHeight="11.4"/>
  <cols>
    <col min="1" max="1" width="0.5546875" style="33" customWidth="1"/>
    <col min="2" max="2" width="2.6640625" style="31" customWidth="1"/>
    <col min="3" max="3" width="43.88671875" style="43" customWidth="1"/>
    <col min="4" max="4" width="11" style="31" bestFit="1" customWidth="1"/>
    <col min="5" max="5" width="9.77734375" style="31" customWidth="1"/>
    <col min="6" max="6" width="8.109375" style="31" customWidth="1"/>
    <col min="7" max="7" width="9.21875" style="31" customWidth="1"/>
    <col min="8" max="8" width="0.88671875" style="31" customWidth="1"/>
    <col min="9" max="9" width="9.6640625" style="31" customWidth="1"/>
    <col min="10" max="10" width="3.5546875" style="31" customWidth="1"/>
    <col min="11" max="11" width="11.5546875" style="43"/>
    <col min="12" max="12" width="35.44140625" style="7" bestFit="1" customWidth="1"/>
    <col min="13" max="13" width="8.88671875" style="43" customWidth="1"/>
    <col min="14" max="14" width="11.5546875" style="43"/>
    <col min="15" max="15" width="10" style="43" customWidth="1"/>
    <col min="16" max="16" width="8.109375" style="43" customWidth="1"/>
    <col min="17" max="17" width="9.6640625" style="43" customWidth="1"/>
    <col min="18" max="18" width="0.88671875" style="43" customWidth="1"/>
    <col min="19" max="19" width="10.21875" style="43" customWidth="1"/>
    <col min="20" max="20" width="11.5546875" style="31"/>
    <col min="21" max="21" width="31.44140625" style="31" customWidth="1"/>
    <col min="22" max="22" width="29" style="31" customWidth="1"/>
    <col min="23" max="23" width="11" style="31" customWidth="1"/>
    <col min="24" max="24" width="10.44140625" style="31" customWidth="1"/>
    <col min="25" max="25" width="8.5546875" style="31" customWidth="1"/>
    <col min="26" max="26" width="9.44140625" style="31" customWidth="1"/>
    <col min="27" max="16384" width="11.5546875" style="31"/>
  </cols>
  <sheetData>
    <row r="1" spans="3:26" s="33" customFormat="1" ht="3.6" customHeight="1">
      <c r="C1" s="42"/>
      <c r="K1" s="42"/>
      <c r="L1" s="46"/>
      <c r="M1" s="42"/>
      <c r="N1" s="42"/>
      <c r="O1" s="42"/>
      <c r="P1" s="42"/>
      <c r="Q1" s="42"/>
      <c r="R1" s="42"/>
      <c r="S1" s="42"/>
    </row>
    <row r="2" spans="3:26" ht="12" customHeight="1"/>
    <row r="3" spans="3:26" ht="12" customHeight="1">
      <c r="C3" s="67" t="s">
        <v>592</v>
      </c>
      <c r="K3" s="67" t="s">
        <v>608</v>
      </c>
    </row>
    <row r="5" spans="3:26" ht="24">
      <c r="C5" s="34" t="s">
        <v>572</v>
      </c>
      <c r="D5" s="61" t="s">
        <v>573</v>
      </c>
      <c r="E5" s="61" t="s">
        <v>574</v>
      </c>
      <c r="F5" s="62" t="s">
        <v>575</v>
      </c>
      <c r="G5" s="63" t="s">
        <v>576</v>
      </c>
      <c r="H5" s="35"/>
      <c r="I5" s="63" t="s">
        <v>587</v>
      </c>
      <c r="K5" s="32" t="s">
        <v>604</v>
      </c>
      <c r="L5" s="32" t="s">
        <v>605</v>
      </c>
      <c r="M5" s="32" t="s">
        <v>606</v>
      </c>
      <c r="N5" s="61" t="s">
        <v>573</v>
      </c>
      <c r="O5" s="61" t="s">
        <v>574</v>
      </c>
      <c r="P5" s="63" t="s">
        <v>575</v>
      </c>
      <c r="Q5" s="63" t="s">
        <v>576</v>
      </c>
      <c r="R5" s="35"/>
      <c r="S5" s="63" t="s">
        <v>587</v>
      </c>
      <c r="U5" s="34" t="s">
        <v>1</v>
      </c>
      <c r="V5" s="34" t="s">
        <v>572</v>
      </c>
      <c r="W5" s="61" t="s">
        <v>573</v>
      </c>
      <c r="X5" s="61" t="s">
        <v>574</v>
      </c>
      <c r="Y5" s="62" t="s">
        <v>575</v>
      </c>
      <c r="Z5" s="63" t="s">
        <v>576</v>
      </c>
    </row>
    <row r="6" spans="3:26" ht="45.6">
      <c r="C6" s="36" t="s">
        <v>589</v>
      </c>
      <c r="D6" s="37">
        <f>GETPIVOTDATA("Suma de No. Planes de Acción",Calculos!$A$72,"Responsable","SUB GERENCIA CORPORATIVA")</f>
        <v>9</v>
      </c>
      <c r="E6" s="37">
        <f>GETPIVOTDATA("Suma de Abiertos",Calculos!$A$72,"Responsable","SUB GERENCIA CORPORATIVA")</f>
        <v>3</v>
      </c>
      <c r="F6" s="38">
        <f>GETPIVOTDATA("Suma de Vencidos",Calculos!$A$72,"Responsable","SUB GERENCIA CORPORATIVA")</f>
        <v>3</v>
      </c>
      <c r="G6" s="39">
        <f>GETPIVOTDATA("Suma de Finalizados",Calculos!$A$72,"Responsable","SUB GERENCIA CORPORATIVA")</f>
        <v>3</v>
      </c>
      <c r="H6" s="40"/>
      <c r="I6" s="39">
        <f>GETPIVOTDATA("Suma de Sin plan de acción",Calculos!$A$72,"Responsable","SUB GERENCIA CORPORATIVA")</f>
        <v>0</v>
      </c>
      <c r="K6" s="39">
        <v>2023</v>
      </c>
      <c r="L6" s="47" t="s">
        <v>14</v>
      </c>
      <c r="M6" s="39">
        <f>GETPIVOTDATA("Suma de No. Hallazgos",Calculos!$A$50,"Auditoría","Proyecto ZPP (20240310026682)")</f>
        <v>25</v>
      </c>
      <c r="N6" s="39">
        <f>GETPIVOTDATA("Suma de No. Planes de Acción",Calculos!$A$50,"Auditoría","Proyecto ZPP (20240310026682)")</f>
        <v>26</v>
      </c>
      <c r="O6" s="39">
        <f>GETPIVOTDATA("Suma de Abiertos",Calculos!$A$50,"Auditoría","Proyecto ZPP (20240310026682)")</f>
        <v>0</v>
      </c>
      <c r="P6" s="39">
        <f>GETPIVOTDATA("Suma de Vencidos",Calculos!$A$50,"Auditoría","Proyecto ZPP (20240310026682)")</f>
        <v>1</v>
      </c>
      <c r="Q6" s="39">
        <f>GETPIVOTDATA("Suma de Finalizados",Calculos!$A$50,"Auditoría","Proyecto ZPP (20240310026682)")</f>
        <v>25</v>
      </c>
      <c r="R6" s="40"/>
      <c r="S6" s="39">
        <f>GETPIVOTDATA("Suma de Sin plan de acción",Calculos!$A$50,"Auditoría","Proyecto ZPP (20240310026682)")</f>
        <v>0</v>
      </c>
      <c r="U6" s="47" t="s">
        <v>471</v>
      </c>
      <c r="V6" s="36" t="s">
        <v>589</v>
      </c>
      <c r="W6" s="37">
        <f>GETPIVOTDATA("Suma de No. Planes de Acción",Calculos!$A$72,"Responsable","SUB GERENCIA CORPORATIVA")</f>
        <v>9</v>
      </c>
      <c r="X6" s="37">
        <f>GETPIVOTDATA("Suma de Abiertos",Calculos!$A$72,"Responsable","SUB GERENCIA CORPORATIVA")</f>
        <v>3</v>
      </c>
      <c r="Y6" s="39">
        <f>GETPIVOTDATA("Suma de Vencidos",Calculos!$A$72,"Responsable","SUB GERENCIA CORPORATIVA")</f>
        <v>3</v>
      </c>
      <c r="Z6" s="39">
        <f>GETPIVOTDATA("Suma de Finalizados",Calculos!$A$72,"Responsable","SUB GERENCIA CORPORATIVA")</f>
        <v>3</v>
      </c>
    </row>
    <row r="7" spans="3:26" ht="34.200000000000003">
      <c r="C7" s="36" t="s">
        <v>584</v>
      </c>
      <c r="D7" s="37">
        <f>GETPIVOTDATA("Suma de No. Planes de Acción",Calculos!$A$72,"Responsable","SUB GERENCIA DE PLANEACIÓN Y PROYECTOS")</f>
        <v>11</v>
      </c>
      <c r="E7" s="37">
        <f>GETPIVOTDATA("Suma de Abiertos",Calculos!$A$72,"Responsable","SUB GERENCIA DE PLANEACIÓN Y PROYECTOS")</f>
        <v>0</v>
      </c>
      <c r="F7" s="38">
        <f>GETPIVOTDATA("Suma de Vencidos",Calculos!$A$72,"Responsable","SUB GERENCIA DE PLANEACIÓN Y PROYECTOS")</f>
        <v>6</v>
      </c>
      <c r="G7" s="39">
        <f>GETPIVOTDATA("Suma de Finalizados",Calculos!$A$72,"Responsable","SUB GERENCIA DE PLANEACIÓN Y PROYECTOS")</f>
        <v>5</v>
      </c>
      <c r="H7" s="40"/>
      <c r="I7" s="39">
        <f>GETPIVOTDATA("Suma de Sin plan de acción",Calculos!$A$72,"Responsable","SUB GERENCIA DE PLANEACIÓN Y PROYECTOS")</f>
        <v>0</v>
      </c>
      <c r="K7" s="39">
        <v>2024</v>
      </c>
      <c r="L7" s="47" t="s">
        <v>157</v>
      </c>
      <c r="M7" s="39">
        <f>GETPIVOTDATA("Suma de No. Hallazgos",Calculos!$A$50,"Auditoría","Auditoría Contratación (20250110007093)")</f>
        <v>5</v>
      </c>
      <c r="N7" s="39">
        <f>GETPIVOTDATA("Suma de No. Planes de Acción",Calculos!$A$50,"Auditoría","Auditoría Contratación (20250110007093)")</f>
        <v>6</v>
      </c>
      <c r="O7" s="39">
        <f>GETPIVOTDATA("Suma de Abiertos",Calculos!$A$50,"Auditoría","Auditoría Contratación (20250110007093)")</f>
        <v>0</v>
      </c>
      <c r="P7" s="39">
        <f>GETPIVOTDATA("Suma de Vencidos",Calculos!$A$50,"Auditoría","Auditoría Contratación (20250110007093)")</f>
        <v>0</v>
      </c>
      <c r="Q7" s="39">
        <f>GETPIVOTDATA("Suma de Finalizados",Calculos!$A$50,"Auditoría","Auditoría Contratación (20250110007093)")</f>
        <v>6</v>
      </c>
      <c r="R7" s="40"/>
      <c r="S7" s="39">
        <f>GETPIVOTDATA("Suma de Sin plan de acción",Calculos!$A$50,"Auditoría","Auditoría Contratación (20250110007093)")</f>
        <v>0</v>
      </c>
      <c r="U7" s="47" t="s">
        <v>306</v>
      </c>
      <c r="V7" s="44" t="s">
        <v>583</v>
      </c>
      <c r="W7" s="39">
        <f>GETPIVOTDATA("Suma de No. Planes de Acción",Calculos!$A$72,"Responsable","OFICINA DE COMUNICACIONES")</f>
        <v>4</v>
      </c>
      <c r="X7" s="39">
        <f>GETPIVOTDATA("Suma de Abiertos",Calculos!$A$72,"Responsable","OFICINA DE COMUNICACIONES")</f>
        <v>0</v>
      </c>
      <c r="Y7" s="39">
        <f>GETPIVOTDATA("Suma de Vencidos",Calculos!$A$72,"Responsable","OFICINA DE COMUNICACIONES")</f>
        <v>2</v>
      </c>
      <c r="Z7" s="39">
        <f>GETPIVOTDATA("Suma de Finalizados",Calculos!$A$72,"Responsable","OFICINA DE COMUNICACIONES")</f>
        <v>2</v>
      </c>
    </row>
    <row r="8" spans="3:26" ht="34.200000000000003">
      <c r="C8" s="36" t="s">
        <v>590</v>
      </c>
      <c r="D8" s="37">
        <f>GETPIVOTDATA("Suma de No. Planes de Acción",Calculos!$A$72,"Responsable","SUB GERENCIA DE SERVICIOS OPERACIONALES E INFRAESTRUCTURA")</f>
        <v>36</v>
      </c>
      <c r="E8" s="37">
        <f>GETPIVOTDATA("Suma de Abiertos",Calculos!$A$72,"Responsable","SUB GERENCIA DE SERVICIOS OPERACIONALES E INFRAESTRUCTURA")</f>
        <v>1</v>
      </c>
      <c r="F8" s="38">
        <f>GETPIVOTDATA("Suma de Vencidos",Calculos!$A$72,"Responsable","SUB GERENCIA DE SERVICIOS OPERACIONALES E INFRAESTRUCTURA")</f>
        <v>2</v>
      </c>
      <c r="G8" s="39">
        <f>GETPIVOTDATA("Suma de Finalizados",Calculos!$A$72,"Responsable","SUB GERENCIA DE SERVICIOS OPERACIONALES E INFRAESTRUCTURA")</f>
        <v>33</v>
      </c>
      <c r="H8" s="40"/>
      <c r="I8" s="39">
        <f>GETPIVOTDATA("Suma de Sin plan de acción",Calculos!$A$72,"Responsable","SUB GERENCIA DE SERVICIOS OPERACIONALES E INFRAESTRUCTURA")</f>
        <v>0</v>
      </c>
      <c r="K8" s="39">
        <v>2024</v>
      </c>
      <c r="L8" s="47" t="s">
        <v>142</v>
      </c>
      <c r="M8" s="39">
        <f>GETPIVOTDATA("Suma de No. Hallazgos",Calculos!$A$50,"Auditoría","Auditoría Gestión Financiera (20240110040203)")</f>
        <v>4</v>
      </c>
      <c r="N8" s="39">
        <f>GETPIVOTDATA("Suma de No. Planes de Acción",Calculos!$A$50,"Auditoría","Auditoría Gestión Financiera (20240110040203)")</f>
        <v>6</v>
      </c>
      <c r="O8" s="39">
        <f>GETPIVOTDATA("Suma de Abiertos",Calculos!$A$50,"Auditoría","Auditoría Gestión Financiera (20240110040203)")</f>
        <v>0</v>
      </c>
      <c r="P8" s="39">
        <f>GETPIVOTDATA("Suma de Vencidos",Calculos!$A$50,"Auditoría","Auditoría Gestión Financiera (20240110040203)")</f>
        <v>0</v>
      </c>
      <c r="Q8" s="39">
        <f>GETPIVOTDATA("Suma de Finalizados",Calculos!$A$50,"Auditoría","Auditoría Gestión Financiera (20240110040203)")</f>
        <v>6</v>
      </c>
      <c r="R8" s="40"/>
      <c r="S8" s="39">
        <f>GETPIVOTDATA("Suma de Sin plan de acción",Calculos!$A$50,"Auditoría","Auditoría Gestión Financiera (20240110040203)")</f>
        <v>0</v>
      </c>
      <c r="U8" s="45" t="s">
        <v>913</v>
      </c>
      <c r="V8" s="45" t="s">
        <v>595</v>
      </c>
      <c r="W8" s="39">
        <f>GETPIVOTDATA("Suma de No. Planes de Acción",Calculos!$A$72,"Responsable","DIRECCIÓN DE SERVICIO AL CIUDADANO
SUB GERENCIA DE PLANEACIÓN Y PROYECTOS")</f>
        <v>2</v>
      </c>
      <c r="X8" s="39">
        <f>GETPIVOTDATA("Suma de Abiertos",Calculos!$A$72,"Responsable","DIRECCIÓN DE SERVICIO AL CIUDADANO
SUB GERENCIA DE PLANEACIÓN Y PROYECTOS")</f>
        <v>0</v>
      </c>
      <c r="Y8" s="39">
        <f>GETPIVOTDATA("Suma de Vencidos",Calculos!$A$72,"Responsable","DIRECCIÓN DE SERVICIO AL CIUDADANO
SUB GERENCIA DE PLANEACIÓN Y PROYECTOS")</f>
        <v>1</v>
      </c>
      <c r="Z8" s="39">
        <f>GETPIVOTDATA("Suma de Finalizados",Calculos!$A$72,"Responsable","DIRECCIÓN DE SERVICIO AL CIUDADANO
SUB GERENCIA DE PLANEACIÓN Y PROYECTOS")</f>
        <v>1</v>
      </c>
    </row>
    <row r="9" spans="3:26" ht="12">
      <c r="C9" s="36" t="s">
        <v>591</v>
      </c>
      <c r="D9" s="37">
        <f>GETPIVOTDATA("Suma de No. Planes de Acción",Calculos!$A$72,"Responsable","SUB GERENCIA JURÍDICA")</f>
        <v>6</v>
      </c>
      <c r="E9" s="37">
        <f>GETPIVOTDATA("Suma de Abiertos",Calculos!$A$72,"Responsable","SUB GERENCIA JURÍDICA")</f>
        <v>1</v>
      </c>
      <c r="F9" s="38">
        <f>GETPIVOTDATA("Suma de Vencidos",Calculos!$A$72,"Responsable","SUB GERENCIA JURÍDICA")</f>
        <v>1</v>
      </c>
      <c r="G9" s="39">
        <f>GETPIVOTDATA("Suma de Finalizados",Calculos!$A$72,"Responsable","SUB GERENCIA JURÍDICA")</f>
        <v>4</v>
      </c>
      <c r="H9" s="40"/>
      <c r="I9" s="39">
        <f>GETPIVOTDATA("Suma de Sin plan de acción",Calculos!$A$72,"Responsable","SUB GERENCIA JURÍDICA")</f>
        <v>1</v>
      </c>
      <c r="K9" s="39">
        <v>2024</v>
      </c>
      <c r="L9" s="47" t="s">
        <v>112</v>
      </c>
      <c r="M9" s="39">
        <f>GETPIVOTDATA("Suma de No. Hallazgos",Calculos!$A$50,"Auditoría","Auditoría Requerimientos (20250110002803)")</f>
        <v>7</v>
      </c>
      <c r="N9" s="39">
        <f>GETPIVOTDATA("Suma de No. Planes de Acción",Calculos!$A$50,"Auditoría","Auditoría Requerimientos (20250110002803)")</f>
        <v>8</v>
      </c>
      <c r="O9" s="39">
        <f>GETPIVOTDATA("Suma de Abiertos",Calculos!$A$50,"Auditoría","Auditoría Requerimientos (20250110002803)")</f>
        <v>0</v>
      </c>
      <c r="P9" s="39">
        <f>GETPIVOTDATA("Suma de Vencidos",Calculos!$A$50,"Auditoría","Auditoría Requerimientos (20250110002803)")</f>
        <v>1</v>
      </c>
      <c r="Q9" s="39">
        <f>GETPIVOTDATA("Suma de Finalizados",Calculos!$A$50,"Auditoría","Auditoría Requerimientos (20250110002803)")</f>
        <v>7</v>
      </c>
      <c r="R9" s="40"/>
      <c r="S9" s="39">
        <f>GETPIVOTDATA("Suma de Sin plan de acción",Calculos!$A$50,"Auditoría","Auditoría Requerimientos (20250110002803)")</f>
        <v>0</v>
      </c>
      <c r="U9" s="225" t="s">
        <v>585</v>
      </c>
      <c r="V9" s="225"/>
      <c r="W9" s="148">
        <f>SUM(W6:W8)</f>
        <v>15</v>
      </c>
      <c r="X9" s="148">
        <f>SUM(X6:X8)</f>
        <v>3</v>
      </c>
      <c r="Y9" s="148">
        <f>SUM(Y6:Y8)</f>
        <v>6</v>
      </c>
      <c r="Z9" s="148">
        <f>SUM(Z6:Z8)</f>
        <v>6</v>
      </c>
    </row>
    <row r="10" spans="3:26" ht="22.8">
      <c r="C10" s="44" t="s">
        <v>577</v>
      </c>
      <c r="D10" s="39">
        <f>GETPIVOTDATA("Suma de No. Planes de Acción",Calculos!$A$72,"Responsable","DIRECCIÓN DE GESTIÓN FINANCIERA")</f>
        <v>4</v>
      </c>
      <c r="E10" s="39">
        <f>GETPIVOTDATA("Suma de Abiertos",Calculos!$A$72,"Responsable","DIRECCIÓN DE GESTIÓN FINANCIERA")</f>
        <v>0</v>
      </c>
      <c r="F10" s="38">
        <f>GETPIVOTDATA("Suma de Vencidos",Calculos!$A$72,"Responsable","DIRECCIÓN DE GESTIÓN FINANCIERA")</f>
        <v>0</v>
      </c>
      <c r="G10" s="39">
        <f>GETPIVOTDATA("Suma de Finalizados",Calculos!$A$72,"Responsable","DIRECCIÓN DE GESTIÓN FINANCIERA")</f>
        <v>4</v>
      </c>
      <c r="H10" s="40"/>
      <c r="I10" s="39">
        <f>GETPIVOTDATA("Suma de Sin plan de acción",Calculos!$A$72,"Responsable","DIRECCIÓN DE GESTIÓN FINANCIERA")</f>
        <v>0</v>
      </c>
      <c r="K10" s="39">
        <v>2025</v>
      </c>
      <c r="L10" s="47" t="s">
        <v>306</v>
      </c>
      <c r="M10" s="39">
        <f>GETPIVOTDATA("Suma de No. Hallazgos",Calculos!$A$50,"Auditoría","Auditoría – Índice de Transparencia y Acceso a la Información –ITA (20250110033183)")</f>
        <v>3</v>
      </c>
      <c r="N10" s="39">
        <f>GETPIVOTDATA("Suma de No. Planes de Acción",Calculos!$A$50,"Auditoría","Auditoría – Índice de Transparencia y Acceso a la Información –ITA (20250110033183)")</f>
        <v>6</v>
      </c>
      <c r="O10" s="39">
        <f>GETPIVOTDATA("Suma de Abiertos",Calculos!$A$50,"Auditoría","Auditoría – Índice de Transparencia y Acceso a la Información –ITA (20250110033183)")</f>
        <v>0</v>
      </c>
      <c r="P10" s="39">
        <f>GETPIVOTDATA("Suma de Vencidos",Calculos!$A$50,"Auditoría","Auditoría – Índice de Transparencia y Acceso a la Información –ITA (20250110033183)")</f>
        <v>2</v>
      </c>
      <c r="Q10" s="39">
        <f>GETPIVOTDATA("Suma de Finalizados",Calculos!$A$50,"Auditoría","Auditoría – Índice de Transparencia y Acceso a la Información –ITA (20250110033183)")</f>
        <v>4</v>
      </c>
      <c r="R10" s="40"/>
      <c r="S10" s="39">
        <f>GETPIVOTDATA("Suma de Sin plan de acción",Calculos!$A$50,"Auditoría","Auditoría – Índice de Transparencia y Acceso a la Información –ITA (20250110033183)")</f>
        <v>0</v>
      </c>
    </row>
    <row r="11" spans="3:26" ht="13.8" customHeight="1">
      <c r="C11" s="157" t="s">
        <v>578</v>
      </c>
      <c r="D11" s="39">
        <f>GETPIVOTDATA("Suma de No. Planes de Acción",Calculos!$A$72,"Responsable","DIRECCIÓN DE GESTIÓN HUMANA")</f>
        <v>13</v>
      </c>
      <c r="E11" s="39">
        <f>GETPIVOTDATA("Suma de Abiertos",Calculos!$A$72,"Responsable","DIRECCIÓN DE GESTIÓN HUMANA")</f>
        <v>5</v>
      </c>
      <c r="F11" s="38">
        <f>GETPIVOTDATA("Suma de Vencidos",Calculos!$A$72,"Responsable","DIRECCIÓN DE GESTIÓN HUMANA")</f>
        <v>2</v>
      </c>
      <c r="G11" s="39">
        <f>GETPIVOTDATA("Suma de Finalizados",Calculos!$A$72,"Responsable","DIRECCIÓN DE GESTIÓN HUMANA")</f>
        <v>6</v>
      </c>
      <c r="H11" s="40"/>
      <c r="I11" s="39">
        <f>GETPIVOTDATA("Suma de Sin plan de acción",Calculos!$A$72,"Responsable","DIRECCIÓN DE GESTIÓN HUMANA")</f>
        <v>0</v>
      </c>
      <c r="K11" s="39">
        <v>2025</v>
      </c>
      <c r="L11" s="47" t="s">
        <v>471</v>
      </c>
      <c r="M11" s="39">
        <f>GETPIVOTDATA("Suma de No. Hallazgos",Calculos!$A$50,"Auditoría","Auditoría – Investigación Interna – Queja recibida de la Oficina de Control Interno de la Secretaría Distrital de Movilidad (20250110037763)")</f>
        <v>2</v>
      </c>
      <c r="N11" s="39">
        <f>GETPIVOTDATA("Suma de No. Planes de Acción",Calculos!$A$50,"Auditoría","Auditoría – Investigación Interna – Queja recibida de la Oficina de Control Interno de la Secretaría Distrital de Movilidad (20250110037763)")</f>
        <v>3</v>
      </c>
      <c r="O11" s="39">
        <f>GETPIVOTDATA("Suma de Abiertos",Calculos!$A$50,"Auditoría","Auditoría – Investigación Interna – Queja recibida de la Oficina de Control Interno de la Secretaría Distrital de Movilidad (20250110037763)")</f>
        <v>1</v>
      </c>
      <c r="P11" s="39">
        <f>GETPIVOTDATA("Suma de Vencidos",Calculos!$A$50,"Auditoría","Auditoría – Investigación Interna – Queja recibida de la Oficina de Control Interno de la Secretaría Distrital de Movilidad (20250110037763)")</f>
        <v>2</v>
      </c>
      <c r="Q11" s="39">
        <f>GETPIVOTDATA("Suma de Finalizados",Calculos!$A$50,"Auditoría","Auditoría – Investigación Interna – Queja recibida de la Oficina de Control Interno de la Secretaría Distrital de Movilidad (20250110037763)")</f>
        <v>0</v>
      </c>
      <c r="R11" s="40"/>
      <c r="S11" s="39">
        <f>GETPIVOTDATA("Suma de Sin plan de acción",Calculos!$A$50,"Auditoría","Auditoría – Investigación Interna – Queja recibida de la Oficina de Control Interno de la Secretaría Distrital de Movilidad (20250110037763)")</f>
        <v>0</v>
      </c>
    </row>
    <row r="12" spans="3:26">
      <c r="C12" s="44" t="s">
        <v>579</v>
      </c>
      <c r="D12" s="39">
        <f>GETPIVOTDATA("Suma de No. Planes de Acción",Calculos!$A$72,"Responsable","DIRECCIÓN DE INFRAESTRUCTURA")</f>
        <v>3</v>
      </c>
      <c r="E12" s="39">
        <f>GETPIVOTDATA("Suma de Abiertos",Calculos!$A$72,"Responsable","DIRECCIÓN DE INFRAESTRUCTURA")</f>
        <v>0</v>
      </c>
      <c r="F12" s="38">
        <f>GETPIVOTDATA("Suma de Vencidos",Calculos!$A$72,"Responsable","DIRECCIÓN DE INFRAESTRUCTURA")</f>
        <v>0</v>
      </c>
      <c r="G12" s="39">
        <f>GETPIVOTDATA("Suma de Finalizados",Calculos!$A$72,"Responsable","DIRECCIÓN DE INFRAESTRUCTURA")</f>
        <v>3</v>
      </c>
      <c r="H12" s="40"/>
      <c r="I12" s="39">
        <f>GETPIVOTDATA("Suma de Sin plan de acción",Calculos!$A$72,"Responsable","DIRECCIÓN DE INFRAESTRUCTURA")</f>
        <v>0</v>
      </c>
      <c r="K12" s="39">
        <v>2025</v>
      </c>
      <c r="L12" s="47" t="s">
        <v>449</v>
      </c>
      <c r="M12" s="39">
        <f>GETPIVOTDATA("Suma de No. Hallazgos",Calculos!$A$50,"Auditoría","Auditoría AIU - Temporales (20250110024753)")</f>
        <v>4</v>
      </c>
      <c r="N12" s="39">
        <f>GETPIVOTDATA("Suma de No. Planes de Acción",Calculos!$A$50,"Auditoría","Auditoría AIU - Temporales (20250110024753)")</f>
        <v>4</v>
      </c>
      <c r="O12" s="39">
        <f>GETPIVOTDATA("Suma de Abiertos",Calculos!$A$50,"Auditoría","Auditoría AIU - Temporales (20250110024753)")</f>
        <v>0</v>
      </c>
      <c r="P12" s="39">
        <f>GETPIVOTDATA("Suma de Vencidos",Calculos!$A$50,"Auditoría","Auditoría AIU - Temporales (20250110024753)")</f>
        <v>1</v>
      </c>
      <c r="Q12" s="39">
        <f>GETPIVOTDATA("Suma de Finalizados",Calculos!$A$50,"Auditoría","Auditoría AIU - Temporales (20250110024753)")</f>
        <v>3</v>
      </c>
      <c r="R12" s="40"/>
      <c r="S12" s="39">
        <f>GETPIVOTDATA("Suma de Sin plan de acción",Calculos!$A$50,"Auditoría","Auditoría AIU - Temporales (20250110024753)")</f>
        <v>0</v>
      </c>
    </row>
    <row r="13" spans="3:26" ht="13.8" customHeight="1">
      <c r="C13" s="157" t="s">
        <v>580</v>
      </c>
      <c r="D13" s="39">
        <f>GETPIVOTDATA("Suma de No. Planes de Acción",Calculos!$A$72,"Responsable","DIRECCIÓN DE RECURSOS FÍSICOS Y NEGOCIOS")</f>
        <v>5</v>
      </c>
      <c r="E13" s="39">
        <f>GETPIVOTDATA("Suma de Abiertos",Calculos!$A$72,"Responsable","DIRECCIÓN DE RECURSOS FÍSICOS Y NEGOCIOS")</f>
        <v>1</v>
      </c>
      <c r="F13" s="38">
        <f>GETPIVOTDATA("Suma de Vencidos",Calculos!$A$72,"Responsable","DIRECCIÓN DE RECURSOS FÍSICOS Y NEGOCIOS")</f>
        <v>0</v>
      </c>
      <c r="G13" s="39">
        <f>GETPIVOTDATA("Suma de Finalizados",Calculos!$A$72,"Responsable","DIRECCIÓN DE RECURSOS FÍSICOS Y NEGOCIOS")</f>
        <v>4</v>
      </c>
      <c r="H13" s="40"/>
      <c r="I13" s="39">
        <f>GETPIVOTDATA("Suma de Sin plan de acción",Calculos!$A$72,"Responsable","DIRECCIÓN DE RECURSOS FÍSICOS Y NEGOCIOS")</f>
        <v>0</v>
      </c>
      <c r="K13" s="39">
        <v>2025</v>
      </c>
      <c r="L13" s="47" t="s">
        <v>399</v>
      </c>
      <c r="M13" s="39">
        <f>GETPIVOTDATA("Suma de No. Hallazgos",Calculos!$A$50,"Auditoría","Auditoría al Cierre del Almacén (20250110045533)")</f>
        <v>5</v>
      </c>
      <c r="N13" s="39">
        <f>GETPIVOTDATA("Suma de No. Planes de Acción",Calculos!$A$50,"Auditoría","Auditoría al Cierre del Almacén (20250110045533)")</f>
        <v>7</v>
      </c>
      <c r="O13" s="39">
        <f>GETPIVOTDATA("Suma de Abiertos",Calculos!$A$50,"Auditoría","Auditoría al Cierre del Almacén (20250110045533)")</f>
        <v>4</v>
      </c>
      <c r="P13" s="39">
        <f>GETPIVOTDATA("Suma de Vencidos",Calculos!$A$50,"Auditoría","Auditoría al Cierre del Almacén (20250110045533)")</f>
        <v>0</v>
      </c>
      <c r="Q13" s="39">
        <f>GETPIVOTDATA("Suma de Finalizados",Calculos!$A$50,"Auditoría","Auditoría al Cierre del Almacén (20250110045533)")</f>
        <v>3</v>
      </c>
      <c r="R13" s="40"/>
      <c r="S13" s="39">
        <f>GETPIVOTDATA("Suma de Sin plan de acción",Calculos!$A$50,"Auditoría","Auditoría al Cierre del Almacén (20250110045533)")</f>
        <v>1</v>
      </c>
    </row>
    <row r="14" spans="3:26" ht="11.4" customHeight="1">
      <c r="C14" s="45" t="s">
        <v>581</v>
      </c>
      <c r="D14" s="39">
        <f>GETPIVOTDATA("Suma de No. Planes de Acción",Calculos!$A$72,"Responsable","DIRECCIÓN DE RECURSOS TECNOLÓGICOS")</f>
        <v>25</v>
      </c>
      <c r="E14" s="39">
        <f>GETPIVOTDATA("Suma de Abiertos",Calculos!$A$72,"Responsable","DIRECCIÓN DE RECURSOS TECNOLÓGICOS")</f>
        <v>17</v>
      </c>
      <c r="F14" s="38">
        <f>GETPIVOTDATA("Suma de Vencidos",Calculos!$A$72,"Responsable","DIRECCIÓN DE RECURSOS TECNOLÓGICOS")</f>
        <v>0</v>
      </c>
      <c r="G14" s="39">
        <f>GETPIVOTDATA("Suma de Finalizados",Calculos!$A$72,"Responsable","DIRECCIÓN DE RECURSOS TECNOLÓGICOS")</f>
        <v>8</v>
      </c>
      <c r="H14" s="40"/>
      <c r="I14" s="39">
        <f>GETPIVOTDATA("Suma de Sin plan de acción",Calculos!$A$72,"Responsable","DIRECCIÓN DE RECURSOS TECNOLÓGICOS")</f>
        <v>0</v>
      </c>
      <c r="K14" s="39">
        <v>2025</v>
      </c>
      <c r="L14" s="47" t="s">
        <v>251</v>
      </c>
      <c r="M14" s="39">
        <f>GETPIVOTDATA("Suma de No. Hallazgos",Calculos!$A$50,"Auditoría","Auditoría al Programa de Seguridad Vial (20250110031663)")</f>
        <v>9</v>
      </c>
      <c r="N14" s="39">
        <f>GETPIVOTDATA("Suma de No. Planes de Acción",Calculos!$A$50,"Auditoría","Auditoría al Programa de Seguridad Vial (20250110031663)")</f>
        <v>12</v>
      </c>
      <c r="O14" s="39">
        <f>GETPIVOTDATA("Suma de Abiertos",Calculos!$A$50,"Auditoría","Auditoría al Programa de Seguridad Vial (20250110031663)")</f>
        <v>0</v>
      </c>
      <c r="P14" s="39">
        <f>GETPIVOTDATA("Suma de Vencidos",Calculos!$A$50,"Auditoría","Auditoría al Programa de Seguridad Vial (20250110031663)")</f>
        <v>0</v>
      </c>
      <c r="Q14" s="39">
        <f>GETPIVOTDATA("Suma de Finalizados",Calculos!$A$50,"Auditoría","Auditoría al Programa de Seguridad Vial (20250110031663)")</f>
        <v>12</v>
      </c>
      <c r="R14" s="40"/>
      <c r="S14" s="39">
        <f>GETPIVOTDATA("Suma de Sin plan de acción",Calculos!$A$50,"Auditoría","Auditoría al Programa de Seguridad Vial (20250110031663)")</f>
        <v>0</v>
      </c>
    </row>
    <row r="15" spans="3:26" ht="10.8" customHeight="1">
      <c r="C15" s="45" t="s">
        <v>582</v>
      </c>
      <c r="D15" s="39">
        <f>GETPIVOTDATA("Suma de No. Planes de Acción",Calculos!$A$72,"Responsable","DIRECCIÓN DE SERVICIO AL CIUDADANO")</f>
        <v>16</v>
      </c>
      <c r="E15" s="39">
        <f>GETPIVOTDATA("Suma de Abiertos",Calculos!$A$72,"Responsable","DIRECCIÓN DE SERVICIO AL CIUDADANO")</f>
        <v>0</v>
      </c>
      <c r="F15" s="38">
        <f>GETPIVOTDATA("Suma de Vencidos",Calculos!$A$72,"Responsable","DIRECCIÓN DE SERVICIO AL CIUDADANO")</f>
        <v>2</v>
      </c>
      <c r="G15" s="39">
        <f>GETPIVOTDATA("Suma de Finalizados",Calculos!$A$72,"Responsable","DIRECCIÓN DE SERVICIO AL CIUDADANO")</f>
        <v>14</v>
      </c>
      <c r="H15" s="40"/>
      <c r="I15" s="39">
        <f>GETPIVOTDATA("Suma de Sin plan de acción",Calculos!$A$72,"Responsable","DIRECCIÓN DE SERVICIO AL CIUDADANO")</f>
        <v>0</v>
      </c>
      <c r="K15" s="39">
        <v>2025</v>
      </c>
      <c r="L15" s="47" t="s">
        <v>461</v>
      </c>
      <c r="M15" s="39">
        <f>GETPIVOTDATA("Suma de No. Hallazgos",Calculos!$A$50,"Auditoría","Auditoría Evaluación al Ambiente de TI (20250110045483)")</f>
        <v>2</v>
      </c>
      <c r="N15" s="39">
        <f>GETPIVOTDATA("Suma de No. Planes de Acción",Calculos!$A$50,"Auditoría","Auditoría Evaluación al Ambiente de TI (20250110045483)")</f>
        <v>5</v>
      </c>
      <c r="O15" s="39">
        <f>GETPIVOTDATA("Suma de Abiertos",Calculos!$A$50,"Auditoría","Auditoría Evaluación al Ambiente de TI (20250110045483)")</f>
        <v>5</v>
      </c>
      <c r="P15" s="39">
        <f>GETPIVOTDATA("Suma de Vencidos",Calculos!$A$50,"Auditoría","Auditoría Evaluación al Ambiente de TI (20250110045483)")</f>
        <v>0</v>
      </c>
      <c r="Q15" s="39">
        <f>GETPIVOTDATA("Suma de Finalizados",Calculos!$A$50,"Auditoría","Auditoría Evaluación al Ambiente de TI (20250110045483)")</f>
        <v>0</v>
      </c>
      <c r="R15" s="40"/>
      <c r="S15" s="39">
        <f>GETPIVOTDATA("Suma de Sin plan de acción",Calculos!$A$50,"Auditoría","Auditoría Evaluación al Ambiente de TI (20250110045483)")</f>
        <v>0</v>
      </c>
    </row>
    <row r="16" spans="3:26" ht="12.6" customHeight="1">
      <c r="C16" s="44" t="s">
        <v>588</v>
      </c>
      <c r="D16" s="39">
        <f>GETPIVOTDATA("Suma de No. Planes de Acción",Calculos!$A$72,"Responsable","DIRECCIÓN DE SERVICIO AL TRANSPORTADOR")</f>
        <v>12</v>
      </c>
      <c r="E16" s="39">
        <f>GETPIVOTDATA("Suma de Abiertos",Calculos!$A$72,"Responsable","DIRECCIÓN DE SERVICIO AL TRANSPORTADOR")</f>
        <v>0</v>
      </c>
      <c r="F16" s="38">
        <f>GETPIVOTDATA("Suma de Vencidos",Calculos!$A$72,"Responsable","DIRECCIÓN DE SERVICIO AL TRANSPORTADOR")</f>
        <v>0</v>
      </c>
      <c r="G16" s="39">
        <f>GETPIVOTDATA("Suma de Finalizados",Calculos!$A$72,"Responsable","DIRECCIÓN DE SERVICIO AL TRANSPORTADOR")</f>
        <v>12</v>
      </c>
      <c r="H16" s="40"/>
      <c r="I16" s="39">
        <f>GETPIVOTDATA("Suma de Sin plan de acción",Calculos!$A$72,"Responsable","DIRECCIÓN DE SERVICIO AL TRANSPORTADOR")</f>
        <v>0</v>
      </c>
      <c r="K16" s="39">
        <v>2025</v>
      </c>
      <c r="L16" s="47" t="s">
        <v>419</v>
      </c>
      <c r="M16" s="39">
        <f>GETPIVOTDATA("Suma de No. Hallazgos",Calculos!$A$50,"Auditoría","Auditoría Gobierno Corporativo, Transparencia y Conflicto de Intereses (20250110041653)")</f>
        <v>4</v>
      </c>
      <c r="N16" s="39">
        <f>GETPIVOTDATA("Suma de No. Planes de Acción",Calculos!$A$50,"Auditoría","Auditoría Gobierno Corporativo, Transparencia y Conflicto de Intereses (20250110041653)")</f>
        <v>18</v>
      </c>
      <c r="O16" s="39">
        <f>GETPIVOTDATA("Suma de Abiertos",Calculos!$A$50,"Auditoría","Auditoría Gobierno Corporativo, Transparencia y Conflicto de Intereses (20250110041653)")</f>
        <v>5</v>
      </c>
      <c r="P16" s="39">
        <f>GETPIVOTDATA("Suma de Vencidos",Calculos!$A$50,"Auditoría","Auditoría Gobierno Corporativo, Transparencia y Conflicto de Intereses (20250110041653)")</f>
        <v>13</v>
      </c>
      <c r="Q16" s="39">
        <f>GETPIVOTDATA("Suma de Finalizados",Calculos!$A$50,"Auditoría","Auditoría Gobierno Corporativo, Transparencia y Conflicto de Intereses (20250110041653)")</f>
        <v>0</v>
      </c>
      <c r="R16" s="40"/>
      <c r="S16" s="39">
        <f>GETPIVOTDATA("Suma de Sin plan de acción",Calculos!$A$50,"Auditoría","Auditoría Gobierno Corporativo, Transparencia y Conflicto de Intereses (20250110041653)")</f>
        <v>0</v>
      </c>
    </row>
    <row r="17" spans="3:20">
      <c r="C17" s="154" t="s">
        <v>583</v>
      </c>
      <c r="D17" s="155">
        <f>GETPIVOTDATA("Suma de No. Planes de Acción",Calculos!$A$72,"Responsable","OFICINA DE COMUNICACIONES")</f>
        <v>4</v>
      </c>
      <c r="E17" s="155">
        <f>GETPIVOTDATA("Suma de Abiertos",Calculos!$A$72,"Responsable","OFICINA DE COMUNICACIONES")</f>
        <v>0</v>
      </c>
      <c r="F17" s="156">
        <f>GETPIVOTDATA("Suma de Vencidos",Calculos!$A$72,"Responsable","OFICINA DE COMUNICACIONES")</f>
        <v>2</v>
      </c>
      <c r="G17" s="155">
        <f>GETPIVOTDATA("Suma de Finalizados",Calculos!$A$72,"Responsable","OFICINA DE COMUNICACIONES")</f>
        <v>2</v>
      </c>
      <c r="H17" s="40"/>
      <c r="I17" s="155">
        <f>GETPIVOTDATA("Suma de Sin plan de acción",Calculos!$A$72,"Responsable","OFICINA DE COMUNICACIONES")</f>
        <v>0</v>
      </c>
      <c r="K17" s="39">
        <v>2025</v>
      </c>
      <c r="L17" s="47" t="s">
        <v>181</v>
      </c>
      <c r="M17" s="39">
        <f>GETPIVOTDATA("Suma de No. Hallazgos",Calculos!$A$50,"Auditoría","Auditoría Servicios Conexos (20250110018563)")</f>
        <v>9</v>
      </c>
      <c r="N17" s="39">
        <f>GETPIVOTDATA("Suma de No. Planes de Acción",Calculos!$A$50,"Auditoría","Auditoría Servicios Conexos (20250110018563)")</f>
        <v>17</v>
      </c>
      <c r="O17" s="39">
        <f>GETPIVOTDATA("Suma de Abiertos",Calculos!$A$50,"Auditoría","Auditoría Servicios Conexos (20250110018563)")</f>
        <v>0</v>
      </c>
      <c r="P17" s="39">
        <f>GETPIVOTDATA("Suma de Vencidos",Calculos!$A$50,"Auditoría","Auditoría Servicios Conexos (20250110018563)")</f>
        <v>2</v>
      </c>
      <c r="Q17" s="39">
        <f>GETPIVOTDATA("Suma de Finalizados",Calculos!$A$50,"Auditoría","Auditoría Servicios Conexos (20250110018563)")</f>
        <v>15</v>
      </c>
      <c r="R17" s="40"/>
      <c r="S17" s="39">
        <f>GETPIVOTDATA("Suma de Sin plan de acción",Calculos!$A$50,"Auditoría","Auditoría Servicios Conexos (20250110018563)")</f>
        <v>0</v>
      </c>
    </row>
    <row r="18" spans="3:20" ht="10.8" customHeight="1">
      <c r="C18" s="157" t="s">
        <v>998</v>
      </c>
      <c r="D18" s="39">
        <f>GETPIVOTDATA("Suma de No. Planes de Acción",Calculos!$A$72,"Responsable","DIRECCIÓN DE SEGURIDAD OPERACIONAL")</f>
        <v>1</v>
      </c>
      <c r="E18" s="39">
        <f>GETPIVOTDATA("Suma de Abiertos",Calculos!$A$72,"Responsable","DIRECCIÓN DE SEGURIDAD OPERACIONAL")</f>
        <v>0</v>
      </c>
      <c r="F18" s="39">
        <f>GETPIVOTDATA("Suma de Vencidos",Calculos!$A$72,"Responsable","DIRECCIÓN DE SEGURIDAD OPERACIONAL")</f>
        <v>0</v>
      </c>
      <c r="G18" s="39">
        <f>GETPIVOTDATA("Suma de Finalizados",Calculos!$A$72,"Responsable","DIRECCIÓN DE SEGURIDAD OPERACIONAL")</f>
        <v>1</v>
      </c>
      <c r="H18" s="39"/>
      <c r="I18" s="39">
        <f>GETPIVOTDATA("Suma de Sin plan de acción",Calculos!$A$72,"Responsable","DIRECCIÓN DE SEGURIDAD OPERACIONAL")</f>
        <v>0</v>
      </c>
      <c r="K18" s="39">
        <v>2025</v>
      </c>
      <c r="L18" s="47" t="s">
        <v>486</v>
      </c>
      <c r="M18" s="39">
        <f>GETPIVOTDATA("Suma de No. Hallazgos",Calculos!$A$50,"Auditoría","Informe de Auditoría al Proceso Gestión de Parqueaderos en Vía (ZPP) 20260110007943")</f>
        <v>4</v>
      </c>
      <c r="N18" s="39">
        <f>GETPIVOTDATA("Suma de No. Planes de Acción",Calculos!$A$50,"Auditoría","Informe de Auditoría al Proceso Gestión de Parqueaderos en Vía (ZPP) 20260110007943")</f>
        <v>6</v>
      </c>
      <c r="O18" s="39">
        <f>GETPIVOTDATA("Suma de Abiertos",Calculos!$A$50,"Auditoría","Informe de Auditoría al Proceso Gestión de Parqueaderos en Vía (ZPP) 20260110007943")</f>
        <v>1</v>
      </c>
      <c r="P18" s="39">
        <f>GETPIVOTDATA("Suma de Vencidos",Calculos!$A$50,"Auditoría","Informe de Auditoría al Proceso Gestión de Parqueaderos en Vía (ZPP) 20260110007943")</f>
        <v>1</v>
      </c>
      <c r="Q18" s="39">
        <f>GETPIVOTDATA("Suma de Finalizados",Calculos!$A$50,"Auditoría","Informe de Auditoría al Proceso Gestión de Parqueaderos en Vía (ZPP) 20260110007943")</f>
        <v>4</v>
      </c>
      <c r="S18" s="39">
        <f>GETPIVOTDATA("Suma de Sin plan de acción",Calculos!$A$50,"Auditoría","Informe de Auditoría al Proceso Gestión de Parqueaderos en Vía (ZPP) 20260110007943")</f>
        <v>0</v>
      </c>
    </row>
    <row r="19" spans="3:20" ht="22.8">
      <c r="C19" s="41" t="s">
        <v>585</v>
      </c>
      <c r="D19" s="41">
        <f>SUM(D6:D18)</f>
        <v>145</v>
      </c>
      <c r="E19" s="41">
        <f>SUM(E6:E18)</f>
        <v>28</v>
      </c>
      <c r="F19" s="41">
        <f>SUM(F6:F18)</f>
        <v>18</v>
      </c>
      <c r="G19" s="150">
        <f>SUM(G6:G18)</f>
        <v>99</v>
      </c>
      <c r="H19" s="35"/>
      <c r="I19" s="150">
        <f>SUM(I6:I18)</f>
        <v>1</v>
      </c>
      <c r="K19" s="39">
        <v>2025</v>
      </c>
      <c r="L19" s="47" t="s">
        <v>327</v>
      </c>
      <c r="M19" s="39">
        <f>GETPIVOTDATA("Suma de No. Hallazgos",Calculos!$A$50,"Auditoría","Operativos de Control Externo (20250110018323)")</f>
        <v>7</v>
      </c>
      <c r="N19" s="39">
        <f>GETPIVOTDATA("Suma de No. Planes de Acción",Calculos!$A$50,"Auditoría","Operativos de Control Externo (20250110018323)")</f>
        <v>8</v>
      </c>
      <c r="O19" s="39">
        <f>GETPIVOTDATA("Suma de Abiertos",Calculos!$A$50,"Auditoría","Operativos de Control Externo (20250110018323)")</f>
        <v>0</v>
      </c>
      <c r="P19" s="39">
        <f>GETPIVOTDATA("Suma de Vencidos",Calculos!$A$50,"Auditoría","Operativos de Control Externo (20250110018323)")</f>
        <v>0</v>
      </c>
      <c r="Q19" s="39">
        <f>GETPIVOTDATA("Suma de Finalizados",Calculos!$A$50,"Auditoría","Operativos de Control Externo (20250110018323)")</f>
        <v>8</v>
      </c>
      <c r="S19" s="39">
        <f>GETPIVOTDATA("Suma de Sin plan de acción",Calculos!$A$50,"Auditoría","Operativos de Control Externo (20250110018323)")</f>
        <v>0</v>
      </c>
    </row>
    <row r="20" spans="3:20" ht="22.8">
      <c r="K20" s="39">
        <v>2025</v>
      </c>
      <c r="L20" s="47" t="s">
        <v>607</v>
      </c>
      <c r="M20" s="39">
        <f>GETPIVOTDATA("Suma de No. Hallazgos",Calculos!$A$50,"Auditoría","Seguimiento al Derecho de Petición
radicado 20250310114332")</f>
        <v>2</v>
      </c>
      <c r="N20" s="39">
        <f>GETPIVOTDATA("Suma de No. Planes de Acción",Calculos!$A$50,"Auditoría","Seguimiento al Derecho de Petición
radicado 20250310114332")</f>
        <v>2</v>
      </c>
      <c r="O20" s="39">
        <f>GETPIVOTDATA("Suma de Abiertos",Calculos!$A$50,"Auditoría","Seguimiento al Derecho de Petición
radicado 20250310114332")</f>
        <v>0</v>
      </c>
      <c r="P20" s="39">
        <f>GETPIVOTDATA("Suma de Vencidos",Calculos!$A$50,"Auditoría","Seguimiento al Derecho de Petición
radicado 20250310114332")</f>
        <v>0</v>
      </c>
      <c r="Q20" s="39">
        <f>GETPIVOTDATA("Suma de Finalizados",Calculos!$A$50,"Auditoría","Seguimiento al Derecho de Petición
radicado 20250310114332")</f>
        <v>2</v>
      </c>
      <c r="S20" s="39">
        <f>GETPIVOTDATA("Suma de Sin plan de acción",Calculos!$A$50,"Auditoría","Seguimiento al Derecho de Petición
radicado 20250310114332")</f>
        <v>0</v>
      </c>
    </row>
    <row r="21" spans="3:20" ht="13.2">
      <c r="C21" s="67" t="s">
        <v>603</v>
      </c>
      <c r="K21" s="39">
        <v>2025</v>
      </c>
      <c r="L21" s="47" t="s">
        <v>360</v>
      </c>
      <c r="M21" s="39">
        <f>GETPIVOTDATA("Suma de No. Hallazgos",Calculos!$A$50,"Auditoría","Servicio al Ciudadano (20250110042183)")</f>
        <v>9</v>
      </c>
      <c r="N21" s="39">
        <f>GETPIVOTDATA("Suma de No. Planes de Acción",Calculos!$A$50,"Auditoría","Servicio al Ciudadano (20250110042183)")</f>
        <v>11</v>
      </c>
      <c r="O21" s="39">
        <f>GETPIVOTDATA("Suma de Abiertos",Calculos!$A$50,"Auditoría","Servicio al Ciudadano (20250110042183)")</f>
        <v>0</v>
      </c>
      <c r="P21" s="39">
        <f>GETPIVOTDATA("Suma de Vencidos",Calculos!$A$50,"Auditoría","Servicio al Ciudadano (20250110042183)")</f>
        <v>1</v>
      </c>
      <c r="Q21" s="39">
        <f>GETPIVOTDATA("Suma de Finalizados",Calculos!$A$50,"Auditoría","Servicio al Ciudadano (20250110042183)")</f>
        <v>10</v>
      </c>
      <c r="S21" s="39">
        <f>GETPIVOTDATA("Suma de Sin plan de acción",Calculos!$A$50,"Auditoría","Servicio al Ciudadano (20250110042183)")</f>
        <v>0</v>
      </c>
    </row>
    <row r="22" spans="3:20" ht="22.8">
      <c r="K22" s="39">
        <v>2025</v>
      </c>
      <c r="L22" s="164" t="s">
        <v>925</v>
      </c>
      <c r="M22" s="39">
        <f>GETPIVOTDATA("Suma de No. Hallazgos",Calculos!$A$50,"Auditoría","Auditoría – Proceso de Contratación, Supervisión e Interventoría 20261200015083")</f>
        <v>4</v>
      </c>
      <c r="N22" s="39">
        <f>GETPIVOTDATA("Suma de No. Planes de Acción",Calculos!$A$50,"Auditoría","Auditoría – Proceso de Contratación, Supervisión e Interventoría 20261200015083")</f>
        <v>4</v>
      </c>
      <c r="O22" s="39">
        <f>GETPIVOTDATA("Suma de Abiertos",Calculos!$A$50,"Auditoría","Auditoría – Proceso de Contratación, Supervisión e Interventoría 20261200015083")</f>
        <v>1</v>
      </c>
      <c r="P22" s="39">
        <f>GETPIVOTDATA("Suma de Vencidos",Calculos!$A$50,"Auditoría","Auditoría – Proceso de Contratación, Supervisión e Interventoría 20261200015083")</f>
        <v>2</v>
      </c>
      <c r="Q22" s="39">
        <f>GETPIVOTDATA("Suma de Finalizados",Calculos!$A$50,"Auditoría","Auditoría – Proceso de Contratación, Supervisión e Interventoría 20261200015083")</f>
        <v>1</v>
      </c>
      <c r="S22" s="39">
        <f>GETPIVOTDATA("Suma de Sin plan de acción",Calculos!$A$50,"Auditoría","Auditoría – Proceso de Contratación, Supervisión e Interventoría 20261200015083")</f>
        <v>0</v>
      </c>
      <c r="T22" s="50"/>
    </row>
    <row r="23" spans="3:20" ht="24">
      <c r="C23" s="9" t="s">
        <v>572</v>
      </c>
      <c r="D23" s="61" t="s">
        <v>573</v>
      </c>
      <c r="E23" s="61" t="s">
        <v>574</v>
      </c>
      <c r="F23" s="62" t="s">
        <v>575</v>
      </c>
      <c r="G23" s="63" t="s">
        <v>576</v>
      </c>
      <c r="H23" s="35"/>
      <c r="I23" s="63" t="s">
        <v>587</v>
      </c>
      <c r="K23" s="39">
        <v>2026</v>
      </c>
      <c r="L23" s="164" t="s">
        <v>1039</v>
      </c>
      <c r="M23" s="39">
        <f>+GETPIVOTDATA("Suma de No. Hallazgos",Calculos!$A$50,"Auditoría","Migración de datos a la nube 20261200022073 ")</f>
        <v>14</v>
      </c>
      <c r="N23" s="39">
        <f>+GETPIVOTDATA("Suma de No. Planes de Acción",Calculos!$A$50,"Auditoría","Migración de datos a la nube 20261200022073 ")</f>
        <v>14</v>
      </c>
      <c r="O23" s="39">
        <f>+GETPIVOTDATA("Suma de Abiertos",Calculos!$A$50,"Auditoría","Migración de datos a la nube 20261200022073 ")</f>
        <v>14</v>
      </c>
      <c r="P23" s="39">
        <f>+GETPIVOTDATA("Suma de Vencidos",Calculos!$A$50,"Auditoría","Migración de datos a la nube 20261200022073 ")</f>
        <v>0</v>
      </c>
      <c r="Q23" s="39">
        <f>+GETPIVOTDATA("Suma de Finalizados",Calculos!$A$50,"Auditoría","Migración de datos a la nube 20261200022073 ")</f>
        <v>0</v>
      </c>
      <c r="S23" s="39">
        <f>+GETPIVOTDATA("Suma de Sin plan de acción",Calculos!$A$50,"Auditoría","Migración de datos a la nube 20261200022073 ")</f>
        <v>0</v>
      </c>
    </row>
    <row r="24" spans="3:20" ht="22.8">
      <c r="C24" s="45" t="s">
        <v>593</v>
      </c>
      <c r="D24" s="39">
        <f>GETPIVOTDATA("Suma de No. Planes de Acción",Calculos!$A$72,"Responsable","DIRECCIÓN DE RECURSOS FÍSICOS Y NEGOCIOS
DIRECCIÓN DE SERVICIO AL CIUDADANO")</f>
        <v>1</v>
      </c>
      <c r="E24" s="39">
        <f>GETPIVOTDATA("Suma de Abiertos",Calculos!$A$72,"Responsable","DIRECCIÓN DE RECURSOS FÍSICOS Y NEGOCIOS
DIRECCIÓN DE SERVICIO AL CIUDADANO")</f>
        <v>0</v>
      </c>
      <c r="F24" s="39">
        <f>GETPIVOTDATA("Suma de Vencidos",Calculos!$A$72,"Responsable","DIRECCIÓN DE RECURSOS FÍSICOS Y NEGOCIOS
DIRECCIÓN DE SERVICIO AL CIUDADANO")</f>
        <v>0</v>
      </c>
      <c r="G24" s="39">
        <f>GETPIVOTDATA("Suma de Finalizados",Calculos!$A$72,"Responsable","DIRECCIÓN DE RECURSOS FÍSICOS Y NEGOCIOS
DIRECCIÓN DE SERVICIO AL CIUDADANO")</f>
        <v>1</v>
      </c>
      <c r="H24" s="39"/>
      <c r="I24" s="39">
        <f>GETPIVOTDATA("Suma de Sin plan de acción",Calculos!$A$72,"Responsable","DIRECCIÓN DE RECURSOS FÍSICOS Y NEGOCIOS
DIRECCIÓN DE SERVICIO AL CIUDADANO")</f>
        <v>0</v>
      </c>
      <c r="K24" s="226" t="s">
        <v>585</v>
      </c>
      <c r="L24" s="226"/>
      <c r="M24" s="34">
        <f>SUM(M6:M23)</f>
        <v>119</v>
      </c>
      <c r="N24" s="34">
        <f>SUM(N6:N23)</f>
        <v>163</v>
      </c>
      <c r="O24" s="34">
        <f>SUM(O6:O23)</f>
        <v>31</v>
      </c>
      <c r="P24" s="34">
        <f>SUM(P6:P23)</f>
        <v>26</v>
      </c>
      <c r="Q24" s="34">
        <f>SUM(Q6:Q23)</f>
        <v>106</v>
      </c>
      <c r="R24" s="48"/>
      <c r="S24" s="34">
        <f>SUM(S6:S23)</f>
        <v>1</v>
      </c>
    </row>
    <row r="25" spans="3:20" ht="45.6">
      <c r="C25" s="45" t="s">
        <v>594</v>
      </c>
      <c r="D25" s="39">
        <f>GETPIVOTDATA("Suma de No. Planes de Acción",Calculos!$A$72,"Responsable","DIRECCIÓN DE RECURSOS FÍSICOS Y NEGOCIOS
DIRECCIÓN DE SERVICIO AL CIUDADANO
SUB GERENCIA DE PLANEACIÓN Y PROYECTOS
DIRECCIÓN DE GESTIÓN FINANCIERA")</f>
        <v>1</v>
      </c>
      <c r="E25" s="39">
        <f>GETPIVOTDATA("Suma de Abiertos",Calculos!$A$72,"Responsable","DIRECCIÓN DE RECURSOS FÍSICOS Y NEGOCIOS
DIRECCIÓN DE SERVICIO AL CIUDADANO
SUB GERENCIA DE PLANEACIÓN Y PROYECTOS
DIRECCIÓN DE GESTIÓN FINANCIERA")</f>
        <v>0</v>
      </c>
      <c r="F25" s="39">
        <f>GETPIVOTDATA("Suma de Vencidos",Calculos!$A$72,"Responsable","DIRECCIÓN DE RECURSOS FÍSICOS Y NEGOCIOS
DIRECCIÓN DE SERVICIO AL CIUDADANO
SUB GERENCIA DE PLANEACIÓN Y PROYECTOS
DIRECCIÓN DE GESTIÓN FINANCIERA")</f>
        <v>0</v>
      </c>
      <c r="G25" s="39">
        <f>GETPIVOTDATA("Suma de Finalizados",Calculos!$A$72,"Responsable","DIRECCIÓN DE RECURSOS FÍSICOS Y NEGOCIOS
DIRECCIÓN DE SERVICIO AL CIUDADANO
SUB GERENCIA DE PLANEACIÓN Y PROYECTOS
DIRECCIÓN DE GESTIÓN FINANCIERA")</f>
        <v>1</v>
      </c>
      <c r="H25" s="39"/>
      <c r="I25" s="39">
        <f>GETPIVOTDATA("Suma de Sin plan de acción",Calculos!$A$72,"Responsable","DIRECCIÓN DE RECURSOS FÍSICOS Y NEGOCIOS
DIRECCIÓN DE SERVICIO AL CIUDADANO
SUB GERENCIA DE PLANEACIÓN Y PROYECTOS
DIRECCIÓN DE GESTIÓN FINANCIERA")</f>
        <v>0</v>
      </c>
    </row>
    <row r="26" spans="3:20" ht="22.8">
      <c r="C26" s="45" t="s">
        <v>595</v>
      </c>
      <c r="D26" s="39">
        <f>GETPIVOTDATA("Suma de No. Planes de Acción",Calculos!$A$72,"Responsable","DIRECCIÓN DE SERVICIO AL CIUDADANO
SUB GERENCIA DE PLANEACIÓN Y PROYECTOS")</f>
        <v>2</v>
      </c>
      <c r="E26" s="39">
        <f>GETPIVOTDATA("Suma de Abiertos",Calculos!$A$72,"Responsable","DIRECCIÓN DE SERVICIO AL CIUDADANO
SUB GERENCIA DE PLANEACIÓN Y PROYECTOS")</f>
        <v>0</v>
      </c>
      <c r="F26" s="39">
        <f>GETPIVOTDATA("Suma de Vencidos",Calculos!$A$72,"Responsable","DIRECCIÓN DE SERVICIO AL CIUDADANO
SUB GERENCIA DE PLANEACIÓN Y PROYECTOS")</f>
        <v>1</v>
      </c>
      <c r="G26" s="39">
        <f>GETPIVOTDATA("Suma de Finalizados",Calculos!$A$72,"Responsable","DIRECCIÓN DE SERVICIO AL CIUDADANO
SUB GERENCIA DE PLANEACIÓN Y PROYECTOS")</f>
        <v>1</v>
      </c>
      <c r="H26" s="39"/>
      <c r="I26" s="39">
        <f>GETPIVOTDATA("Suma de Sin plan de acción",Calculos!$A$72,"Responsable","DIRECCIÓN DE SERVICIO AL CIUDADANO
SUB GERENCIA DE PLANEACIÓN Y PROYECTOS")</f>
        <v>0</v>
      </c>
    </row>
    <row r="27" spans="3:20" ht="22.8">
      <c r="C27" s="45" t="s">
        <v>596</v>
      </c>
      <c r="D27" s="39">
        <f>GETPIVOTDATA("Suma de No. Planes de Acción",Calculos!$A$72,"Responsable","OFICIAL DE CUMPLIMIENTO
DIRECCIÓN DE GESTIÓN HUMANA")</f>
        <v>4</v>
      </c>
      <c r="E27" s="39">
        <f>GETPIVOTDATA("Suma de Abiertos",Calculos!$A$72,"Responsable","OFICIAL DE CUMPLIMIENTO
DIRECCIÓN DE GESTIÓN HUMANA")</f>
        <v>0</v>
      </c>
      <c r="F27" s="39">
        <f>GETPIVOTDATA("Suma de Vencidos",Calculos!$A$72,"Responsable","OFICIAL DE CUMPLIMIENTO
DIRECCIÓN DE GESTIÓN HUMANA")</f>
        <v>4</v>
      </c>
      <c r="G27" s="39">
        <f>GETPIVOTDATA("Suma de Finalizados",Calculos!$A$72,"Responsable","OFICIAL DE CUMPLIMIENTO
DIRECCIÓN DE GESTIÓN HUMANA")</f>
        <v>0</v>
      </c>
      <c r="H27" s="39"/>
      <c r="I27" s="39">
        <f>GETPIVOTDATA("Suma de Sin plan de acción",Calculos!$A$72,"Responsable","OFICIAL DE CUMPLIMIENTO
DIRECCIÓN DE GESTIÓN HUMANA")</f>
        <v>0</v>
      </c>
    </row>
    <row r="28" spans="3:20" ht="27.6" customHeight="1">
      <c r="C28" s="45" t="s">
        <v>597</v>
      </c>
      <c r="D28" s="39">
        <f>GETPIVOTDATA("Suma de No. Planes de Acción",Calculos!$A$72,"Responsable","SUB GERENCIA CORPORATIVA
SUB GERENCIA DE PLANEACIÓN Y PROYECTOS")</f>
        <v>1</v>
      </c>
      <c r="E28" s="39">
        <f>GETPIVOTDATA("Suma de Abiertos",Calculos!$A$72,"Responsable","SUB GERENCIA CORPORATIVA
SUB GERENCIA DE PLANEACIÓN Y PROYECTOS")</f>
        <v>0</v>
      </c>
      <c r="F28" s="39">
        <f>GETPIVOTDATA("Suma de Vencidos",Calculos!$A$72,"Responsable","SUB GERENCIA CORPORATIVA
SUB GERENCIA DE PLANEACIÓN Y PROYECTOS")</f>
        <v>0</v>
      </c>
      <c r="G28" s="39">
        <f>GETPIVOTDATA("Suma de Finalizados",Calculos!$A$72,"Responsable","SUB GERENCIA CORPORATIVA
SUB GERENCIA DE PLANEACIÓN Y PROYECTOS")</f>
        <v>1</v>
      </c>
      <c r="H28" s="39"/>
      <c r="I28" s="39">
        <f>GETPIVOTDATA("Suma de Sin plan de acción",Calculos!$A$72,"Responsable","SUB GERENCIA CORPORATIVA
SUB GERENCIA DE PLANEACIÓN Y PROYECTOS")</f>
        <v>0</v>
      </c>
    </row>
    <row r="29" spans="3:20" ht="24.6" customHeight="1">
      <c r="C29" s="45" t="s">
        <v>598</v>
      </c>
      <c r="D29" s="39">
        <f>GETPIVOTDATA("Suma de No. Planes de Acción",Calculos!$A$72,"Responsable","SUB GERENCIA DE SERVICIOS OPERACIONALES E INFRAESTRUCTURA
DIRECCIÓN DE RECURSOS TECNOLÓGICOS")</f>
        <v>2</v>
      </c>
      <c r="E29" s="39">
        <f>GETPIVOTDATA("Suma de Abiertos",Calculos!$A$72,"Responsable","SUB GERENCIA DE SERVICIOS OPERACIONALES E INFRAESTRUCTURA
DIRECCIÓN DE RECURSOS TECNOLÓGICOS")</f>
        <v>0</v>
      </c>
      <c r="F29" s="39">
        <f>GETPIVOTDATA("Suma de Vencidos",Calculos!$A$72,"Responsable","SUB GERENCIA DE SERVICIOS OPERACIONALES E INFRAESTRUCTURA
DIRECCIÓN DE RECURSOS TECNOLÓGICOS")</f>
        <v>0</v>
      </c>
      <c r="G29" s="39">
        <f>GETPIVOTDATA("Suma de Finalizados",Calculos!$A$72,"Responsable","SUB GERENCIA DE SERVICIOS OPERACIONALES E INFRAESTRUCTURA
DIRECCIÓN DE RECURSOS TECNOLÓGICOS")</f>
        <v>2</v>
      </c>
      <c r="I29" s="39">
        <f>GETPIVOTDATA("Suma de Sin plan de acción",Calculos!$A$72,"Responsable","SUB GERENCIA DE SERVICIOS OPERACIONALES E INFRAESTRUCTURA
DIRECCIÓN DE RECURSOS TECNOLÓGICOS")</f>
        <v>0</v>
      </c>
    </row>
    <row r="30" spans="3:20" ht="22.8">
      <c r="C30" s="45" t="s">
        <v>599</v>
      </c>
      <c r="D30" s="39">
        <f>GETPIVOTDATA("Suma de No. Planes de Acción",Calculos!$A$72,"Responsable","SUB GERENCIA DE SERVICIOS OPERACIONALES E INFRAESTRUCTURA
DIRECCIÓN DE SERVICIO AL TRANSPORTADOR")</f>
        <v>1</v>
      </c>
      <c r="E30" s="39">
        <f>GETPIVOTDATA("Suma de Abiertos",Calculos!$A$72,"Responsable","SUB GERENCIA DE SERVICIOS OPERACIONALES E INFRAESTRUCTURA
DIRECCIÓN DE SERVICIO AL TRANSPORTADOR")</f>
        <v>0</v>
      </c>
      <c r="F30" s="39">
        <f>GETPIVOTDATA("Suma de Vencidos",Calculos!$A$72,"Responsable","SUB GERENCIA DE SERVICIOS OPERACIONALES E INFRAESTRUCTURA
DIRECCIÓN DE SERVICIO AL TRANSPORTADOR")</f>
        <v>0</v>
      </c>
      <c r="G30" s="39">
        <f>GETPIVOTDATA("Suma de Finalizados",Calculos!$A$72,"Responsable","SUB GERENCIA DE SERVICIOS OPERACIONALES E INFRAESTRUCTURA
DIRECCIÓN DE SERVICIO AL TRANSPORTADOR")</f>
        <v>1</v>
      </c>
      <c r="H30" s="39"/>
      <c r="I30" s="39">
        <f>GETPIVOTDATA("Suma de Sin plan de acción",Calculos!$A$72,"Responsable","SUB GERENCIA DE SERVICIOS OPERACIONALES E INFRAESTRUCTURA
DIRECCIÓN DE SERVICIO AL TRANSPORTADOR")</f>
        <v>0</v>
      </c>
    </row>
    <row r="31" spans="3:20" ht="40.200000000000003" customHeight="1">
      <c r="C31" s="45" t="s">
        <v>600</v>
      </c>
      <c r="D31" s="39">
        <f>GETPIVOTDATA("Suma de No. Planes de Acción",Calculos!$A$72,"Responsable","SUB GERENCIA JURÍDICA
SUB GERENCIA DE PLANEACIÓN Y PROYECTOS")</f>
        <v>3</v>
      </c>
      <c r="E31" s="39">
        <f>GETPIVOTDATA("Suma de Abiertos",Calculos!$A$72,"Responsable","SUB GERENCIA JURÍDICA
SUB GERENCIA DE PLANEACIÓN Y PROYECTOS")</f>
        <v>0</v>
      </c>
      <c r="F31" s="39">
        <f>GETPIVOTDATA("Suma de Vencidos",Calculos!$A$72,"Responsable","SUB GERENCIA JURÍDICA
SUB GERENCIA DE PLANEACIÓN Y PROYECTOS")</f>
        <v>3</v>
      </c>
      <c r="G31" s="39">
        <f>GETPIVOTDATA("Suma de Finalizados",Calculos!$A$72,"Responsable","SUB GERENCIA JURÍDICA
SUB GERENCIA DE PLANEACIÓN Y PROYECTOS")</f>
        <v>0</v>
      </c>
      <c r="H31" s="39"/>
      <c r="I31" s="39">
        <f>GETPIVOTDATA("Suma de Sin plan de acción",Calculos!$A$72,"Responsable","SUB GERENCIA JURÍDICA
SUB GERENCIA DE PLANEACIÓN Y PROYECTOS")</f>
        <v>0</v>
      </c>
    </row>
    <row r="32" spans="3:20" ht="34.200000000000003">
      <c r="C32" s="45" t="s">
        <v>601</v>
      </c>
      <c r="D32" s="39">
        <f>GETPIVOTDATA("Suma de No. Planes de Acción",Calculos!$A$72,"Responsable","SUB GERENCIA JURÍDICA
SUB GERENCIA CORPORATIVA
SUB GERENCIA DE SERVICIOS OPERACIONALES E INFRAESTRUCTURA")</f>
        <v>1</v>
      </c>
      <c r="E32" s="39">
        <f>GETPIVOTDATA("Suma de Abiertos",Calculos!$A$72,"Responsable","SUB GERENCIA JURÍDICA
SUB GERENCIA CORPORATIVA
SUB GERENCIA DE SERVICIOS OPERACIONALES E INFRAESTRUCTURA")</f>
        <v>1</v>
      </c>
      <c r="F32" s="39">
        <f>GETPIVOTDATA("Suma de Vencidos",Calculos!$A$72,"Responsable","SUB GERENCIA JURÍDICA
SUB GERENCIA CORPORATIVA
SUB GERENCIA DE SERVICIOS OPERACIONALES E INFRAESTRUCTURA")</f>
        <v>0</v>
      </c>
      <c r="G32" s="39">
        <f>GETPIVOTDATA("Suma de Finalizados",Calculos!$A$72,"Responsable","SUB GERENCIA JURÍDICA
SUB GERENCIA CORPORATIVA
SUB GERENCIA DE SERVICIOS OPERACIONALES E INFRAESTRUCTURA")</f>
        <v>0</v>
      </c>
      <c r="H32" s="39"/>
      <c r="I32" s="39">
        <f>GETPIVOTDATA("Suma de Sin plan de acción",Calculos!$A$72,"Responsable","SUB GERENCIA JURÍDICA
SUB GERENCIA CORPORATIVA
SUB GERENCIA DE SERVICIOS OPERACIONALES E INFRAESTRUCTURA")</f>
        <v>0</v>
      </c>
    </row>
    <row r="33" spans="3:36" ht="22.8">
      <c r="C33" s="94" t="s">
        <v>1251</v>
      </c>
      <c r="D33" s="39">
        <f>+GETPIVOTDATA("Suma de No. Planes de Acción",Calculos!$A$72,"Responsable","DIRECCIÓN DE RECURSOS TECNOLÓGICOS
SUB GERENCIA DE PLANEACIÓN Y PROYECTOS")</f>
        <v>2</v>
      </c>
      <c r="E33" s="39">
        <f>+GETPIVOTDATA("Suma de Abiertos",Calculos!$A$72,"Responsable","DIRECCIÓN DE RECURSOS TECNOLÓGICOS
SUB GERENCIA DE PLANEACIÓN Y PROYECTOS")</f>
        <v>2</v>
      </c>
      <c r="F33" s="39">
        <f>+GETPIVOTDATA("Suma de Vencidos",Calculos!$A$72,"Responsable","DIRECCIÓN DE RECURSOS TECNOLÓGICOS
SUB GERENCIA DE PLANEACIÓN Y PROYECTOS")</f>
        <v>0</v>
      </c>
      <c r="G33" s="39">
        <f>+GETPIVOTDATA("Suma de Finalizados",Calculos!$A$72,"Responsable","DIRECCIÓN DE RECURSOS TECNOLÓGICOS
SUB GERENCIA DE PLANEACIÓN Y PROYECTOS")</f>
        <v>0</v>
      </c>
      <c r="H33" s="40"/>
      <c r="I33" s="39">
        <f>+GETPIVOTDATA("Suma de Sin plan de acción",Calculos!$A$72,"Responsable","DIRECCIÓN DE RECURSOS TECNOLÓGICOS
SUB GERENCIA DE PLANEACIÓN Y PROYECTOS")</f>
        <v>0</v>
      </c>
    </row>
    <row r="34" spans="3:36" ht="12">
      <c r="C34" s="41" t="s">
        <v>585</v>
      </c>
      <c r="D34" s="41">
        <f>SUM(D24:D33)</f>
        <v>18</v>
      </c>
      <c r="E34" s="41">
        <f>SUM(E24:E33)</f>
        <v>3</v>
      </c>
      <c r="F34" s="41">
        <f>SUM(F24:F33)</f>
        <v>8</v>
      </c>
      <c r="G34" s="150">
        <f>SUM(G24:G33)</f>
        <v>7</v>
      </c>
      <c r="H34" s="35"/>
      <c r="I34" s="34">
        <f>SUM(I24:I33)</f>
        <v>0</v>
      </c>
    </row>
    <row r="35" spans="3:36">
      <c r="D35" s="40"/>
      <c r="E35" s="40"/>
      <c r="F35" s="40"/>
      <c r="G35" s="40"/>
      <c r="H35" s="40"/>
      <c r="I35" s="40"/>
    </row>
    <row r="36" spans="3:36">
      <c r="D36" s="40"/>
      <c r="E36" s="40"/>
      <c r="F36" s="40"/>
      <c r="G36" s="40"/>
      <c r="H36" s="40"/>
      <c r="I36" s="40"/>
    </row>
    <row r="37" spans="3:36">
      <c r="C37" s="43" t="s">
        <v>602</v>
      </c>
      <c r="D37" s="40"/>
      <c r="E37" s="40"/>
      <c r="F37" s="40"/>
      <c r="G37" s="40"/>
      <c r="H37" s="40"/>
      <c r="I37" s="40"/>
    </row>
    <row r="38" spans="3:36">
      <c r="D38" s="40"/>
      <c r="E38" s="40"/>
      <c r="F38" s="40"/>
      <c r="G38" s="40"/>
      <c r="H38" s="40"/>
      <c r="I38" s="40"/>
    </row>
    <row r="39" spans="3:36" ht="24">
      <c r="C39" s="227" t="s">
        <v>573</v>
      </c>
      <c r="D39" s="61" t="s">
        <v>573</v>
      </c>
      <c r="E39" s="61" t="s">
        <v>574</v>
      </c>
      <c r="F39" s="63" t="s">
        <v>575</v>
      </c>
      <c r="G39" s="63" t="s">
        <v>576</v>
      </c>
      <c r="H39" s="35"/>
      <c r="I39" s="63" t="s">
        <v>587</v>
      </c>
    </row>
    <row r="40" spans="3:36" ht="12">
      <c r="C40" s="228"/>
      <c r="D40" s="49">
        <f>+D19+D34</f>
        <v>163</v>
      </c>
      <c r="E40" s="49">
        <f>+E19+E34</f>
        <v>31</v>
      </c>
      <c r="F40" s="49">
        <f>+F19+F34</f>
        <v>26</v>
      </c>
      <c r="G40" s="49">
        <f>+G19+G34</f>
        <v>106</v>
      </c>
      <c r="H40" s="48"/>
      <c r="I40" s="49">
        <f>+I19+I34</f>
        <v>1</v>
      </c>
    </row>
    <row r="41" spans="3:36">
      <c r="D41" s="40"/>
      <c r="E41" s="40"/>
      <c r="F41" s="40"/>
      <c r="G41" s="40"/>
      <c r="H41" s="40"/>
      <c r="I41" s="40"/>
    </row>
    <row r="42" spans="3:36">
      <c r="D42" s="40"/>
      <c r="E42" s="40"/>
      <c r="F42" s="40"/>
      <c r="G42" s="40"/>
      <c r="H42" s="40"/>
      <c r="I42" s="40"/>
    </row>
    <row r="43" spans="3:36" ht="12">
      <c r="H43" s="40"/>
      <c r="I43" s="40"/>
      <c r="U43" s="61" t="s">
        <v>573</v>
      </c>
      <c r="V43" s="61" t="s">
        <v>574</v>
      </c>
      <c r="W43" s="62" t="s">
        <v>575</v>
      </c>
      <c r="X43" s="63" t="s">
        <v>576</v>
      </c>
      <c r="Y43" s="35"/>
      <c r="Z43" s="63" t="s">
        <v>587</v>
      </c>
    </row>
    <row r="44" spans="3:36" ht="13.2">
      <c r="H44" s="40"/>
      <c r="I44" s="40"/>
      <c r="T44" s="67" t="s">
        <v>592</v>
      </c>
      <c r="U44" s="37">
        <f>GETPIVOTDATA("Suma de No. Planes de Acción",Calculos!$A$72,"Responsable","SUB GERENCIA CORPORATIVA")</f>
        <v>9</v>
      </c>
      <c r="V44" s="37">
        <f>GETPIVOTDATA("Suma de Abiertos",Calculos!$A$72,"Responsable","SUB GERENCIA CORPORATIVA")</f>
        <v>3</v>
      </c>
      <c r="W44" s="38">
        <f>GETPIVOTDATA("Suma de Vencidos",Calculos!$A$72,"Responsable","SUB GERENCIA CORPORATIVA")</f>
        <v>3</v>
      </c>
      <c r="X44" s="39">
        <f>GETPIVOTDATA("Suma de Finalizados",Calculos!$A$72,"Responsable","SUB GERENCIA CORPORATIVA")</f>
        <v>3</v>
      </c>
      <c r="Y44" s="40"/>
      <c r="Z44" s="39">
        <f>GETPIVOTDATA("Suma de Sin plan de acción",Calculos!$A$72,"Responsable","SUB GERENCIA CORPORATIVA")</f>
        <v>0</v>
      </c>
      <c r="AB44" s="67" t="s">
        <v>608</v>
      </c>
      <c r="AC44" s="7"/>
      <c r="AD44" s="43"/>
      <c r="AE44" s="43"/>
      <c r="AF44" s="43"/>
      <c r="AG44" s="43"/>
      <c r="AH44" s="43"/>
      <c r="AI44" s="43"/>
      <c r="AJ44" s="43"/>
    </row>
    <row r="45" spans="3:36">
      <c r="H45" s="40"/>
      <c r="I45" s="40"/>
      <c r="T45" s="43"/>
      <c r="U45" s="37">
        <f>GETPIVOTDATA("Suma de No. Planes de Acción",Calculos!$A$72,"Responsable","SUB GERENCIA DE PLANEACIÓN Y PROYECTOS")</f>
        <v>11</v>
      </c>
      <c r="V45" s="37">
        <f>GETPIVOTDATA("Suma de Abiertos",Calculos!$A$72,"Responsable","SUB GERENCIA DE PLANEACIÓN Y PROYECTOS")</f>
        <v>0</v>
      </c>
      <c r="W45" s="38">
        <f>GETPIVOTDATA("Suma de Vencidos",Calculos!$A$72,"Responsable","SUB GERENCIA DE PLANEACIÓN Y PROYECTOS")</f>
        <v>6</v>
      </c>
      <c r="X45" s="39">
        <f>GETPIVOTDATA("Suma de Finalizados",Calculos!$A$72,"Responsable","SUB GERENCIA DE PLANEACIÓN Y PROYECTOS")</f>
        <v>5</v>
      </c>
      <c r="Y45" s="40"/>
      <c r="Z45" s="39">
        <f>GETPIVOTDATA("Suma de Sin plan de acción",Calculos!$A$72,"Responsable","SUB GERENCIA DE PLANEACIÓN Y PROYECTOS")</f>
        <v>0</v>
      </c>
      <c r="AB45" s="43"/>
      <c r="AC45" s="7"/>
      <c r="AD45" s="43"/>
      <c r="AE45" s="43"/>
      <c r="AF45" s="43"/>
      <c r="AG45" s="43"/>
      <c r="AH45" s="43"/>
      <c r="AI45" s="43"/>
      <c r="AJ45" s="43"/>
    </row>
    <row r="46" spans="3:36" ht="24">
      <c r="H46" s="40"/>
      <c r="I46" s="40"/>
      <c r="T46" s="34" t="s">
        <v>572</v>
      </c>
      <c r="U46" s="37">
        <f>GETPIVOTDATA("Suma de No. Planes de Acción",Calculos!$A$72,"Responsable","SUB GERENCIA DE SERVICIOS OPERACIONALES E INFRAESTRUCTURA")</f>
        <v>36</v>
      </c>
      <c r="V46" s="37">
        <f>GETPIVOTDATA("Suma de Abiertos",Calculos!$A$72,"Responsable","SUB GERENCIA DE SERVICIOS OPERACIONALES E INFRAESTRUCTURA")</f>
        <v>1</v>
      </c>
      <c r="W46" s="38">
        <f>GETPIVOTDATA("Suma de Vencidos",Calculos!$A$72,"Responsable","SUB GERENCIA DE SERVICIOS OPERACIONALES E INFRAESTRUCTURA")</f>
        <v>2</v>
      </c>
      <c r="X46" s="39">
        <f>GETPIVOTDATA("Suma de Finalizados",Calculos!$A$72,"Responsable","SUB GERENCIA DE SERVICIOS OPERACIONALES E INFRAESTRUCTURA")</f>
        <v>33</v>
      </c>
      <c r="Y46" s="40"/>
      <c r="Z46" s="39">
        <f>GETPIVOTDATA("Suma de Sin plan de acción",Calculos!$A$72,"Responsable","SUB GERENCIA DE SERVICIOS OPERACIONALES E INFRAESTRUCTURA")</f>
        <v>0</v>
      </c>
      <c r="AB46" s="32" t="s">
        <v>604</v>
      </c>
      <c r="AC46" s="32" t="s">
        <v>605</v>
      </c>
      <c r="AD46" s="32" t="s">
        <v>606</v>
      </c>
      <c r="AE46" s="61" t="s">
        <v>573</v>
      </c>
      <c r="AF46" s="61" t="s">
        <v>574</v>
      </c>
      <c r="AG46" s="63" t="s">
        <v>575</v>
      </c>
      <c r="AH46" s="63" t="s">
        <v>576</v>
      </c>
      <c r="AI46" s="35"/>
      <c r="AJ46" s="63" t="s">
        <v>587</v>
      </c>
    </row>
    <row r="47" spans="3:36" ht="34.200000000000003">
      <c r="T47" s="36" t="s">
        <v>589</v>
      </c>
      <c r="U47" s="37">
        <f>GETPIVOTDATA("Suma de No. Planes de Acción",Calculos!$A$72,"Responsable","SUB GERENCIA JURÍDICA")</f>
        <v>6</v>
      </c>
      <c r="V47" s="37">
        <f>GETPIVOTDATA("Suma de Abiertos",Calculos!$A$72,"Responsable","SUB GERENCIA JURÍDICA")</f>
        <v>1</v>
      </c>
      <c r="W47" s="38">
        <f>GETPIVOTDATA("Suma de Vencidos",Calculos!$A$72,"Responsable","SUB GERENCIA JURÍDICA")</f>
        <v>1</v>
      </c>
      <c r="X47" s="39">
        <f>GETPIVOTDATA("Suma de Finalizados",Calculos!$A$72,"Responsable","SUB GERENCIA JURÍDICA")</f>
        <v>4</v>
      </c>
      <c r="Y47" s="40"/>
      <c r="Z47" s="39">
        <f>GETPIVOTDATA("Suma de Sin plan de acción",Calculos!$A$72,"Responsable","SUB GERENCIA JURÍDICA")</f>
        <v>1</v>
      </c>
      <c r="AB47" s="39">
        <v>2023</v>
      </c>
      <c r="AC47" s="47" t="s">
        <v>14</v>
      </c>
      <c r="AD47" s="39">
        <f>GETPIVOTDATA("Suma de No. Hallazgos",Calculos!$A$50,"Auditoría","Proyecto ZPP (20240310026682)")</f>
        <v>25</v>
      </c>
      <c r="AE47" s="39">
        <f>GETPIVOTDATA("Suma de No. Planes de Acción",Calculos!$A$50,"Auditoría","Proyecto ZPP (20240310026682)")</f>
        <v>26</v>
      </c>
      <c r="AF47" s="39">
        <f>GETPIVOTDATA("Suma de Abiertos",Calculos!$A$50,"Auditoría","Proyecto ZPP (20240310026682)")</f>
        <v>0</v>
      </c>
      <c r="AG47" s="39">
        <f>GETPIVOTDATA("Suma de Vencidos",Calculos!$A$50,"Auditoría","Proyecto ZPP (20240310026682)")</f>
        <v>1</v>
      </c>
      <c r="AH47" s="39">
        <f>GETPIVOTDATA("Suma de Finalizados",Calculos!$A$50,"Auditoría","Proyecto ZPP (20240310026682)")</f>
        <v>25</v>
      </c>
      <c r="AI47" s="40"/>
      <c r="AJ47" s="39">
        <f>GETPIVOTDATA("Suma de Sin plan de acción",Calculos!$A$50,"Auditoría","Proyecto ZPP (20240310026682)")</f>
        <v>0</v>
      </c>
    </row>
    <row r="48" spans="3:36" ht="45.6">
      <c r="T48" s="36" t="s">
        <v>584</v>
      </c>
      <c r="U48" s="39">
        <f>GETPIVOTDATA("Suma de No. Planes de Acción",Calculos!$A$72,"Responsable","DIRECCIÓN DE GESTIÓN FINANCIERA")</f>
        <v>4</v>
      </c>
      <c r="V48" s="39">
        <f>GETPIVOTDATA("Suma de Abiertos",Calculos!$A$72,"Responsable","DIRECCIÓN DE GESTIÓN FINANCIERA")</f>
        <v>0</v>
      </c>
      <c r="W48" s="38">
        <f>GETPIVOTDATA("Suma de Vencidos",Calculos!$A$72,"Responsable","DIRECCIÓN DE GESTIÓN FINANCIERA")</f>
        <v>0</v>
      </c>
      <c r="X48" s="39">
        <f>GETPIVOTDATA("Suma de Finalizados",Calculos!$A$72,"Responsable","DIRECCIÓN DE GESTIÓN FINANCIERA")</f>
        <v>4</v>
      </c>
      <c r="Y48" s="40"/>
      <c r="Z48" s="39">
        <f>GETPIVOTDATA("Suma de Sin plan de acción",Calculos!$A$72,"Responsable","DIRECCIÓN DE GESTIÓN FINANCIERA")</f>
        <v>0</v>
      </c>
      <c r="AB48" s="39">
        <v>2024</v>
      </c>
      <c r="AC48" s="47" t="s">
        <v>157</v>
      </c>
      <c r="AD48" s="39">
        <f>GETPIVOTDATA("Suma de No. Hallazgos",Calculos!$A$50,"Auditoría","Auditoría Contratación (20250110007093)")</f>
        <v>5</v>
      </c>
      <c r="AE48" s="39">
        <f>GETPIVOTDATA("Suma de No. Planes de Acción",Calculos!$A$50,"Auditoría","Auditoría Contratación (20250110007093)")</f>
        <v>6</v>
      </c>
      <c r="AF48" s="39">
        <f>GETPIVOTDATA("Suma de Abiertos",Calculos!$A$50,"Auditoría","Auditoría Contratación (20250110007093)")</f>
        <v>0</v>
      </c>
      <c r="AG48" s="39">
        <f>GETPIVOTDATA("Suma de Vencidos",Calculos!$A$50,"Auditoría","Auditoría Contratación (20250110007093)")</f>
        <v>0</v>
      </c>
      <c r="AH48" s="39">
        <f>GETPIVOTDATA("Suma de Finalizados",Calculos!$A$50,"Auditoría","Auditoría Contratación (20250110007093)")</f>
        <v>6</v>
      </c>
      <c r="AI48" s="40"/>
      <c r="AJ48" s="39">
        <f>GETPIVOTDATA("Suma de Sin plan de acción",Calculos!$A$50,"Auditoría","Auditoría Contratación (20250110007093)")</f>
        <v>0</v>
      </c>
    </row>
    <row r="49" spans="20:36" ht="57">
      <c r="T49" s="36" t="s">
        <v>590</v>
      </c>
      <c r="U49" s="39">
        <f>GETPIVOTDATA("Suma de No. Planes de Acción",Calculos!$A$72,"Responsable","DIRECCIÓN DE GESTIÓN HUMANA")</f>
        <v>13</v>
      </c>
      <c r="V49" s="39">
        <f>GETPIVOTDATA("Suma de Abiertos",Calculos!$A$72,"Responsable","DIRECCIÓN DE GESTIÓN HUMANA")</f>
        <v>5</v>
      </c>
      <c r="W49" s="38">
        <f>GETPIVOTDATA("Suma de Vencidos",Calculos!$A$72,"Responsable","DIRECCIÓN DE GESTIÓN HUMANA")</f>
        <v>2</v>
      </c>
      <c r="X49" s="39">
        <f>GETPIVOTDATA("Suma de Finalizados",Calculos!$A$72,"Responsable","DIRECCIÓN DE GESTIÓN HUMANA")</f>
        <v>6</v>
      </c>
      <c r="Y49" s="40"/>
      <c r="Z49" s="39">
        <f>GETPIVOTDATA("Suma de Sin plan de acción",Calculos!$A$72,"Responsable","DIRECCIÓN DE GESTIÓN HUMANA")</f>
        <v>0</v>
      </c>
      <c r="AB49" s="39">
        <v>2024</v>
      </c>
      <c r="AC49" s="47" t="s">
        <v>142</v>
      </c>
      <c r="AD49" s="39">
        <f>GETPIVOTDATA("Suma de No. Hallazgos",Calculos!$A$50,"Auditoría","Auditoría Gestión Financiera (20240110040203)")</f>
        <v>4</v>
      </c>
      <c r="AE49" s="39">
        <f>GETPIVOTDATA("Suma de No. Planes de Acción",Calculos!$A$50,"Auditoría","Auditoría Gestión Financiera (20240110040203)")</f>
        <v>6</v>
      </c>
      <c r="AF49" s="39">
        <f>GETPIVOTDATA("Suma de Abiertos",Calculos!$A$50,"Auditoría","Auditoría Gestión Financiera (20240110040203)")</f>
        <v>0</v>
      </c>
      <c r="AG49" s="39">
        <f>GETPIVOTDATA("Suma de Vencidos",Calculos!$A$50,"Auditoría","Auditoría Gestión Financiera (20240110040203)")</f>
        <v>0</v>
      </c>
      <c r="AH49" s="39">
        <f>GETPIVOTDATA("Suma de Finalizados",Calculos!$A$50,"Auditoría","Auditoría Gestión Financiera (20240110040203)")</f>
        <v>6</v>
      </c>
      <c r="AI49" s="40"/>
      <c r="AJ49" s="39">
        <f>GETPIVOTDATA("Suma de Sin plan de acción",Calculos!$A$50,"Auditoría","Auditoría Gestión Financiera (20240110040203)")</f>
        <v>0</v>
      </c>
    </row>
    <row r="50" spans="20:36" ht="57">
      <c r="T50" s="36" t="s">
        <v>591</v>
      </c>
      <c r="U50" s="39">
        <f>GETPIVOTDATA("Suma de No. Planes de Acción",Calculos!$A$72,"Responsable","DIRECCIÓN DE INFRAESTRUCTURA")</f>
        <v>3</v>
      </c>
      <c r="V50" s="39">
        <f>GETPIVOTDATA("Suma de Abiertos",Calculos!$A$72,"Responsable","DIRECCIÓN DE INFRAESTRUCTURA")</f>
        <v>0</v>
      </c>
      <c r="W50" s="38">
        <f>GETPIVOTDATA("Suma de Vencidos",Calculos!$A$72,"Responsable","DIRECCIÓN DE INFRAESTRUCTURA")</f>
        <v>0</v>
      </c>
      <c r="X50" s="39">
        <f>GETPIVOTDATA("Suma de Finalizados",Calculos!$A$72,"Responsable","DIRECCIÓN DE INFRAESTRUCTURA")</f>
        <v>3</v>
      </c>
      <c r="Y50" s="40"/>
      <c r="Z50" s="39">
        <f>GETPIVOTDATA("Suma de Sin plan de acción",Calculos!$A$72,"Responsable","DIRECCIÓN DE INFRAESTRUCTURA")</f>
        <v>0</v>
      </c>
      <c r="AB50" s="39">
        <v>2024</v>
      </c>
      <c r="AC50" s="47" t="s">
        <v>112</v>
      </c>
      <c r="AD50" s="39">
        <f>GETPIVOTDATA("Suma de No. Hallazgos",Calculos!$A$50,"Auditoría","Auditoría Requerimientos (20250110002803)")</f>
        <v>7</v>
      </c>
      <c r="AE50" s="39">
        <f>GETPIVOTDATA("Suma de No. Planes de Acción",Calculos!$A$50,"Auditoría","Auditoría Requerimientos (20250110002803)")</f>
        <v>8</v>
      </c>
      <c r="AF50" s="39">
        <f>GETPIVOTDATA("Suma de Abiertos",Calculos!$A$50,"Auditoría","Auditoría Requerimientos (20250110002803)")</f>
        <v>0</v>
      </c>
      <c r="AG50" s="39">
        <f>GETPIVOTDATA("Suma de Vencidos",Calculos!$A$50,"Auditoría","Auditoría Requerimientos (20250110002803)")</f>
        <v>1</v>
      </c>
      <c r="AH50" s="39">
        <f>GETPIVOTDATA("Suma de Finalizados",Calculos!$A$50,"Auditoría","Auditoría Requerimientos (20250110002803)")</f>
        <v>7</v>
      </c>
      <c r="AI50" s="40"/>
      <c r="AJ50" s="39">
        <f>GETPIVOTDATA("Suma de Sin plan de acción",Calculos!$A$50,"Auditoría","Auditoría Requerimientos (20250110002803)")</f>
        <v>0</v>
      </c>
    </row>
    <row r="51" spans="20:36" ht="91.2">
      <c r="T51" s="44" t="s">
        <v>577</v>
      </c>
      <c r="U51" s="39">
        <f>GETPIVOTDATA("Suma de No. Planes de Acción",Calculos!$A$72,"Responsable","DIRECCIÓN DE RECURSOS FÍSICOS Y NEGOCIOS")</f>
        <v>5</v>
      </c>
      <c r="V51" s="39">
        <f>GETPIVOTDATA("Suma de Abiertos",Calculos!$A$72,"Responsable","DIRECCIÓN DE RECURSOS FÍSICOS Y NEGOCIOS")</f>
        <v>1</v>
      </c>
      <c r="W51" s="38">
        <f>GETPIVOTDATA("Suma de Vencidos",Calculos!$A$72,"Responsable","DIRECCIÓN DE RECURSOS FÍSICOS Y NEGOCIOS")</f>
        <v>0</v>
      </c>
      <c r="X51" s="39">
        <f>GETPIVOTDATA("Suma de Finalizados",Calculos!$A$72,"Responsable","DIRECCIÓN DE RECURSOS FÍSICOS Y NEGOCIOS")</f>
        <v>4</v>
      </c>
      <c r="Y51" s="40"/>
      <c r="Z51" s="39">
        <f>GETPIVOTDATA("Suma de Sin plan de acción",Calculos!$A$72,"Responsable","DIRECCIÓN DE RECURSOS FÍSICOS Y NEGOCIOS")</f>
        <v>0</v>
      </c>
      <c r="AB51" s="39">
        <v>2025</v>
      </c>
      <c r="AC51" s="47" t="s">
        <v>306</v>
      </c>
      <c r="AD51" s="39">
        <f>GETPIVOTDATA("Suma de No. Hallazgos",Calculos!$A$50,"Auditoría","Auditoría – Índice de Transparencia y Acceso a la Información –ITA (20250110033183)")</f>
        <v>3</v>
      </c>
      <c r="AE51" s="39">
        <f>GETPIVOTDATA("Suma de No. Planes de Acción",Calculos!$A$50,"Auditoría","Auditoría – Índice de Transparencia y Acceso a la Información –ITA (20250110033183)")</f>
        <v>6</v>
      </c>
      <c r="AF51" s="39">
        <f>GETPIVOTDATA("Suma de Abiertos",Calculos!$A$50,"Auditoría","Auditoría – Índice de Transparencia y Acceso a la Información –ITA (20250110033183)")</f>
        <v>0</v>
      </c>
      <c r="AG51" s="39">
        <f>GETPIVOTDATA("Suma de Vencidos",Calculos!$A$50,"Auditoría","Auditoría – Índice de Transparencia y Acceso a la Información –ITA (20250110033183)")</f>
        <v>2</v>
      </c>
      <c r="AH51" s="39">
        <f>GETPIVOTDATA("Suma de Finalizados",Calculos!$A$50,"Auditoría","Auditoría – Índice de Transparencia y Acceso a la Información –ITA (20250110033183)")</f>
        <v>4</v>
      </c>
      <c r="AI51" s="40"/>
      <c r="AJ51" s="39">
        <f>GETPIVOTDATA("Suma de Sin plan de acción",Calculos!$A$50,"Auditoría","Auditoría – Índice de Transparencia y Acceso a la Información –ITA (20250110033183)")</f>
        <v>0</v>
      </c>
    </row>
    <row r="52" spans="20:36" ht="136.80000000000001">
      <c r="T52" s="44" t="s">
        <v>578</v>
      </c>
      <c r="U52" s="39">
        <f>GETPIVOTDATA("Suma de No. Planes de Acción",Calculos!$A$72,"Responsable","DIRECCIÓN DE RECURSOS TECNOLÓGICOS")</f>
        <v>25</v>
      </c>
      <c r="V52" s="39">
        <f>GETPIVOTDATA("Suma de Abiertos",Calculos!$A$72,"Responsable","DIRECCIÓN DE RECURSOS TECNOLÓGICOS")</f>
        <v>17</v>
      </c>
      <c r="W52" s="38">
        <f>GETPIVOTDATA("Suma de Vencidos",Calculos!$A$72,"Responsable","DIRECCIÓN DE RECURSOS TECNOLÓGICOS")</f>
        <v>0</v>
      </c>
      <c r="X52" s="39">
        <f>GETPIVOTDATA("Suma de Finalizados",Calculos!$A$72,"Responsable","DIRECCIÓN DE RECURSOS TECNOLÓGICOS")</f>
        <v>8</v>
      </c>
      <c r="Y52" s="40"/>
      <c r="Z52" s="39">
        <f>GETPIVOTDATA("Suma de Sin plan de acción",Calculos!$A$72,"Responsable","DIRECCIÓN DE RECURSOS TECNOLÓGICOS")</f>
        <v>0</v>
      </c>
      <c r="AB52" s="39">
        <v>2025</v>
      </c>
      <c r="AC52" s="47" t="s">
        <v>471</v>
      </c>
      <c r="AD52" s="39">
        <f>GETPIVOTDATA("Suma de No. Hallazgos",Calculos!$A$50,"Auditoría","Auditoría – Investigación Interna – Queja recibida de la Oficina de Control Interno de la Secretaría Distrital de Movilidad (20250110037763)")</f>
        <v>2</v>
      </c>
      <c r="AE52" s="39">
        <f>GETPIVOTDATA("Suma de No. Planes de Acción",Calculos!$A$50,"Auditoría","Auditoría – Investigación Interna – Queja recibida de la Oficina de Control Interno de la Secretaría Distrital de Movilidad (20250110037763)")</f>
        <v>3</v>
      </c>
      <c r="AF52" s="39">
        <f>GETPIVOTDATA("Suma de Abiertos",Calculos!$A$50,"Auditoría","Auditoría – Investigación Interna – Queja recibida de la Oficina de Control Interno de la Secretaría Distrital de Movilidad (20250110037763)")</f>
        <v>1</v>
      </c>
      <c r="AG52" s="39">
        <f>GETPIVOTDATA("Suma de Vencidos",Calculos!$A$50,"Auditoría","Auditoría – Investigación Interna – Queja recibida de la Oficina de Control Interno de la Secretaría Distrital de Movilidad (20250110037763)")</f>
        <v>2</v>
      </c>
      <c r="AH52" s="39">
        <f>GETPIVOTDATA("Suma de Finalizados",Calculos!$A$50,"Auditoría","Auditoría – Investigación Interna – Queja recibida de la Oficina de Control Interno de la Secretaría Distrital de Movilidad (20250110037763)")</f>
        <v>0</v>
      </c>
      <c r="AI52" s="40"/>
      <c r="AJ52" s="39">
        <f>GETPIVOTDATA("Suma de Sin plan de acción",Calculos!$A$50,"Auditoría","Auditoría – Investigación Interna – Queja recibida de la Oficina de Control Interno de la Secretaría Distrital de Movilidad (20250110037763)")</f>
        <v>0</v>
      </c>
    </row>
    <row r="53" spans="20:36" ht="45.6">
      <c r="T53" s="44" t="s">
        <v>579</v>
      </c>
      <c r="U53" s="39">
        <f>GETPIVOTDATA("Suma de No. Planes de Acción",Calculos!$A$72,"Responsable","DIRECCIÓN DE SERVICIO AL CIUDADANO")</f>
        <v>16</v>
      </c>
      <c r="V53" s="39">
        <f>GETPIVOTDATA("Suma de Abiertos",Calculos!$A$72,"Responsable","DIRECCIÓN DE SERVICIO AL CIUDADANO")</f>
        <v>0</v>
      </c>
      <c r="W53" s="38">
        <f>GETPIVOTDATA("Suma de Vencidos",Calculos!$A$72,"Responsable","DIRECCIÓN DE SERVICIO AL CIUDADANO")</f>
        <v>2</v>
      </c>
      <c r="X53" s="39">
        <f>GETPIVOTDATA("Suma de Finalizados",Calculos!$A$72,"Responsable","DIRECCIÓN DE SERVICIO AL CIUDADANO")</f>
        <v>14</v>
      </c>
      <c r="Y53" s="40"/>
      <c r="Z53" s="39">
        <f>GETPIVOTDATA("Suma de Sin plan de acción",Calculos!$A$72,"Responsable","DIRECCIÓN DE SERVICIO AL CIUDADANO")</f>
        <v>0</v>
      </c>
      <c r="AB53" s="39">
        <v>2025</v>
      </c>
      <c r="AC53" s="47" t="s">
        <v>449</v>
      </c>
      <c r="AD53" s="39">
        <f>GETPIVOTDATA("Suma de No. Hallazgos",Calculos!$A$50,"Auditoría","Auditoría AIU - Temporales (20250110024753)")</f>
        <v>4</v>
      </c>
      <c r="AE53" s="39">
        <f>GETPIVOTDATA("Suma de No. Planes de Acción",Calculos!$A$50,"Auditoría","Auditoría AIU - Temporales (20250110024753)")</f>
        <v>4</v>
      </c>
      <c r="AF53" s="39">
        <f>GETPIVOTDATA("Suma de Abiertos",Calculos!$A$50,"Auditoría","Auditoría AIU - Temporales (20250110024753)")</f>
        <v>0</v>
      </c>
      <c r="AG53" s="39">
        <f>GETPIVOTDATA("Suma de Vencidos",Calculos!$A$50,"Auditoría","Auditoría AIU - Temporales (20250110024753)")</f>
        <v>1</v>
      </c>
      <c r="AH53" s="39">
        <f>GETPIVOTDATA("Suma de Finalizados",Calculos!$A$50,"Auditoría","Auditoría AIU - Temporales (20250110024753)")</f>
        <v>3</v>
      </c>
      <c r="AI53" s="40"/>
      <c r="AJ53" s="39">
        <f>GETPIVOTDATA("Suma de Sin plan de acción",Calculos!$A$50,"Auditoría","Auditoría AIU - Temporales (20250110024753)")</f>
        <v>0</v>
      </c>
    </row>
    <row r="54" spans="20:36" ht="57">
      <c r="T54" s="44" t="s">
        <v>580</v>
      </c>
      <c r="U54" s="39">
        <f>GETPIVOTDATA("Suma de No. Planes de Acción",Calculos!$A$72,"Responsable","DIRECCIÓN DE SERVICIO AL TRANSPORTADOR")</f>
        <v>12</v>
      </c>
      <c r="V54" s="39">
        <f>GETPIVOTDATA("Suma de Abiertos",Calculos!$A$72,"Responsable","DIRECCIÓN DE SERVICIO AL TRANSPORTADOR")</f>
        <v>0</v>
      </c>
      <c r="W54" s="38">
        <f>GETPIVOTDATA("Suma de Vencidos",Calculos!$A$72,"Responsable","DIRECCIÓN DE SERVICIO AL TRANSPORTADOR")</f>
        <v>0</v>
      </c>
      <c r="X54" s="39">
        <f>GETPIVOTDATA("Suma de Finalizados",Calculos!$A$72,"Responsable","DIRECCIÓN DE SERVICIO AL TRANSPORTADOR")</f>
        <v>12</v>
      </c>
      <c r="Y54" s="40"/>
      <c r="Z54" s="39">
        <f>GETPIVOTDATA("Suma de Sin plan de acción",Calculos!$A$72,"Responsable","DIRECCIÓN DE SERVICIO AL TRANSPORTADOR")</f>
        <v>0</v>
      </c>
      <c r="AB54" s="39">
        <v>2025</v>
      </c>
      <c r="AC54" s="47" t="s">
        <v>399</v>
      </c>
      <c r="AD54" s="39">
        <f>GETPIVOTDATA("Suma de No. Hallazgos",Calculos!$A$50,"Auditoría","Auditoría al Cierre del Almacén (20250110045533)")</f>
        <v>5</v>
      </c>
      <c r="AE54" s="39">
        <f>GETPIVOTDATA("Suma de No. Planes de Acción",Calculos!$A$50,"Auditoría","Auditoría al Cierre del Almacén (20250110045533)")</f>
        <v>7</v>
      </c>
      <c r="AF54" s="39">
        <f>GETPIVOTDATA("Suma de Abiertos",Calculos!$A$50,"Auditoría","Auditoría al Cierre del Almacén (20250110045533)")</f>
        <v>4</v>
      </c>
      <c r="AG54" s="39">
        <f>GETPIVOTDATA("Suma de Vencidos",Calculos!$A$50,"Auditoría","Auditoría al Cierre del Almacén (20250110045533)")</f>
        <v>0</v>
      </c>
      <c r="AH54" s="39">
        <f>GETPIVOTDATA("Suma de Finalizados",Calculos!$A$50,"Auditoría","Auditoría al Cierre del Almacén (20250110045533)")</f>
        <v>3</v>
      </c>
      <c r="AI54" s="40"/>
      <c r="AJ54" s="39">
        <f>GETPIVOTDATA("Suma de Sin plan de acción",Calculos!$A$50,"Auditoría","Auditoría al Cierre del Almacén (20250110045533)")</f>
        <v>1</v>
      </c>
    </row>
    <row r="55" spans="20:36" ht="57">
      <c r="T55" s="45" t="s">
        <v>581</v>
      </c>
      <c r="U55" s="39">
        <f>GETPIVOTDATA("Suma de No. Planes de Acción",Calculos!$A$72,"Responsable","OFICINA DE COMUNICACIONES")</f>
        <v>4</v>
      </c>
      <c r="V55" s="39">
        <f>GETPIVOTDATA("Suma de Abiertos",Calculos!$A$72,"Responsable","OFICINA DE COMUNICACIONES")</f>
        <v>0</v>
      </c>
      <c r="W55" s="38">
        <f>GETPIVOTDATA("Suma de Vencidos",Calculos!$A$72,"Responsable","OFICINA DE COMUNICACIONES")</f>
        <v>2</v>
      </c>
      <c r="X55" s="39">
        <f>GETPIVOTDATA("Suma de Finalizados",Calculos!$A$72,"Responsable","OFICINA DE COMUNICACIONES")</f>
        <v>2</v>
      </c>
      <c r="Y55" s="40"/>
      <c r="Z55" s="39">
        <f>GETPIVOTDATA("Suma de Sin plan de acción",Calculos!$A$72,"Responsable","OFICINA DE COMUNICACIONES")</f>
        <v>0</v>
      </c>
      <c r="AB55" s="39">
        <v>2025</v>
      </c>
      <c r="AC55" s="47" t="s">
        <v>251</v>
      </c>
      <c r="AD55" s="39">
        <f>GETPIVOTDATA("Suma de No. Hallazgos",Calculos!$A$50,"Auditoría","Auditoría al Programa de Seguridad Vial (20250110031663)")</f>
        <v>9</v>
      </c>
      <c r="AE55" s="39">
        <f>GETPIVOTDATA("Suma de No. Planes de Acción",Calculos!$A$50,"Auditoría","Auditoría al Programa de Seguridad Vial (20250110031663)")</f>
        <v>12</v>
      </c>
      <c r="AF55" s="39">
        <f>GETPIVOTDATA("Suma de Abiertos",Calculos!$A$50,"Auditoría","Auditoría al Programa de Seguridad Vial (20250110031663)")</f>
        <v>0</v>
      </c>
      <c r="AG55" s="39">
        <f>GETPIVOTDATA("Suma de Vencidos",Calculos!$A$50,"Auditoría","Auditoría al Programa de Seguridad Vial (20250110031663)")</f>
        <v>0</v>
      </c>
      <c r="AH55" s="39">
        <f>GETPIVOTDATA("Suma de Finalizados",Calculos!$A$50,"Auditoría","Auditoría al Programa de Seguridad Vial (20250110031663)")</f>
        <v>12</v>
      </c>
      <c r="AI55" s="40"/>
      <c r="AJ55" s="39">
        <f>GETPIVOTDATA("Suma de Sin plan de acción",Calculos!$A$50,"Auditoría","Auditoría al Programa de Seguridad Vial (20250110031663)")</f>
        <v>0</v>
      </c>
    </row>
    <row r="56" spans="20:36" ht="57">
      <c r="T56" s="45" t="s">
        <v>582</v>
      </c>
      <c r="U56" s="41">
        <f>SUM(U44:U55)</f>
        <v>144</v>
      </c>
      <c r="V56" s="41">
        <f>SUM(V44:V55)</f>
        <v>28</v>
      </c>
      <c r="W56" s="41">
        <f>SUM(W44:W55)</f>
        <v>18</v>
      </c>
      <c r="X56" s="34">
        <f>SUM(X44:X55)</f>
        <v>98</v>
      </c>
      <c r="Y56" s="35"/>
      <c r="Z56" s="34">
        <f>SUM(Z44:Z55)</f>
        <v>1</v>
      </c>
      <c r="AB56" s="39">
        <v>2025</v>
      </c>
      <c r="AC56" s="47" t="s">
        <v>461</v>
      </c>
      <c r="AD56" s="39">
        <f>GETPIVOTDATA("Suma de No. Hallazgos",Calculos!$A$50,"Auditoría","Auditoría Evaluación al Ambiente de TI (20250110045483)")</f>
        <v>2</v>
      </c>
      <c r="AE56" s="39">
        <f>GETPIVOTDATA("Suma de No. Planes de Acción",Calculos!$A$50,"Auditoría","Auditoría Evaluación al Ambiente de TI (20250110045483)")</f>
        <v>5</v>
      </c>
      <c r="AF56" s="39">
        <f>GETPIVOTDATA("Suma de Abiertos",Calculos!$A$50,"Auditoría","Auditoría Evaluación al Ambiente de TI (20250110045483)")</f>
        <v>5</v>
      </c>
      <c r="AG56" s="39">
        <f>GETPIVOTDATA("Suma de Vencidos",Calculos!$A$50,"Auditoría","Auditoría Evaluación al Ambiente de TI (20250110045483)")</f>
        <v>0</v>
      </c>
      <c r="AH56" s="39">
        <f>GETPIVOTDATA("Suma de Finalizados",Calculos!$A$50,"Auditoría","Auditoría Evaluación al Ambiente de TI (20250110045483)")</f>
        <v>0</v>
      </c>
      <c r="AI56" s="40"/>
      <c r="AJ56" s="39">
        <f>GETPIVOTDATA("Suma de Sin plan de acción",Calculos!$A$50,"Auditoría","Auditoría Evaluación al Ambiente de TI (20250110045483)")</f>
        <v>0</v>
      </c>
    </row>
    <row r="57" spans="20:36" ht="91.2">
      <c r="T57" s="44" t="s">
        <v>588</v>
      </c>
      <c r="AB57" s="39">
        <v>2025</v>
      </c>
      <c r="AC57" s="47" t="s">
        <v>419</v>
      </c>
      <c r="AD57" s="39">
        <f>GETPIVOTDATA("Suma de No. Hallazgos",Calculos!$A$50,"Auditoría","Auditoría Gobierno Corporativo, Transparencia y Conflicto de Intereses (20250110041653)")</f>
        <v>4</v>
      </c>
      <c r="AE57" s="39">
        <f>GETPIVOTDATA("Suma de No. Planes de Acción",Calculos!$A$50,"Auditoría","Auditoría Gobierno Corporativo, Transparencia y Conflicto de Intereses (20250110041653)")</f>
        <v>18</v>
      </c>
      <c r="AF57" s="39">
        <f>GETPIVOTDATA("Suma de Abiertos",Calculos!$A$50,"Auditoría","Auditoría Gobierno Corporativo, Transparencia y Conflicto de Intereses (20250110041653)")</f>
        <v>5</v>
      </c>
      <c r="AG57" s="39">
        <f>GETPIVOTDATA("Suma de Vencidos",Calculos!$A$50,"Auditoría","Auditoría Gobierno Corporativo, Transparencia y Conflicto de Intereses (20250110041653)")</f>
        <v>13</v>
      </c>
      <c r="AH57" s="39">
        <f>GETPIVOTDATA("Suma de Finalizados",Calculos!$A$50,"Auditoría","Auditoría Gobierno Corporativo, Transparencia y Conflicto de Intereses (20250110041653)")</f>
        <v>0</v>
      </c>
      <c r="AI57" s="40"/>
      <c r="AJ57" s="39">
        <f>GETPIVOTDATA("Suma de Sin plan de acción",Calculos!$A$50,"Auditoría","Auditoría Gobierno Corporativo, Transparencia y Conflicto de Intereses (20250110041653)")</f>
        <v>0</v>
      </c>
    </row>
    <row r="58" spans="20:36" ht="57">
      <c r="T58" s="44" t="s">
        <v>583</v>
      </c>
      <c r="AB58" s="39">
        <v>2025</v>
      </c>
      <c r="AC58" s="47" t="s">
        <v>181</v>
      </c>
      <c r="AD58" s="39">
        <f>GETPIVOTDATA("Suma de No. Hallazgos",Calculos!$A$50,"Auditoría","Auditoría Servicios Conexos (20250110018563)")</f>
        <v>9</v>
      </c>
      <c r="AE58" s="39">
        <f>GETPIVOTDATA("Suma de No. Planes de Acción",Calculos!$A$50,"Auditoría","Auditoría Servicios Conexos (20250110018563)")</f>
        <v>17</v>
      </c>
      <c r="AF58" s="39">
        <f>GETPIVOTDATA("Suma de Abiertos",Calculos!$A$50,"Auditoría","Auditoría Servicios Conexos (20250110018563)")</f>
        <v>0</v>
      </c>
      <c r="AG58" s="39">
        <f>GETPIVOTDATA("Suma de Vencidos",Calculos!$A$50,"Auditoría","Auditoría Servicios Conexos (20250110018563)")</f>
        <v>2</v>
      </c>
      <c r="AH58" s="39">
        <f>GETPIVOTDATA("Suma de Finalizados",Calculos!$A$50,"Auditoría","Auditoría Servicios Conexos (20250110018563)")</f>
        <v>15</v>
      </c>
      <c r="AI58" s="40"/>
      <c r="AJ58" s="39">
        <f>GETPIVOTDATA("Suma de Sin plan de acción",Calculos!$A$50,"Auditoría","Auditoría Servicios Conexos (20250110018563)")</f>
        <v>0</v>
      </c>
    </row>
    <row r="59" spans="20:36" ht="91.2">
      <c r="T59" s="41" t="s">
        <v>585</v>
      </c>
      <c r="AB59" s="39">
        <v>2025</v>
      </c>
      <c r="AC59" s="47" t="s">
        <v>486</v>
      </c>
      <c r="AD59" s="39">
        <f>GETPIVOTDATA("Suma de No. Hallazgos",Calculos!$A$50,"Auditoría","Informe de Auditoría al Proceso Gestión de Parqueaderos en Vía (ZPP) 20260110007943")</f>
        <v>4</v>
      </c>
      <c r="AE59" s="39">
        <f>GETPIVOTDATA("Suma de No. Planes de Acción",Calculos!$A$50,"Auditoría","Informe de Auditoría al Proceso Gestión de Parqueaderos en Vía (ZPP) 20260110007943")</f>
        <v>6</v>
      </c>
      <c r="AF59" s="39">
        <f>GETPIVOTDATA("Suma de Abiertos",Calculos!$A$50,"Auditoría","Informe de Auditoría al Proceso Gestión de Parqueaderos en Vía (ZPP) 20260110007943")</f>
        <v>1</v>
      </c>
      <c r="AG59" s="39">
        <f>GETPIVOTDATA("Suma de Vencidos",Calculos!$A$50,"Auditoría","Informe de Auditoría al Proceso Gestión de Parqueaderos en Vía (ZPP) 20260110007943")</f>
        <v>1</v>
      </c>
      <c r="AH59" s="39">
        <f>GETPIVOTDATA("Suma de Finalizados",Calculos!$A$50,"Auditoría","Informe de Auditoría al Proceso Gestión de Parqueaderos en Vía (ZPP) 20260110007943")</f>
        <v>4</v>
      </c>
      <c r="AI59" s="43"/>
      <c r="AJ59" s="39">
        <f>GETPIVOTDATA("Suma de Sin plan de acción",Calculos!$A$50,"Auditoría","Informe de Auditoría al Proceso Gestión de Parqueaderos en Vía (ZPP) 20260110007943")</f>
        <v>0</v>
      </c>
    </row>
    <row r="60" spans="20:36" ht="57">
      <c r="T60" s="43"/>
      <c r="U60" s="61" t="s">
        <v>573</v>
      </c>
      <c r="V60" s="61" t="s">
        <v>574</v>
      </c>
      <c r="W60" s="62" t="s">
        <v>575</v>
      </c>
      <c r="X60" s="63" t="s">
        <v>576</v>
      </c>
      <c r="Y60" s="35"/>
      <c r="Z60" s="63" t="s">
        <v>587</v>
      </c>
      <c r="AB60" s="39">
        <v>2025</v>
      </c>
      <c r="AC60" s="47" t="s">
        <v>327</v>
      </c>
      <c r="AD60" s="39">
        <f>GETPIVOTDATA("Suma de No. Hallazgos",Calculos!$A$50,"Auditoría","Operativos de Control Externo (20250110018323)")</f>
        <v>7</v>
      </c>
      <c r="AE60" s="39">
        <f>GETPIVOTDATA("Suma de No. Planes de Acción",Calculos!$A$50,"Auditoría","Operativos de Control Externo (20250110018323)")</f>
        <v>8</v>
      </c>
      <c r="AF60" s="39">
        <f>GETPIVOTDATA("Suma de Abiertos",Calculos!$A$50,"Auditoría","Operativos de Control Externo (20250110018323)")</f>
        <v>0</v>
      </c>
      <c r="AG60" s="39">
        <f>GETPIVOTDATA("Suma de Vencidos",Calculos!$A$50,"Auditoría","Operativos de Control Externo (20250110018323)")</f>
        <v>0</v>
      </c>
      <c r="AH60" s="39">
        <f>GETPIVOTDATA("Suma de Finalizados",Calculos!$A$50,"Auditoría","Operativos de Control Externo (20250110018323)")</f>
        <v>8</v>
      </c>
      <c r="AI60" s="43"/>
      <c r="AJ60" s="39">
        <f>GETPIVOTDATA("Suma de Sin plan de acción",Calculos!$A$50,"Auditoría","Operativos de Control Externo (20250110018323)")</f>
        <v>0</v>
      </c>
    </row>
    <row r="61" spans="20:36" ht="57">
      <c r="T61" s="67" t="s">
        <v>603</v>
      </c>
      <c r="U61" s="39">
        <f>GETPIVOTDATA("Suma de No. Planes de Acción",Calculos!$A$72,"Responsable","DIRECCIÓN DE RECURSOS FÍSICOS Y NEGOCIOS
DIRECCIÓN DE SERVICIO AL CIUDADANO")</f>
        <v>1</v>
      </c>
      <c r="V61" s="39">
        <f>GETPIVOTDATA("Suma de Abiertos",Calculos!$A$72,"Responsable","DIRECCIÓN DE RECURSOS FÍSICOS Y NEGOCIOS
DIRECCIÓN DE SERVICIO AL CIUDADANO")</f>
        <v>0</v>
      </c>
      <c r="W61" s="39">
        <f>GETPIVOTDATA("Suma de Vencidos",Calculos!$A$72,"Responsable","DIRECCIÓN DE RECURSOS FÍSICOS Y NEGOCIOS
DIRECCIÓN DE SERVICIO AL CIUDADANO")</f>
        <v>0</v>
      </c>
      <c r="X61" s="39">
        <f>GETPIVOTDATA("Suma de Finalizados",Calculos!$A$72,"Responsable","DIRECCIÓN DE RECURSOS FÍSICOS Y NEGOCIOS
DIRECCIÓN DE SERVICIO AL CIUDADANO")</f>
        <v>1</v>
      </c>
      <c r="Y61" s="39"/>
      <c r="Z61" s="39">
        <f>GETPIVOTDATA("Suma de Sin plan de acción",Calculos!$A$72,"Responsable","DIRECCIÓN DE RECURSOS FÍSICOS Y NEGOCIOS
DIRECCIÓN DE SERVICIO AL CIUDADANO")</f>
        <v>0</v>
      </c>
      <c r="AB61" s="39">
        <v>2025</v>
      </c>
      <c r="AC61" s="47" t="s">
        <v>607</v>
      </c>
      <c r="AD61" s="39">
        <f>GETPIVOTDATA("Suma de No. Hallazgos",Calculos!$A$50,"Auditoría","Seguimiento al Derecho de Petición
radicado 20250310114332")</f>
        <v>2</v>
      </c>
      <c r="AE61" s="39">
        <f>GETPIVOTDATA("Suma de No. Planes de Acción",Calculos!$A$50,"Auditoría","Seguimiento al Derecho de Petición
radicado 20250310114332")</f>
        <v>2</v>
      </c>
      <c r="AF61" s="39">
        <f>GETPIVOTDATA("Suma de Abiertos",Calculos!$A$50,"Auditoría","Seguimiento al Derecho de Petición
radicado 20250310114332")</f>
        <v>0</v>
      </c>
      <c r="AG61" s="39">
        <f>GETPIVOTDATA("Suma de Vencidos",Calculos!$A$50,"Auditoría","Seguimiento al Derecho de Petición
radicado 20250310114332")</f>
        <v>0</v>
      </c>
      <c r="AH61" s="39">
        <f>GETPIVOTDATA("Suma de Finalizados",Calculos!$A$50,"Auditoría","Seguimiento al Derecho de Petición
radicado 20250310114332")</f>
        <v>2</v>
      </c>
      <c r="AI61" s="43"/>
      <c r="AJ61" s="39">
        <f>GETPIVOTDATA("Suma de Sin plan de acción",Calculos!$A$50,"Auditoría","Seguimiento al Derecho de Petición
radicado 20250310114332")</f>
        <v>0</v>
      </c>
    </row>
    <row r="62" spans="20:36" ht="45.6">
      <c r="T62" s="43"/>
      <c r="U62" s="39">
        <f>GETPIVOTDATA("Suma de No. Planes de Acción",Calculos!$A$72,"Responsable","DIRECCIÓN DE RECURSOS FÍSICOS Y NEGOCIOS
DIRECCIÓN DE SERVICIO AL CIUDADANO
SUB GERENCIA DE PLANEACIÓN Y PROYECTOS
DIRECCIÓN DE GESTIÓN FINANCIERA")</f>
        <v>1</v>
      </c>
      <c r="V62" s="39">
        <f>GETPIVOTDATA("Suma de Abiertos",Calculos!$A$72,"Responsable","DIRECCIÓN DE RECURSOS FÍSICOS Y NEGOCIOS
DIRECCIÓN DE SERVICIO AL CIUDADANO
SUB GERENCIA DE PLANEACIÓN Y PROYECTOS
DIRECCIÓN DE GESTIÓN FINANCIERA")</f>
        <v>0</v>
      </c>
      <c r="W62" s="39">
        <f>GETPIVOTDATA("Suma de Vencidos",Calculos!$A$72,"Responsable","DIRECCIÓN DE RECURSOS FÍSICOS Y NEGOCIOS
DIRECCIÓN DE SERVICIO AL CIUDADANO
SUB GERENCIA DE PLANEACIÓN Y PROYECTOS
DIRECCIÓN DE GESTIÓN FINANCIERA")</f>
        <v>0</v>
      </c>
      <c r="X62" s="39">
        <f>GETPIVOTDATA("Suma de Finalizados",Calculos!$A$72,"Responsable","DIRECCIÓN DE RECURSOS FÍSICOS Y NEGOCIOS
DIRECCIÓN DE SERVICIO AL CIUDADANO
SUB GERENCIA DE PLANEACIÓN Y PROYECTOS
DIRECCIÓN DE GESTIÓN FINANCIERA")</f>
        <v>1</v>
      </c>
      <c r="Y62" s="39"/>
      <c r="Z62" s="39">
        <f>GETPIVOTDATA("Suma de Sin plan de acción",Calculos!$A$72,"Responsable","DIRECCIÓN DE RECURSOS FÍSICOS Y NEGOCIOS
DIRECCIÓN DE SERVICIO AL CIUDADANO
SUB GERENCIA DE PLANEACIÓN Y PROYECTOS
DIRECCIÓN DE GESTIÓN FINANCIERA")</f>
        <v>0</v>
      </c>
      <c r="AB62" s="39">
        <v>2025</v>
      </c>
      <c r="AC62" s="47" t="s">
        <v>360</v>
      </c>
      <c r="AD62" s="39">
        <f>GETPIVOTDATA("Suma de No. Hallazgos",Calculos!$A$50,"Auditoría","Servicio al Ciudadano (20250110042183)")</f>
        <v>9</v>
      </c>
      <c r="AE62" s="39">
        <f>GETPIVOTDATA("Suma de No. Planes de Acción",Calculos!$A$50,"Auditoría","Servicio al Ciudadano (20250110042183)")</f>
        <v>11</v>
      </c>
      <c r="AF62" s="39">
        <f>GETPIVOTDATA("Suma de Abiertos",Calculos!$A$50,"Auditoría","Servicio al Ciudadano (20250110042183)")</f>
        <v>0</v>
      </c>
      <c r="AG62" s="39">
        <f>GETPIVOTDATA("Suma de Vencidos",Calculos!$A$50,"Auditoría","Servicio al Ciudadano (20250110042183)")</f>
        <v>1</v>
      </c>
      <c r="AH62" s="39">
        <f>GETPIVOTDATA("Suma de Finalizados",Calculos!$A$50,"Auditoría","Servicio al Ciudadano (20250110042183)")</f>
        <v>10</v>
      </c>
      <c r="AI62" s="43"/>
      <c r="AJ62" s="39">
        <f>GETPIVOTDATA("Suma de Sin plan de acción",Calculos!$A$50,"Auditoría","Servicio al Ciudadano (20250110042183)")</f>
        <v>0</v>
      </c>
    </row>
    <row r="63" spans="20:36" ht="12">
      <c r="T63" s="9" t="s">
        <v>572</v>
      </c>
      <c r="U63" s="39">
        <f>GETPIVOTDATA("Suma de No. Planes de Acción",Calculos!$A$72,"Responsable","DIRECCIÓN DE SERVICIO AL CIUDADANO
SUB GERENCIA DE PLANEACIÓN Y PROYECTOS")</f>
        <v>2</v>
      </c>
      <c r="V63" s="39">
        <f>GETPIVOTDATA("Suma de Abiertos",Calculos!$A$72,"Responsable","DIRECCIÓN DE SERVICIO AL CIUDADANO
SUB GERENCIA DE PLANEACIÓN Y PROYECTOS")</f>
        <v>0</v>
      </c>
      <c r="W63" s="39">
        <f>GETPIVOTDATA("Suma de Vencidos",Calculos!$A$72,"Responsable","DIRECCIÓN DE SERVICIO AL CIUDADANO
SUB GERENCIA DE PLANEACIÓN Y PROYECTOS")</f>
        <v>1</v>
      </c>
      <c r="X63" s="39">
        <f>GETPIVOTDATA("Suma de Finalizados",Calculos!$A$72,"Responsable","DIRECCIÓN DE SERVICIO AL CIUDADANO
SUB GERENCIA DE PLANEACIÓN Y PROYECTOS")</f>
        <v>1</v>
      </c>
      <c r="Y63" s="39"/>
      <c r="Z63" s="39">
        <f>GETPIVOTDATA("Suma de Sin plan de acción",Calculos!$A$72,"Responsable","DIRECCIÓN DE SERVICIO AL CIUDADANO
SUB GERENCIA DE PLANEACIÓN Y PROYECTOS")</f>
        <v>0</v>
      </c>
      <c r="AB63" s="226" t="s">
        <v>585</v>
      </c>
      <c r="AC63" s="226"/>
      <c r="AD63" s="34">
        <f>SUM(AD47:AD62)</f>
        <v>101</v>
      </c>
      <c r="AE63" s="34">
        <f>SUM(AE47:AE62)</f>
        <v>145</v>
      </c>
      <c r="AF63" s="34">
        <f>SUM(AF47:AF62)</f>
        <v>16</v>
      </c>
      <c r="AG63" s="34">
        <f>SUM(AG47:AG62)</f>
        <v>24</v>
      </c>
      <c r="AH63" s="34">
        <f>SUM(AH47:AH62)</f>
        <v>105</v>
      </c>
      <c r="AI63" s="48"/>
      <c r="AJ63" s="34">
        <f>SUM(AJ47:AJ62)</f>
        <v>1</v>
      </c>
    </row>
    <row r="64" spans="20:36" ht="79.8">
      <c r="T64" s="45" t="s">
        <v>593</v>
      </c>
      <c r="U64" s="39">
        <f>GETPIVOTDATA("Suma de No. Planes de Acción",Calculos!$A$72,"Responsable","OFICIAL DE CUMPLIMIENTO
DIRECCIÓN DE GESTIÓN HUMANA")</f>
        <v>4</v>
      </c>
      <c r="V64" s="39">
        <f>GETPIVOTDATA("Suma de Abiertos",Calculos!$A$72,"Responsable","OFICIAL DE CUMPLIMIENTO
DIRECCIÓN DE GESTIÓN HUMANA")</f>
        <v>0</v>
      </c>
      <c r="W64" s="39">
        <f>GETPIVOTDATA("Suma de Vencidos",Calculos!$A$72,"Responsable","OFICIAL DE CUMPLIMIENTO
DIRECCIÓN DE GESTIÓN HUMANA")</f>
        <v>4</v>
      </c>
      <c r="X64" s="39">
        <f>GETPIVOTDATA("Suma de Finalizados",Calculos!$A$72,"Responsable","OFICIAL DE CUMPLIMIENTO
DIRECCIÓN DE GESTIÓN HUMANA")</f>
        <v>0</v>
      </c>
      <c r="Y64" s="39"/>
      <c r="Z64" s="39">
        <f>GETPIVOTDATA("Suma de Sin plan de acción",Calculos!$A$72,"Responsable","OFICIAL DE CUMPLIMIENTO
DIRECCIÓN DE GESTIÓN HUMANA")</f>
        <v>0</v>
      </c>
      <c r="AB64" s="43"/>
      <c r="AC64" s="7"/>
      <c r="AD64" s="43"/>
      <c r="AE64" s="43"/>
      <c r="AF64" s="43"/>
      <c r="AG64" s="43"/>
      <c r="AH64" s="43"/>
      <c r="AI64" s="43"/>
      <c r="AJ64" s="43"/>
    </row>
    <row r="65" spans="20:52" ht="148.19999999999999">
      <c r="T65" s="45" t="s">
        <v>594</v>
      </c>
      <c r="U65" s="39">
        <f>GETPIVOTDATA("Suma de No. Planes de Acción",Calculos!$A$72,"Responsable","SUB GERENCIA CORPORATIVA
SUB GERENCIA DE PLANEACIÓN Y PROYECTOS")</f>
        <v>1</v>
      </c>
      <c r="V65" s="39">
        <f>GETPIVOTDATA("Suma de Abiertos",Calculos!$A$72,"Responsable","SUB GERENCIA CORPORATIVA
SUB GERENCIA DE PLANEACIÓN Y PROYECTOS")</f>
        <v>0</v>
      </c>
      <c r="W65" s="39">
        <f>GETPIVOTDATA("Suma de Vencidos",Calculos!$A$72,"Responsable","SUB GERENCIA CORPORATIVA
SUB GERENCIA DE PLANEACIÓN Y PROYECTOS")</f>
        <v>0</v>
      </c>
      <c r="X65" s="39">
        <f>GETPIVOTDATA("Suma de Finalizados",Calculos!$A$72,"Responsable","SUB GERENCIA CORPORATIVA
SUB GERENCIA DE PLANEACIÓN Y PROYECTOS")</f>
        <v>1</v>
      </c>
      <c r="Y65" s="39"/>
      <c r="Z65" s="39">
        <f>GETPIVOTDATA("Suma de Sin plan de acción",Calculos!$A$72,"Responsable","SUB GERENCIA CORPORATIVA
SUB GERENCIA DE PLANEACIÓN Y PROYECTOS")</f>
        <v>0</v>
      </c>
      <c r="AB65" s="43"/>
      <c r="AC65" s="7"/>
      <c r="AD65" s="43"/>
      <c r="AE65" s="43"/>
      <c r="AF65" s="43"/>
      <c r="AG65" s="43"/>
      <c r="AH65" s="43"/>
      <c r="AI65" s="43"/>
      <c r="AJ65" s="43"/>
    </row>
    <row r="66" spans="20:52" ht="68.400000000000006">
      <c r="T66" s="45" t="s">
        <v>595</v>
      </c>
      <c r="U66" s="39">
        <f>GETPIVOTDATA("Suma de No. Planes de Acción",Calculos!$A$72,"Responsable","SUB GERENCIA DE SERVICIOS OPERACIONALES E INFRAESTRUCTURA
DIRECCIÓN DE RECURSOS TECNOLÓGICOS")</f>
        <v>2</v>
      </c>
      <c r="V66" s="39">
        <f>GETPIVOTDATA("Suma de Abiertos",Calculos!$A$72,"Responsable","SUB GERENCIA DE SERVICIOS OPERACIONALES E INFRAESTRUCTURA
DIRECCIÓN DE RECURSOS TECNOLÓGICOS")</f>
        <v>0</v>
      </c>
      <c r="W66" s="39">
        <f>GETPIVOTDATA("Suma de Vencidos",Calculos!$A$72,"Responsable","SUB GERENCIA DE SERVICIOS OPERACIONALES E INFRAESTRUCTURA
DIRECCIÓN DE RECURSOS TECNOLÓGICOS")</f>
        <v>0</v>
      </c>
      <c r="X66" s="39">
        <f>GETPIVOTDATA("Suma de Finalizados",Calculos!$A$72,"Responsable","SUB GERENCIA DE SERVICIOS OPERACIONALES E INFRAESTRUCTURA
DIRECCIÓN DE RECURSOS TECNOLÓGICOS")</f>
        <v>2</v>
      </c>
      <c r="Z66" s="39">
        <f>GETPIVOTDATA("Suma de Sin plan de acción",Calculos!$A$72,"Responsable","SUB GERENCIA DE SERVICIOS OPERACIONALES E INFRAESTRUCTURA
DIRECCIÓN DE RECURSOS TECNOLÓGICOS")</f>
        <v>0</v>
      </c>
      <c r="AB66" s="43"/>
      <c r="AC66" s="7"/>
      <c r="AD66" s="43"/>
      <c r="AE66" s="43"/>
      <c r="AF66" s="43"/>
      <c r="AG66" s="43"/>
      <c r="AH66" s="43"/>
      <c r="AI66" s="43"/>
      <c r="AJ66" s="43"/>
    </row>
    <row r="67" spans="20:52" ht="57">
      <c r="T67" s="45" t="s">
        <v>596</v>
      </c>
      <c r="U67" s="39">
        <f>GETPIVOTDATA("Suma de No. Planes de Acción",Calculos!$A$72,"Responsable","SUB GERENCIA DE SERVICIOS OPERACIONALES E INFRAESTRUCTURA
DIRECCIÓN DE SERVICIO AL TRANSPORTADOR")</f>
        <v>1</v>
      </c>
      <c r="V67" s="39">
        <f>GETPIVOTDATA("Suma de Abiertos",Calculos!$A$72,"Responsable","SUB GERENCIA DE SERVICIOS OPERACIONALES E INFRAESTRUCTURA
DIRECCIÓN DE SERVICIO AL TRANSPORTADOR")</f>
        <v>0</v>
      </c>
      <c r="W67" s="39">
        <f>GETPIVOTDATA("Suma de Vencidos",Calculos!$A$72,"Responsable","SUB GERENCIA DE SERVICIOS OPERACIONALES E INFRAESTRUCTURA
DIRECCIÓN DE SERVICIO AL TRANSPORTADOR")</f>
        <v>0</v>
      </c>
      <c r="X67" s="39">
        <f>GETPIVOTDATA("Suma de Finalizados",Calculos!$A$72,"Responsable","SUB GERENCIA DE SERVICIOS OPERACIONALES E INFRAESTRUCTURA
DIRECCIÓN DE SERVICIO AL TRANSPORTADOR")</f>
        <v>1</v>
      </c>
      <c r="Y67" s="39"/>
      <c r="Z67" s="39">
        <f>GETPIVOTDATA("Suma de Sin plan de acción",Calculos!$A$72,"Responsable","SUB GERENCIA DE SERVICIOS OPERACIONALES E INFRAESTRUCTURA
DIRECCIÓN DE SERVICIO AL TRANSPORTADOR")</f>
        <v>0</v>
      </c>
      <c r="AB67" s="43"/>
      <c r="AC67" s="7"/>
      <c r="AD67" s="43"/>
      <c r="AE67" s="43"/>
      <c r="AF67" s="43"/>
      <c r="AG67" s="43"/>
      <c r="AH67" s="43"/>
      <c r="AI67" s="43"/>
      <c r="AJ67" s="43"/>
    </row>
    <row r="68" spans="20:52" ht="57">
      <c r="T68" s="45" t="s">
        <v>597</v>
      </c>
      <c r="U68" s="39">
        <f>GETPIVOTDATA("Suma de No. Planes de Acción",Calculos!$A$72,"Responsable","SUB GERENCIA JURÍDICA
SUB GERENCIA DE PLANEACIÓN Y PROYECTOS")</f>
        <v>3</v>
      </c>
      <c r="V68" s="39">
        <f>GETPIVOTDATA("Suma de Abiertos",Calculos!$A$72,"Responsable","SUB GERENCIA JURÍDICA
SUB GERENCIA DE PLANEACIÓN Y PROYECTOS")</f>
        <v>0</v>
      </c>
      <c r="W68" s="39">
        <f>GETPIVOTDATA("Suma de Vencidos",Calculos!$A$72,"Responsable","SUB GERENCIA JURÍDICA
SUB GERENCIA DE PLANEACIÓN Y PROYECTOS")</f>
        <v>3</v>
      </c>
      <c r="X68" s="39">
        <f>GETPIVOTDATA("Suma de Finalizados",Calculos!$A$72,"Responsable","SUB GERENCIA JURÍDICA
SUB GERENCIA DE PLANEACIÓN Y PROYECTOS")</f>
        <v>0</v>
      </c>
      <c r="Y68" s="39"/>
      <c r="Z68" s="39">
        <f>GETPIVOTDATA("Suma de Sin plan de acción",Calculos!$A$72,"Responsable","SUB GERENCIA JURÍDICA
SUB GERENCIA DE PLANEACIÓN Y PROYECTOS")</f>
        <v>0</v>
      </c>
      <c r="AB68" s="43"/>
      <c r="AC68" s="7"/>
      <c r="AD68" s="43"/>
      <c r="AE68" s="43"/>
      <c r="AF68" s="43"/>
      <c r="AG68" s="43"/>
      <c r="AH68" s="43"/>
      <c r="AI68" s="43"/>
      <c r="AJ68" s="43"/>
    </row>
    <row r="69" spans="20:52" ht="91.2">
      <c r="T69" s="45" t="s">
        <v>598</v>
      </c>
      <c r="U69" s="39">
        <f>GETPIVOTDATA("Suma de No. Planes de Acción",Calculos!$A$72,"Responsable","SUB GERENCIA JURÍDICA
SUB GERENCIA CORPORATIVA
SUB GERENCIA DE SERVICIOS OPERACIONALES E INFRAESTRUCTURA")</f>
        <v>1</v>
      </c>
      <c r="V69" s="39">
        <f>GETPIVOTDATA("Suma de Abiertos",Calculos!$A$72,"Responsable","SUB GERENCIA JURÍDICA
SUB GERENCIA CORPORATIVA
SUB GERENCIA DE SERVICIOS OPERACIONALES E INFRAESTRUCTURA")</f>
        <v>1</v>
      </c>
      <c r="W69" s="39">
        <f>GETPIVOTDATA("Suma de Vencidos",Calculos!$A$72,"Responsable","SUB GERENCIA JURÍDICA
SUB GERENCIA CORPORATIVA
SUB GERENCIA DE SERVICIOS OPERACIONALES E INFRAESTRUCTURA")</f>
        <v>0</v>
      </c>
      <c r="X69" s="39">
        <f>GETPIVOTDATA("Suma de Finalizados",Calculos!$A$72,"Responsable","SUB GERENCIA JURÍDICA
SUB GERENCIA CORPORATIVA
SUB GERENCIA DE SERVICIOS OPERACIONALES E INFRAESTRUCTURA")</f>
        <v>0</v>
      </c>
      <c r="Y69" s="39"/>
      <c r="Z69" s="39">
        <f>GETPIVOTDATA("Suma de Sin plan de acción",Calculos!$A$72,"Responsable","SUB GERENCIA JURÍDICA
SUB GERENCIA CORPORATIVA
SUB GERENCIA DE SERVICIOS OPERACIONALES E INFRAESTRUCTURA")</f>
        <v>0</v>
      </c>
      <c r="AB69" s="43"/>
      <c r="AC69" s="7"/>
      <c r="AD69" s="43"/>
      <c r="AE69" s="43"/>
      <c r="AF69" s="43"/>
      <c r="AG69" s="43"/>
      <c r="AH69" s="43"/>
      <c r="AI69" s="43"/>
      <c r="AJ69" s="43"/>
    </row>
    <row r="70" spans="20:52" ht="91.2">
      <c r="T70" s="45" t="s">
        <v>599</v>
      </c>
      <c r="U70" s="41">
        <f>SUM(U61:U69)</f>
        <v>16</v>
      </c>
      <c r="V70" s="41">
        <f>SUM(V61:V69)</f>
        <v>1</v>
      </c>
      <c r="W70" s="41">
        <f>SUM(W61:W69)</f>
        <v>8</v>
      </c>
      <c r="X70" s="34">
        <f>SUM(X61:X69)</f>
        <v>7</v>
      </c>
      <c r="Y70" s="35"/>
      <c r="Z70" s="34">
        <f>SUM(Z61:Z69)</f>
        <v>0</v>
      </c>
      <c r="AB70" s="43"/>
      <c r="AC70" s="7"/>
      <c r="AD70" s="43"/>
      <c r="AE70" s="43"/>
      <c r="AF70" s="43"/>
      <c r="AG70" s="43"/>
      <c r="AH70" s="43"/>
      <c r="AI70" s="43"/>
      <c r="AJ70" s="43"/>
    </row>
    <row r="71" spans="20:52" ht="57">
      <c r="T71" s="45" t="s">
        <v>600</v>
      </c>
      <c r="U71" s="40"/>
      <c r="V71" s="40"/>
      <c r="W71" s="40"/>
      <c r="X71" s="40"/>
      <c r="Y71" s="40"/>
      <c r="Z71" s="40"/>
      <c r="AB71" s="43"/>
      <c r="AC71" s="7"/>
      <c r="AD71" s="43"/>
      <c r="AE71" s="43"/>
      <c r="AF71" s="43"/>
      <c r="AG71" s="43"/>
      <c r="AH71" s="43"/>
      <c r="AI71" s="43"/>
      <c r="AJ71" s="43"/>
    </row>
    <row r="72" spans="20:52" ht="102.6">
      <c r="T72" s="45" t="s">
        <v>601</v>
      </c>
      <c r="U72" s="40"/>
      <c r="V72" s="40"/>
      <c r="W72" s="40"/>
      <c r="X72" s="40"/>
      <c r="Y72" s="40"/>
      <c r="Z72" s="40"/>
      <c r="AB72" s="43"/>
      <c r="AC72" s="7"/>
      <c r="AD72" s="43"/>
      <c r="AE72" s="43"/>
      <c r="AF72" s="43"/>
      <c r="AG72" s="43"/>
      <c r="AH72" s="43"/>
      <c r="AI72" s="43"/>
      <c r="AJ72" s="43"/>
    </row>
    <row r="73" spans="20:52" ht="12">
      <c r="T73" s="41" t="s">
        <v>585</v>
      </c>
      <c r="U73" s="40"/>
      <c r="V73" s="40"/>
      <c r="W73" s="40"/>
      <c r="X73" s="40"/>
      <c r="Y73" s="40"/>
      <c r="Z73" s="40"/>
      <c r="AB73" s="43"/>
      <c r="AC73" s="7"/>
      <c r="AD73" s="43"/>
      <c r="AE73" s="43"/>
      <c r="AF73" s="43"/>
      <c r="AG73" s="43"/>
      <c r="AH73" s="43"/>
      <c r="AI73" s="43"/>
      <c r="AJ73" s="43"/>
    </row>
    <row r="74" spans="20:52">
      <c r="T74" s="43"/>
      <c r="U74" s="40"/>
      <c r="V74" s="40"/>
      <c r="W74" s="40"/>
      <c r="X74" s="40"/>
      <c r="Y74" s="40"/>
      <c r="Z74" s="40"/>
      <c r="AB74" s="43"/>
      <c r="AC74" s="7"/>
      <c r="AD74" s="43"/>
      <c r="AE74" s="43"/>
      <c r="AF74" s="43"/>
      <c r="AG74" s="43"/>
      <c r="AH74" s="43"/>
      <c r="AI74" s="43"/>
      <c r="AJ74" s="43"/>
    </row>
    <row r="75" spans="20:52" ht="12">
      <c r="T75" s="43"/>
      <c r="U75" s="61" t="s">
        <v>573</v>
      </c>
      <c r="V75" s="61" t="s">
        <v>574</v>
      </c>
      <c r="W75" s="63" t="s">
        <v>575</v>
      </c>
      <c r="X75" s="63" t="s">
        <v>576</v>
      </c>
      <c r="Y75" s="35"/>
      <c r="Z75" s="63" t="s">
        <v>587</v>
      </c>
      <c r="AB75" s="43"/>
      <c r="AC75" s="7"/>
      <c r="AD75" s="43"/>
      <c r="AE75" s="43"/>
      <c r="AF75" s="43"/>
      <c r="AG75" s="43"/>
      <c r="AH75" s="43"/>
      <c r="AI75" s="43"/>
      <c r="AJ75" s="43"/>
    </row>
    <row r="76" spans="20:52" ht="12">
      <c r="T76" s="43" t="s">
        <v>602</v>
      </c>
      <c r="U76" s="49">
        <f>+U56+U70</f>
        <v>160</v>
      </c>
      <c r="V76" s="49">
        <f>+V56+V70</f>
        <v>29</v>
      </c>
      <c r="W76" s="49">
        <f>+W56+W70</f>
        <v>26</v>
      </c>
      <c r="X76" s="49">
        <f>+X56+X70</f>
        <v>105</v>
      </c>
      <c r="Y76" s="48"/>
      <c r="Z76" s="49">
        <f>+Z56+Z70</f>
        <v>1</v>
      </c>
      <c r="AB76" s="43"/>
      <c r="AC76" s="7"/>
      <c r="AD76" s="43"/>
      <c r="AE76" s="43"/>
      <c r="AF76" s="43"/>
      <c r="AG76" s="43"/>
      <c r="AH76" s="43"/>
      <c r="AI76" s="43"/>
      <c r="AJ76" s="43"/>
    </row>
    <row r="77" spans="20:52">
      <c r="T77" s="43"/>
      <c r="U77" s="40"/>
      <c r="V77" s="40"/>
      <c r="W77" s="40"/>
      <c r="X77" s="40"/>
      <c r="Y77" s="40"/>
      <c r="Z77" s="40"/>
      <c r="AB77" s="43"/>
      <c r="AC77" s="7"/>
      <c r="AD77" s="43"/>
      <c r="AE77" s="43"/>
      <c r="AF77" s="43"/>
      <c r="AG77" s="43"/>
      <c r="AH77" s="43"/>
      <c r="AI77" s="43"/>
      <c r="AJ77" s="43"/>
    </row>
    <row r="78" spans="20:52">
      <c r="T78" s="227" t="s">
        <v>573</v>
      </c>
      <c r="AB78" s="43"/>
      <c r="AC78" s="7"/>
      <c r="AD78" s="43"/>
      <c r="AE78" s="43"/>
      <c r="AF78" s="43"/>
      <c r="AG78" s="43"/>
      <c r="AH78" s="43"/>
      <c r="AI78" s="43"/>
      <c r="AJ78" s="43"/>
    </row>
    <row r="79" spans="20:52">
      <c r="T79" s="228"/>
      <c r="AB79" s="43"/>
      <c r="AC79" s="7"/>
      <c r="AD79" s="43"/>
      <c r="AE79" s="43"/>
      <c r="AF79" s="43"/>
      <c r="AG79" s="43"/>
      <c r="AH79" s="43"/>
      <c r="AI79" s="43"/>
      <c r="AJ79" s="43"/>
    </row>
    <row r="80" spans="20:52" ht="13.2">
      <c r="T80" s="43"/>
      <c r="AB80" s="43"/>
      <c r="AC80" s="7"/>
      <c r="AD80" s="43"/>
      <c r="AE80" s="43"/>
      <c r="AF80" s="43"/>
      <c r="AG80" s="43"/>
      <c r="AH80" s="43"/>
      <c r="AI80" s="43"/>
      <c r="AJ80" s="67" t="s">
        <v>592</v>
      </c>
      <c r="AR80" s="67" t="s">
        <v>608</v>
      </c>
      <c r="AS80" s="7"/>
      <c r="AT80" s="43"/>
      <c r="AU80" s="43"/>
      <c r="AV80" s="43"/>
      <c r="AW80" s="43"/>
      <c r="AX80" s="43"/>
      <c r="AY80" s="43"/>
      <c r="AZ80" s="43"/>
    </row>
    <row r="81" spans="36:52">
      <c r="AJ81" s="43"/>
      <c r="AR81" s="43"/>
      <c r="AS81" s="7"/>
      <c r="AT81" s="43"/>
      <c r="AU81" s="43"/>
      <c r="AV81" s="43"/>
      <c r="AW81" s="43"/>
      <c r="AX81" s="43"/>
      <c r="AY81" s="43"/>
      <c r="AZ81" s="43"/>
    </row>
    <row r="82" spans="36:52" ht="24">
      <c r="AJ82" s="34" t="s">
        <v>572</v>
      </c>
      <c r="AK82" s="61" t="s">
        <v>573</v>
      </c>
      <c r="AL82" s="61" t="s">
        <v>574</v>
      </c>
      <c r="AM82" s="62" t="s">
        <v>575</v>
      </c>
      <c r="AN82" s="63" t="s">
        <v>576</v>
      </c>
      <c r="AO82" s="35"/>
      <c r="AP82" s="63" t="s">
        <v>587</v>
      </c>
      <c r="AR82" s="32" t="s">
        <v>604</v>
      </c>
      <c r="AS82" s="32" t="s">
        <v>605</v>
      </c>
      <c r="AT82" s="32" t="s">
        <v>606</v>
      </c>
      <c r="AU82" s="61" t="s">
        <v>573</v>
      </c>
      <c r="AV82" s="61" t="s">
        <v>574</v>
      </c>
      <c r="AW82" s="63" t="s">
        <v>575</v>
      </c>
      <c r="AX82" s="63" t="s">
        <v>576</v>
      </c>
      <c r="AY82" s="35"/>
      <c r="AZ82" s="63" t="s">
        <v>587</v>
      </c>
    </row>
    <row r="83" spans="36:52" ht="34.200000000000003">
      <c r="AJ83" s="36" t="s">
        <v>589</v>
      </c>
      <c r="AK83" s="37">
        <f>GETPIVOTDATA("Suma de No. Planes de Acción",Calculos!$A$72,"Responsable","SUB GERENCIA CORPORATIVA")</f>
        <v>9</v>
      </c>
      <c r="AL83" s="37">
        <f>GETPIVOTDATA("Suma de Abiertos",Calculos!$A$72,"Responsable","SUB GERENCIA CORPORATIVA")</f>
        <v>3</v>
      </c>
      <c r="AM83" s="38">
        <f>GETPIVOTDATA("Suma de Vencidos",Calculos!$A$72,"Responsable","SUB GERENCIA CORPORATIVA")</f>
        <v>3</v>
      </c>
      <c r="AN83" s="39">
        <f>GETPIVOTDATA("Suma de Finalizados",Calculos!$A$72,"Responsable","SUB GERENCIA CORPORATIVA")</f>
        <v>3</v>
      </c>
      <c r="AO83" s="40"/>
      <c r="AP83" s="39">
        <f>GETPIVOTDATA("Suma de Sin plan de acción",Calculos!$A$72,"Responsable","SUB GERENCIA CORPORATIVA")</f>
        <v>0</v>
      </c>
      <c r="AR83" s="39">
        <v>2023</v>
      </c>
      <c r="AS83" s="47" t="s">
        <v>14</v>
      </c>
      <c r="AT83" s="39">
        <f>GETPIVOTDATA("Suma de No. Hallazgos",Calculos!$A$50,"Auditoría","Proyecto ZPP (20240310026682)")</f>
        <v>25</v>
      </c>
      <c r="AU83" s="39">
        <f>GETPIVOTDATA("Suma de No. Planes de Acción",Calculos!$A$50,"Auditoría","Proyecto ZPP (20240310026682)")</f>
        <v>26</v>
      </c>
      <c r="AV83" s="39">
        <f>GETPIVOTDATA("Suma de Abiertos",Calculos!$A$50,"Auditoría","Proyecto ZPP (20240310026682)")</f>
        <v>0</v>
      </c>
      <c r="AW83" s="39">
        <f>GETPIVOTDATA("Suma de Vencidos",Calculos!$A$50,"Auditoría","Proyecto ZPP (20240310026682)")</f>
        <v>1</v>
      </c>
      <c r="AX83" s="39">
        <f>GETPIVOTDATA("Suma de Finalizados",Calculos!$A$50,"Auditoría","Proyecto ZPP (20240310026682)")</f>
        <v>25</v>
      </c>
      <c r="AY83" s="40"/>
      <c r="AZ83" s="39">
        <f>GETPIVOTDATA("Suma de Sin plan de acción",Calculos!$A$50,"Auditoría","Proyecto ZPP (20240310026682)")</f>
        <v>0</v>
      </c>
    </row>
    <row r="84" spans="36:52" ht="45.6">
      <c r="AJ84" s="36" t="s">
        <v>584</v>
      </c>
      <c r="AK84" s="37">
        <f>GETPIVOTDATA("Suma de No. Planes de Acción",Calculos!$A$72,"Responsable","SUB GERENCIA DE PLANEACIÓN Y PROYECTOS")</f>
        <v>11</v>
      </c>
      <c r="AL84" s="37">
        <f>GETPIVOTDATA("Suma de Abiertos",Calculos!$A$72,"Responsable","SUB GERENCIA DE PLANEACIÓN Y PROYECTOS")</f>
        <v>0</v>
      </c>
      <c r="AM84" s="38">
        <f>GETPIVOTDATA("Suma de Vencidos",Calculos!$A$72,"Responsable","SUB GERENCIA DE PLANEACIÓN Y PROYECTOS")</f>
        <v>6</v>
      </c>
      <c r="AN84" s="39">
        <f>GETPIVOTDATA("Suma de Finalizados",Calculos!$A$72,"Responsable","SUB GERENCIA DE PLANEACIÓN Y PROYECTOS")</f>
        <v>5</v>
      </c>
      <c r="AO84" s="40"/>
      <c r="AP84" s="39">
        <f>GETPIVOTDATA("Suma de Sin plan de acción",Calculos!$A$72,"Responsable","SUB GERENCIA DE PLANEACIÓN Y PROYECTOS")</f>
        <v>0</v>
      </c>
      <c r="AR84" s="39">
        <v>2024</v>
      </c>
      <c r="AS84" s="47" t="s">
        <v>157</v>
      </c>
      <c r="AT84" s="39">
        <f>GETPIVOTDATA("Suma de No. Hallazgos",Calculos!$A$50,"Auditoría","Auditoría Contratación (20250110007093)")</f>
        <v>5</v>
      </c>
      <c r="AU84" s="39">
        <f>GETPIVOTDATA("Suma de No. Planes de Acción",Calculos!$A$50,"Auditoría","Auditoría Contratación (20250110007093)")</f>
        <v>6</v>
      </c>
      <c r="AV84" s="39">
        <f>GETPIVOTDATA("Suma de Abiertos",Calculos!$A$50,"Auditoría","Auditoría Contratación (20250110007093)")</f>
        <v>0</v>
      </c>
      <c r="AW84" s="39">
        <f>GETPIVOTDATA("Suma de Vencidos",Calculos!$A$50,"Auditoría","Auditoría Contratación (20250110007093)")</f>
        <v>0</v>
      </c>
      <c r="AX84" s="39">
        <f>GETPIVOTDATA("Suma de Finalizados",Calculos!$A$50,"Auditoría","Auditoría Contratación (20250110007093)")</f>
        <v>6</v>
      </c>
      <c r="AY84" s="40"/>
      <c r="AZ84" s="39">
        <f>GETPIVOTDATA("Suma de Sin plan de acción",Calculos!$A$50,"Auditoría","Auditoría Contratación (20250110007093)")</f>
        <v>0</v>
      </c>
    </row>
    <row r="85" spans="36:52" ht="57">
      <c r="AJ85" s="36" t="s">
        <v>590</v>
      </c>
      <c r="AK85" s="37">
        <f>GETPIVOTDATA("Suma de No. Planes de Acción",Calculos!$A$72,"Responsable","SUB GERENCIA DE SERVICIOS OPERACIONALES E INFRAESTRUCTURA")</f>
        <v>36</v>
      </c>
      <c r="AL85" s="37">
        <f>GETPIVOTDATA("Suma de Abiertos",Calculos!$A$72,"Responsable","SUB GERENCIA DE SERVICIOS OPERACIONALES E INFRAESTRUCTURA")</f>
        <v>1</v>
      </c>
      <c r="AM85" s="38">
        <f>GETPIVOTDATA("Suma de Vencidos",Calculos!$A$72,"Responsable","SUB GERENCIA DE SERVICIOS OPERACIONALES E INFRAESTRUCTURA")</f>
        <v>2</v>
      </c>
      <c r="AN85" s="39">
        <f>GETPIVOTDATA("Suma de Finalizados",Calculos!$A$72,"Responsable","SUB GERENCIA DE SERVICIOS OPERACIONALES E INFRAESTRUCTURA")</f>
        <v>33</v>
      </c>
      <c r="AO85" s="40"/>
      <c r="AP85" s="39">
        <f>GETPIVOTDATA("Suma de Sin plan de acción",Calculos!$A$72,"Responsable","SUB GERENCIA DE SERVICIOS OPERACIONALES E INFRAESTRUCTURA")</f>
        <v>0</v>
      </c>
      <c r="AR85" s="39">
        <v>2024</v>
      </c>
      <c r="AS85" s="47" t="s">
        <v>142</v>
      </c>
      <c r="AT85" s="39">
        <f>GETPIVOTDATA("Suma de No. Hallazgos",Calculos!$A$50,"Auditoría","Auditoría Gestión Financiera (20240110040203)")</f>
        <v>4</v>
      </c>
      <c r="AU85" s="39">
        <f>GETPIVOTDATA("Suma de No. Planes de Acción",Calculos!$A$50,"Auditoría","Auditoría Gestión Financiera (20240110040203)")</f>
        <v>6</v>
      </c>
      <c r="AV85" s="39">
        <f>GETPIVOTDATA("Suma de Abiertos",Calculos!$A$50,"Auditoría","Auditoría Gestión Financiera (20240110040203)")</f>
        <v>0</v>
      </c>
      <c r="AW85" s="39">
        <f>GETPIVOTDATA("Suma de Vencidos",Calculos!$A$50,"Auditoría","Auditoría Gestión Financiera (20240110040203)")</f>
        <v>0</v>
      </c>
      <c r="AX85" s="39">
        <f>GETPIVOTDATA("Suma de Finalizados",Calculos!$A$50,"Auditoría","Auditoría Gestión Financiera (20240110040203)")</f>
        <v>6</v>
      </c>
      <c r="AY85" s="40"/>
      <c r="AZ85" s="39">
        <f>GETPIVOTDATA("Suma de Sin plan de acción",Calculos!$A$50,"Auditoría","Auditoría Gestión Financiera (20240110040203)")</f>
        <v>0</v>
      </c>
    </row>
    <row r="86" spans="36:52" ht="57">
      <c r="AJ86" s="36" t="s">
        <v>591</v>
      </c>
      <c r="AK86" s="37">
        <f>GETPIVOTDATA("Suma de No. Planes de Acción",Calculos!$A$72,"Responsable","SUB GERENCIA JURÍDICA")</f>
        <v>6</v>
      </c>
      <c r="AL86" s="37">
        <f>GETPIVOTDATA("Suma de Abiertos",Calculos!$A$72,"Responsable","SUB GERENCIA JURÍDICA")</f>
        <v>1</v>
      </c>
      <c r="AM86" s="38">
        <f>GETPIVOTDATA("Suma de Vencidos",Calculos!$A$72,"Responsable","SUB GERENCIA JURÍDICA")</f>
        <v>1</v>
      </c>
      <c r="AN86" s="39">
        <f>GETPIVOTDATA("Suma de Finalizados",Calculos!$A$72,"Responsable","SUB GERENCIA JURÍDICA")</f>
        <v>4</v>
      </c>
      <c r="AO86" s="40"/>
      <c r="AP86" s="39">
        <f>GETPIVOTDATA("Suma de Sin plan de acción",Calculos!$A$72,"Responsable","SUB GERENCIA JURÍDICA")</f>
        <v>1</v>
      </c>
      <c r="AR86" s="39">
        <v>2024</v>
      </c>
      <c r="AS86" s="47" t="s">
        <v>112</v>
      </c>
      <c r="AT86" s="39">
        <f>GETPIVOTDATA("Suma de No. Hallazgos",Calculos!$A$50,"Auditoría","Auditoría Requerimientos (20250110002803)")</f>
        <v>7</v>
      </c>
      <c r="AU86" s="39">
        <f>GETPIVOTDATA("Suma de No. Planes de Acción",Calculos!$A$50,"Auditoría","Auditoría Requerimientos (20250110002803)")</f>
        <v>8</v>
      </c>
      <c r="AV86" s="39">
        <f>GETPIVOTDATA("Suma de Abiertos",Calculos!$A$50,"Auditoría","Auditoría Requerimientos (20250110002803)")</f>
        <v>0</v>
      </c>
      <c r="AW86" s="39">
        <f>GETPIVOTDATA("Suma de Vencidos",Calculos!$A$50,"Auditoría","Auditoría Requerimientos (20250110002803)")</f>
        <v>1</v>
      </c>
      <c r="AX86" s="39">
        <f>GETPIVOTDATA("Suma de Finalizados",Calculos!$A$50,"Auditoría","Auditoría Requerimientos (20250110002803)")</f>
        <v>7</v>
      </c>
      <c r="AY86" s="40"/>
      <c r="AZ86" s="39">
        <f>GETPIVOTDATA("Suma de Sin plan de acción",Calculos!$A$50,"Auditoría","Auditoría Requerimientos (20250110002803)")</f>
        <v>0</v>
      </c>
    </row>
    <row r="87" spans="36:52" ht="91.2">
      <c r="AJ87" s="44" t="s">
        <v>577</v>
      </c>
      <c r="AK87" s="39">
        <f>GETPIVOTDATA("Suma de No. Planes de Acción",Calculos!$A$72,"Responsable","DIRECCIÓN DE GESTIÓN FINANCIERA")</f>
        <v>4</v>
      </c>
      <c r="AL87" s="39">
        <f>GETPIVOTDATA("Suma de Abiertos",Calculos!$A$72,"Responsable","DIRECCIÓN DE GESTIÓN FINANCIERA")</f>
        <v>0</v>
      </c>
      <c r="AM87" s="38">
        <f>GETPIVOTDATA("Suma de Vencidos",Calculos!$A$72,"Responsable","DIRECCIÓN DE GESTIÓN FINANCIERA")</f>
        <v>0</v>
      </c>
      <c r="AN87" s="39">
        <f>GETPIVOTDATA("Suma de Finalizados",Calculos!$A$72,"Responsable","DIRECCIÓN DE GESTIÓN FINANCIERA")</f>
        <v>4</v>
      </c>
      <c r="AO87" s="40"/>
      <c r="AP87" s="39">
        <f>GETPIVOTDATA("Suma de Sin plan de acción",Calculos!$A$72,"Responsable","DIRECCIÓN DE GESTIÓN FINANCIERA")</f>
        <v>0</v>
      </c>
      <c r="AR87" s="39">
        <v>2025</v>
      </c>
      <c r="AS87" s="47" t="s">
        <v>306</v>
      </c>
      <c r="AT87" s="39">
        <f>GETPIVOTDATA("Suma de No. Hallazgos",Calculos!$A$50,"Auditoría","Auditoría – Índice de Transparencia y Acceso a la Información –ITA (20250110033183)")</f>
        <v>3</v>
      </c>
      <c r="AU87" s="39">
        <f>GETPIVOTDATA("Suma de No. Planes de Acción",Calculos!$A$50,"Auditoría","Auditoría – Índice de Transparencia y Acceso a la Información –ITA (20250110033183)")</f>
        <v>6</v>
      </c>
      <c r="AV87" s="39">
        <f>GETPIVOTDATA("Suma de Abiertos",Calculos!$A$50,"Auditoría","Auditoría – Índice de Transparencia y Acceso a la Información –ITA (20250110033183)")</f>
        <v>0</v>
      </c>
      <c r="AW87" s="39">
        <f>GETPIVOTDATA("Suma de Vencidos",Calculos!$A$50,"Auditoría","Auditoría – Índice de Transparencia y Acceso a la Información –ITA (20250110033183)")</f>
        <v>2</v>
      </c>
      <c r="AX87" s="39">
        <f>GETPIVOTDATA("Suma de Finalizados",Calculos!$A$50,"Auditoría","Auditoría – Índice de Transparencia y Acceso a la Información –ITA (20250110033183)")</f>
        <v>4</v>
      </c>
      <c r="AY87" s="40"/>
      <c r="AZ87" s="39">
        <f>GETPIVOTDATA("Suma de Sin plan de acción",Calculos!$A$50,"Auditoría","Auditoría – Índice de Transparencia y Acceso a la Información –ITA (20250110033183)")</f>
        <v>0</v>
      </c>
    </row>
    <row r="88" spans="36:52" ht="136.80000000000001">
      <c r="AJ88" s="44" t="s">
        <v>578</v>
      </c>
      <c r="AK88" s="39">
        <f>GETPIVOTDATA("Suma de No. Planes de Acción",Calculos!$A$72,"Responsable","DIRECCIÓN DE GESTIÓN HUMANA")</f>
        <v>13</v>
      </c>
      <c r="AL88" s="39">
        <f>GETPIVOTDATA("Suma de Abiertos",Calculos!$A$72,"Responsable","DIRECCIÓN DE GESTIÓN HUMANA")</f>
        <v>5</v>
      </c>
      <c r="AM88" s="38">
        <f>GETPIVOTDATA("Suma de Vencidos",Calculos!$A$72,"Responsable","DIRECCIÓN DE GESTIÓN HUMANA")</f>
        <v>2</v>
      </c>
      <c r="AN88" s="39">
        <f>GETPIVOTDATA("Suma de Finalizados",Calculos!$A$72,"Responsable","DIRECCIÓN DE GESTIÓN HUMANA")</f>
        <v>6</v>
      </c>
      <c r="AO88" s="40"/>
      <c r="AP88" s="39">
        <f>GETPIVOTDATA("Suma de Sin plan de acción",Calculos!$A$72,"Responsable","DIRECCIÓN DE GESTIÓN HUMANA")</f>
        <v>0</v>
      </c>
      <c r="AR88" s="39">
        <v>2025</v>
      </c>
      <c r="AS88" s="47" t="s">
        <v>471</v>
      </c>
      <c r="AT88" s="39">
        <f>GETPIVOTDATA("Suma de No. Hallazgos",Calculos!$A$50,"Auditoría","Auditoría – Investigación Interna – Queja recibida de la Oficina de Control Interno de la Secretaría Distrital de Movilidad (20250110037763)")</f>
        <v>2</v>
      </c>
      <c r="AU88" s="39">
        <f>GETPIVOTDATA("Suma de No. Planes de Acción",Calculos!$A$50,"Auditoría","Auditoría – Investigación Interna – Queja recibida de la Oficina de Control Interno de la Secretaría Distrital de Movilidad (20250110037763)")</f>
        <v>3</v>
      </c>
      <c r="AV88" s="39">
        <f>GETPIVOTDATA("Suma de Abiertos",Calculos!$A$50,"Auditoría","Auditoría – Investigación Interna – Queja recibida de la Oficina de Control Interno de la Secretaría Distrital de Movilidad (20250110037763)")</f>
        <v>1</v>
      </c>
      <c r="AW88" s="39">
        <f>GETPIVOTDATA("Suma de Vencidos",Calculos!$A$50,"Auditoría","Auditoría – Investigación Interna – Queja recibida de la Oficina de Control Interno de la Secretaría Distrital de Movilidad (20250110037763)")</f>
        <v>2</v>
      </c>
      <c r="AX88" s="39">
        <f>GETPIVOTDATA("Suma de Finalizados",Calculos!$A$50,"Auditoría","Auditoría – Investigación Interna – Queja recibida de la Oficina de Control Interno de la Secretaría Distrital de Movilidad (20250110037763)")</f>
        <v>0</v>
      </c>
      <c r="AY88" s="40"/>
      <c r="AZ88" s="39">
        <f>GETPIVOTDATA("Suma de Sin plan de acción",Calculos!$A$50,"Auditoría","Auditoría – Investigación Interna – Queja recibida de la Oficina de Control Interno de la Secretaría Distrital de Movilidad (20250110037763)")</f>
        <v>0</v>
      </c>
    </row>
    <row r="89" spans="36:52" ht="45.6">
      <c r="AJ89" s="44" t="s">
        <v>579</v>
      </c>
      <c r="AK89" s="39">
        <f>GETPIVOTDATA("Suma de No. Planes de Acción",Calculos!$A$72,"Responsable","DIRECCIÓN DE INFRAESTRUCTURA")</f>
        <v>3</v>
      </c>
      <c r="AL89" s="39">
        <f>GETPIVOTDATA("Suma de Abiertos",Calculos!$A$72,"Responsable","DIRECCIÓN DE INFRAESTRUCTURA")</f>
        <v>0</v>
      </c>
      <c r="AM89" s="38">
        <f>GETPIVOTDATA("Suma de Vencidos",Calculos!$A$72,"Responsable","DIRECCIÓN DE INFRAESTRUCTURA")</f>
        <v>0</v>
      </c>
      <c r="AN89" s="39">
        <f>GETPIVOTDATA("Suma de Finalizados",Calculos!$A$72,"Responsable","DIRECCIÓN DE INFRAESTRUCTURA")</f>
        <v>3</v>
      </c>
      <c r="AO89" s="40"/>
      <c r="AP89" s="39">
        <f>GETPIVOTDATA("Suma de Sin plan de acción",Calculos!$A$72,"Responsable","DIRECCIÓN DE INFRAESTRUCTURA")</f>
        <v>0</v>
      </c>
      <c r="AR89" s="39">
        <v>2025</v>
      </c>
      <c r="AS89" s="47" t="s">
        <v>449</v>
      </c>
      <c r="AT89" s="39">
        <f>GETPIVOTDATA("Suma de No. Hallazgos",Calculos!$A$50,"Auditoría","Auditoría AIU - Temporales (20250110024753)")</f>
        <v>4</v>
      </c>
      <c r="AU89" s="39">
        <f>GETPIVOTDATA("Suma de No. Planes de Acción",Calculos!$A$50,"Auditoría","Auditoría AIU - Temporales (20250110024753)")</f>
        <v>4</v>
      </c>
      <c r="AV89" s="39">
        <f>GETPIVOTDATA("Suma de Abiertos",Calculos!$A$50,"Auditoría","Auditoría AIU - Temporales (20250110024753)")</f>
        <v>0</v>
      </c>
      <c r="AW89" s="39">
        <f>GETPIVOTDATA("Suma de Vencidos",Calculos!$A$50,"Auditoría","Auditoría AIU - Temporales (20250110024753)")</f>
        <v>1</v>
      </c>
      <c r="AX89" s="39">
        <f>GETPIVOTDATA("Suma de Finalizados",Calculos!$A$50,"Auditoría","Auditoría AIU - Temporales (20250110024753)")</f>
        <v>3</v>
      </c>
      <c r="AY89" s="40"/>
      <c r="AZ89" s="39">
        <f>GETPIVOTDATA("Suma de Sin plan de acción",Calculos!$A$50,"Auditoría","Auditoría AIU - Temporales (20250110024753)")</f>
        <v>0</v>
      </c>
    </row>
    <row r="90" spans="36:52" ht="57">
      <c r="AJ90" s="44" t="s">
        <v>580</v>
      </c>
      <c r="AK90" s="39">
        <f>GETPIVOTDATA("Suma de No. Planes de Acción",Calculos!$A$72,"Responsable","DIRECCIÓN DE RECURSOS FÍSICOS Y NEGOCIOS")</f>
        <v>5</v>
      </c>
      <c r="AL90" s="39">
        <f>GETPIVOTDATA("Suma de Abiertos",Calculos!$A$72,"Responsable","DIRECCIÓN DE RECURSOS FÍSICOS Y NEGOCIOS")</f>
        <v>1</v>
      </c>
      <c r="AM90" s="38">
        <f>GETPIVOTDATA("Suma de Vencidos",Calculos!$A$72,"Responsable","DIRECCIÓN DE RECURSOS FÍSICOS Y NEGOCIOS")</f>
        <v>0</v>
      </c>
      <c r="AN90" s="39">
        <f>GETPIVOTDATA("Suma de Finalizados",Calculos!$A$72,"Responsable","DIRECCIÓN DE RECURSOS FÍSICOS Y NEGOCIOS")</f>
        <v>4</v>
      </c>
      <c r="AO90" s="40"/>
      <c r="AP90" s="39">
        <f>GETPIVOTDATA("Suma de Sin plan de acción",Calculos!$A$72,"Responsable","DIRECCIÓN DE RECURSOS FÍSICOS Y NEGOCIOS")</f>
        <v>0</v>
      </c>
      <c r="AR90" s="39">
        <v>2025</v>
      </c>
      <c r="AS90" s="47" t="s">
        <v>399</v>
      </c>
      <c r="AT90" s="39">
        <f>GETPIVOTDATA("Suma de No. Hallazgos",Calculos!$A$50,"Auditoría","Auditoría al Cierre del Almacén (20250110045533)")</f>
        <v>5</v>
      </c>
      <c r="AU90" s="39">
        <f>GETPIVOTDATA("Suma de No. Planes de Acción",Calculos!$A$50,"Auditoría","Auditoría al Cierre del Almacén (20250110045533)")</f>
        <v>7</v>
      </c>
      <c r="AV90" s="39">
        <f>GETPIVOTDATA("Suma de Abiertos",Calculos!$A$50,"Auditoría","Auditoría al Cierre del Almacén (20250110045533)")</f>
        <v>4</v>
      </c>
      <c r="AW90" s="39">
        <f>GETPIVOTDATA("Suma de Vencidos",Calculos!$A$50,"Auditoría","Auditoría al Cierre del Almacén (20250110045533)")</f>
        <v>0</v>
      </c>
      <c r="AX90" s="39">
        <f>GETPIVOTDATA("Suma de Finalizados",Calculos!$A$50,"Auditoría","Auditoría al Cierre del Almacén (20250110045533)")</f>
        <v>3</v>
      </c>
      <c r="AY90" s="40"/>
      <c r="AZ90" s="39">
        <f>GETPIVOTDATA("Suma de Sin plan de acción",Calculos!$A$50,"Auditoría","Auditoría al Cierre del Almacén (20250110045533)")</f>
        <v>1</v>
      </c>
    </row>
    <row r="91" spans="36:52" ht="57">
      <c r="AJ91" s="45" t="s">
        <v>581</v>
      </c>
      <c r="AK91" s="39">
        <f>GETPIVOTDATA("Suma de No. Planes de Acción",Calculos!$A$72,"Responsable","DIRECCIÓN DE RECURSOS TECNOLÓGICOS")</f>
        <v>25</v>
      </c>
      <c r="AL91" s="39">
        <f>GETPIVOTDATA("Suma de Abiertos",Calculos!$A$72,"Responsable","DIRECCIÓN DE RECURSOS TECNOLÓGICOS")</f>
        <v>17</v>
      </c>
      <c r="AM91" s="38">
        <f>GETPIVOTDATA("Suma de Vencidos",Calculos!$A$72,"Responsable","DIRECCIÓN DE RECURSOS TECNOLÓGICOS")</f>
        <v>0</v>
      </c>
      <c r="AN91" s="39">
        <f>GETPIVOTDATA("Suma de Finalizados",Calculos!$A$72,"Responsable","DIRECCIÓN DE RECURSOS TECNOLÓGICOS")</f>
        <v>8</v>
      </c>
      <c r="AO91" s="40"/>
      <c r="AP91" s="39">
        <f>GETPIVOTDATA("Suma de Sin plan de acción",Calculos!$A$72,"Responsable","DIRECCIÓN DE RECURSOS TECNOLÓGICOS")</f>
        <v>0</v>
      </c>
      <c r="AR91" s="39">
        <v>2025</v>
      </c>
      <c r="AS91" s="47" t="s">
        <v>251</v>
      </c>
      <c r="AT91" s="39">
        <f>GETPIVOTDATA("Suma de No. Hallazgos",Calculos!$A$50,"Auditoría","Auditoría al Programa de Seguridad Vial (20250110031663)")</f>
        <v>9</v>
      </c>
      <c r="AU91" s="39">
        <f>GETPIVOTDATA("Suma de No. Planes de Acción",Calculos!$A$50,"Auditoría","Auditoría al Programa de Seguridad Vial (20250110031663)")</f>
        <v>12</v>
      </c>
      <c r="AV91" s="39">
        <f>GETPIVOTDATA("Suma de Abiertos",Calculos!$A$50,"Auditoría","Auditoría al Programa de Seguridad Vial (20250110031663)")</f>
        <v>0</v>
      </c>
      <c r="AW91" s="39">
        <f>GETPIVOTDATA("Suma de Vencidos",Calculos!$A$50,"Auditoría","Auditoría al Programa de Seguridad Vial (20250110031663)")</f>
        <v>0</v>
      </c>
      <c r="AX91" s="39">
        <f>GETPIVOTDATA("Suma de Finalizados",Calculos!$A$50,"Auditoría","Auditoría al Programa de Seguridad Vial (20250110031663)")</f>
        <v>12</v>
      </c>
      <c r="AY91" s="40"/>
      <c r="AZ91" s="39">
        <f>GETPIVOTDATA("Suma de Sin plan de acción",Calculos!$A$50,"Auditoría","Auditoría al Programa de Seguridad Vial (20250110031663)")</f>
        <v>0</v>
      </c>
    </row>
    <row r="92" spans="36:52" ht="57">
      <c r="AJ92" s="45" t="s">
        <v>582</v>
      </c>
      <c r="AK92" s="39">
        <f>GETPIVOTDATA("Suma de No. Planes de Acción",Calculos!$A$72,"Responsable","DIRECCIÓN DE SERVICIO AL CIUDADANO")</f>
        <v>16</v>
      </c>
      <c r="AL92" s="39">
        <f>GETPIVOTDATA("Suma de Abiertos",Calculos!$A$72,"Responsable","DIRECCIÓN DE SERVICIO AL CIUDADANO")</f>
        <v>0</v>
      </c>
      <c r="AM92" s="38">
        <f>GETPIVOTDATA("Suma de Vencidos",Calculos!$A$72,"Responsable","DIRECCIÓN DE SERVICIO AL CIUDADANO")</f>
        <v>2</v>
      </c>
      <c r="AN92" s="39">
        <f>GETPIVOTDATA("Suma de Finalizados",Calculos!$A$72,"Responsable","DIRECCIÓN DE SERVICIO AL CIUDADANO")</f>
        <v>14</v>
      </c>
      <c r="AO92" s="40"/>
      <c r="AP92" s="39">
        <f>GETPIVOTDATA("Suma de Sin plan de acción",Calculos!$A$72,"Responsable","DIRECCIÓN DE SERVICIO AL CIUDADANO")</f>
        <v>0</v>
      </c>
      <c r="AR92" s="39">
        <v>2025</v>
      </c>
      <c r="AS92" s="47" t="s">
        <v>461</v>
      </c>
      <c r="AT92" s="39">
        <f>GETPIVOTDATA("Suma de No. Hallazgos",Calculos!$A$50,"Auditoría","Auditoría Evaluación al Ambiente de TI (20250110045483)")</f>
        <v>2</v>
      </c>
      <c r="AU92" s="39">
        <f>GETPIVOTDATA("Suma de No. Planes de Acción",Calculos!$A$50,"Auditoría","Auditoría Evaluación al Ambiente de TI (20250110045483)")</f>
        <v>5</v>
      </c>
      <c r="AV92" s="39">
        <f>GETPIVOTDATA("Suma de Abiertos",Calculos!$A$50,"Auditoría","Auditoría Evaluación al Ambiente de TI (20250110045483)")</f>
        <v>5</v>
      </c>
      <c r="AW92" s="39">
        <f>GETPIVOTDATA("Suma de Vencidos",Calculos!$A$50,"Auditoría","Auditoría Evaluación al Ambiente de TI (20250110045483)")</f>
        <v>0</v>
      </c>
      <c r="AX92" s="39">
        <f>GETPIVOTDATA("Suma de Finalizados",Calculos!$A$50,"Auditoría","Auditoría Evaluación al Ambiente de TI (20250110045483)")</f>
        <v>0</v>
      </c>
      <c r="AY92" s="40"/>
      <c r="AZ92" s="39">
        <f>GETPIVOTDATA("Suma de Sin plan de acción",Calculos!$A$50,"Auditoría","Auditoría Evaluación al Ambiente de TI (20250110045483)")</f>
        <v>0</v>
      </c>
    </row>
    <row r="93" spans="36:52" ht="91.2">
      <c r="AJ93" s="44" t="s">
        <v>588</v>
      </c>
      <c r="AK93" s="39">
        <f>GETPIVOTDATA("Suma de No. Planes de Acción",Calculos!$A$72,"Responsable","DIRECCIÓN DE SERVICIO AL TRANSPORTADOR")</f>
        <v>12</v>
      </c>
      <c r="AL93" s="39">
        <f>GETPIVOTDATA("Suma de Abiertos",Calculos!$A$72,"Responsable","DIRECCIÓN DE SERVICIO AL TRANSPORTADOR")</f>
        <v>0</v>
      </c>
      <c r="AM93" s="38">
        <f>GETPIVOTDATA("Suma de Vencidos",Calculos!$A$72,"Responsable","DIRECCIÓN DE SERVICIO AL TRANSPORTADOR")</f>
        <v>0</v>
      </c>
      <c r="AN93" s="39">
        <f>GETPIVOTDATA("Suma de Finalizados",Calculos!$A$72,"Responsable","DIRECCIÓN DE SERVICIO AL TRANSPORTADOR")</f>
        <v>12</v>
      </c>
      <c r="AO93" s="40"/>
      <c r="AP93" s="39">
        <f>GETPIVOTDATA("Suma de Sin plan de acción",Calculos!$A$72,"Responsable","DIRECCIÓN DE SERVICIO AL TRANSPORTADOR")</f>
        <v>0</v>
      </c>
      <c r="AR93" s="39">
        <v>2025</v>
      </c>
      <c r="AS93" s="47" t="s">
        <v>419</v>
      </c>
      <c r="AT93" s="39">
        <f>GETPIVOTDATA("Suma de No. Hallazgos",Calculos!$A$50,"Auditoría","Auditoría Gobierno Corporativo, Transparencia y Conflicto de Intereses (20250110041653)")</f>
        <v>4</v>
      </c>
      <c r="AU93" s="39">
        <f>GETPIVOTDATA("Suma de No. Planes de Acción",Calculos!$A$50,"Auditoría","Auditoría Gobierno Corporativo, Transparencia y Conflicto de Intereses (20250110041653)")</f>
        <v>18</v>
      </c>
      <c r="AV93" s="39">
        <f>GETPIVOTDATA("Suma de Abiertos",Calculos!$A$50,"Auditoría","Auditoría Gobierno Corporativo, Transparencia y Conflicto de Intereses (20250110041653)")</f>
        <v>5</v>
      </c>
      <c r="AW93" s="39">
        <f>GETPIVOTDATA("Suma de Vencidos",Calculos!$A$50,"Auditoría","Auditoría Gobierno Corporativo, Transparencia y Conflicto de Intereses (20250110041653)")</f>
        <v>13</v>
      </c>
      <c r="AX93" s="39">
        <f>GETPIVOTDATA("Suma de Finalizados",Calculos!$A$50,"Auditoría","Auditoría Gobierno Corporativo, Transparencia y Conflicto de Intereses (20250110041653)")</f>
        <v>0</v>
      </c>
      <c r="AY93" s="40"/>
      <c r="AZ93" s="39">
        <f>GETPIVOTDATA("Suma de Sin plan de acción",Calculos!$A$50,"Auditoría","Auditoría Gobierno Corporativo, Transparencia y Conflicto de Intereses (20250110041653)")</f>
        <v>0</v>
      </c>
    </row>
    <row r="94" spans="36:52" ht="57">
      <c r="AJ94" s="44" t="s">
        <v>583</v>
      </c>
      <c r="AK94" s="39">
        <f>GETPIVOTDATA("Suma de No. Planes de Acción",Calculos!$A$72,"Responsable","OFICINA DE COMUNICACIONES")</f>
        <v>4</v>
      </c>
      <c r="AL94" s="39">
        <f>GETPIVOTDATA("Suma de Abiertos",Calculos!$A$72,"Responsable","OFICINA DE COMUNICACIONES")</f>
        <v>0</v>
      </c>
      <c r="AM94" s="38">
        <f>GETPIVOTDATA("Suma de Vencidos",Calculos!$A$72,"Responsable","OFICINA DE COMUNICACIONES")</f>
        <v>2</v>
      </c>
      <c r="AN94" s="39">
        <f>GETPIVOTDATA("Suma de Finalizados",Calculos!$A$72,"Responsable","OFICINA DE COMUNICACIONES")</f>
        <v>2</v>
      </c>
      <c r="AO94" s="40"/>
      <c r="AP94" s="39">
        <f>GETPIVOTDATA("Suma de Sin plan de acción",Calculos!$A$72,"Responsable","OFICINA DE COMUNICACIONES")</f>
        <v>0</v>
      </c>
      <c r="AR94" s="39">
        <v>2025</v>
      </c>
      <c r="AS94" s="47" t="s">
        <v>181</v>
      </c>
      <c r="AT94" s="39">
        <f>GETPIVOTDATA("Suma de No. Hallazgos",Calculos!$A$50,"Auditoría","Auditoría Servicios Conexos (20250110018563)")</f>
        <v>9</v>
      </c>
      <c r="AU94" s="39">
        <f>GETPIVOTDATA("Suma de No. Planes de Acción",Calculos!$A$50,"Auditoría","Auditoría Servicios Conexos (20250110018563)")</f>
        <v>17</v>
      </c>
      <c r="AV94" s="39">
        <f>GETPIVOTDATA("Suma de Abiertos",Calculos!$A$50,"Auditoría","Auditoría Servicios Conexos (20250110018563)")</f>
        <v>0</v>
      </c>
      <c r="AW94" s="39">
        <f>GETPIVOTDATA("Suma de Vencidos",Calculos!$A$50,"Auditoría","Auditoría Servicios Conexos (20250110018563)")</f>
        <v>2</v>
      </c>
      <c r="AX94" s="39">
        <f>GETPIVOTDATA("Suma de Finalizados",Calculos!$A$50,"Auditoría","Auditoría Servicios Conexos (20250110018563)")</f>
        <v>15</v>
      </c>
      <c r="AY94" s="40"/>
      <c r="AZ94" s="39">
        <f>GETPIVOTDATA("Suma de Sin plan de acción",Calculos!$A$50,"Auditoría","Auditoría Servicios Conexos (20250110018563)")</f>
        <v>0</v>
      </c>
    </row>
    <row r="95" spans="36:52" ht="91.2">
      <c r="AJ95" s="41" t="s">
        <v>585</v>
      </c>
      <c r="AK95" s="41">
        <f>SUM(AK83:AK94)</f>
        <v>144</v>
      </c>
      <c r="AL95" s="41">
        <f>SUM(AL83:AL94)</f>
        <v>28</v>
      </c>
      <c r="AM95" s="41">
        <f>SUM(AM83:AM94)</f>
        <v>18</v>
      </c>
      <c r="AN95" s="34">
        <f>SUM(AN83:AN94)</f>
        <v>98</v>
      </c>
      <c r="AO95" s="35"/>
      <c r="AP95" s="34">
        <f>SUM(AP83:AP94)</f>
        <v>1</v>
      </c>
      <c r="AR95" s="39">
        <v>2025</v>
      </c>
      <c r="AS95" s="47" t="s">
        <v>486</v>
      </c>
      <c r="AT95" s="39">
        <f>GETPIVOTDATA("Suma de No. Hallazgos",Calculos!$A$50,"Auditoría","Informe de Auditoría al Proceso Gestión de Parqueaderos en Vía (ZPP) 20260110007943")</f>
        <v>4</v>
      </c>
      <c r="AU95" s="39">
        <f>GETPIVOTDATA("Suma de No. Planes de Acción",Calculos!$A$50,"Auditoría","Informe de Auditoría al Proceso Gestión de Parqueaderos en Vía (ZPP) 20260110007943")</f>
        <v>6</v>
      </c>
      <c r="AV95" s="39">
        <f>GETPIVOTDATA("Suma de Abiertos",Calculos!$A$50,"Auditoría","Informe de Auditoría al Proceso Gestión de Parqueaderos en Vía (ZPP) 20260110007943")</f>
        <v>1</v>
      </c>
      <c r="AW95" s="39">
        <f>GETPIVOTDATA("Suma de Vencidos",Calculos!$A$50,"Auditoría","Informe de Auditoría al Proceso Gestión de Parqueaderos en Vía (ZPP) 20260110007943")</f>
        <v>1</v>
      </c>
      <c r="AX95" s="39">
        <f>GETPIVOTDATA("Suma de Finalizados",Calculos!$A$50,"Auditoría","Informe de Auditoría al Proceso Gestión de Parqueaderos en Vía (ZPP) 20260110007943")</f>
        <v>4</v>
      </c>
      <c r="AY95" s="43"/>
      <c r="AZ95" s="39">
        <f>GETPIVOTDATA("Suma de Sin plan de acción",Calculos!$A$50,"Auditoría","Informe de Auditoría al Proceso Gestión de Parqueaderos en Vía (ZPP) 20260110007943")</f>
        <v>0</v>
      </c>
    </row>
    <row r="96" spans="36:52" ht="57">
      <c r="AJ96" s="43"/>
      <c r="AR96" s="39">
        <v>2025</v>
      </c>
      <c r="AS96" s="47" t="s">
        <v>327</v>
      </c>
      <c r="AT96" s="39">
        <f>GETPIVOTDATA("Suma de No. Hallazgos",Calculos!$A$50,"Auditoría","Operativos de Control Externo (20250110018323)")</f>
        <v>7</v>
      </c>
      <c r="AU96" s="39">
        <f>GETPIVOTDATA("Suma de No. Planes de Acción",Calculos!$A$50,"Auditoría","Operativos de Control Externo (20250110018323)")</f>
        <v>8</v>
      </c>
      <c r="AV96" s="39">
        <f>GETPIVOTDATA("Suma de Abiertos",Calculos!$A$50,"Auditoría","Operativos de Control Externo (20250110018323)")</f>
        <v>0</v>
      </c>
      <c r="AW96" s="39">
        <f>GETPIVOTDATA("Suma de Vencidos",Calculos!$A$50,"Auditoría","Operativos de Control Externo (20250110018323)")</f>
        <v>0</v>
      </c>
      <c r="AX96" s="39">
        <f>GETPIVOTDATA("Suma de Finalizados",Calculos!$A$50,"Auditoría","Operativos de Control Externo (20250110018323)")</f>
        <v>8</v>
      </c>
      <c r="AY96" s="43"/>
      <c r="AZ96" s="39">
        <f>GETPIVOTDATA("Suma de Sin plan de acción",Calculos!$A$50,"Auditoría","Operativos de Control Externo (20250110018323)")</f>
        <v>0</v>
      </c>
    </row>
    <row r="97" spans="36:52" ht="57">
      <c r="AJ97" s="67" t="s">
        <v>603</v>
      </c>
      <c r="AR97" s="39">
        <v>2025</v>
      </c>
      <c r="AS97" s="47" t="s">
        <v>607</v>
      </c>
      <c r="AT97" s="39">
        <f>GETPIVOTDATA("Suma de No. Hallazgos",Calculos!$A$50,"Auditoría","Seguimiento al Derecho de Petición
radicado 20250310114332")</f>
        <v>2</v>
      </c>
      <c r="AU97" s="39">
        <f>GETPIVOTDATA("Suma de No. Planes de Acción",Calculos!$A$50,"Auditoría","Seguimiento al Derecho de Petición
radicado 20250310114332")</f>
        <v>2</v>
      </c>
      <c r="AV97" s="39">
        <f>GETPIVOTDATA("Suma de Abiertos",Calculos!$A$50,"Auditoría","Seguimiento al Derecho de Petición
radicado 20250310114332")</f>
        <v>0</v>
      </c>
      <c r="AW97" s="39">
        <f>GETPIVOTDATA("Suma de Vencidos",Calculos!$A$50,"Auditoría","Seguimiento al Derecho de Petición
radicado 20250310114332")</f>
        <v>0</v>
      </c>
      <c r="AX97" s="39">
        <f>GETPIVOTDATA("Suma de Finalizados",Calculos!$A$50,"Auditoría","Seguimiento al Derecho de Petición
radicado 20250310114332")</f>
        <v>2</v>
      </c>
      <c r="AY97" s="43"/>
      <c r="AZ97" s="39">
        <f>GETPIVOTDATA("Suma de Sin plan de acción",Calculos!$A$50,"Auditoría","Seguimiento al Derecho de Petición
radicado 20250310114332")</f>
        <v>0</v>
      </c>
    </row>
    <row r="98" spans="36:52" ht="45.6">
      <c r="AJ98" s="43"/>
      <c r="AR98" s="39">
        <v>2025</v>
      </c>
      <c r="AS98" s="47" t="s">
        <v>360</v>
      </c>
      <c r="AT98" s="39">
        <f>GETPIVOTDATA("Suma de No. Hallazgos",Calculos!$A$50,"Auditoría","Servicio al Ciudadano (20250110042183)")</f>
        <v>9</v>
      </c>
      <c r="AU98" s="39">
        <f>GETPIVOTDATA("Suma de No. Planes de Acción",Calculos!$A$50,"Auditoría","Servicio al Ciudadano (20250110042183)")</f>
        <v>11</v>
      </c>
      <c r="AV98" s="39">
        <f>GETPIVOTDATA("Suma de Abiertos",Calculos!$A$50,"Auditoría","Servicio al Ciudadano (20250110042183)")</f>
        <v>0</v>
      </c>
      <c r="AW98" s="39">
        <f>GETPIVOTDATA("Suma de Vencidos",Calculos!$A$50,"Auditoría","Servicio al Ciudadano (20250110042183)")</f>
        <v>1</v>
      </c>
      <c r="AX98" s="39">
        <f>GETPIVOTDATA("Suma de Finalizados",Calculos!$A$50,"Auditoría","Servicio al Ciudadano (20250110042183)")</f>
        <v>10</v>
      </c>
      <c r="AY98" s="43"/>
      <c r="AZ98" s="39">
        <f>GETPIVOTDATA("Suma de Sin plan de acción",Calculos!$A$50,"Auditoría","Servicio al Ciudadano (20250110042183)")</f>
        <v>0</v>
      </c>
    </row>
    <row r="99" spans="36:52" ht="24">
      <c r="AJ99" s="9" t="s">
        <v>572</v>
      </c>
      <c r="AK99" s="61" t="s">
        <v>573</v>
      </c>
      <c r="AL99" s="61" t="s">
        <v>574</v>
      </c>
      <c r="AM99" s="62" t="s">
        <v>575</v>
      </c>
      <c r="AN99" s="63" t="s">
        <v>576</v>
      </c>
      <c r="AO99" s="35"/>
      <c r="AP99" s="63" t="s">
        <v>587</v>
      </c>
      <c r="AR99" s="226" t="s">
        <v>585</v>
      </c>
      <c r="AS99" s="226"/>
      <c r="AT99" s="34">
        <f>SUM(AT83:AT98)</f>
        <v>101</v>
      </c>
      <c r="AU99" s="34">
        <f>SUM(AU83:AU98)</f>
        <v>145</v>
      </c>
      <c r="AV99" s="34">
        <f>SUM(AV83:AV98)</f>
        <v>16</v>
      </c>
      <c r="AW99" s="34">
        <f>SUM(AW83:AW98)</f>
        <v>24</v>
      </c>
      <c r="AX99" s="34">
        <f>SUM(AX83:AX98)</f>
        <v>105</v>
      </c>
      <c r="AY99" s="48"/>
      <c r="AZ99" s="34">
        <f>SUM(AZ83:AZ98)</f>
        <v>1</v>
      </c>
    </row>
    <row r="100" spans="36:52" ht="79.8">
      <c r="AJ100" s="45" t="s">
        <v>593</v>
      </c>
      <c r="AK100" s="39">
        <f>GETPIVOTDATA("Suma de No. Planes de Acción",Calculos!$A$72,"Responsable","DIRECCIÓN DE RECURSOS FÍSICOS Y NEGOCIOS
DIRECCIÓN DE SERVICIO AL CIUDADANO")</f>
        <v>1</v>
      </c>
      <c r="AL100" s="39">
        <f>GETPIVOTDATA("Suma de Abiertos",Calculos!$A$72,"Responsable","DIRECCIÓN DE RECURSOS FÍSICOS Y NEGOCIOS
DIRECCIÓN DE SERVICIO AL CIUDADANO")</f>
        <v>0</v>
      </c>
      <c r="AM100" s="39">
        <f>GETPIVOTDATA("Suma de Vencidos",Calculos!$A$72,"Responsable","DIRECCIÓN DE RECURSOS FÍSICOS Y NEGOCIOS
DIRECCIÓN DE SERVICIO AL CIUDADANO")</f>
        <v>0</v>
      </c>
      <c r="AN100" s="39">
        <f>GETPIVOTDATA("Suma de Finalizados",Calculos!$A$72,"Responsable","DIRECCIÓN DE RECURSOS FÍSICOS Y NEGOCIOS
DIRECCIÓN DE SERVICIO AL CIUDADANO")</f>
        <v>1</v>
      </c>
      <c r="AO100" s="39"/>
      <c r="AP100" s="39">
        <f>GETPIVOTDATA("Suma de Sin plan de acción",Calculos!$A$72,"Responsable","DIRECCIÓN DE RECURSOS FÍSICOS Y NEGOCIOS
DIRECCIÓN DE SERVICIO AL CIUDADANO")</f>
        <v>0</v>
      </c>
      <c r="AR100" s="43"/>
      <c r="AS100" s="7"/>
      <c r="AT100" s="43"/>
      <c r="AU100" s="43"/>
      <c r="AV100" s="43"/>
      <c r="AW100" s="43"/>
      <c r="AX100" s="43"/>
      <c r="AY100" s="43"/>
      <c r="AZ100" s="43"/>
    </row>
    <row r="101" spans="36:52" ht="148.19999999999999">
      <c r="AJ101" s="45" t="s">
        <v>594</v>
      </c>
      <c r="AK101" s="39">
        <f>GETPIVOTDATA("Suma de No. Planes de Acción",Calculos!$A$72,"Responsable","DIRECCIÓN DE RECURSOS FÍSICOS Y NEGOCIOS
DIRECCIÓN DE SERVICIO AL CIUDADANO
SUB GERENCIA DE PLANEACIÓN Y PROYECTOS
DIRECCIÓN DE GESTIÓN FINANCIERA")</f>
        <v>1</v>
      </c>
      <c r="AL101" s="39">
        <f>GETPIVOTDATA("Suma de Abiertos",Calculos!$A$72,"Responsable","DIRECCIÓN DE RECURSOS FÍSICOS Y NEGOCIOS
DIRECCIÓN DE SERVICIO AL CIUDADANO
SUB GERENCIA DE PLANEACIÓN Y PROYECTOS
DIRECCIÓN DE GESTIÓN FINANCIERA")</f>
        <v>0</v>
      </c>
      <c r="AM101" s="39">
        <f>GETPIVOTDATA("Suma de Vencidos",Calculos!$A$72,"Responsable","DIRECCIÓN DE RECURSOS FÍSICOS Y NEGOCIOS
DIRECCIÓN DE SERVICIO AL CIUDADANO
SUB GERENCIA DE PLANEACIÓN Y PROYECTOS
DIRECCIÓN DE GESTIÓN FINANCIERA")</f>
        <v>0</v>
      </c>
      <c r="AN101" s="39">
        <f>GETPIVOTDATA("Suma de Finalizados",Calculos!$A$72,"Responsable","DIRECCIÓN DE RECURSOS FÍSICOS Y NEGOCIOS
DIRECCIÓN DE SERVICIO AL CIUDADANO
SUB GERENCIA DE PLANEACIÓN Y PROYECTOS
DIRECCIÓN DE GESTIÓN FINANCIERA")</f>
        <v>1</v>
      </c>
      <c r="AO101" s="39"/>
      <c r="AP101" s="39">
        <f>GETPIVOTDATA("Suma de Sin plan de acción",Calculos!$A$72,"Responsable","DIRECCIÓN DE RECURSOS FÍSICOS Y NEGOCIOS
DIRECCIÓN DE SERVICIO AL CIUDADANO
SUB GERENCIA DE PLANEACIÓN Y PROYECTOS
DIRECCIÓN DE GESTIÓN FINANCIERA")</f>
        <v>0</v>
      </c>
      <c r="AR101" s="43"/>
      <c r="AS101" s="7"/>
      <c r="AT101" s="43"/>
      <c r="AU101" s="43"/>
      <c r="AV101" s="43"/>
      <c r="AW101" s="43"/>
      <c r="AX101" s="43"/>
      <c r="AY101" s="43"/>
      <c r="AZ101" s="43"/>
    </row>
    <row r="102" spans="36:52" ht="68.400000000000006">
      <c r="AJ102" s="45" t="s">
        <v>595</v>
      </c>
      <c r="AK102" s="39">
        <f>GETPIVOTDATA("Suma de No. Planes de Acción",Calculos!$A$72,"Responsable","DIRECCIÓN DE SERVICIO AL CIUDADANO
SUB GERENCIA DE PLANEACIÓN Y PROYECTOS")</f>
        <v>2</v>
      </c>
      <c r="AL102" s="39">
        <f>GETPIVOTDATA("Suma de Abiertos",Calculos!$A$72,"Responsable","DIRECCIÓN DE SERVICIO AL CIUDADANO
SUB GERENCIA DE PLANEACIÓN Y PROYECTOS")</f>
        <v>0</v>
      </c>
      <c r="AM102" s="39">
        <f>GETPIVOTDATA("Suma de Vencidos",Calculos!$A$72,"Responsable","DIRECCIÓN DE SERVICIO AL CIUDADANO
SUB GERENCIA DE PLANEACIÓN Y PROYECTOS")</f>
        <v>1</v>
      </c>
      <c r="AN102" s="39">
        <f>GETPIVOTDATA("Suma de Finalizados",Calculos!$A$72,"Responsable","DIRECCIÓN DE SERVICIO AL CIUDADANO
SUB GERENCIA DE PLANEACIÓN Y PROYECTOS")</f>
        <v>1</v>
      </c>
      <c r="AO102" s="39"/>
      <c r="AP102" s="39">
        <f>GETPIVOTDATA("Suma de Sin plan de acción",Calculos!$A$72,"Responsable","DIRECCIÓN DE SERVICIO AL CIUDADANO
SUB GERENCIA DE PLANEACIÓN Y PROYECTOS")</f>
        <v>0</v>
      </c>
      <c r="AR102" s="43"/>
      <c r="AS102" s="7"/>
      <c r="AT102" s="43"/>
      <c r="AU102" s="43"/>
      <c r="AV102" s="43"/>
      <c r="AW102" s="43"/>
      <c r="AX102" s="43"/>
      <c r="AY102" s="43"/>
      <c r="AZ102" s="43"/>
    </row>
    <row r="103" spans="36:52" ht="57">
      <c r="AJ103" s="45" t="s">
        <v>596</v>
      </c>
      <c r="AK103" s="39">
        <f>GETPIVOTDATA("Suma de No. Planes de Acción",Calculos!$A$72,"Responsable","OFICIAL DE CUMPLIMIENTO
DIRECCIÓN DE GESTIÓN HUMANA")</f>
        <v>4</v>
      </c>
      <c r="AL103" s="39">
        <f>GETPIVOTDATA("Suma de Abiertos",Calculos!$A$72,"Responsable","OFICIAL DE CUMPLIMIENTO
DIRECCIÓN DE GESTIÓN HUMANA")</f>
        <v>0</v>
      </c>
      <c r="AM103" s="39">
        <f>GETPIVOTDATA("Suma de Vencidos",Calculos!$A$72,"Responsable","OFICIAL DE CUMPLIMIENTO
DIRECCIÓN DE GESTIÓN HUMANA")</f>
        <v>4</v>
      </c>
      <c r="AN103" s="39">
        <f>GETPIVOTDATA("Suma de Finalizados",Calculos!$A$72,"Responsable","OFICIAL DE CUMPLIMIENTO
DIRECCIÓN DE GESTIÓN HUMANA")</f>
        <v>0</v>
      </c>
      <c r="AO103" s="39"/>
      <c r="AP103" s="39">
        <f>GETPIVOTDATA("Suma de Sin plan de acción",Calculos!$A$72,"Responsable","OFICIAL DE CUMPLIMIENTO
DIRECCIÓN DE GESTIÓN HUMANA")</f>
        <v>0</v>
      </c>
      <c r="AR103" s="43"/>
      <c r="AS103" s="7"/>
      <c r="AT103" s="43"/>
      <c r="AU103" s="43"/>
      <c r="AV103" s="43"/>
      <c r="AW103" s="43"/>
      <c r="AX103" s="43"/>
      <c r="AY103" s="43"/>
      <c r="AZ103" s="43"/>
    </row>
    <row r="104" spans="36:52" ht="57">
      <c r="AJ104" s="45" t="s">
        <v>597</v>
      </c>
      <c r="AK104" s="39">
        <f>GETPIVOTDATA("Suma de No. Planes de Acción",Calculos!$A$72,"Responsable","SUB GERENCIA CORPORATIVA
SUB GERENCIA DE PLANEACIÓN Y PROYECTOS")</f>
        <v>1</v>
      </c>
      <c r="AL104" s="39">
        <f>GETPIVOTDATA("Suma de Abiertos",Calculos!$A$72,"Responsable","SUB GERENCIA CORPORATIVA
SUB GERENCIA DE PLANEACIÓN Y PROYECTOS")</f>
        <v>0</v>
      </c>
      <c r="AM104" s="39">
        <f>GETPIVOTDATA("Suma de Vencidos",Calculos!$A$72,"Responsable","SUB GERENCIA CORPORATIVA
SUB GERENCIA DE PLANEACIÓN Y PROYECTOS")</f>
        <v>0</v>
      </c>
      <c r="AN104" s="39">
        <f>GETPIVOTDATA("Suma de Finalizados",Calculos!$A$72,"Responsable","SUB GERENCIA CORPORATIVA
SUB GERENCIA DE PLANEACIÓN Y PROYECTOS")</f>
        <v>1</v>
      </c>
      <c r="AO104" s="39"/>
      <c r="AP104" s="39">
        <f>GETPIVOTDATA("Suma de Sin plan de acción",Calculos!$A$72,"Responsable","SUB GERENCIA CORPORATIVA
SUB GERENCIA DE PLANEACIÓN Y PROYECTOS")</f>
        <v>0</v>
      </c>
      <c r="AR104" s="43"/>
      <c r="AS104" s="7"/>
      <c r="AT104" s="43"/>
      <c r="AU104" s="43"/>
      <c r="AV104" s="43"/>
      <c r="AW104" s="43"/>
      <c r="AX104" s="43"/>
      <c r="AY104" s="43"/>
      <c r="AZ104" s="43"/>
    </row>
    <row r="105" spans="36:52" ht="91.2">
      <c r="AJ105" s="45" t="s">
        <v>598</v>
      </c>
      <c r="AK105" s="39">
        <f>GETPIVOTDATA("Suma de No. Planes de Acción",Calculos!$A$72,"Responsable","SUB GERENCIA DE SERVICIOS OPERACIONALES E INFRAESTRUCTURA
DIRECCIÓN DE RECURSOS TECNOLÓGICOS")</f>
        <v>2</v>
      </c>
      <c r="AL105" s="39">
        <f>GETPIVOTDATA("Suma de Abiertos",Calculos!$A$72,"Responsable","SUB GERENCIA DE SERVICIOS OPERACIONALES E INFRAESTRUCTURA
DIRECCIÓN DE RECURSOS TECNOLÓGICOS")</f>
        <v>0</v>
      </c>
      <c r="AM105" s="39">
        <f>GETPIVOTDATA("Suma de Vencidos",Calculos!$A$72,"Responsable","SUB GERENCIA DE SERVICIOS OPERACIONALES E INFRAESTRUCTURA
DIRECCIÓN DE RECURSOS TECNOLÓGICOS")</f>
        <v>0</v>
      </c>
      <c r="AN105" s="39">
        <f>GETPIVOTDATA("Suma de Finalizados",Calculos!$A$72,"Responsable","SUB GERENCIA DE SERVICIOS OPERACIONALES E INFRAESTRUCTURA
DIRECCIÓN DE RECURSOS TECNOLÓGICOS")</f>
        <v>2</v>
      </c>
      <c r="AP105" s="39">
        <f>GETPIVOTDATA("Suma de Sin plan de acción",Calculos!$A$72,"Responsable","SUB GERENCIA DE SERVICIOS OPERACIONALES E INFRAESTRUCTURA
DIRECCIÓN DE RECURSOS TECNOLÓGICOS")</f>
        <v>0</v>
      </c>
      <c r="AR105" s="43"/>
      <c r="AS105" s="7"/>
      <c r="AT105" s="43"/>
      <c r="AU105" s="43"/>
      <c r="AV105" s="43"/>
      <c r="AW105" s="43"/>
      <c r="AX105" s="43"/>
      <c r="AY105" s="43"/>
      <c r="AZ105" s="43"/>
    </row>
    <row r="106" spans="36:52" ht="91.2">
      <c r="AJ106" s="45" t="s">
        <v>599</v>
      </c>
      <c r="AK106" s="39">
        <f>GETPIVOTDATA("Suma de No. Planes de Acción",Calculos!$A$72,"Responsable","SUB GERENCIA DE SERVICIOS OPERACIONALES E INFRAESTRUCTURA
DIRECCIÓN DE SERVICIO AL TRANSPORTADOR")</f>
        <v>1</v>
      </c>
      <c r="AL106" s="39">
        <f>GETPIVOTDATA("Suma de Abiertos",Calculos!$A$72,"Responsable","SUB GERENCIA DE SERVICIOS OPERACIONALES E INFRAESTRUCTURA
DIRECCIÓN DE SERVICIO AL TRANSPORTADOR")</f>
        <v>0</v>
      </c>
      <c r="AM106" s="39">
        <f>GETPIVOTDATA("Suma de Vencidos",Calculos!$A$72,"Responsable","SUB GERENCIA DE SERVICIOS OPERACIONALES E INFRAESTRUCTURA
DIRECCIÓN DE SERVICIO AL TRANSPORTADOR")</f>
        <v>0</v>
      </c>
      <c r="AN106" s="39">
        <f>GETPIVOTDATA("Suma de Finalizados",Calculos!$A$72,"Responsable","SUB GERENCIA DE SERVICIOS OPERACIONALES E INFRAESTRUCTURA
DIRECCIÓN DE SERVICIO AL TRANSPORTADOR")</f>
        <v>1</v>
      </c>
      <c r="AO106" s="39"/>
      <c r="AP106" s="39">
        <f>GETPIVOTDATA("Suma de Sin plan de acción",Calculos!$A$72,"Responsable","SUB GERENCIA DE SERVICIOS OPERACIONALES E INFRAESTRUCTURA
DIRECCIÓN DE SERVICIO AL TRANSPORTADOR")</f>
        <v>0</v>
      </c>
      <c r="AR106" s="43"/>
      <c r="AS106" s="7"/>
      <c r="AT106" s="43"/>
      <c r="AU106" s="43"/>
      <c r="AV106" s="43"/>
      <c r="AW106" s="43"/>
      <c r="AX106" s="43"/>
      <c r="AY106" s="43"/>
      <c r="AZ106" s="43"/>
    </row>
    <row r="107" spans="36:52" ht="57">
      <c r="AJ107" s="45" t="s">
        <v>600</v>
      </c>
      <c r="AK107" s="39">
        <f>GETPIVOTDATA("Suma de No. Planes de Acción",Calculos!$A$72,"Responsable","SUB GERENCIA JURÍDICA
SUB GERENCIA DE PLANEACIÓN Y PROYECTOS")</f>
        <v>3</v>
      </c>
      <c r="AL107" s="39">
        <f>GETPIVOTDATA("Suma de Abiertos",Calculos!$A$72,"Responsable","SUB GERENCIA JURÍDICA
SUB GERENCIA DE PLANEACIÓN Y PROYECTOS")</f>
        <v>0</v>
      </c>
      <c r="AM107" s="39">
        <f>GETPIVOTDATA("Suma de Vencidos",Calculos!$A$72,"Responsable","SUB GERENCIA JURÍDICA
SUB GERENCIA DE PLANEACIÓN Y PROYECTOS")</f>
        <v>3</v>
      </c>
      <c r="AN107" s="39">
        <f>GETPIVOTDATA("Suma de Finalizados",Calculos!$A$72,"Responsable","SUB GERENCIA JURÍDICA
SUB GERENCIA DE PLANEACIÓN Y PROYECTOS")</f>
        <v>0</v>
      </c>
      <c r="AO107" s="39"/>
      <c r="AP107" s="39">
        <f>GETPIVOTDATA("Suma de Sin plan de acción",Calculos!$A$72,"Responsable","SUB GERENCIA JURÍDICA
SUB GERENCIA DE PLANEACIÓN Y PROYECTOS")</f>
        <v>0</v>
      </c>
      <c r="AR107" s="43"/>
      <c r="AS107" s="7"/>
      <c r="AT107" s="43"/>
      <c r="AU107" s="43"/>
      <c r="AV107" s="43"/>
      <c r="AW107" s="43"/>
      <c r="AX107" s="43"/>
      <c r="AY107" s="43"/>
      <c r="AZ107" s="43"/>
    </row>
    <row r="108" spans="36:52" ht="102.6">
      <c r="AJ108" s="45" t="s">
        <v>601</v>
      </c>
      <c r="AK108" s="39">
        <f>GETPIVOTDATA("Suma de No. Planes de Acción",Calculos!$A$72,"Responsable","SUB GERENCIA JURÍDICA
SUB GERENCIA CORPORATIVA
SUB GERENCIA DE SERVICIOS OPERACIONALES E INFRAESTRUCTURA")</f>
        <v>1</v>
      </c>
      <c r="AL108" s="39">
        <f>GETPIVOTDATA("Suma de Abiertos",Calculos!$A$72,"Responsable","SUB GERENCIA JURÍDICA
SUB GERENCIA CORPORATIVA
SUB GERENCIA DE SERVICIOS OPERACIONALES E INFRAESTRUCTURA")</f>
        <v>1</v>
      </c>
      <c r="AM108" s="39">
        <f>GETPIVOTDATA("Suma de Vencidos",Calculos!$A$72,"Responsable","SUB GERENCIA JURÍDICA
SUB GERENCIA CORPORATIVA
SUB GERENCIA DE SERVICIOS OPERACIONALES E INFRAESTRUCTURA")</f>
        <v>0</v>
      </c>
      <c r="AN108" s="39">
        <f>GETPIVOTDATA("Suma de Finalizados",Calculos!$A$72,"Responsable","SUB GERENCIA JURÍDICA
SUB GERENCIA CORPORATIVA
SUB GERENCIA DE SERVICIOS OPERACIONALES E INFRAESTRUCTURA")</f>
        <v>0</v>
      </c>
      <c r="AO108" s="39"/>
      <c r="AP108" s="39">
        <f>GETPIVOTDATA("Suma de Sin plan de acción",Calculos!$A$72,"Responsable","SUB GERENCIA JURÍDICA
SUB GERENCIA CORPORATIVA
SUB GERENCIA DE SERVICIOS OPERACIONALES E INFRAESTRUCTURA")</f>
        <v>0</v>
      </c>
      <c r="AR108" s="43"/>
      <c r="AS108" s="7"/>
      <c r="AT108" s="43"/>
      <c r="AU108" s="43"/>
      <c r="AV108" s="43"/>
      <c r="AW108" s="43"/>
      <c r="AX108" s="43"/>
      <c r="AY108" s="43"/>
      <c r="AZ108" s="43"/>
    </row>
    <row r="109" spans="36:52" ht="12">
      <c r="AJ109" s="41" t="s">
        <v>585</v>
      </c>
      <c r="AK109" s="41">
        <f>SUM(AK100:AK108)</f>
        <v>16</v>
      </c>
      <c r="AL109" s="41">
        <f>SUM(AL100:AL108)</f>
        <v>1</v>
      </c>
      <c r="AM109" s="41">
        <f>SUM(AM100:AM108)</f>
        <v>8</v>
      </c>
      <c r="AN109" s="34">
        <f>SUM(AN100:AN108)</f>
        <v>7</v>
      </c>
      <c r="AO109" s="35"/>
      <c r="AP109" s="34">
        <f>SUM(AP100:AP108)</f>
        <v>0</v>
      </c>
      <c r="AR109" s="43"/>
      <c r="AS109" s="7"/>
      <c r="AT109" s="43"/>
      <c r="AU109" s="43"/>
      <c r="AV109" s="43"/>
      <c r="AW109" s="43"/>
      <c r="AX109" s="43"/>
      <c r="AY109" s="43"/>
      <c r="AZ109" s="43"/>
    </row>
    <row r="110" spans="36:52">
      <c r="AJ110" s="43"/>
      <c r="AK110" s="40"/>
      <c r="AL110" s="40"/>
      <c r="AM110" s="40"/>
      <c r="AN110" s="40"/>
      <c r="AO110" s="40"/>
      <c r="AP110" s="40"/>
      <c r="AR110" s="43"/>
      <c r="AS110" s="7"/>
      <c r="AT110" s="43"/>
      <c r="AU110" s="43"/>
      <c r="AV110" s="43"/>
      <c r="AW110" s="43"/>
      <c r="AX110" s="43"/>
      <c r="AY110" s="43"/>
      <c r="AZ110" s="43"/>
    </row>
    <row r="111" spans="36:52">
      <c r="AJ111" s="43"/>
      <c r="AK111" s="40"/>
      <c r="AL111" s="40"/>
      <c r="AM111" s="40"/>
      <c r="AN111" s="40"/>
      <c r="AO111" s="40"/>
      <c r="AP111" s="40"/>
      <c r="AR111" s="43"/>
      <c r="AS111" s="7"/>
      <c r="AT111" s="43"/>
      <c r="AU111" s="43"/>
      <c r="AV111" s="43"/>
      <c r="AW111" s="43"/>
      <c r="AX111" s="43"/>
      <c r="AY111" s="43"/>
      <c r="AZ111" s="43"/>
    </row>
    <row r="112" spans="36:52">
      <c r="AJ112" s="43" t="s">
        <v>602</v>
      </c>
      <c r="AK112" s="40"/>
      <c r="AL112" s="40"/>
      <c r="AM112" s="40"/>
      <c r="AN112" s="40"/>
      <c r="AO112" s="40"/>
      <c r="AP112" s="40"/>
      <c r="AR112" s="43"/>
      <c r="AS112" s="7"/>
      <c r="AT112" s="43"/>
      <c r="AU112" s="43"/>
      <c r="AV112" s="43"/>
      <c r="AW112" s="43"/>
      <c r="AX112" s="43"/>
      <c r="AY112" s="43"/>
      <c r="AZ112" s="43"/>
    </row>
    <row r="113" spans="36:52">
      <c r="AJ113" s="43"/>
      <c r="AK113" s="40"/>
      <c r="AL113" s="40"/>
      <c r="AM113" s="40"/>
      <c r="AN113" s="40"/>
      <c r="AO113" s="40"/>
      <c r="AP113" s="40"/>
      <c r="AR113" s="43"/>
      <c r="AS113" s="7"/>
      <c r="AT113" s="43"/>
      <c r="AU113" s="43"/>
      <c r="AV113" s="43"/>
      <c r="AW113" s="43"/>
      <c r="AX113" s="43"/>
      <c r="AY113" s="43"/>
      <c r="AZ113" s="43"/>
    </row>
    <row r="114" spans="36:52" ht="24">
      <c r="AJ114" s="227" t="s">
        <v>573</v>
      </c>
      <c r="AK114" s="61" t="s">
        <v>573</v>
      </c>
      <c r="AL114" s="61" t="s">
        <v>574</v>
      </c>
      <c r="AM114" s="63" t="s">
        <v>575</v>
      </c>
      <c r="AN114" s="63" t="s">
        <v>576</v>
      </c>
      <c r="AO114" s="35"/>
      <c r="AP114" s="63" t="s">
        <v>587</v>
      </c>
      <c r="AR114" s="43"/>
      <c r="AS114" s="7"/>
      <c r="AT114" s="43"/>
      <c r="AU114" s="43"/>
      <c r="AV114" s="43"/>
      <c r="AW114" s="43"/>
      <c r="AX114" s="43"/>
      <c r="AY114" s="43"/>
      <c r="AZ114" s="43"/>
    </row>
    <row r="115" spans="36:52" ht="12">
      <c r="AJ115" s="228"/>
      <c r="AK115" s="49">
        <f>+AK95+AK109</f>
        <v>160</v>
      </c>
      <c r="AL115" s="49">
        <f>+AL95+AL109</f>
        <v>29</v>
      </c>
      <c r="AM115" s="49">
        <f>+AM95+AM109</f>
        <v>26</v>
      </c>
      <c r="AN115" s="49">
        <f>+AN95+AN109</f>
        <v>105</v>
      </c>
      <c r="AO115" s="48"/>
      <c r="AP115" s="49">
        <f>+AP95+AP109</f>
        <v>1</v>
      </c>
      <c r="AR115" s="43"/>
      <c r="AS115" s="7"/>
      <c r="AT115" s="43"/>
      <c r="AU115" s="43"/>
      <c r="AV115" s="43"/>
      <c r="AW115" s="43"/>
      <c r="AX115" s="43"/>
      <c r="AY115" s="43"/>
      <c r="AZ115" s="43"/>
    </row>
    <row r="116" spans="36:52">
      <c r="AJ116" s="43"/>
      <c r="AK116" s="40"/>
      <c r="AL116" s="40"/>
      <c r="AM116" s="40"/>
      <c r="AN116" s="40"/>
      <c r="AO116" s="40"/>
      <c r="AP116" s="40"/>
      <c r="AR116" s="43"/>
      <c r="AS116" s="7"/>
      <c r="AT116" s="43"/>
      <c r="AU116" s="43"/>
      <c r="AV116" s="43"/>
      <c r="AW116" s="43"/>
      <c r="AX116" s="43"/>
      <c r="AY116" s="43"/>
      <c r="AZ116" s="43"/>
    </row>
  </sheetData>
  <sheetProtection selectLockedCells="1"/>
  <mergeCells count="7">
    <mergeCell ref="U9:V9"/>
    <mergeCell ref="AR99:AS99"/>
    <mergeCell ref="AJ114:AJ115"/>
    <mergeCell ref="C39:C40"/>
    <mergeCell ref="K24:L24"/>
    <mergeCell ref="AB63:AC63"/>
    <mergeCell ref="T78:T79"/>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4F3D8-2CCC-4E6A-8674-B50CE7AA8D83}">
  <sheetPr codeName="Hoja1">
    <tabColor rgb="FFFFC000"/>
  </sheetPr>
  <dimension ref="A1:N34"/>
  <sheetViews>
    <sheetView showGridLines="0" zoomScale="110" zoomScaleNormal="110" workbookViewId="0">
      <selection activeCell="E8" sqref="E8"/>
    </sheetView>
  </sheetViews>
  <sheetFormatPr baseColWidth="10" defaultRowHeight="14.4"/>
  <cols>
    <col min="1" max="1" width="0.44140625" style="121" customWidth="1"/>
    <col min="2" max="2" width="3" customWidth="1"/>
    <col min="3" max="3" width="37.88671875" customWidth="1"/>
    <col min="4" max="5" width="28.109375" customWidth="1"/>
    <col min="6" max="6" width="43" customWidth="1"/>
    <col min="7" max="7" width="12.88671875" customWidth="1"/>
    <col min="8" max="8" width="36.5546875" customWidth="1"/>
    <col min="9" max="9" width="38.109375" customWidth="1"/>
    <col min="10" max="10" width="20.77734375" customWidth="1"/>
    <col min="12" max="12" width="32.6640625" customWidth="1"/>
    <col min="13" max="13" width="11.5546875" customWidth="1"/>
    <col min="14" max="14" width="10.5546875" customWidth="1"/>
    <col min="15" max="15" width="12.88671875" bestFit="1" customWidth="1"/>
  </cols>
  <sheetData>
    <row r="1" spans="3:13" s="121" customFormat="1" ht="2.4" customHeight="1"/>
    <row r="3" spans="3:13">
      <c r="C3" s="125" t="s">
        <v>704</v>
      </c>
      <c r="D3" s="126"/>
      <c r="E3" s="126"/>
      <c r="F3" s="55"/>
    </row>
    <row r="4" spans="3:13">
      <c r="C4" s="55" t="s">
        <v>731</v>
      </c>
      <c r="D4" s="55"/>
      <c r="E4" s="55"/>
      <c r="F4" s="55"/>
    </row>
    <row r="5" spans="3:13">
      <c r="C5" s="55"/>
      <c r="D5" s="55"/>
      <c r="E5" s="55"/>
      <c r="F5" s="55"/>
    </row>
    <row r="6" spans="3:13" ht="79.8" customHeight="1">
      <c r="C6" s="124" t="s">
        <v>711</v>
      </c>
      <c r="D6" s="55"/>
      <c r="E6" s="55"/>
      <c r="F6" s="55"/>
    </row>
    <row r="7" spans="3:13" ht="24">
      <c r="C7" s="72" t="s">
        <v>0</v>
      </c>
      <c r="D7" s="72" t="s">
        <v>1</v>
      </c>
      <c r="E7" s="72" t="s">
        <v>2</v>
      </c>
      <c r="F7" s="72" t="s">
        <v>3</v>
      </c>
      <c r="G7" s="72" t="s">
        <v>4</v>
      </c>
      <c r="H7" s="72" t="s">
        <v>5</v>
      </c>
      <c r="I7" s="123" t="s">
        <v>694</v>
      </c>
      <c r="J7" s="72" t="s">
        <v>7</v>
      </c>
      <c r="K7" s="72" t="s">
        <v>8</v>
      </c>
      <c r="L7" s="122" t="s">
        <v>9</v>
      </c>
      <c r="M7" s="122" t="s">
        <v>11</v>
      </c>
    </row>
    <row r="8" spans="3:13" ht="240.6">
      <c r="C8" s="74" t="s">
        <v>180</v>
      </c>
      <c r="D8" s="75" t="s">
        <v>181</v>
      </c>
      <c r="E8" s="74" t="s">
        <v>231</v>
      </c>
      <c r="F8" s="74" t="s">
        <v>232</v>
      </c>
      <c r="G8" s="71" t="s">
        <v>188</v>
      </c>
      <c r="H8" s="74" t="s">
        <v>233</v>
      </c>
      <c r="I8" s="133" t="s">
        <v>751</v>
      </c>
      <c r="J8" s="77">
        <v>45809</v>
      </c>
      <c r="K8" s="77">
        <v>46079</v>
      </c>
      <c r="L8" s="82" t="s">
        <v>234</v>
      </c>
      <c r="M8" s="79" t="s">
        <v>201</v>
      </c>
    </row>
    <row r="9" spans="3:13" ht="34.200000000000003">
      <c r="C9" s="74" t="s">
        <v>180</v>
      </c>
      <c r="D9" s="75" t="s">
        <v>181</v>
      </c>
      <c r="E9" s="74" t="s">
        <v>231</v>
      </c>
      <c r="F9" s="74"/>
      <c r="G9" s="76"/>
      <c r="H9" s="74" t="s">
        <v>236</v>
      </c>
      <c r="I9" s="133" t="s">
        <v>751</v>
      </c>
      <c r="J9" s="77">
        <v>45809</v>
      </c>
      <c r="K9" s="77">
        <v>46079</v>
      </c>
      <c r="L9" s="85" t="s">
        <v>234</v>
      </c>
      <c r="M9" s="79" t="s">
        <v>201</v>
      </c>
    </row>
    <row r="10" spans="3:13" ht="57.6">
      <c r="C10" s="74" t="s">
        <v>180</v>
      </c>
      <c r="D10" s="92" t="s">
        <v>360</v>
      </c>
      <c r="E10" s="45" t="s">
        <v>381</v>
      </c>
      <c r="F10" s="102" t="s">
        <v>511</v>
      </c>
      <c r="G10" s="103" t="s">
        <v>188</v>
      </c>
      <c r="H10" s="47" t="s">
        <v>382</v>
      </c>
      <c r="I10" s="134" t="s">
        <v>790</v>
      </c>
      <c r="J10" s="87">
        <v>45989</v>
      </c>
      <c r="K10" s="87">
        <v>46053</v>
      </c>
      <c r="L10" s="84" t="s">
        <v>383</v>
      </c>
      <c r="M10" s="37" t="s">
        <v>20</v>
      </c>
    </row>
    <row r="11" spans="3:13" ht="57.6">
      <c r="C11" s="74" t="s">
        <v>180</v>
      </c>
      <c r="D11" s="92" t="s">
        <v>360</v>
      </c>
      <c r="E11" s="45" t="s">
        <v>393</v>
      </c>
      <c r="F11" s="102" t="s">
        <v>514</v>
      </c>
      <c r="G11" s="104" t="s">
        <v>280</v>
      </c>
      <c r="H11" s="47" t="s">
        <v>394</v>
      </c>
      <c r="I11" s="134" t="s">
        <v>792</v>
      </c>
      <c r="J11" s="87">
        <v>45989</v>
      </c>
      <c r="K11" s="87">
        <v>46053</v>
      </c>
      <c r="L11" s="97" t="s">
        <v>395</v>
      </c>
      <c r="M11" s="37" t="s">
        <v>20</v>
      </c>
    </row>
    <row r="12" spans="3:13" ht="46.2">
      <c r="C12" s="74" t="s">
        <v>180</v>
      </c>
      <c r="D12" s="92" t="s">
        <v>360</v>
      </c>
      <c r="E12" s="45" t="s">
        <v>397</v>
      </c>
      <c r="F12" s="102" t="s">
        <v>515</v>
      </c>
      <c r="G12" s="104" t="s">
        <v>280</v>
      </c>
      <c r="H12" s="47" t="s">
        <v>394</v>
      </c>
      <c r="I12" s="134" t="s">
        <v>794</v>
      </c>
      <c r="J12" s="87">
        <v>45989</v>
      </c>
      <c r="K12" s="87">
        <v>46053</v>
      </c>
      <c r="L12" s="97" t="s">
        <v>398</v>
      </c>
      <c r="M12" s="37" t="s">
        <v>20</v>
      </c>
    </row>
    <row r="15" spans="3:13">
      <c r="C15" s="125" t="s">
        <v>722</v>
      </c>
      <c r="D15" s="126"/>
      <c r="E15" s="126"/>
      <c r="F15" s="55"/>
    </row>
    <row r="16" spans="3:13">
      <c r="C16" s="55" t="s">
        <v>732</v>
      </c>
      <c r="D16" s="55"/>
      <c r="E16" s="55"/>
      <c r="F16" s="55"/>
    </row>
    <row r="17" spans="3:14">
      <c r="C17" s="55"/>
      <c r="D17" s="55"/>
      <c r="E17" s="55"/>
      <c r="F17" s="55"/>
    </row>
    <row r="18" spans="3:14" ht="79.2">
      <c r="C18" s="124" t="s">
        <v>716</v>
      </c>
      <c r="D18" s="55"/>
      <c r="E18" s="55"/>
      <c r="F18" s="55"/>
    </row>
    <row r="20" spans="3:14" ht="24">
      <c r="C20" s="72" t="s">
        <v>0</v>
      </c>
      <c r="D20" s="72" t="s">
        <v>1</v>
      </c>
      <c r="E20" s="72" t="s">
        <v>2</v>
      </c>
      <c r="F20" s="72" t="s">
        <v>3</v>
      </c>
      <c r="G20" s="72" t="s">
        <v>4</v>
      </c>
      <c r="H20" s="72" t="s">
        <v>5</v>
      </c>
      <c r="I20" s="123" t="s">
        <v>694</v>
      </c>
      <c r="J20" s="72" t="s">
        <v>7</v>
      </c>
      <c r="K20" s="72" t="s">
        <v>8</v>
      </c>
      <c r="L20" s="122" t="s">
        <v>9</v>
      </c>
      <c r="M20" s="122" t="s">
        <v>11</v>
      </c>
    </row>
    <row r="21" spans="3:14" ht="342">
      <c r="C21" s="74" t="s">
        <v>111</v>
      </c>
      <c r="D21" s="75" t="s">
        <v>142</v>
      </c>
      <c r="E21" s="74" t="s">
        <v>565</v>
      </c>
      <c r="F21" s="74" t="s">
        <v>503</v>
      </c>
      <c r="G21" s="76"/>
      <c r="H21" s="74" t="s">
        <v>143</v>
      </c>
      <c r="I21" s="74" t="s">
        <v>796</v>
      </c>
      <c r="J21" s="77">
        <v>45716</v>
      </c>
      <c r="K21" s="77">
        <v>46081</v>
      </c>
      <c r="L21" s="82" t="s">
        <v>145</v>
      </c>
      <c r="M21" s="79" t="s">
        <v>33</v>
      </c>
    </row>
    <row r="22" spans="3:14" ht="285">
      <c r="C22" s="74" t="s">
        <v>111</v>
      </c>
      <c r="D22" s="75" t="s">
        <v>142</v>
      </c>
      <c r="E22" s="74" t="s">
        <v>566</v>
      </c>
      <c r="F22" s="74" t="s">
        <v>147</v>
      </c>
      <c r="G22" s="76"/>
      <c r="H22" s="74" t="s">
        <v>143</v>
      </c>
      <c r="I22" s="74" t="s">
        <v>796</v>
      </c>
      <c r="J22" s="77">
        <v>45716</v>
      </c>
      <c r="K22" s="77">
        <v>46081</v>
      </c>
      <c r="L22" s="85" t="s">
        <v>145</v>
      </c>
      <c r="M22" s="79" t="s">
        <v>33</v>
      </c>
    </row>
    <row r="23" spans="3:14" ht="376.2">
      <c r="C23" s="74" t="s">
        <v>111</v>
      </c>
      <c r="D23" s="75" t="s">
        <v>142</v>
      </c>
      <c r="E23" s="74" t="s">
        <v>567</v>
      </c>
      <c r="F23" s="74" t="s">
        <v>504</v>
      </c>
      <c r="G23" s="76"/>
      <c r="H23" s="74" t="s">
        <v>143</v>
      </c>
      <c r="I23" s="74" t="s">
        <v>796</v>
      </c>
      <c r="J23" s="77">
        <v>45716</v>
      </c>
      <c r="K23" s="77">
        <v>46081</v>
      </c>
      <c r="L23" s="85" t="s">
        <v>145</v>
      </c>
      <c r="M23" s="79" t="s">
        <v>33</v>
      </c>
    </row>
    <row r="26" spans="3:14">
      <c r="C26" s="125" t="s">
        <v>724</v>
      </c>
      <c r="D26" s="126"/>
      <c r="E26" s="126"/>
      <c r="F26" s="127"/>
    </row>
    <row r="27" spans="3:14">
      <c r="C27" s="55" t="s">
        <v>788</v>
      </c>
      <c r="D27" s="55"/>
      <c r="E27" s="55"/>
    </row>
    <row r="28" spans="3:14">
      <c r="C28" s="55"/>
      <c r="D28" s="55"/>
      <c r="E28" s="55"/>
    </row>
    <row r="29" spans="3:14" ht="105.6">
      <c r="C29" s="124" t="s">
        <v>728</v>
      </c>
      <c r="D29" s="55"/>
      <c r="E29" s="55"/>
    </row>
    <row r="30" spans="3:14" ht="24">
      <c r="C30" s="72" t="s">
        <v>0</v>
      </c>
      <c r="D30" s="72" t="s">
        <v>1</v>
      </c>
      <c r="E30" s="72"/>
      <c r="F30" s="72" t="s">
        <v>3</v>
      </c>
      <c r="G30" s="72" t="s">
        <v>4</v>
      </c>
      <c r="H30" s="72" t="s">
        <v>5</v>
      </c>
      <c r="I30" s="123" t="s">
        <v>694</v>
      </c>
      <c r="J30" s="72" t="s">
        <v>7</v>
      </c>
      <c r="K30" s="72" t="s">
        <v>8</v>
      </c>
      <c r="L30" s="122" t="s">
        <v>9</v>
      </c>
      <c r="M30" s="122" t="s">
        <v>11</v>
      </c>
    </row>
    <row r="31" spans="3:14" ht="127.2">
      <c r="C31" s="74" t="s">
        <v>13</v>
      </c>
      <c r="D31" s="75" t="s">
        <v>14</v>
      </c>
      <c r="E31" s="74" t="s">
        <v>29</v>
      </c>
      <c r="F31" s="74" t="s">
        <v>29</v>
      </c>
      <c r="G31" s="76"/>
      <c r="H31" s="74" t="s">
        <v>30</v>
      </c>
      <c r="I31" s="136" t="s">
        <v>763</v>
      </c>
      <c r="J31" s="77">
        <v>44995</v>
      </c>
      <c r="K31" s="77">
        <v>46008</v>
      </c>
      <c r="L31" s="82" t="s">
        <v>31</v>
      </c>
      <c r="M31" s="79" t="s">
        <v>20</v>
      </c>
      <c r="N31" s="8" t="s">
        <v>783</v>
      </c>
    </row>
    <row r="32" spans="3:14" ht="33" customHeight="1">
      <c r="C32" s="74" t="s">
        <v>13</v>
      </c>
      <c r="D32" s="75" t="s">
        <v>14</v>
      </c>
      <c r="E32" s="74"/>
      <c r="F32" s="74"/>
      <c r="G32" s="76"/>
      <c r="H32" s="74" t="s">
        <v>34</v>
      </c>
      <c r="I32" s="136" t="s">
        <v>767</v>
      </c>
      <c r="J32" s="77">
        <v>44995</v>
      </c>
      <c r="K32" s="77">
        <v>46022</v>
      </c>
      <c r="L32" s="85" t="s">
        <v>31</v>
      </c>
      <c r="M32" s="79" t="s">
        <v>201</v>
      </c>
      <c r="N32" s="8"/>
    </row>
    <row r="33" spans="3:14" ht="37.200000000000003" customHeight="1">
      <c r="C33" s="74" t="s">
        <v>180</v>
      </c>
      <c r="D33" s="92" t="s">
        <v>251</v>
      </c>
      <c r="E33" s="45" t="s">
        <v>634</v>
      </c>
      <c r="F33" s="45" t="s">
        <v>290</v>
      </c>
      <c r="G33" s="96" t="s">
        <v>280</v>
      </c>
      <c r="H33" s="47" t="s">
        <v>291</v>
      </c>
      <c r="I33" s="83" t="s">
        <v>773</v>
      </c>
      <c r="J33" s="87">
        <v>45922</v>
      </c>
      <c r="K33" s="87">
        <v>46022</v>
      </c>
      <c r="L33" s="93" t="s">
        <v>292</v>
      </c>
      <c r="M33" s="37" t="s">
        <v>20</v>
      </c>
      <c r="N33" s="8"/>
    </row>
    <row r="34" spans="3:14" ht="34.799999999999997" customHeight="1">
      <c r="C34" s="74" t="s">
        <v>180</v>
      </c>
      <c r="D34" s="92" t="s">
        <v>399</v>
      </c>
      <c r="E34" s="45" t="s">
        <v>403</v>
      </c>
      <c r="F34" s="45" t="s">
        <v>517</v>
      </c>
      <c r="G34" s="105" t="s">
        <v>188</v>
      </c>
      <c r="H34" s="47" t="s">
        <v>404</v>
      </c>
      <c r="I34" s="83" t="s">
        <v>771</v>
      </c>
      <c r="J34" s="87">
        <v>46020</v>
      </c>
      <c r="K34" s="87">
        <v>46115</v>
      </c>
      <c r="L34" s="84" t="s">
        <v>405</v>
      </c>
      <c r="M34" s="37" t="s">
        <v>33</v>
      </c>
      <c r="N34" s="8"/>
    </row>
  </sheetData>
  <hyperlinks>
    <hyperlink ref="L8" r:id="rId1" xr:uid="{B2C8A750-0498-425C-8A4A-2DAAAB57452A}"/>
    <hyperlink ref="L9" r:id="rId2" xr:uid="{65C96CB3-DFCD-4DCF-B0A2-2191B322AA6C}"/>
    <hyperlink ref="L10" r:id="rId3" xr:uid="{F899D3EA-1D09-4AAE-B701-3349D8B3584C}"/>
    <hyperlink ref="L11" r:id="rId4" xr:uid="{6A2C0E8A-9796-4D69-A000-C645ADF9A7D7}"/>
    <hyperlink ref="L12" r:id="rId5" xr:uid="{72D3BCC6-860B-44EF-A16D-8E3DF0022F0B}"/>
    <hyperlink ref="L21" r:id="rId6" xr:uid="{08ADD462-0179-476F-82CD-C33040DAA81C}"/>
    <hyperlink ref="L22" r:id="rId7" xr:uid="{8965BCC1-A124-41A1-B128-44ECA0D6791E}"/>
    <hyperlink ref="L23" r:id="rId8" xr:uid="{8F039177-FE3D-4276-85C4-75B1471901DC}"/>
    <hyperlink ref="L31" r:id="rId9" xr:uid="{93C75B1F-DBAA-42CB-8129-D073BBCCEBBF}"/>
    <hyperlink ref="L32" r:id="rId10" xr:uid="{FEDCA6F5-0ADA-4516-96CD-3F45D912E5A5}"/>
    <hyperlink ref="L33" r:id="rId11" xr:uid="{B372C503-A00A-4B32-AADB-9ED96023887A}"/>
    <hyperlink ref="L34" r:id="rId12" xr:uid="{F0A39C6F-9EA8-49BC-AC07-9AF10AEE0D3E}"/>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F215D-EE71-4E88-B9ED-6EFDDF39B34E}">
  <sheetPr codeName="Hoja4"/>
  <dimension ref="A3:G129"/>
  <sheetViews>
    <sheetView showGridLines="0" topLeftCell="A26" workbookViewId="0">
      <selection activeCell="F42" sqref="F42"/>
    </sheetView>
  </sheetViews>
  <sheetFormatPr baseColWidth="10" defaultRowHeight="14.4"/>
  <cols>
    <col min="1" max="1" width="25.33203125" bestFit="1" customWidth="1"/>
    <col min="2" max="2" width="4" bestFit="1" customWidth="1"/>
    <col min="3" max="3" width="26" style="13" bestFit="1" customWidth="1"/>
    <col min="4" max="4" width="15.5546875" bestFit="1" customWidth="1"/>
    <col min="5" max="5" width="16.33203125" bestFit="1" customWidth="1"/>
    <col min="6" max="6" width="18.21875" bestFit="1" customWidth="1"/>
    <col min="7" max="8" width="23.77734375" bestFit="1" customWidth="1"/>
    <col min="9" max="10" width="2" bestFit="1" customWidth="1"/>
    <col min="11" max="11" width="3" bestFit="1" customWidth="1"/>
  </cols>
  <sheetData>
    <row r="3" spans="1:3">
      <c r="A3" s="11" t="s">
        <v>555</v>
      </c>
    </row>
    <row r="4" spans="1:3">
      <c r="A4" s="12" t="s">
        <v>547</v>
      </c>
      <c r="B4">
        <v>119</v>
      </c>
      <c r="C4" s="13">
        <f>GETPIVOTDATA("Suma de No. Hallazgos",$A$3)</f>
        <v>119</v>
      </c>
    </row>
    <row r="5" spans="1:3">
      <c r="A5" s="12" t="s">
        <v>546</v>
      </c>
      <c r="B5">
        <v>163</v>
      </c>
      <c r="C5" s="13">
        <f>GETPIVOTDATA("Suma de No. Planes de Acción",$A$3)</f>
        <v>163</v>
      </c>
    </row>
    <row r="6" spans="1:3">
      <c r="A6" s="12" t="s">
        <v>548</v>
      </c>
      <c r="B6">
        <v>31</v>
      </c>
      <c r="C6" s="13">
        <f>GETPIVOTDATA("Suma de Abiertos",$A$3)</f>
        <v>31</v>
      </c>
    </row>
    <row r="7" spans="1:3">
      <c r="A7" s="12" t="s">
        <v>549</v>
      </c>
      <c r="B7">
        <v>106</v>
      </c>
      <c r="C7" s="13">
        <f>GETPIVOTDATA("Suma de Finalizados",$A$3)</f>
        <v>106</v>
      </c>
    </row>
    <row r="8" spans="1:3">
      <c r="A8" s="12" t="s">
        <v>550</v>
      </c>
      <c r="B8">
        <v>26</v>
      </c>
      <c r="C8" s="13">
        <f>GETPIVOTDATA("Suma de Vencidos",$A$3)</f>
        <v>26</v>
      </c>
    </row>
    <row r="9" spans="1:3">
      <c r="A9" s="12" t="s">
        <v>551</v>
      </c>
      <c r="B9">
        <v>1</v>
      </c>
      <c r="C9" s="13">
        <f>GETPIVOTDATA("Suma de Sin plan de acción",$A$3)</f>
        <v>1</v>
      </c>
    </row>
    <row r="10" spans="1:3">
      <c r="A10" s="12" t="s">
        <v>552</v>
      </c>
      <c r="B10">
        <v>19</v>
      </c>
      <c r="C10" s="13">
        <f>GETPIVOTDATA("Suma de Alto ",$A$3)</f>
        <v>19</v>
      </c>
    </row>
    <row r="11" spans="1:3">
      <c r="A11" s="12" t="s">
        <v>553</v>
      </c>
      <c r="B11">
        <v>40</v>
      </c>
      <c r="C11" s="13">
        <f>GETPIVOTDATA("Suma de Medio",$A$3)</f>
        <v>40</v>
      </c>
    </row>
    <row r="12" spans="1:3">
      <c r="A12" s="12" t="s">
        <v>554</v>
      </c>
      <c r="B12">
        <v>17</v>
      </c>
      <c r="C12" s="13">
        <f>GETPIVOTDATA("Suma de Bajo",$A$3)</f>
        <v>17</v>
      </c>
    </row>
    <row r="13" spans="1:3">
      <c r="A13" s="12" t="s">
        <v>556</v>
      </c>
      <c r="B13">
        <v>0</v>
      </c>
      <c r="C13" s="13">
        <f>GETPIVOTDATA("Suma de Alerta 10 días",$A$3)</f>
        <v>0</v>
      </c>
    </row>
    <row r="14" spans="1:3">
      <c r="A14" s="12" t="s">
        <v>557</v>
      </c>
      <c r="B14">
        <v>0</v>
      </c>
      <c r="C14" s="13">
        <f>GETPIVOTDATA("Suma de Alerta 20 días",$A$3)</f>
        <v>0</v>
      </c>
    </row>
    <row r="15" spans="1:3">
      <c r="A15" s="12" t="s">
        <v>558</v>
      </c>
      <c r="B15">
        <v>0</v>
      </c>
      <c r="C15" s="13">
        <f>GETPIVOTDATA("Suma de Alerta 30 días",$A$3)</f>
        <v>0</v>
      </c>
    </row>
    <row r="19" spans="1:3">
      <c r="C19"/>
    </row>
    <row r="20" spans="1:3">
      <c r="C20"/>
    </row>
    <row r="21" spans="1:3">
      <c r="C21"/>
    </row>
    <row r="22" spans="1:3">
      <c r="C22"/>
    </row>
    <row r="23" spans="1:3">
      <c r="C23"/>
    </row>
    <row r="24" spans="1:3">
      <c r="C24"/>
    </row>
    <row r="25" spans="1:3">
      <c r="A25" s="12"/>
      <c r="C25"/>
    </row>
    <row r="26" spans="1:3">
      <c r="A26" s="12"/>
      <c r="C26"/>
    </row>
    <row r="27" spans="1:3">
      <c r="A27" s="15"/>
      <c r="C27" s="65"/>
    </row>
    <row r="28" spans="1:3">
      <c r="A28" s="16"/>
      <c r="C28" s="66"/>
    </row>
    <row r="29" spans="1:3">
      <c r="C29"/>
    </row>
    <row r="30" spans="1:3">
      <c r="C30"/>
    </row>
    <row r="31" spans="1:3">
      <c r="C31"/>
    </row>
    <row r="32" spans="1:3">
      <c r="C32"/>
    </row>
    <row r="33" spans="1:3">
      <c r="A33" s="11" t="s">
        <v>555</v>
      </c>
      <c r="C33"/>
    </row>
    <row r="34" spans="1:3">
      <c r="A34" t="s">
        <v>547</v>
      </c>
      <c r="B34">
        <v>119</v>
      </c>
      <c r="C34">
        <f>GETPIVOTDATA("Suma de No. Hallazgos",$A$33)</f>
        <v>119</v>
      </c>
    </row>
    <row r="35" spans="1:3">
      <c r="A35" t="s">
        <v>546</v>
      </c>
      <c r="B35">
        <v>163</v>
      </c>
      <c r="C35">
        <f>GETPIVOTDATA("Suma de No. Planes de Acción",$A$33)</f>
        <v>163</v>
      </c>
    </row>
    <row r="36" spans="1:3">
      <c r="A36" t="s">
        <v>548</v>
      </c>
      <c r="B36">
        <v>31</v>
      </c>
      <c r="C36">
        <f>GETPIVOTDATA("Suma de Abiertos",$A$33)</f>
        <v>31</v>
      </c>
    </row>
    <row r="37" spans="1:3">
      <c r="A37" t="s">
        <v>550</v>
      </c>
      <c r="B37">
        <v>26</v>
      </c>
      <c r="C37">
        <f>GETPIVOTDATA("Suma de Vencidos",$A$33)</f>
        <v>26</v>
      </c>
    </row>
    <row r="38" spans="1:3">
      <c r="A38" t="s">
        <v>549</v>
      </c>
      <c r="B38">
        <v>106</v>
      </c>
      <c r="C38">
        <f>GETPIVOTDATA("Suma de Finalizados",$A$33)</f>
        <v>106</v>
      </c>
    </row>
    <row r="39" spans="1:3">
      <c r="A39" t="s">
        <v>551</v>
      </c>
      <c r="B39">
        <v>1</v>
      </c>
      <c r="C39">
        <f>GETPIVOTDATA("Suma de Sin plan de acción",$A$33)</f>
        <v>1</v>
      </c>
    </row>
    <row r="40" spans="1:3">
      <c r="A40" t="s">
        <v>552</v>
      </c>
      <c r="B40">
        <v>19</v>
      </c>
      <c r="C40">
        <f>GETPIVOTDATA("Suma de Alto ",$A$33)</f>
        <v>19</v>
      </c>
    </row>
    <row r="41" spans="1:3">
      <c r="A41" t="s">
        <v>553</v>
      </c>
      <c r="B41">
        <v>40</v>
      </c>
      <c r="C41">
        <f>GETPIVOTDATA("Suma de Medio",$A$33)</f>
        <v>40</v>
      </c>
    </row>
    <row r="42" spans="1:3">
      <c r="A42" t="s">
        <v>554</v>
      </c>
      <c r="B42">
        <v>17</v>
      </c>
      <c r="C42">
        <f>GETPIVOTDATA("Suma de Bajo",$A$33)</f>
        <v>17</v>
      </c>
    </row>
    <row r="43" spans="1:3">
      <c r="A43" t="s">
        <v>610</v>
      </c>
      <c r="B43" s="185">
        <v>0</v>
      </c>
      <c r="C43" s="68">
        <f ca="1">COUNTIF('Base de datos'!Q:Q, "*CRÍTICO*")</f>
        <v>0</v>
      </c>
    </row>
    <row r="44" spans="1:3">
      <c r="A44" t="s">
        <v>556</v>
      </c>
      <c r="B44" s="185">
        <v>0</v>
      </c>
      <c r="C44" s="68">
        <f ca="1">COUNTIF('Base de datos'!N:N, "*CRÍTICO*")</f>
        <v>0</v>
      </c>
    </row>
    <row r="45" spans="1:3">
      <c r="A45" t="s">
        <v>557</v>
      </c>
      <c r="B45">
        <v>0</v>
      </c>
      <c r="C45">
        <f ca="1">COUNTIF('Base de datos'!O:O, "*CRÍTICO*")</f>
        <v>0</v>
      </c>
    </row>
    <row r="46" spans="1:3">
      <c r="A46" t="s">
        <v>558</v>
      </c>
      <c r="B46">
        <v>0</v>
      </c>
      <c r="C46">
        <f ca="1">COUNTIF('Base de datos'!P:P, "*CRÍTICO*")</f>
        <v>0</v>
      </c>
    </row>
    <row r="47" spans="1:3">
      <c r="C47"/>
    </row>
    <row r="48" spans="1:3">
      <c r="C48"/>
    </row>
    <row r="49" spans="1:7">
      <c r="A49" t="s">
        <v>619</v>
      </c>
      <c r="C49"/>
    </row>
    <row r="50" spans="1:7">
      <c r="A50" s="11" t="s">
        <v>586</v>
      </c>
      <c r="B50" t="s">
        <v>547</v>
      </c>
      <c r="C50" t="s">
        <v>546</v>
      </c>
      <c r="D50" t="s">
        <v>548</v>
      </c>
      <c r="E50" t="s">
        <v>550</v>
      </c>
      <c r="F50" t="s">
        <v>549</v>
      </c>
      <c r="G50" t="s">
        <v>551</v>
      </c>
    </row>
    <row r="51" spans="1:7">
      <c r="A51" s="12" t="s">
        <v>306</v>
      </c>
      <c r="B51">
        <v>3</v>
      </c>
      <c r="C51">
        <v>6</v>
      </c>
      <c r="D51">
        <v>0</v>
      </c>
      <c r="E51">
        <v>2</v>
      </c>
      <c r="F51">
        <v>4</v>
      </c>
      <c r="G51">
        <v>0</v>
      </c>
    </row>
    <row r="52" spans="1:7">
      <c r="A52" s="12" t="s">
        <v>471</v>
      </c>
      <c r="B52">
        <v>2</v>
      </c>
      <c r="C52">
        <v>3</v>
      </c>
      <c r="D52">
        <v>1</v>
      </c>
      <c r="E52">
        <v>2</v>
      </c>
      <c r="F52">
        <v>0</v>
      </c>
      <c r="G52">
        <v>0</v>
      </c>
    </row>
    <row r="53" spans="1:7">
      <c r="A53" s="12" t="s">
        <v>449</v>
      </c>
      <c r="B53">
        <v>4</v>
      </c>
      <c r="C53">
        <v>4</v>
      </c>
      <c r="D53">
        <v>0</v>
      </c>
      <c r="E53">
        <v>1</v>
      </c>
      <c r="F53">
        <v>3</v>
      </c>
      <c r="G53">
        <v>0</v>
      </c>
    </row>
    <row r="54" spans="1:7">
      <c r="A54" s="12" t="s">
        <v>399</v>
      </c>
      <c r="B54">
        <v>5</v>
      </c>
      <c r="C54">
        <v>7</v>
      </c>
      <c r="D54">
        <v>4</v>
      </c>
      <c r="E54">
        <v>0</v>
      </c>
      <c r="F54">
        <v>3</v>
      </c>
      <c r="G54">
        <v>1</v>
      </c>
    </row>
    <row r="55" spans="1:7">
      <c r="A55" s="12" t="s">
        <v>251</v>
      </c>
      <c r="B55">
        <v>9</v>
      </c>
      <c r="C55">
        <v>12</v>
      </c>
      <c r="D55">
        <v>0</v>
      </c>
      <c r="E55">
        <v>0</v>
      </c>
      <c r="F55">
        <v>12</v>
      </c>
      <c r="G55">
        <v>0</v>
      </c>
    </row>
    <row r="56" spans="1:7">
      <c r="A56" s="12" t="s">
        <v>157</v>
      </c>
      <c r="B56">
        <v>5</v>
      </c>
      <c r="C56">
        <v>6</v>
      </c>
      <c r="D56">
        <v>0</v>
      </c>
      <c r="E56">
        <v>0</v>
      </c>
      <c r="F56">
        <v>6</v>
      </c>
      <c r="G56">
        <v>0</v>
      </c>
    </row>
    <row r="57" spans="1:7">
      <c r="A57" s="12" t="s">
        <v>461</v>
      </c>
      <c r="B57">
        <v>2</v>
      </c>
      <c r="C57">
        <v>5</v>
      </c>
      <c r="D57">
        <v>5</v>
      </c>
      <c r="E57">
        <v>0</v>
      </c>
      <c r="F57">
        <v>0</v>
      </c>
      <c r="G57">
        <v>0</v>
      </c>
    </row>
    <row r="58" spans="1:7">
      <c r="A58" s="12" t="s">
        <v>142</v>
      </c>
      <c r="B58">
        <v>4</v>
      </c>
      <c r="C58">
        <v>6</v>
      </c>
      <c r="D58">
        <v>0</v>
      </c>
      <c r="E58">
        <v>0</v>
      </c>
      <c r="F58">
        <v>6</v>
      </c>
      <c r="G58">
        <v>0</v>
      </c>
    </row>
    <row r="59" spans="1:7">
      <c r="A59" s="12" t="s">
        <v>419</v>
      </c>
      <c r="B59">
        <v>4</v>
      </c>
      <c r="C59">
        <v>18</v>
      </c>
      <c r="D59">
        <v>5</v>
      </c>
      <c r="E59">
        <v>13</v>
      </c>
      <c r="F59">
        <v>0</v>
      </c>
      <c r="G59">
        <v>0</v>
      </c>
    </row>
    <row r="60" spans="1:7">
      <c r="A60" s="12" t="s">
        <v>112</v>
      </c>
      <c r="B60">
        <v>7</v>
      </c>
      <c r="C60">
        <v>8</v>
      </c>
      <c r="D60">
        <v>0</v>
      </c>
      <c r="E60">
        <v>1</v>
      </c>
      <c r="F60">
        <v>7</v>
      </c>
      <c r="G60">
        <v>0</v>
      </c>
    </row>
    <row r="61" spans="1:7">
      <c r="A61" s="12" t="s">
        <v>181</v>
      </c>
      <c r="B61">
        <v>9</v>
      </c>
      <c r="C61">
        <v>17</v>
      </c>
      <c r="D61">
        <v>0</v>
      </c>
      <c r="E61">
        <v>2</v>
      </c>
      <c r="F61">
        <v>15</v>
      </c>
      <c r="G61">
        <v>0</v>
      </c>
    </row>
    <row r="62" spans="1:7">
      <c r="A62" s="12" t="s">
        <v>486</v>
      </c>
      <c r="B62">
        <v>4</v>
      </c>
      <c r="C62">
        <v>6</v>
      </c>
      <c r="D62">
        <v>1</v>
      </c>
      <c r="E62">
        <v>1</v>
      </c>
      <c r="F62">
        <v>4</v>
      </c>
      <c r="G62">
        <v>0</v>
      </c>
    </row>
    <row r="63" spans="1:7">
      <c r="A63" s="12" t="s">
        <v>327</v>
      </c>
      <c r="B63">
        <v>7</v>
      </c>
      <c r="C63">
        <v>8</v>
      </c>
      <c r="D63">
        <v>0</v>
      </c>
      <c r="E63">
        <v>0</v>
      </c>
      <c r="F63">
        <v>8</v>
      </c>
      <c r="G63">
        <v>0</v>
      </c>
    </row>
    <row r="64" spans="1:7">
      <c r="A64" s="12" t="s">
        <v>14</v>
      </c>
      <c r="B64">
        <v>25</v>
      </c>
      <c r="C64">
        <v>26</v>
      </c>
      <c r="D64">
        <v>0</v>
      </c>
      <c r="E64">
        <v>1</v>
      </c>
      <c r="F64">
        <v>25</v>
      </c>
      <c r="G64">
        <v>0</v>
      </c>
    </row>
    <row r="65" spans="1:7">
      <c r="A65" s="12" t="s">
        <v>477</v>
      </c>
      <c r="B65">
        <v>2</v>
      </c>
      <c r="C65">
        <v>2</v>
      </c>
      <c r="D65">
        <v>0</v>
      </c>
      <c r="E65">
        <v>0</v>
      </c>
      <c r="F65">
        <v>2</v>
      </c>
      <c r="G65">
        <v>0</v>
      </c>
    </row>
    <row r="66" spans="1:7">
      <c r="A66" s="12" t="s">
        <v>360</v>
      </c>
      <c r="B66">
        <v>9</v>
      </c>
      <c r="C66">
        <v>11</v>
      </c>
      <c r="D66">
        <v>0</v>
      </c>
      <c r="E66">
        <v>1</v>
      </c>
      <c r="F66">
        <v>10</v>
      </c>
      <c r="G66">
        <v>0</v>
      </c>
    </row>
    <row r="67" spans="1:7">
      <c r="A67" s="12" t="s">
        <v>925</v>
      </c>
      <c r="B67">
        <v>4</v>
      </c>
      <c r="C67">
        <v>4</v>
      </c>
      <c r="D67">
        <v>1</v>
      </c>
      <c r="E67">
        <v>2</v>
      </c>
      <c r="F67">
        <v>1</v>
      </c>
      <c r="G67">
        <v>0</v>
      </c>
    </row>
    <row r="68" spans="1:7">
      <c r="A68" s="12" t="s">
        <v>1039</v>
      </c>
      <c r="B68">
        <v>14</v>
      </c>
      <c r="C68">
        <v>14</v>
      </c>
      <c r="D68">
        <v>14</v>
      </c>
      <c r="E68">
        <v>0</v>
      </c>
      <c r="F68">
        <v>0</v>
      </c>
      <c r="G68">
        <v>0</v>
      </c>
    </row>
    <row r="69" spans="1:7">
      <c r="A69" s="12" t="s">
        <v>571</v>
      </c>
      <c r="B69">
        <v>119</v>
      </c>
      <c r="C69">
        <v>163</v>
      </c>
      <c r="D69">
        <v>31</v>
      </c>
      <c r="E69">
        <v>26</v>
      </c>
      <c r="F69">
        <v>106</v>
      </c>
      <c r="G69">
        <v>1</v>
      </c>
    </row>
    <row r="70" spans="1:7">
      <c r="C70"/>
    </row>
    <row r="71" spans="1:7">
      <c r="A71" s="12" t="s">
        <v>619</v>
      </c>
      <c r="C71"/>
    </row>
    <row r="72" spans="1:7">
      <c r="A72" s="11" t="s">
        <v>586</v>
      </c>
      <c r="B72" t="s">
        <v>546</v>
      </c>
      <c r="C72" s="13" t="s">
        <v>548</v>
      </c>
      <c r="D72" s="13" t="s">
        <v>550</v>
      </c>
      <c r="E72" s="13" t="s">
        <v>549</v>
      </c>
      <c r="F72" t="s">
        <v>551</v>
      </c>
    </row>
    <row r="73" spans="1:7">
      <c r="A73" s="64" t="s">
        <v>144</v>
      </c>
      <c r="B73" s="183">
        <v>4</v>
      </c>
      <c r="C73" s="184">
        <v>0</v>
      </c>
      <c r="D73" s="184">
        <v>0</v>
      </c>
      <c r="E73" s="184">
        <v>4</v>
      </c>
      <c r="F73" s="183">
        <v>0</v>
      </c>
    </row>
    <row r="74" spans="1:7">
      <c r="A74" s="64" t="s">
        <v>115</v>
      </c>
      <c r="B74" s="183">
        <v>13</v>
      </c>
      <c r="C74" s="184">
        <v>5</v>
      </c>
      <c r="D74" s="184">
        <v>2</v>
      </c>
      <c r="E74" s="184">
        <v>6</v>
      </c>
      <c r="F74" s="183">
        <v>0</v>
      </c>
    </row>
    <row r="75" spans="1:7">
      <c r="A75" s="64" t="s">
        <v>128</v>
      </c>
      <c r="B75">
        <v>3</v>
      </c>
      <c r="C75" s="13">
        <v>0</v>
      </c>
      <c r="D75" s="13">
        <v>0</v>
      </c>
      <c r="E75" s="13">
        <v>3</v>
      </c>
      <c r="F75">
        <v>0</v>
      </c>
    </row>
    <row r="76" spans="1:7">
      <c r="A76" s="64" t="s">
        <v>190</v>
      </c>
      <c r="B76">
        <v>5</v>
      </c>
      <c r="C76" s="13">
        <v>1</v>
      </c>
      <c r="D76" s="13">
        <v>0</v>
      </c>
      <c r="E76" s="13">
        <v>4</v>
      </c>
      <c r="F76">
        <v>0</v>
      </c>
    </row>
    <row r="77" spans="1:7">
      <c r="A77" s="12" t="s">
        <v>199</v>
      </c>
      <c r="B77">
        <v>1</v>
      </c>
      <c r="C77" s="13">
        <v>0</v>
      </c>
      <c r="D77" s="13">
        <v>0</v>
      </c>
      <c r="E77" s="13">
        <v>1</v>
      </c>
      <c r="F77">
        <v>0</v>
      </c>
    </row>
    <row r="78" spans="1:7">
      <c r="A78" s="12" t="s">
        <v>203</v>
      </c>
      <c r="B78">
        <v>1</v>
      </c>
      <c r="C78" s="13">
        <v>0</v>
      </c>
      <c r="D78" s="13">
        <v>0</v>
      </c>
      <c r="E78" s="13">
        <v>1</v>
      </c>
      <c r="F78">
        <v>0</v>
      </c>
    </row>
    <row r="79" spans="1:7">
      <c r="A79" s="64" t="s">
        <v>148</v>
      </c>
      <c r="B79">
        <v>25</v>
      </c>
      <c r="C79" s="13">
        <v>17</v>
      </c>
      <c r="D79" s="13">
        <v>0</v>
      </c>
      <c r="E79" s="13">
        <v>8</v>
      </c>
      <c r="F79">
        <v>0</v>
      </c>
    </row>
    <row r="80" spans="1:7">
      <c r="A80" s="64" t="s">
        <v>210</v>
      </c>
      <c r="B80">
        <v>16</v>
      </c>
      <c r="C80" s="13">
        <v>0</v>
      </c>
      <c r="D80" s="13">
        <v>2</v>
      </c>
      <c r="E80" s="13">
        <v>14</v>
      </c>
      <c r="F80">
        <v>0</v>
      </c>
    </row>
    <row r="81" spans="1:6">
      <c r="A81" s="12" t="s">
        <v>371</v>
      </c>
      <c r="B81">
        <v>2</v>
      </c>
      <c r="C81" s="13">
        <v>0</v>
      </c>
      <c r="D81" s="13">
        <v>1</v>
      </c>
      <c r="E81" s="13">
        <v>1</v>
      </c>
      <c r="F81">
        <v>0</v>
      </c>
    </row>
    <row r="82" spans="1:6">
      <c r="A82" s="64" t="s">
        <v>256</v>
      </c>
      <c r="B82">
        <v>12</v>
      </c>
      <c r="C82" s="13">
        <v>0</v>
      </c>
      <c r="D82" s="13">
        <v>0</v>
      </c>
      <c r="E82" s="13">
        <v>12</v>
      </c>
      <c r="F82">
        <v>0</v>
      </c>
    </row>
    <row r="83" spans="1:6">
      <c r="A83" s="12" t="s">
        <v>534</v>
      </c>
      <c r="B83">
        <v>4</v>
      </c>
      <c r="C83" s="13">
        <v>0</v>
      </c>
      <c r="D83" s="13">
        <v>4</v>
      </c>
      <c r="E83" s="13">
        <v>0</v>
      </c>
      <c r="F83">
        <v>0</v>
      </c>
    </row>
    <row r="84" spans="1:6">
      <c r="A84" s="64" t="s">
        <v>310</v>
      </c>
      <c r="B84">
        <v>4</v>
      </c>
      <c r="C84" s="13">
        <v>0</v>
      </c>
      <c r="D84" s="13">
        <v>2</v>
      </c>
      <c r="E84" s="13">
        <v>2</v>
      </c>
      <c r="F84">
        <v>0</v>
      </c>
    </row>
    <row r="85" spans="1:6">
      <c r="A85" s="64" t="s">
        <v>179</v>
      </c>
      <c r="B85">
        <v>9</v>
      </c>
      <c r="C85" s="13">
        <v>3</v>
      </c>
      <c r="D85" s="13">
        <v>3</v>
      </c>
      <c r="E85" s="13">
        <v>3</v>
      </c>
      <c r="F85">
        <v>0</v>
      </c>
    </row>
    <row r="86" spans="1:6">
      <c r="A86" s="12" t="s">
        <v>239</v>
      </c>
      <c r="B86">
        <v>1</v>
      </c>
      <c r="C86" s="13">
        <v>0</v>
      </c>
      <c r="D86" s="13">
        <v>0</v>
      </c>
      <c r="E86" s="13">
        <v>1</v>
      </c>
      <c r="F86">
        <v>0</v>
      </c>
    </row>
    <row r="87" spans="1:6">
      <c r="A87" s="64" t="s">
        <v>17</v>
      </c>
      <c r="B87">
        <v>11</v>
      </c>
      <c r="C87" s="13">
        <v>0</v>
      </c>
      <c r="D87" s="13">
        <v>6</v>
      </c>
      <c r="E87" s="13">
        <v>5</v>
      </c>
      <c r="F87">
        <v>0</v>
      </c>
    </row>
    <row r="88" spans="1:6">
      <c r="A88" s="64" t="s">
        <v>269</v>
      </c>
      <c r="B88">
        <v>36</v>
      </c>
      <c r="C88" s="13">
        <v>1</v>
      </c>
      <c r="D88" s="13">
        <v>2</v>
      </c>
      <c r="E88" s="13">
        <v>33</v>
      </c>
      <c r="F88">
        <v>0</v>
      </c>
    </row>
    <row r="89" spans="1:6">
      <c r="A89" s="135" t="s">
        <v>275</v>
      </c>
      <c r="B89">
        <v>2</v>
      </c>
      <c r="C89" s="13">
        <v>0</v>
      </c>
      <c r="D89" s="13">
        <v>0</v>
      </c>
      <c r="E89" s="13">
        <v>2</v>
      </c>
      <c r="F89">
        <v>0</v>
      </c>
    </row>
    <row r="90" spans="1:6">
      <c r="A90" s="12" t="s">
        <v>502</v>
      </c>
      <c r="B90">
        <v>1</v>
      </c>
      <c r="C90" s="13">
        <v>0</v>
      </c>
      <c r="D90" s="13">
        <v>0</v>
      </c>
      <c r="E90" s="13">
        <v>1</v>
      </c>
      <c r="F90">
        <v>0</v>
      </c>
    </row>
    <row r="91" spans="1:6">
      <c r="A91" s="64" t="s">
        <v>118</v>
      </c>
      <c r="B91">
        <v>6</v>
      </c>
      <c r="C91" s="13">
        <v>1</v>
      </c>
      <c r="D91" s="13">
        <v>1</v>
      </c>
      <c r="E91" s="13">
        <v>4</v>
      </c>
      <c r="F91">
        <v>1</v>
      </c>
    </row>
    <row r="92" spans="1:6">
      <c r="A92" s="12" t="s">
        <v>445</v>
      </c>
      <c r="B92">
        <v>3</v>
      </c>
      <c r="C92" s="13">
        <v>0</v>
      </c>
      <c r="D92" s="13">
        <v>3</v>
      </c>
      <c r="E92" s="13">
        <v>0</v>
      </c>
      <c r="F92">
        <v>0</v>
      </c>
    </row>
    <row r="93" spans="1:6">
      <c r="A93" s="12" t="s">
        <v>413</v>
      </c>
      <c r="B93">
        <v>1</v>
      </c>
      <c r="C93" s="13">
        <v>1</v>
      </c>
      <c r="D93" s="13">
        <v>0</v>
      </c>
      <c r="E93" s="13">
        <v>0</v>
      </c>
      <c r="F93">
        <v>0</v>
      </c>
    </row>
    <row r="94" spans="1:6">
      <c r="A94" s="135" t="s">
        <v>627</v>
      </c>
      <c r="B94">
        <v>0</v>
      </c>
      <c r="C94" s="13">
        <v>0</v>
      </c>
      <c r="D94" s="13">
        <v>0</v>
      </c>
      <c r="E94" s="13">
        <v>0</v>
      </c>
      <c r="F94">
        <v>0</v>
      </c>
    </row>
    <row r="95" spans="1:6">
      <c r="A95" s="12" t="s">
        <v>950</v>
      </c>
      <c r="B95">
        <v>1</v>
      </c>
      <c r="C95" s="13">
        <v>0</v>
      </c>
      <c r="D95" s="13">
        <v>0</v>
      </c>
      <c r="E95" s="13">
        <v>1</v>
      </c>
      <c r="F95">
        <v>0</v>
      </c>
    </row>
    <row r="96" spans="1:6">
      <c r="A96" s="12" t="s">
        <v>1181</v>
      </c>
      <c r="B96">
        <v>2</v>
      </c>
      <c r="C96" s="13">
        <v>2</v>
      </c>
      <c r="D96" s="13">
        <v>0</v>
      </c>
      <c r="E96" s="13">
        <v>0</v>
      </c>
      <c r="F96">
        <v>0</v>
      </c>
    </row>
    <row r="97" spans="1:6">
      <c r="A97" s="12" t="s">
        <v>571</v>
      </c>
      <c r="B97">
        <v>163</v>
      </c>
      <c r="C97" s="13">
        <v>31</v>
      </c>
      <c r="D97" s="13">
        <v>26</v>
      </c>
      <c r="E97" s="13">
        <v>106</v>
      </c>
      <c r="F97">
        <v>1</v>
      </c>
    </row>
    <row r="98" spans="1:6">
      <c r="A98" s="12"/>
      <c r="D98" s="13"/>
      <c r="E98" s="13"/>
    </row>
    <row r="99" spans="1:6">
      <c r="A99" s="12" t="s">
        <v>618</v>
      </c>
      <c r="C99"/>
    </row>
    <row r="100" spans="1:6">
      <c r="A100" s="11" t="s">
        <v>555</v>
      </c>
      <c r="C100"/>
    </row>
    <row r="101" spans="1:6">
      <c r="A101" t="s">
        <v>548</v>
      </c>
      <c r="B101">
        <v>31</v>
      </c>
      <c r="C101">
        <f>GETPIVOTDATA("Suma de Abiertos",$A$100)</f>
        <v>31</v>
      </c>
    </row>
    <row r="102" spans="1:6">
      <c r="A102" t="s">
        <v>550</v>
      </c>
      <c r="B102">
        <v>26</v>
      </c>
      <c r="C102">
        <f>GETPIVOTDATA("Suma de Vencidos",$A$100)</f>
        <v>26</v>
      </c>
    </row>
    <row r="103" spans="1:6">
      <c r="A103" t="s">
        <v>549</v>
      </c>
      <c r="B103">
        <v>106</v>
      </c>
      <c r="C103">
        <f>GETPIVOTDATA("Suma de Finalizados",$A$100)</f>
        <v>106</v>
      </c>
    </row>
    <row r="104" spans="1:6">
      <c r="A104" t="s">
        <v>551</v>
      </c>
      <c r="B104">
        <v>1</v>
      </c>
      <c r="C104">
        <f>GETPIVOTDATA("Suma de Sin plan de acción",$A$100)</f>
        <v>1</v>
      </c>
    </row>
    <row r="105" spans="1:6">
      <c r="C105"/>
    </row>
    <row r="106" spans="1:6">
      <c r="B106">
        <f>+GETPIVOTDATA("Suma de Abiertos",$A$100)+GETPIVOTDATA("Suma de Vencidos",$A$100)+GETPIVOTDATA("Suma de Finalizados",$A$100)</f>
        <v>163</v>
      </c>
      <c r="C106"/>
    </row>
    <row r="107" spans="1:6">
      <c r="C107"/>
    </row>
    <row r="108" spans="1:6">
      <c r="C108"/>
    </row>
    <row r="109" spans="1:6">
      <c r="A109" s="65">
        <f>GETPIVOTDATA("Suma de Finalizados",$A$100)/B106</f>
        <v>0.65030674846625769</v>
      </c>
      <c r="C109"/>
    </row>
    <row r="110" spans="1:6">
      <c r="A110" s="66">
        <f>1-A109</f>
        <v>0.34969325153374231</v>
      </c>
      <c r="C110"/>
    </row>
    <row r="111" spans="1:6">
      <c r="C111"/>
    </row>
    <row r="112" spans="1:6">
      <c r="C112"/>
    </row>
    <row r="113" spans="1:3">
      <c r="C113"/>
    </row>
    <row r="114" spans="1:3">
      <c r="C114"/>
    </row>
    <row r="115" spans="1:3">
      <c r="C115"/>
    </row>
    <row r="116" spans="1:3">
      <c r="C116"/>
    </row>
    <row r="117" spans="1:3">
      <c r="A117" s="112" t="s">
        <v>655</v>
      </c>
      <c r="B117" s="112" t="s">
        <v>656</v>
      </c>
      <c r="C117"/>
    </row>
    <row r="118" spans="1:3">
      <c r="A118" s="13" t="s">
        <v>657</v>
      </c>
      <c r="B118" s="13">
        <f>COUNTIFS('Base de datos'!$L:$L, "*Finalizad*", 'Base de datos'!$S:$S, "&gt;="&amp;DATE(2026,1,1), 'Base de datos'!$S:$S, "&lt;=31/01/2026")</f>
        <v>11</v>
      </c>
      <c r="C118"/>
    </row>
    <row r="119" spans="1:3">
      <c r="A119" s="13" t="s">
        <v>658</v>
      </c>
      <c r="B119" s="13">
        <f>COUNTIFS('Base de datos'!$L:$L, "*Finalizad*", 'Base de datos'!$S:$S, "&gt;="&amp;DATE(2026,2,1), 'Base de datos'!$S:$S, "&lt;=28/02/2026")</f>
        <v>5</v>
      </c>
      <c r="C119"/>
    </row>
    <row r="120" spans="1:3">
      <c r="A120" s="13" t="s">
        <v>659</v>
      </c>
      <c r="B120" s="13">
        <f>COUNTIFS('Base de datos'!$L:$L, "*Finalizad*", 'Base de datos'!$S:$S, "&gt;="&amp;DATE(2026,3,1), 'Base de datos'!$S:$S, "&lt;=31/03/2026")</f>
        <v>0</v>
      </c>
      <c r="C120"/>
    </row>
    <row r="121" spans="1:3">
      <c r="A121" s="13" t="s">
        <v>660</v>
      </c>
      <c r="B121" s="13">
        <f>COUNTIFS('Base de datos'!$L:$L, "*Finalizad*", 'Base de datos'!$S:$S, "&gt;="&amp;DATE(2026,4,1), 'Base de datos'!$S:$S, "&lt;=30/04/2026")</f>
        <v>4</v>
      </c>
      <c r="C121"/>
    </row>
    <row r="122" spans="1:3">
      <c r="A122" s="13" t="s">
        <v>661</v>
      </c>
      <c r="B122" s="13">
        <f>COUNTIFS('Base de datos'!$L:$L, "*Finalizad*", 'Base de datos'!$S:$S, "&gt;="&amp;DATE(2026,5,1), 'Base de datos'!$S:$S, "&lt;=31/05/2026")</f>
        <v>0</v>
      </c>
      <c r="C122"/>
    </row>
    <row r="123" spans="1:3">
      <c r="A123" s="13" t="s">
        <v>662</v>
      </c>
      <c r="B123" s="13">
        <f>COUNTIFS('Base de datos'!$L:$L, "*Finalizad*", 'Base de datos'!$S:$S, "&gt;="&amp;DATE(2026,6,1), 'Base de datos'!$S:$S, "&lt;=30/06/2026")</f>
        <v>12</v>
      </c>
      <c r="C123"/>
    </row>
    <row r="124" spans="1:3">
      <c r="A124" s="13" t="s">
        <v>1293</v>
      </c>
      <c r="B124" s="13">
        <f>COUNTIFS('Base de datos'!$L:$L, "*Finalizad*", 'Base de datos'!$S:$S, "&gt;="&amp;DATE(2026,7,1), 'Base de datos'!$S:$S, "&lt;=31/07/2026")</f>
        <v>0</v>
      </c>
      <c r="C124"/>
    </row>
    <row r="125" spans="1:3">
      <c r="A125" s="13" t="s">
        <v>1296</v>
      </c>
      <c r="B125" s="13">
        <f>COUNTIFS('Base de datos'!$L:$L, "*Finalizad*", 'Base de datos'!$S:$S, "&gt;="&amp;DATE(2026,8,1), 'Base de datos'!$S:$S, "&lt;=31/08/2026")</f>
        <v>0</v>
      </c>
      <c r="C125"/>
    </row>
    <row r="126" spans="1:3">
      <c r="A126" s="13" t="s">
        <v>1298</v>
      </c>
      <c r="B126" s="13">
        <f>COUNTIFS('Base de datos'!$L:$L, "*Finalizad*", 'Base de datos'!$S:$S, "&gt;="&amp;DATE(2026,9,1), 'Base de datos'!$S:$S, "&lt;=30/09/2026")</f>
        <v>0</v>
      </c>
      <c r="C126"/>
    </row>
    <row r="127" spans="1:3">
      <c r="A127" s="13" t="s">
        <v>1300</v>
      </c>
      <c r="B127" s="13">
        <f>COUNTIFS('Base de datos'!$L:$L, "*Finalizad*", 'Base de datos'!$S:$S, "&gt;="&amp;DATE(2026,10,1), 'Base de datos'!$S:$S, "&lt;=31/10/2026")</f>
        <v>0</v>
      </c>
      <c r="C127"/>
    </row>
    <row r="128" spans="1:3">
      <c r="A128" s="13" t="s">
        <v>1302</v>
      </c>
      <c r="B128" s="13">
        <f>COUNTIFS('Base de datos'!$L:$L, "*Finalizad*", 'Base de datos'!$S:$S, "&gt;="&amp;DATE(2026,11,1), 'Base de datos'!$S:$S, "&lt;=30/11/2026")</f>
        <v>0</v>
      </c>
      <c r="C128"/>
    </row>
    <row r="129" spans="1:3">
      <c r="A129" s="13" t="s">
        <v>1304</v>
      </c>
      <c r="B129" s="13">
        <f>COUNTIFS('Base de datos'!$L:$L, "*Finalizad*", 'Base de datos'!$S:$S, "&gt;="&amp;DATE(2026,12,1), 'Base de datos'!$S:$S, "&lt;=31/12/2026")</f>
        <v>0</v>
      </c>
      <c r="C129"/>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07A8CF-758A-40F9-A781-59E7220AE2F4}">
  <sheetPr codeName="Hoja3"/>
  <dimension ref="A1:AB63"/>
  <sheetViews>
    <sheetView showGridLines="0" zoomScale="90" zoomScaleNormal="90" workbookViewId="0">
      <selection activeCell="E13" sqref="E13"/>
    </sheetView>
  </sheetViews>
  <sheetFormatPr baseColWidth="10" defaultRowHeight="14.4"/>
  <cols>
    <col min="1" max="1" width="37.88671875" customWidth="1"/>
    <col min="2" max="2" width="28.109375" customWidth="1"/>
    <col min="3" max="3" width="19.88671875" customWidth="1"/>
    <col min="4" max="4" width="15.77734375" style="8" bestFit="1" customWidth="1"/>
    <col min="5" max="5" width="19.44140625" customWidth="1"/>
    <col min="6" max="6" width="9.44140625" customWidth="1"/>
    <col min="7" max="7" width="11.77734375" customWidth="1"/>
    <col min="8" max="8" width="10.21875" customWidth="1"/>
    <col min="9" max="9" width="17.21875" customWidth="1"/>
    <col min="13" max="13" width="15.6640625" customWidth="1"/>
    <col min="14" max="14" width="19.77734375" bestFit="1" customWidth="1"/>
    <col min="15" max="15" width="16.21875" customWidth="1"/>
    <col min="16" max="16" width="14.77734375" customWidth="1"/>
  </cols>
  <sheetData>
    <row r="1" spans="1:28">
      <c r="A1" s="1" t="s">
        <v>535</v>
      </c>
      <c r="B1" s="1" t="s">
        <v>1</v>
      </c>
      <c r="C1" s="1" t="s">
        <v>6</v>
      </c>
      <c r="D1" s="9" t="s">
        <v>536</v>
      </c>
      <c r="E1" s="9" t="s">
        <v>537</v>
      </c>
      <c r="F1" s="9" t="s">
        <v>538</v>
      </c>
      <c r="G1" s="9" t="s">
        <v>539</v>
      </c>
      <c r="H1" s="9" t="s">
        <v>540</v>
      </c>
      <c r="I1" s="9" t="s">
        <v>171</v>
      </c>
      <c r="J1" s="9" t="s">
        <v>541</v>
      </c>
      <c r="K1" s="9" t="s">
        <v>188</v>
      </c>
      <c r="L1" s="9" t="s">
        <v>280</v>
      </c>
      <c r="M1" s="2" t="s">
        <v>543</v>
      </c>
      <c r="N1" s="2" t="s">
        <v>544</v>
      </c>
      <c r="O1" s="28" t="s">
        <v>545</v>
      </c>
      <c r="P1" s="51" t="s">
        <v>609</v>
      </c>
      <c r="Q1" s="51" t="s">
        <v>737</v>
      </c>
      <c r="R1" s="51" t="s">
        <v>738</v>
      </c>
      <c r="S1" s="51" t="s">
        <v>740</v>
      </c>
      <c r="T1" s="51" t="s">
        <v>742</v>
      </c>
      <c r="U1" s="51" t="s">
        <v>744</v>
      </c>
      <c r="V1" s="51" t="s">
        <v>748</v>
      </c>
      <c r="W1" s="178" t="s">
        <v>1286</v>
      </c>
      <c r="X1" s="179" t="s">
        <v>1287</v>
      </c>
      <c r="Y1" s="178" t="s">
        <v>1288</v>
      </c>
      <c r="Z1" s="180" t="s">
        <v>1289</v>
      </c>
      <c r="AA1" s="179" t="s">
        <v>1290</v>
      </c>
      <c r="AB1" s="51" t="s">
        <v>1291</v>
      </c>
    </row>
    <row r="2" spans="1:28" s="8" customFormat="1" ht="45.6">
      <c r="A2" s="3" t="s">
        <v>13</v>
      </c>
      <c r="B2" s="4" t="s">
        <v>14</v>
      </c>
      <c r="C2" s="3" t="s">
        <v>269</v>
      </c>
      <c r="D2" s="10">
        <f>COUNTIFS('Base de datos'!$B:$B, $B2, 'Base de datos'!$G:$G, $C2, 'Base de datos'!$D:$D, "&lt;&gt;")</f>
        <v>25</v>
      </c>
      <c r="E2" s="10">
        <f>COUNTIFS('Base de datos'!$B:$B, $B2, 'Base de datos'!$G:$G, $C2, 'Base de datos'!$F:$F, "&lt;&gt;")</f>
        <v>26</v>
      </c>
      <c r="F2" s="10">
        <f>COUNTIFS('Base de datos'!$B:$B, $B2, 'Base de datos'!$G:$G, $C2, 'Base de datos'!$L:$L, "Abierta")</f>
        <v>0</v>
      </c>
      <c r="G2" s="10">
        <f>COUNTIFS('Base de datos'!$B:$B, $B2, 'Base de datos'!$G:$G, $C2, 'Base de datos'!$L:$L, "Finalizada")</f>
        <v>25</v>
      </c>
      <c r="H2" s="10">
        <f>COUNTIFS('Base de datos'!$B:$B, $B2, 'Base de datos'!$G:$G, $C2, 'Base de datos'!$L:$L, "Vencida")</f>
        <v>1</v>
      </c>
      <c r="I2" s="10">
        <f>COUNTIFS('Base de datos'!$B:$B, $B2, 'Base de datos'!$G:$G, $C2, 'Base de datos'!$L:$L, "Sin plan de acción")</f>
        <v>0</v>
      </c>
      <c r="J2" s="10">
        <f>COUNTIFS('Base de datos'!$B:$B, $B2, 'Base de datos'!$G:$G, $C2, 'Base de datos'!$E:$E, "Alto")</f>
        <v>0</v>
      </c>
      <c r="K2" s="10">
        <f>COUNTIFS('Base de datos'!$B:$B, $B2, 'Base de datos'!$G:$G, $C2, 'Base de datos'!$E:$E, "Medio")</f>
        <v>0</v>
      </c>
      <c r="L2" s="10">
        <f>COUNTIFS('Base de datos'!$B:$B, $B2, 'Base de datos'!$G:$G, $C2, 'Base de datos'!$E:$E, "Bajo")</f>
        <v>0</v>
      </c>
      <c r="M2" s="10">
        <f ca="1">COUNTIFS('Base de datos'!$B:$B, $B2, 'Base de datos'!$G:$G, $C2, 'Base de datos'!$P:$P, "*10d*")</f>
        <v>0</v>
      </c>
      <c r="N2" s="10">
        <f ca="1">COUNTIFS('Base de datos'!$B:$B, $B2, 'Base de datos'!$G:$G, $C2, 'Base de datos'!$O:$O, "*20d*")</f>
        <v>0</v>
      </c>
      <c r="O2" s="29">
        <f ca="1">COUNTIFS('Base de datos'!$B:$B, $B2, 'Base de datos'!$G:$G, $C2, 'Base de datos'!$N:$N, "*30d*")</f>
        <v>0</v>
      </c>
      <c r="P2" s="52">
        <f ca="1">COUNTIFS('Base de datos'!$B:$B, $B2, 'Base de datos'!$G:$G, $C2, 'Base de datos'!$Q:$Q, "*5d*")</f>
        <v>0</v>
      </c>
      <c r="Q2" s="52">
        <f>COUNTIFS('Base de datos'!$A:$A, $A4, 'Base de datos'!$B:$B, $B4, 'Base de datos'!$G:$G, $C4, 'Base de datos'!$S:$S, "&gt;=01/01/2026", 'Base de datos'!$S:$S, "&lt;=31/01/2026")</f>
        <v>0</v>
      </c>
      <c r="R2" s="52">
        <f>COUNTIFS('Base de datos'!$A:$A, $A4, 'Base de datos'!$B:$B, $B4, 'Base de datos'!$G:$G, $C4, 'Base de datos'!$S:$S, "&gt;=01/02/2026", 'Base de datos'!$S:$S, "&lt;=28/02/2026")</f>
        <v>0</v>
      </c>
      <c r="S2" s="52">
        <f>COUNTIFS('Base de datos'!$A:$A, $A4, 'Base de datos'!$B:$B, $B4, 'Base de datos'!$G:$G, $C4, 'Base de datos'!$S:$S, "&gt;=01/03/2026", 'Base de datos'!$S:$S, "&lt;=31/03/2026")</f>
        <v>0</v>
      </c>
      <c r="T2" s="52">
        <f>COUNTIFS('Base de datos'!$A:$A, $A4, 'Base de datos'!$B:$B, $B4, 'Base de datos'!$G:$G, $C4, 'Base de datos'!$S:$S, "&gt;=01/04/2026", 'Base de datos'!$S:$S, "&lt;=30/04/2026")</f>
        <v>0</v>
      </c>
      <c r="U2" s="52">
        <f>COUNTIFS('Base de datos'!$A:$A, $A4, 'Base de datos'!$B:$B, $B4, 'Base de datos'!$G:$G, $C4, 'Base de datos'!$S:$S, "&gt;=01/05/2026", 'Base de datos'!$S:$S, "&lt;=31/05/2026")</f>
        <v>0</v>
      </c>
      <c r="V2" s="52">
        <f>COUNTIFS('Base de datos'!$A:$A, $A4, 'Base de datos'!$B:$B, $B4, 'Base de datos'!$G:$G, $C4, 'Base de datos'!$S:$S, "&gt;=01/06/2026", 'Base de datos'!$S:$S, "&lt;=30/06/2026")</f>
        <v>0</v>
      </c>
      <c r="W2" s="52">
        <f>COUNTIFS('Base de datos'!$A:$A, $A2, 'Base de datos'!$B:$B, $B2, 'Base de datos'!$G:$G, $C2, 'Base de datos'!$S:$S, "&gt;=01/07/2026", 'Base de datos'!$S:$S, "&lt;=31/07/2026")</f>
        <v>0</v>
      </c>
      <c r="X2" s="52">
        <f>COUNTIFS('Base de datos'!$A:$A, $A2, 'Base de datos'!$B:$B, $B2, 'Base de datos'!$G:$G, $C2, 'Base de datos'!$S:$S, "&gt;=01/08/2026", 'Base de datos'!$S:$S, "&lt;=31/08/2026")</f>
        <v>0</v>
      </c>
      <c r="Y2" s="52">
        <f>COUNTIFS('Base de datos'!$A:$A, $A2, 'Base de datos'!$B:$B, $B2, 'Base de datos'!$G:$G, $C2, 'Base de datos'!$S:$S, "&gt;=01/09/2026", 'Base de datos'!$S:$S, "&lt;=30/09/2026")</f>
        <v>0</v>
      </c>
      <c r="Z2" s="52">
        <f>COUNTIFS('Base de datos'!$A:$A, $A2, 'Base de datos'!$B:$B, $B2, 'Base de datos'!$G:$G, $C2, 'Base de datos'!$S:$S, "&gt;=01/10/2026", 'Base de datos'!$S:$S, "&lt;=31/10/2026")</f>
        <v>0</v>
      </c>
      <c r="AA2" s="52">
        <f>COUNTIFS('Base de datos'!$A:$A, $A2, 'Base de datos'!$B:$B, $B2, 'Base de datos'!$G:$G, $C2, 'Base de datos'!$S:$S, "&gt;=01/11/2026", 'Base de datos'!$S:$S, "&lt;=30/11/2026")</f>
        <v>0</v>
      </c>
      <c r="AB2" s="52">
        <f>COUNTIFS('Base de datos'!$A:$A, $A2, 'Base de datos'!$B:$B, $B2, 'Base de datos'!$G:$G, $C2, 'Base de datos'!$S:$S, "&gt;=01/12/2026", 'Base de datos'!$S:$S, "&lt;=31/12/2026")</f>
        <v>0</v>
      </c>
    </row>
    <row r="3" spans="1:28" ht="24">
      <c r="A3" s="3" t="s">
        <v>111</v>
      </c>
      <c r="B3" s="4" t="s">
        <v>112</v>
      </c>
      <c r="C3" s="3" t="s">
        <v>115</v>
      </c>
      <c r="D3" s="10">
        <f>COUNTIFS('Base de datos'!$B:$B, $B3, 'Base de datos'!$G:$G, $C3, 'Base de datos'!$D:$D, "&lt;&gt;")</f>
        <v>2</v>
      </c>
      <c r="E3" s="10">
        <f>COUNTIFS('Base de datos'!$B:$B, $B3, 'Base de datos'!$G:$G, $C3, 'Base de datos'!$F:$F, "&lt;&gt;")</f>
        <v>2</v>
      </c>
      <c r="F3" s="10">
        <f>COUNTIFS('Base de datos'!$B:$B, $B3, 'Base de datos'!$G:$G, $C3, 'Base de datos'!$L:$L, "Abierta")</f>
        <v>0</v>
      </c>
      <c r="G3" s="10">
        <f>COUNTIFS('Base de datos'!$B:$B, $B3, 'Base de datos'!$G:$G, $C3, 'Base de datos'!$L:$L, "Finalizada")</f>
        <v>2</v>
      </c>
      <c r="H3" s="10">
        <f>COUNTIFS('Base de datos'!$B:$B, $B3, 'Base de datos'!$G:$G, $C3, 'Base de datos'!$L:$L, "Vencida")</f>
        <v>0</v>
      </c>
      <c r="I3" s="10">
        <f>COUNTIFS('Base de datos'!$B:$B, $B3, 'Base de datos'!$G:$G, $C3, 'Base de datos'!$L:$L, "Sin plan de acción")</f>
        <v>0</v>
      </c>
      <c r="J3" s="10">
        <f>COUNTIFS('Base de datos'!$B:$B, $B3, 'Base de datos'!$G:$G, $C3, 'Base de datos'!$E:$E, "Alto")</f>
        <v>0</v>
      </c>
      <c r="K3" s="10">
        <f>COUNTIFS('Base de datos'!$B:$B, $B3, 'Base de datos'!$G:$G, $C3, 'Base de datos'!$E:$E, "Medio")</f>
        <v>0</v>
      </c>
      <c r="L3" s="10">
        <f>COUNTIFS('Base de datos'!$B:$B, $B3, 'Base de datos'!$G:$G, $C3, 'Base de datos'!$E:$E, "Bajo")</f>
        <v>0</v>
      </c>
      <c r="M3" s="10">
        <f ca="1">COUNTIFS('Base de datos'!$B:$B, $B3, 'Base de datos'!$G:$G, $C3, 'Base de datos'!$P:$P, "*10d*")</f>
        <v>0</v>
      </c>
      <c r="N3" s="10">
        <f ca="1">COUNTIFS('Base de datos'!$B:$B, $B3, 'Base de datos'!$G:$G, $C3, 'Base de datos'!$O:$O, "*20d*")</f>
        <v>0</v>
      </c>
      <c r="O3" s="29">
        <f ca="1">COUNTIFS('Base de datos'!$B:$B, $B3, 'Base de datos'!$G:$G, $C3, 'Base de datos'!$N:$N, "*30d*")</f>
        <v>0</v>
      </c>
      <c r="P3" s="52">
        <f ca="1">COUNTIFS('Base de datos'!$B:$B, $B3, 'Base de datos'!$G:$G, $C3, 'Base de datos'!$Q:$Q, "*5d*")</f>
        <v>0</v>
      </c>
      <c r="Q3" s="52">
        <f>COUNTIFS('Base de datos'!$A:$A, $A5, 'Base de datos'!$B:$B, $B5, 'Base de datos'!$G:$G, $C5, 'Base de datos'!$S:$S, "&gt;=01/01/2026", 'Base de datos'!$S:$S, "&lt;=31/01/2026")</f>
        <v>0</v>
      </c>
      <c r="R3" s="10">
        <f>COUNTIFS('Base de datos'!$A:$A, $A5, 'Base de datos'!$B:$B, $B5, 'Base de datos'!$G:$G, $C5, 'Base de datos'!$S:$S, "&gt;=01/02/2026", 'Base de datos'!$S:$S, "&lt;=28/02/2026")</f>
        <v>0</v>
      </c>
      <c r="S3" s="10">
        <f>COUNTIFS('Base de datos'!$A:$A, $A5, 'Base de datos'!$B:$B, $B5, 'Base de datos'!$G:$G, $C5, 'Base de datos'!$S:$S, "&gt;=01/03/2026", 'Base de datos'!$S:$S, "&lt;=31/03/2026")</f>
        <v>0</v>
      </c>
      <c r="T3" s="10">
        <f>COUNTIFS('Base de datos'!$A:$A, $A5, 'Base de datos'!$B:$B, $B5, 'Base de datos'!$G:$G, $C5, 'Base de datos'!$S:$S, "&gt;=01/04/2026", 'Base de datos'!$S:$S, "&lt;=30/04/2026")</f>
        <v>0</v>
      </c>
      <c r="U3" s="10">
        <f>COUNTIFS('Base de datos'!$A:$A, $A5, 'Base de datos'!$B:$B, $B5, 'Base de datos'!$G:$G, $C5, 'Base de datos'!$S:$S, "&gt;=01/05/2026", 'Base de datos'!$S:$S, "&lt;=31/05/2026")</f>
        <v>0</v>
      </c>
      <c r="V3" s="10">
        <f>COUNTIFS('Base de datos'!$A:$A, $A5, 'Base de datos'!$B:$B, $B5, 'Base de datos'!$G:$G, $C5, 'Base de datos'!$S:$S, "&gt;=01/06/2026", 'Base de datos'!$S:$S, "&lt;=30/06/2026")</f>
        <v>0</v>
      </c>
      <c r="W3" s="10">
        <f>COUNTIFS('Base de datos'!$A:$A, $A3, 'Base de datos'!$B:$B, $B3, 'Base de datos'!$G:$G, $C3, 'Base de datos'!$S:$S, "&gt;=01/07/2026", 'Base de datos'!$S:$S, "&lt;=31/07/2026")</f>
        <v>0</v>
      </c>
      <c r="X3" s="10">
        <f>COUNTIFS('Base de datos'!$A:$A, $A3, 'Base de datos'!$B:$B, $B3, 'Base de datos'!$G:$G, $C3, 'Base de datos'!$S:$S, "&gt;=01/08/2026", 'Base de datos'!$S:$S, "&lt;=31/08/2026")</f>
        <v>0</v>
      </c>
      <c r="Y3" s="10">
        <f>COUNTIFS('Base de datos'!$A:$A, $A3, 'Base de datos'!$B:$B, $B3, 'Base de datos'!$G:$G, $C3, 'Base de datos'!$S:$S, "&gt;=01/09/2026", 'Base de datos'!$S:$S, "&lt;=30/09/2026")</f>
        <v>0</v>
      </c>
      <c r="Z3" s="10">
        <f>COUNTIFS('Base de datos'!$A:$A, $A3, 'Base de datos'!$B:$B, $B3, 'Base de datos'!$G:$G, $C3, 'Base de datos'!$S:$S, "&gt;=01/10/2026", 'Base de datos'!$S:$S, "&lt;=31/10/2026")</f>
        <v>0</v>
      </c>
      <c r="AA3" s="10">
        <f>COUNTIFS('Base de datos'!$A:$A, $A3, 'Base de datos'!$B:$B, $B3, 'Base de datos'!$G:$G, $C3, 'Base de datos'!$S:$S, "&gt;=01/11/2026", 'Base de datos'!$S:$S, "&lt;=30/11/2026")</f>
        <v>0</v>
      </c>
      <c r="AB3" s="10">
        <f>COUNTIFS('Base de datos'!$A:$A, $A3, 'Base de datos'!$B:$B, $B3, 'Base de datos'!$G:$G, $C3, 'Base de datos'!$S:$S, "&gt;=01/12/2026", 'Base de datos'!$S:$S, "&lt;=31/12/2026")</f>
        <v>0</v>
      </c>
    </row>
    <row r="4" spans="1:28" ht="24">
      <c r="A4" s="3" t="s">
        <v>111</v>
      </c>
      <c r="B4" s="4" t="s">
        <v>112</v>
      </c>
      <c r="C4" s="3" t="s">
        <v>118</v>
      </c>
      <c r="D4" s="10">
        <f>COUNTIFS('Base de datos'!$B:$B, $B4, 'Base de datos'!$G:$G, $C4, 'Base de datos'!$D:$D, "&lt;&gt;")</f>
        <v>3</v>
      </c>
      <c r="E4" s="10">
        <f>COUNTIFS('Base de datos'!$B:$B, $B4, 'Base de datos'!$G:$G, $C4, 'Base de datos'!$F:$F, "&lt;&gt;")</f>
        <v>3</v>
      </c>
      <c r="F4" s="10">
        <f>COUNTIFS('Base de datos'!$B:$B, $B4, 'Base de datos'!$G:$G, $C4, 'Base de datos'!$L:$L, "Abierta")</f>
        <v>0</v>
      </c>
      <c r="G4" s="10">
        <f>COUNTIFS('Base de datos'!$B:$B, $B4, 'Base de datos'!$G:$G, $C4, 'Base de datos'!$L:$L, "Finalizada")</f>
        <v>2</v>
      </c>
      <c r="H4" s="10">
        <f>COUNTIFS('Base de datos'!$B:$B, $B4, 'Base de datos'!$G:$G, $C4, 'Base de datos'!$L:$L, "Vencida")</f>
        <v>1</v>
      </c>
      <c r="I4" s="10">
        <f>COUNTIFS('Base de datos'!$B:$B, $B4, 'Base de datos'!$G:$G, $C4, 'Base de datos'!$L:$L, "Sin plan de acción")</f>
        <v>0</v>
      </c>
      <c r="J4" s="10">
        <f>COUNTIFS('Base de datos'!$B:$B, $B4, 'Base de datos'!$G:$G, $C4, 'Base de datos'!$E:$E, "Alto")</f>
        <v>0</v>
      </c>
      <c r="K4" s="10">
        <f>COUNTIFS('Base de datos'!$B:$B, $B4, 'Base de datos'!$G:$G, $C4, 'Base de datos'!$E:$E, "Medio")</f>
        <v>0</v>
      </c>
      <c r="L4" s="10">
        <f>COUNTIFS('Base de datos'!$B:$B, $B4, 'Base de datos'!$G:$G, $C4, 'Base de datos'!$E:$E, "Bajo")</f>
        <v>0</v>
      </c>
      <c r="M4" s="10">
        <f ca="1">COUNTIFS('Base de datos'!$B:$B, $B4, 'Base de datos'!$G:$G, $C4, 'Base de datos'!$P:$P, "*10d*")</f>
        <v>0</v>
      </c>
      <c r="N4" s="10">
        <f ca="1">COUNTIFS('Base de datos'!$B:$B, $B4, 'Base de datos'!$G:$G, $C4, 'Base de datos'!$O:$O, "*20d*")</f>
        <v>0</v>
      </c>
      <c r="O4" s="29">
        <f ca="1">COUNTIFS('Base de datos'!$B:$B, $B4, 'Base de datos'!$G:$G, $C4, 'Base de datos'!$N:$N, "*30d*")</f>
        <v>0</v>
      </c>
      <c r="P4" s="52">
        <f ca="1">COUNTIFS('Base de datos'!$B:$B, $B4, 'Base de datos'!$G:$G, $C4, 'Base de datos'!$Q:$Q, "*5d*")</f>
        <v>0</v>
      </c>
      <c r="Q4" s="52">
        <f>COUNTIFS('Base de datos'!$A:$A, $A6, 'Base de datos'!$B:$B, $B6, 'Base de datos'!$G:$G, $C6, 'Base de datos'!$S:$S, "&gt;=01/01/2026", 'Base de datos'!$S:$S, "&lt;=31/01/2026")</f>
        <v>0</v>
      </c>
      <c r="R4" s="10">
        <f>COUNTIFS('Base de datos'!$A:$A, $A6, 'Base de datos'!$B:$B, $B6, 'Base de datos'!$G:$G, $C6, 'Base de datos'!$S:$S, "&gt;=01/02/2026", 'Base de datos'!$S:$S, "&lt;=28/02/2026")</f>
        <v>0</v>
      </c>
      <c r="S4" s="10">
        <f>COUNTIFS('Base de datos'!$A:$A, $A6, 'Base de datos'!$B:$B, $B6, 'Base de datos'!$G:$G, $C6, 'Base de datos'!$S:$S, "&gt;=01/03/2026", 'Base de datos'!$S:$S, "&lt;=31/03/2026")</f>
        <v>0</v>
      </c>
      <c r="T4" s="10">
        <f>COUNTIFS('Base de datos'!$A:$A, $A6, 'Base de datos'!$B:$B, $B6, 'Base de datos'!$G:$G, $C6, 'Base de datos'!$S:$S, "&gt;=01/04/2026", 'Base de datos'!$S:$S, "&lt;=30/04/2026")</f>
        <v>0</v>
      </c>
      <c r="U4" s="10">
        <f>COUNTIFS('Base de datos'!$A:$A, $A6, 'Base de datos'!$B:$B, $B6, 'Base de datos'!$G:$G, $C6, 'Base de datos'!$S:$S, "&gt;=01/05/2026", 'Base de datos'!$S:$S, "&lt;=31/05/2026")</f>
        <v>0</v>
      </c>
      <c r="V4" s="10">
        <f>COUNTIFS('Base de datos'!$A:$A, $A6, 'Base de datos'!$B:$B, $B6, 'Base de datos'!$G:$G, $C6, 'Base de datos'!$S:$S, "&gt;=01/06/2026", 'Base de datos'!$S:$S, "&lt;=30/06/2026")</f>
        <v>3</v>
      </c>
      <c r="W4" s="10">
        <f>COUNTIFS('Base de datos'!$A:$A, $A4, 'Base de datos'!$B:$B, $B4, 'Base de datos'!$G:$G, $C4, 'Base de datos'!$S:$S, "&gt;=01/07/2026", 'Base de datos'!$S:$S, "&lt;=31/07/2026")</f>
        <v>0</v>
      </c>
      <c r="X4" s="10">
        <f>COUNTIFS('Base de datos'!$A:$A, $A4, 'Base de datos'!$B:$B, $B4, 'Base de datos'!$G:$G, $C4, 'Base de datos'!$S:$S, "&gt;=01/08/2026", 'Base de datos'!$S:$S, "&lt;=31/08/2026")</f>
        <v>0</v>
      </c>
      <c r="Y4" s="10">
        <f>COUNTIFS('Base de datos'!$A:$A, $A4, 'Base de datos'!$B:$B, $B4, 'Base de datos'!$G:$G, $C4, 'Base de datos'!$S:$S, "&gt;=01/09/2026", 'Base de datos'!$S:$S, "&lt;=30/09/2026")</f>
        <v>0</v>
      </c>
      <c r="Z4" s="10">
        <f>COUNTIFS('Base de datos'!$A:$A, $A4, 'Base de datos'!$B:$B, $B4, 'Base de datos'!$G:$G, $C4, 'Base de datos'!$S:$S, "&gt;=01/10/2026", 'Base de datos'!$S:$S, "&lt;=31/10/2026")</f>
        <v>0</v>
      </c>
      <c r="AA4" s="10">
        <f>COUNTIFS('Base de datos'!$A:$A, $A4, 'Base de datos'!$B:$B, $B4, 'Base de datos'!$G:$G, $C4, 'Base de datos'!$S:$S, "&gt;=01/11/2026", 'Base de datos'!$S:$S, "&lt;=30/11/2026")</f>
        <v>0</v>
      </c>
      <c r="AB4" s="10">
        <f>COUNTIFS('Base de datos'!$A:$A, $A4, 'Base de datos'!$B:$B, $B4, 'Base de datos'!$G:$G, $C4, 'Base de datos'!$S:$S, "&gt;=01/12/2026", 'Base de datos'!$S:$S, "&lt;=31/12/2026")</f>
        <v>0</v>
      </c>
    </row>
    <row r="5" spans="1:28" ht="24">
      <c r="A5" s="3" t="s">
        <v>111</v>
      </c>
      <c r="B5" s="4" t="s">
        <v>112</v>
      </c>
      <c r="C5" s="3" t="s">
        <v>128</v>
      </c>
      <c r="D5" s="10">
        <f>COUNTIFS('Base de datos'!$B:$B, $B5, 'Base de datos'!$G:$G, $C5, 'Base de datos'!$D:$D, "&lt;&gt;")</f>
        <v>2</v>
      </c>
      <c r="E5" s="10">
        <f>COUNTIFS('Base de datos'!$B:$B, $B5, 'Base de datos'!$G:$G, $C5, 'Base de datos'!$F:$F, "&lt;&gt;")</f>
        <v>3</v>
      </c>
      <c r="F5" s="10">
        <f>COUNTIFS('Base de datos'!$B:$B, $B5, 'Base de datos'!$G:$G, $C5, 'Base de datos'!$L:$L, "Abierta")</f>
        <v>0</v>
      </c>
      <c r="G5" s="10">
        <f>COUNTIFS('Base de datos'!$B:$B, $B5, 'Base de datos'!$G:$G, $C5, 'Base de datos'!$L:$L, "Finalizada")</f>
        <v>3</v>
      </c>
      <c r="H5" s="10">
        <f>COUNTIFS('Base de datos'!$B:$B, $B5, 'Base de datos'!$G:$G, $C5, 'Base de datos'!$L:$L, "Vencida")</f>
        <v>0</v>
      </c>
      <c r="I5" s="10">
        <f>COUNTIFS('Base de datos'!$B:$B, $B5, 'Base de datos'!$G:$G, $C5, 'Base de datos'!$L:$L, "Sin plan de acción")</f>
        <v>0</v>
      </c>
      <c r="J5" s="10">
        <f>COUNTIFS('Base de datos'!$B:$B, $B5, 'Base de datos'!$G:$G, $C5, 'Base de datos'!$E:$E, "Alto")</f>
        <v>0</v>
      </c>
      <c r="K5" s="10">
        <f>COUNTIFS('Base de datos'!$B:$B, $B5, 'Base de datos'!$G:$G, $C5, 'Base de datos'!$E:$E, "Medio")</f>
        <v>0</v>
      </c>
      <c r="L5" s="10">
        <f>COUNTIFS('Base de datos'!$B:$B, $B5, 'Base de datos'!$G:$G, $C5, 'Base de datos'!$E:$E, "Bajo")</f>
        <v>0</v>
      </c>
      <c r="M5" s="10">
        <f ca="1">COUNTIFS('Base de datos'!$B:$B, $B5, 'Base de datos'!$G:$G, $C5, 'Base de datos'!$P:$P, "*10d*")</f>
        <v>0</v>
      </c>
      <c r="N5" s="10">
        <f ca="1">COUNTIFS('Base de datos'!$B:$B, $B5, 'Base de datos'!$G:$G, $C5, 'Base de datos'!$O:$O, "*20d*")</f>
        <v>0</v>
      </c>
      <c r="O5" s="29">
        <f ca="1">COUNTIFS('Base de datos'!$B:$B, $B5, 'Base de datos'!$G:$G, $C5, 'Base de datos'!$N:$N, "*30d*")</f>
        <v>0</v>
      </c>
      <c r="P5" s="52">
        <f ca="1">COUNTIFS('Base de datos'!$B:$B, $B5, 'Base de datos'!$G:$G, $C5, 'Base de datos'!$Q:$Q, "*5d*")</f>
        <v>0</v>
      </c>
      <c r="Q5" s="52">
        <f>COUNTIFS('Base de datos'!$A:$A, $A7, 'Base de datos'!$B:$B, $B7, 'Base de datos'!$G:$G, $C7, 'Base de datos'!$S:$S, "&gt;=01/01/2026", 'Base de datos'!$S:$S, "&lt;=31/01/2026")</f>
        <v>0</v>
      </c>
      <c r="R5" s="10">
        <f>COUNTIFS('Base de datos'!$A:$A, $A7, 'Base de datos'!$B:$B, $B7, 'Base de datos'!$G:$G, $C7, 'Base de datos'!$S:$S, "&gt;=01/02/2026", 'Base de datos'!$S:$S, "&lt;=28/02/2026")</f>
        <v>0</v>
      </c>
      <c r="S5" s="10">
        <f>COUNTIFS('Base de datos'!$A:$A, $A7, 'Base de datos'!$B:$B, $B7, 'Base de datos'!$G:$G, $C7, 'Base de datos'!$S:$S, "&gt;=01/03/2026", 'Base de datos'!$S:$S, "&lt;=31/03/2026")</f>
        <v>0</v>
      </c>
      <c r="T5" s="10">
        <f>COUNTIFS('Base de datos'!$A:$A, $A7, 'Base de datos'!$B:$B, $B7, 'Base de datos'!$G:$G, $C7, 'Base de datos'!$S:$S, "&gt;=01/04/2026", 'Base de datos'!$S:$S, "&lt;=30/04/2026")</f>
        <v>0</v>
      </c>
      <c r="U5" s="10">
        <f>COUNTIFS('Base de datos'!$A:$A, $A7, 'Base de datos'!$B:$B, $B7, 'Base de datos'!$G:$G, $C7, 'Base de datos'!$S:$S, "&gt;=01/05/2026", 'Base de datos'!$S:$S, "&lt;=31/05/2026")</f>
        <v>0</v>
      </c>
      <c r="V5" s="10">
        <f>COUNTIFS('Base de datos'!$A:$A, $A7, 'Base de datos'!$B:$B, $B7, 'Base de datos'!$G:$G, $C7, 'Base de datos'!$S:$S, "&gt;=01/06/2026", 'Base de datos'!$S:$S, "&lt;=30/06/2026")</f>
        <v>0</v>
      </c>
      <c r="W5" s="10">
        <f>COUNTIFS('Base de datos'!$A:$A, $A5, 'Base de datos'!$B:$B, $B5, 'Base de datos'!$G:$G, $C5, 'Base de datos'!$S:$S, "&gt;=01/07/2026", 'Base de datos'!$S:$S, "&lt;=31/07/2026")</f>
        <v>0</v>
      </c>
      <c r="X5" s="10">
        <f>COUNTIFS('Base de datos'!$A:$A, $A5, 'Base de datos'!$B:$B, $B5, 'Base de datos'!$G:$G, $C5, 'Base de datos'!$S:$S, "&gt;=01/08/2026", 'Base de datos'!$S:$S, "&lt;=31/08/2026")</f>
        <v>0</v>
      </c>
      <c r="Y5" s="10">
        <f>COUNTIFS('Base de datos'!$A:$A, $A5, 'Base de datos'!$B:$B, $B5, 'Base de datos'!$G:$G, $C5, 'Base de datos'!$S:$S, "&gt;=01/09/2026", 'Base de datos'!$S:$S, "&lt;=30/09/2026")</f>
        <v>0</v>
      </c>
      <c r="Z5" s="10">
        <f>COUNTIFS('Base de datos'!$A:$A, $A5, 'Base de datos'!$B:$B, $B5, 'Base de datos'!$G:$G, $C5, 'Base de datos'!$S:$S, "&gt;=01/10/2026", 'Base de datos'!$S:$S, "&lt;=31/10/2026")</f>
        <v>0</v>
      </c>
      <c r="AA5" s="10">
        <f>COUNTIFS('Base de datos'!$A:$A, $A5, 'Base de datos'!$B:$B, $B5, 'Base de datos'!$G:$G, $C5, 'Base de datos'!$S:$S, "&gt;=01/11/2026", 'Base de datos'!$S:$S, "&lt;=30/11/2026")</f>
        <v>0</v>
      </c>
      <c r="AB5" s="10">
        <f>COUNTIFS('Base de datos'!$A:$A, $A5, 'Base de datos'!$B:$B, $B5, 'Base de datos'!$G:$G, $C5, 'Base de datos'!$S:$S, "&gt;=01/12/2026", 'Base de datos'!$S:$S, "&lt;=31/12/2026")</f>
        <v>0</v>
      </c>
    </row>
    <row r="6" spans="1:28" ht="24">
      <c r="A6" s="3" t="s">
        <v>111</v>
      </c>
      <c r="B6" s="70" t="s">
        <v>142</v>
      </c>
      <c r="C6" s="3" t="s">
        <v>144</v>
      </c>
      <c r="D6" s="10">
        <f>COUNTIFS('Base de datos'!$B:$B, $B6, 'Base de datos'!$G:$G, $C6, 'Base de datos'!$D:$D, "&lt;&gt;")</f>
        <v>3</v>
      </c>
      <c r="E6" s="10">
        <f>COUNTIFS('Base de datos'!$B:$B, $B6, 'Base de datos'!$G:$G, $C6, 'Base de datos'!$F:$F, "&lt;&gt;")</f>
        <v>3</v>
      </c>
      <c r="F6" s="10">
        <f>COUNTIFS('Base de datos'!$B:$B, $B6, 'Base de datos'!$G:$G, $C6, 'Base de datos'!$L:$L, "Abierta")</f>
        <v>0</v>
      </c>
      <c r="G6" s="10">
        <f>COUNTIFS('Base de datos'!$B:$B, $B6, 'Base de datos'!$G:$G, $C6, 'Base de datos'!$L:$L, "Finalizada")</f>
        <v>3</v>
      </c>
      <c r="H6" s="10">
        <f>COUNTIFS('Base de datos'!$B:$B, $B6, 'Base de datos'!$G:$G, $C6, 'Base de datos'!$L:$L, "Vencida")</f>
        <v>0</v>
      </c>
      <c r="I6" s="10">
        <f>COUNTIFS('Base de datos'!$B:$B, $B6, 'Base de datos'!$G:$G, $C6, 'Base de datos'!$L:$L, "Sin plan de acción")</f>
        <v>0</v>
      </c>
      <c r="J6" s="10">
        <f>COUNTIFS('Base de datos'!$B:$B, $B6, 'Base de datos'!$G:$G, $C6, 'Base de datos'!$E:$E, "Alto")</f>
        <v>0</v>
      </c>
      <c r="K6" s="10">
        <f>COUNTIFS('Base de datos'!$B:$B, $B6, 'Base de datos'!$G:$G, $C6, 'Base de datos'!$E:$E, "Medio")</f>
        <v>0</v>
      </c>
      <c r="L6" s="10">
        <f>COUNTIFS('Base de datos'!$B:$B, $B6, 'Base de datos'!$G:$G, $C6, 'Base de datos'!$E:$E, "Bajo")</f>
        <v>0</v>
      </c>
      <c r="M6" s="10">
        <f ca="1">COUNTIFS('Base de datos'!$B:$B, $B6, 'Base de datos'!$G:$G, $C6, 'Base de datos'!$P:$P, "*10d*")</f>
        <v>0</v>
      </c>
      <c r="N6" s="10">
        <f ca="1">COUNTIFS('Base de datos'!$B:$B, $B6, 'Base de datos'!$G:$G, $C6, 'Base de datos'!$O:$O, "*20d*")</f>
        <v>0</v>
      </c>
      <c r="O6" s="29">
        <f ca="1">COUNTIFS('Base de datos'!$B:$B, $B6, 'Base de datos'!$G:$G, $C6, 'Base de datos'!$N:$N, "*30d*")</f>
        <v>0</v>
      </c>
      <c r="P6" s="52">
        <f ca="1">COUNTIFS('Base de datos'!$B:$B, $B6, 'Base de datos'!$G:$G, $C6, 'Base de datos'!$Q:$Q, "*5d*")</f>
        <v>0</v>
      </c>
      <c r="Q6" s="52">
        <f>COUNTIFS('Base de datos'!$A:$A, $A8, 'Base de datos'!$B:$B, $B8, 'Base de datos'!$G:$G, $C8, 'Base de datos'!$S:$S, "&gt;=01/01/2026", 'Base de datos'!$S:$S, "&lt;=31/01/2026")</f>
        <v>0</v>
      </c>
      <c r="R6" s="10">
        <f>COUNTIFS('Base de datos'!$A:$A, $A8, 'Base de datos'!$B:$B, $B8, 'Base de datos'!$G:$G, $C8, 'Base de datos'!$S:$S, "&gt;=01/02/2026", 'Base de datos'!$S:$S, "&lt;=28/02/2026")</f>
        <v>1</v>
      </c>
      <c r="S6" s="10">
        <f>COUNTIFS('Base de datos'!$A:$A, $A8, 'Base de datos'!$B:$B, $B8, 'Base de datos'!$G:$G, $C8, 'Base de datos'!$S:$S, "&gt;=01/03/2026", 'Base de datos'!$S:$S, "&lt;=31/03/2026")</f>
        <v>0</v>
      </c>
      <c r="T6" s="10">
        <f>COUNTIFS('Base de datos'!$A:$A, $A8, 'Base de datos'!$B:$B, $B8, 'Base de datos'!$G:$G, $C8, 'Base de datos'!$S:$S, "&gt;=01/04/2026", 'Base de datos'!$S:$S, "&lt;=30/04/2026")</f>
        <v>1</v>
      </c>
      <c r="U6" s="10">
        <f>COUNTIFS('Base de datos'!$A:$A, $A8, 'Base de datos'!$B:$B, $B8, 'Base de datos'!$G:$G, $C8, 'Base de datos'!$S:$S, "&gt;=01/05/2026", 'Base de datos'!$S:$S, "&lt;=31/05/2026")</f>
        <v>0</v>
      </c>
      <c r="V6" s="10">
        <f>COUNTIFS('Base de datos'!$A:$A, $A8, 'Base de datos'!$B:$B, $B8, 'Base de datos'!$G:$G, $C8, 'Base de datos'!$S:$S, "&gt;=01/06/2026", 'Base de datos'!$S:$S, "&lt;=30/06/2026")</f>
        <v>0</v>
      </c>
      <c r="W6" s="10">
        <f>COUNTIFS('Base de datos'!$A:$A, $A6, 'Base de datos'!$B:$B, $B6, 'Base de datos'!$G:$G, $C6, 'Base de datos'!$S:$S, "&gt;=01/07/2026", 'Base de datos'!$S:$S, "&lt;=31/07/2026")</f>
        <v>0</v>
      </c>
      <c r="X6" s="10">
        <f>COUNTIFS('Base de datos'!$A:$A, $A6, 'Base de datos'!$B:$B, $B6, 'Base de datos'!$G:$G, $C6, 'Base de datos'!$S:$S, "&gt;=01/08/2026", 'Base de datos'!$S:$S, "&lt;=31/08/2026")</f>
        <v>0</v>
      </c>
      <c r="Y6" s="10">
        <f>COUNTIFS('Base de datos'!$A:$A, $A6, 'Base de datos'!$B:$B, $B6, 'Base de datos'!$G:$G, $C6, 'Base de datos'!$S:$S, "&gt;=01/09/2026", 'Base de datos'!$S:$S, "&lt;=30/09/2026")</f>
        <v>0</v>
      </c>
      <c r="Z6" s="10">
        <f>COUNTIFS('Base de datos'!$A:$A, $A6, 'Base de datos'!$B:$B, $B6, 'Base de datos'!$G:$G, $C6, 'Base de datos'!$S:$S, "&gt;=01/10/2026", 'Base de datos'!$S:$S, "&lt;=31/10/2026")</f>
        <v>0</v>
      </c>
      <c r="AA6" s="10">
        <f>COUNTIFS('Base de datos'!$A:$A, $A6, 'Base de datos'!$B:$B, $B6, 'Base de datos'!$G:$G, $C6, 'Base de datos'!$S:$S, "&gt;=01/11/2026", 'Base de datos'!$S:$S, "&lt;=30/11/2026")</f>
        <v>0</v>
      </c>
      <c r="AB6" s="10">
        <f>COUNTIFS('Base de datos'!$A:$A, $A6, 'Base de datos'!$B:$B, $B6, 'Base de datos'!$G:$G, $C6, 'Base de datos'!$S:$S, "&gt;=01/12/2026", 'Base de datos'!$S:$S, "&lt;=31/12/2026")</f>
        <v>0</v>
      </c>
    </row>
    <row r="7" spans="1:28" ht="34.200000000000003">
      <c r="A7" s="3" t="s">
        <v>111</v>
      </c>
      <c r="B7" s="70" t="s">
        <v>142</v>
      </c>
      <c r="C7" s="3" t="s">
        <v>148</v>
      </c>
      <c r="D7" s="10">
        <f>COUNTIFS('Base de datos'!$B:$B, $B7, 'Base de datos'!$G:$G, $C7, 'Base de datos'!$D:$D, "&lt;&gt;")</f>
        <v>1</v>
      </c>
      <c r="E7" s="10">
        <f>COUNTIFS('Base de datos'!$B:$B, $B7, 'Base de datos'!$G:$G, $C7, 'Base de datos'!$F:$F, "&lt;&gt;")</f>
        <v>3</v>
      </c>
      <c r="F7" s="10">
        <f>COUNTIFS('Base de datos'!$B:$B, $B7, 'Base de datos'!$G:$G, $C7, 'Base de datos'!$L:$L, "Abierta")</f>
        <v>0</v>
      </c>
      <c r="G7" s="10">
        <f>COUNTIFS('Base de datos'!$B:$B, $B7, 'Base de datos'!$G:$G, $C7, 'Base de datos'!$L:$L, "Finalizada")</f>
        <v>3</v>
      </c>
      <c r="H7" s="10">
        <f>COUNTIFS('Base de datos'!$B:$B, $B7, 'Base de datos'!$G:$G, $C7, 'Base de datos'!$L:$L, "Vencida")</f>
        <v>0</v>
      </c>
      <c r="I7" s="10">
        <f>COUNTIFS('Base de datos'!$B:$B, $B7, 'Base de datos'!$G:$G, $C7, 'Base de datos'!$L:$L, "Sin plan de acción")</f>
        <v>0</v>
      </c>
      <c r="J7" s="10">
        <f>COUNTIFS('Base de datos'!$B:$B, $B7, 'Base de datos'!$G:$G, $C7, 'Base de datos'!$E:$E, "Alto")</f>
        <v>0</v>
      </c>
      <c r="K7" s="10">
        <f>COUNTIFS('Base de datos'!$B:$B, $B7, 'Base de datos'!$G:$G, $C7, 'Base de datos'!$E:$E, "Medio")</f>
        <v>0</v>
      </c>
      <c r="L7" s="10">
        <f>COUNTIFS('Base de datos'!$B:$B, $B7, 'Base de datos'!$G:$G, $C7, 'Base de datos'!$E:$E, "Bajo")</f>
        <v>0</v>
      </c>
      <c r="M7" s="10">
        <f ca="1">COUNTIFS('Base de datos'!$B:$B, $B7, 'Base de datos'!$G:$G, $C7, 'Base de datos'!$P:$P, "*10d*")</f>
        <v>0</v>
      </c>
      <c r="N7" s="10">
        <f ca="1">COUNTIFS('Base de datos'!$B:$B, $B7, 'Base de datos'!$G:$G, $C7, 'Base de datos'!$O:$O, "*20d*")</f>
        <v>0</v>
      </c>
      <c r="O7" s="29">
        <f ca="1">COUNTIFS('Base de datos'!$B:$B, $B7, 'Base de datos'!$G:$G, $C7, 'Base de datos'!$N:$N, "*30d*")</f>
        <v>0</v>
      </c>
      <c r="P7" s="52">
        <f ca="1">COUNTIFS('Base de datos'!$B:$B, $B7, 'Base de datos'!$G:$G, $C7, 'Base de datos'!$Q:$Q, "*5d*")</f>
        <v>0</v>
      </c>
      <c r="Q7" s="52">
        <f>COUNTIFS('Base de datos'!$A:$A, $A9, 'Base de datos'!$B:$B, $B9, 'Base de datos'!$G:$G, $C9, 'Base de datos'!$S:$S, "&gt;=01/01/2026", 'Base de datos'!$S:$S, "&lt;=31/01/2026")</f>
        <v>0</v>
      </c>
      <c r="R7" s="10">
        <f>COUNTIFS('Base de datos'!$A:$A, $A9, 'Base de datos'!$B:$B, $B9, 'Base de datos'!$G:$G, $C9, 'Base de datos'!$S:$S, "&gt;=01/02/2026", 'Base de datos'!$S:$S, "&lt;=28/02/2026")</f>
        <v>0</v>
      </c>
      <c r="S7" s="10">
        <f>COUNTIFS('Base de datos'!$A:$A, $A9, 'Base de datos'!$B:$B, $B9, 'Base de datos'!$G:$G, $C9, 'Base de datos'!$S:$S, "&gt;=01/03/2026", 'Base de datos'!$S:$S, "&lt;=31/03/2026")</f>
        <v>0</v>
      </c>
      <c r="T7" s="10">
        <f>COUNTIFS('Base de datos'!$A:$A, $A9, 'Base de datos'!$B:$B, $B9, 'Base de datos'!$G:$G, $C9, 'Base de datos'!$S:$S, "&gt;=01/04/2026", 'Base de datos'!$S:$S, "&lt;=30/04/2026")</f>
        <v>0</v>
      </c>
      <c r="U7" s="10">
        <f>COUNTIFS('Base de datos'!$A:$A, $A9, 'Base de datos'!$B:$B, $B9, 'Base de datos'!$G:$G, $C9, 'Base de datos'!$S:$S, "&gt;=01/05/2026", 'Base de datos'!$S:$S, "&lt;=31/05/2026")</f>
        <v>0</v>
      </c>
      <c r="V7" s="10">
        <f>COUNTIFS('Base de datos'!$A:$A, $A9, 'Base de datos'!$B:$B, $B9, 'Base de datos'!$G:$G, $C9, 'Base de datos'!$S:$S, "&gt;=01/06/2026", 'Base de datos'!$S:$S, "&lt;=30/06/2026")</f>
        <v>0</v>
      </c>
      <c r="W7" s="10">
        <f>COUNTIFS('Base de datos'!$A:$A, $A7, 'Base de datos'!$B:$B, $B7, 'Base de datos'!$G:$G, $C7, 'Base de datos'!$S:$S, "&gt;=01/07/2026", 'Base de datos'!$S:$S, "&lt;=31/07/2026")</f>
        <v>0</v>
      </c>
      <c r="X7" s="10">
        <f>COUNTIFS('Base de datos'!$A:$A, $A7, 'Base de datos'!$B:$B, $B7, 'Base de datos'!$G:$G, $C7, 'Base de datos'!$S:$S, "&gt;=01/08/2026", 'Base de datos'!$S:$S, "&lt;=31/08/2026")</f>
        <v>0</v>
      </c>
      <c r="Y7" s="10">
        <f>COUNTIFS('Base de datos'!$A:$A, $A7, 'Base de datos'!$B:$B, $B7, 'Base de datos'!$G:$G, $C7, 'Base de datos'!$S:$S, "&gt;=01/09/2026", 'Base de datos'!$S:$S, "&lt;=30/09/2026")</f>
        <v>0</v>
      </c>
      <c r="Z7" s="10">
        <f>COUNTIFS('Base de datos'!$A:$A, $A7, 'Base de datos'!$B:$B, $B7, 'Base de datos'!$G:$G, $C7, 'Base de datos'!$S:$S, "&gt;=01/10/2026", 'Base de datos'!$S:$S, "&lt;=31/10/2026")</f>
        <v>0</v>
      </c>
      <c r="AA7" s="10">
        <f>COUNTIFS('Base de datos'!$A:$A, $A7, 'Base de datos'!$B:$B, $B7, 'Base de datos'!$G:$G, $C7, 'Base de datos'!$S:$S, "&gt;=01/11/2026", 'Base de datos'!$S:$S, "&lt;=30/11/2026")</f>
        <v>0</v>
      </c>
      <c r="AB7" s="10">
        <f>COUNTIFS('Base de datos'!$A:$A, $A7, 'Base de datos'!$B:$B, $B7, 'Base de datos'!$G:$G, $C7, 'Base de datos'!$S:$S, "&gt;=01/12/2026", 'Base de datos'!$S:$S, "&lt;=31/12/2026")</f>
        <v>0</v>
      </c>
    </row>
    <row r="8" spans="1:28" ht="24">
      <c r="A8" s="3" t="s">
        <v>111</v>
      </c>
      <c r="B8" s="70" t="s">
        <v>157</v>
      </c>
      <c r="C8" s="3" t="s">
        <v>115</v>
      </c>
      <c r="D8" s="10">
        <f>COUNTIFS('Base de datos'!$B:$B, $B8, 'Base de datos'!$G:$G, $C8, 'Base de datos'!$D:$D, "&lt;&gt;")</f>
        <v>2</v>
      </c>
      <c r="E8" s="10">
        <f>COUNTIFS('Base de datos'!$B:$B, $B8, 'Base de datos'!$G:$G, $C8, 'Base de datos'!$F:$F, "&lt;&gt;")</f>
        <v>2</v>
      </c>
      <c r="F8" s="10">
        <f>COUNTIFS('Base de datos'!$B:$B, $B8, 'Base de datos'!$G:$G, $C8, 'Base de datos'!$L:$L, "Abierta")</f>
        <v>0</v>
      </c>
      <c r="G8" s="10">
        <f>COUNTIFS('Base de datos'!$B:$B, $B8, 'Base de datos'!$G:$G, $C8, 'Base de datos'!$L:$L, "Finalizada")</f>
        <v>2</v>
      </c>
      <c r="H8" s="10">
        <f>COUNTIFS('Base de datos'!$B:$B, $B8, 'Base de datos'!$G:$G, $C8, 'Base de datos'!$L:$L, "Vencida")</f>
        <v>0</v>
      </c>
      <c r="I8" s="10">
        <f>COUNTIFS('Base de datos'!$B:$B, $B8, 'Base de datos'!$G:$G, $C8, 'Base de datos'!$L:$L, "Sin plan de acción")</f>
        <v>0</v>
      </c>
      <c r="J8" s="10">
        <f>COUNTIFS('Base de datos'!$B:$B, $B8, 'Base de datos'!$G:$G, $C8, 'Base de datos'!$E:$E, "Alto")</f>
        <v>0</v>
      </c>
      <c r="K8" s="10">
        <f>COUNTIFS('Base de datos'!$B:$B, $B8, 'Base de datos'!$G:$G, $C8, 'Base de datos'!$E:$E, "Medio")</f>
        <v>0</v>
      </c>
      <c r="L8" s="10">
        <f>COUNTIFS('Base de datos'!$B:$B, $B8, 'Base de datos'!$G:$G, $C8, 'Base de datos'!$E:$E, "Bajo")</f>
        <v>0</v>
      </c>
      <c r="M8" s="10">
        <f ca="1">COUNTIFS('Base de datos'!$B:$B, $B8, 'Base de datos'!$G:$G, $C8, 'Base de datos'!$P:$P, "*10d*")</f>
        <v>0</v>
      </c>
      <c r="N8" s="10">
        <f ca="1">COUNTIFS('Base de datos'!$B:$B, $B8, 'Base de datos'!$G:$G, $C8, 'Base de datos'!$O:$O, "*20d*")</f>
        <v>0</v>
      </c>
      <c r="O8" s="29">
        <f ca="1">COUNTIFS('Base de datos'!$B:$B, $B8, 'Base de datos'!$G:$G, $C8, 'Base de datos'!$N:$N, "*30d*")</f>
        <v>0</v>
      </c>
      <c r="P8" s="52">
        <f ca="1">COUNTIFS('Base de datos'!$B:$B, $B8, 'Base de datos'!$G:$G, $C8, 'Base de datos'!$Q:$Q, "*5d*")</f>
        <v>0</v>
      </c>
      <c r="Q8" s="52">
        <f>COUNTIFS('Base de datos'!$A:$A, $A10, 'Base de datos'!$B:$B, $B10, 'Base de datos'!$G:$G, $C10, 'Base de datos'!$S:$S, "&gt;=01/01/2026", 'Base de datos'!$S:$S, "&lt;=31/01/2026")</f>
        <v>0</v>
      </c>
      <c r="R8" s="10">
        <f>COUNTIFS('Base de datos'!$A:$A, $A10, 'Base de datos'!$B:$B, $B10, 'Base de datos'!$G:$G, $C10, 'Base de datos'!$S:$S, "&gt;=01/02/2026", 'Base de datos'!$S:$S, "&lt;=28/02/2026")</f>
        <v>0</v>
      </c>
      <c r="S8" s="10">
        <f>COUNTIFS('Base de datos'!$A:$A, $A10, 'Base de datos'!$B:$B, $B10, 'Base de datos'!$G:$G, $C10, 'Base de datos'!$S:$S, "&gt;=01/03/2026", 'Base de datos'!$S:$S, "&lt;=31/03/2026")</f>
        <v>0</v>
      </c>
      <c r="T8" s="10">
        <f>COUNTIFS('Base de datos'!$A:$A, $A10, 'Base de datos'!$B:$B, $B10, 'Base de datos'!$G:$G, $C10, 'Base de datos'!$S:$S, "&gt;=01/04/2026", 'Base de datos'!$S:$S, "&lt;=30/04/2026")</f>
        <v>0</v>
      </c>
      <c r="U8" s="10">
        <f>COUNTIFS('Base de datos'!$A:$A, $A10, 'Base de datos'!$B:$B, $B10, 'Base de datos'!$G:$G, $C10, 'Base de datos'!$S:$S, "&gt;=01/05/2026", 'Base de datos'!$S:$S, "&lt;=31/05/2026")</f>
        <v>0</v>
      </c>
      <c r="V8" s="10">
        <f>COUNTIFS('Base de datos'!$A:$A, $A10, 'Base de datos'!$B:$B, $B10, 'Base de datos'!$G:$G, $C10, 'Base de datos'!$S:$S, "&gt;=01/06/2026", 'Base de datos'!$S:$S, "&lt;=30/06/2026")</f>
        <v>0</v>
      </c>
      <c r="W8" s="10">
        <f>COUNTIFS('Base de datos'!$A:$A, $A8, 'Base de datos'!$B:$B, $B8, 'Base de datos'!$G:$G, $C8, 'Base de datos'!$S:$S, "&gt;=01/07/2026", 'Base de datos'!$S:$S, "&lt;=31/07/2026")</f>
        <v>0</v>
      </c>
      <c r="X8" s="10">
        <f>COUNTIFS('Base de datos'!$A:$A, $A8, 'Base de datos'!$B:$B, $B8, 'Base de datos'!$G:$G, $C8, 'Base de datos'!$S:$S, "&gt;=01/08/2026", 'Base de datos'!$S:$S, "&lt;=31/08/2026")</f>
        <v>0</v>
      </c>
      <c r="Y8" s="10">
        <f>COUNTIFS('Base de datos'!$A:$A, $A8, 'Base de datos'!$B:$B, $B8, 'Base de datos'!$G:$G, $C8, 'Base de datos'!$S:$S, "&gt;=01/09/2026", 'Base de datos'!$S:$S, "&lt;=30/09/2026")</f>
        <v>0</v>
      </c>
      <c r="Z8" s="10">
        <f>COUNTIFS('Base de datos'!$A:$A, $A8, 'Base de datos'!$B:$B, $B8, 'Base de datos'!$G:$G, $C8, 'Base de datos'!$S:$S, "&gt;=01/10/2026", 'Base de datos'!$S:$S, "&lt;=31/10/2026")</f>
        <v>0</v>
      </c>
      <c r="AA8" s="10">
        <f>COUNTIFS('Base de datos'!$A:$A, $A8, 'Base de datos'!$B:$B, $B8, 'Base de datos'!$G:$G, $C8, 'Base de datos'!$S:$S, "&gt;=01/11/2026", 'Base de datos'!$S:$S, "&lt;=30/11/2026")</f>
        <v>0</v>
      </c>
      <c r="AB8" s="10">
        <f>COUNTIFS('Base de datos'!$A:$A, $A8, 'Base de datos'!$B:$B, $B8, 'Base de datos'!$G:$G, $C8, 'Base de datos'!$S:$S, "&gt;=01/12/2026", 'Base de datos'!$S:$S, "&lt;=31/12/2026")</f>
        <v>0</v>
      </c>
    </row>
    <row r="9" spans="1:28" ht="24">
      <c r="A9" s="3" t="s">
        <v>111</v>
      </c>
      <c r="B9" s="70" t="s">
        <v>157</v>
      </c>
      <c r="C9" s="3" t="s">
        <v>118</v>
      </c>
      <c r="D9" s="10">
        <f>COUNTIFS('Base de datos'!$B:$B, $B9, 'Base de datos'!$G:$G, $C9, 'Base de datos'!$D:$D, "&lt;&gt;")</f>
        <v>1</v>
      </c>
      <c r="E9" s="10">
        <f>COUNTIFS('Base de datos'!$B:$B, $B9, 'Base de datos'!$G:$G, $C9, 'Base de datos'!$F:$F, "&lt;&gt;")</f>
        <v>1</v>
      </c>
      <c r="F9" s="10">
        <f>COUNTIFS('Base de datos'!$B:$B, $B9, 'Base de datos'!$G:$G, $C9, 'Base de datos'!$L:$L, "Abierta")</f>
        <v>0</v>
      </c>
      <c r="G9" s="10">
        <f>COUNTIFS('Base de datos'!$B:$B, $B9, 'Base de datos'!$G:$G, $C9, 'Base de datos'!$L:$L, "Finalizada")</f>
        <v>1</v>
      </c>
      <c r="H9" s="10">
        <f>COUNTIFS('Base de datos'!$B:$B, $B9, 'Base de datos'!$G:$G, $C9, 'Base de datos'!$L:$L, "Vencida")</f>
        <v>0</v>
      </c>
      <c r="I9" s="10">
        <f>COUNTIFS('Base de datos'!$B:$B, $B9, 'Base de datos'!$G:$G, $C9, 'Base de datos'!$L:$L, "Sin plan de acción")</f>
        <v>0</v>
      </c>
      <c r="J9" s="10">
        <f>COUNTIFS('Base de datos'!$B:$B, $B9, 'Base de datos'!$G:$G, $C9, 'Base de datos'!$E:$E, "Alto")</f>
        <v>0</v>
      </c>
      <c r="K9" s="10">
        <f>COUNTIFS('Base de datos'!$B:$B, $B9, 'Base de datos'!$G:$G, $C9, 'Base de datos'!$E:$E, "Medio")</f>
        <v>0</v>
      </c>
      <c r="L9" s="10">
        <f>COUNTIFS('Base de datos'!$B:$B, $B9, 'Base de datos'!$G:$G, $C9, 'Base de datos'!$E:$E, "Bajo")</f>
        <v>0</v>
      </c>
      <c r="M9" s="10">
        <f ca="1">COUNTIFS('Base de datos'!$B:$B, $B9, 'Base de datos'!$G:$G, $C9, 'Base de datos'!$P:$P, "*10d*")</f>
        <v>0</v>
      </c>
      <c r="N9" s="10">
        <f ca="1">COUNTIFS('Base de datos'!$B:$B, $B9, 'Base de datos'!$G:$G, $C9, 'Base de datos'!$O:$O, "*20d*")</f>
        <v>0</v>
      </c>
      <c r="O9" s="29">
        <f ca="1">COUNTIFS('Base de datos'!$B:$B, $B9, 'Base de datos'!$G:$G, $C9, 'Base de datos'!$N:$N, "*30d*")</f>
        <v>0</v>
      </c>
      <c r="P9" s="52">
        <f ca="1">COUNTIFS('Base de datos'!$B:$B, $B9, 'Base de datos'!$G:$G, $C9, 'Base de datos'!$Q:$Q, "*5d*")</f>
        <v>0</v>
      </c>
      <c r="Q9" s="52">
        <f>COUNTIFS('Base de datos'!$A:$A, $A11, 'Base de datos'!$B:$B, $B11, 'Base de datos'!$G:$G, $C11, 'Base de datos'!$S:$S, "&gt;=01/01/2026", 'Base de datos'!$S:$S, "&lt;=31/01/2026")</f>
        <v>1</v>
      </c>
      <c r="R9" s="10">
        <f>COUNTIFS('Base de datos'!$A:$A, $A11, 'Base de datos'!$B:$B, $B11, 'Base de datos'!$G:$G, $C11, 'Base de datos'!$S:$S, "&gt;=01/02/2026", 'Base de datos'!$S:$S, "&lt;=28/02/2026")</f>
        <v>0</v>
      </c>
      <c r="S9" s="10">
        <f>COUNTIFS('Base de datos'!$A:$A, $A11, 'Base de datos'!$B:$B, $B11, 'Base de datos'!$G:$G, $C11, 'Base de datos'!$S:$S, "&gt;=01/03/2026", 'Base de datos'!$S:$S, "&lt;=31/03/2026")</f>
        <v>0</v>
      </c>
      <c r="T9" s="10">
        <f>COUNTIFS('Base de datos'!$A:$A, $A11, 'Base de datos'!$B:$B, $B11, 'Base de datos'!$G:$G, $C11, 'Base de datos'!$S:$S, "&gt;=01/04/2026", 'Base de datos'!$S:$S, "&lt;=30/04/2026")</f>
        <v>0</v>
      </c>
      <c r="U9" s="10">
        <f>COUNTIFS('Base de datos'!$A:$A, $A11, 'Base de datos'!$B:$B, $B11, 'Base de datos'!$G:$G, $C11, 'Base de datos'!$S:$S, "&gt;=01/05/2026", 'Base de datos'!$S:$S, "&lt;=31/05/2026")</f>
        <v>0</v>
      </c>
      <c r="V9" s="10">
        <f>COUNTIFS('Base de datos'!$A:$A, $A11, 'Base de datos'!$B:$B, $B11, 'Base de datos'!$G:$G, $C11, 'Base de datos'!$S:$S, "&gt;=01/06/2026", 'Base de datos'!$S:$S, "&lt;=30/06/2026")</f>
        <v>0</v>
      </c>
      <c r="W9" s="10">
        <f>COUNTIFS('Base de datos'!$A:$A, $A9, 'Base de datos'!$B:$B, $B9, 'Base de datos'!$G:$G, $C9, 'Base de datos'!$S:$S, "&gt;=01/07/2026", 'Base de datos'!$S:$S, "&lt;=31/07/2026")</f>
        <v>0</v>
      </c>
      <c r="X9" s="10">
        <f>COUNTIFS('Base de datos'!$A:$A, $A9, 'Base de datos'!$B:$B, $B9, 'Base de datos'!$G:$G, $C9, 'Base de datos'!$S:$S, "&gt;=01/08/2026", 'Base de datos'!$S:$S, "&lt;=31/08/2026")</f>
        <v>0</v>
      </c>
      <c r="Y9" s="10">
        <f>COUNTIFS('Base de datos'!$A:$A, $A9, 'Base de datos'!$B:$B, $B9, 'Base de datos'!$G:$G, $C9, 'Base de datos'!$S:$S, "&gt;=01/09/2026", 'Base de datos'!$S:$S, "&lt;=30/09/2026")</f>
        <v>0</v>
      </c>
      <c r="Z9" s="10">
        <f>COUNTIFS('Base de datos'!$A:$A, $A9, 'Base de datos'!$B:$B, $B9, 'Base de datos'!$G:$G, $C9, 'Base de datos'!$S:$S, "&gt;=01/10/2026", 'Base de datos'!$S:$S, "&lt;=31/10/2026")</f>
        <v>0</v>
      </c>
      <c r="AA9" s="10">
        <f>COUNTIFS('Base de datos'!$A:$A, $A9, 'Base de datos'!$B:$B, $B9, 'Base de datos'!$G:$G, $C9, 'Base de datos'!$S:$S, "&gt;=01/11/2026", 'Base de datos'!$S:$S, "&lt;=30/11/2026")</f>
        <v>0</v>
      </c>
      <c r="AB9" s="10">
        <f>COUNTIFS('Base de datos'!$A:$A, $A9, 'Base de datos'!$B:$B, $B9, 'Base de datos'!$G:$G, $C9, 'Base de datos'!$S:$S, "&gt;=01/12/2026", 'Base de datos'!$S:$S, "&lt;=31/12/2026")</f>
        <v>0</v>
      </c>
    </row>
    <row r="10" spans="1:28" ht="34.200000000000003">
      <c r="A10" s="3" t="s">
        <v>111</v>
      </c>
      <c r="B10" s="70" t="s">
        <v>157</v>
      </c>
      <c r="C10" s="3" t="s">
        <v>148</v>
      </c>
      <c r="D10" s="10">
        <f>COUNTIFS('Base de datos'!$B:$B, $B10, 'Base de datos'!$G:$G, $C10, 'Base de datos'!$D:$D, "&lt;&gt;")</f>
        <v>1</v>
      </c>
      <c r="E10" s="10">
        <f>COUNTIFS('Base de datos'!$B:$B, $B10, 'Base de datos'!$G:$G, $C10, 'Base de datos'!$F:$F, "&lt;&gt;")</f>
        <v>2</v>
      </c>
      <c r="F10" s="10">
        <f>COUNTIFS('Base de datos'!$B:$B, $B10, 'Base de datos'!$G:$G, $C10, 'Base de datos'!$L:$L, "Abierta")</f>
        <v>0</v>
      </c>
      <c r="G10" s="10">
        <f>COUNTIFS('Base de datos'!$B:$B, $B10, 'Base de datos'!$G:$G, $C10, 'Base de datos'!$L:$L, "Finalizada")</f>
        <v>2</v>
      </c>
      <c r="H10" s="10">
        <f>COUNTIFS('Base de datos'!$B:$B, $B10, 'Base de datos'!$G:$G, $C10, 'Base de datos'!$L:$L, "Vencida")</f>
        <v>0</v>
      </c>
      <c r="I10" s="10">
        <f>COUNTIFS('Base de datos'!$B:$B, $B10, 'Base de datos'!$G:$G, $C10, 'Base de datos'!$L:$L, "Sin plan de acción")</f>
        <v>0</v>
      </c>
      <c r="J10" s="10">
        <f>COUNTIFS('Base de datos'!$B:$B, $B10, 'Base de datos'!$G:$G, $C10, 'Base de datos'!$E:$E, "Alto")</f>
        <v>0</v>
      </c>
      <c r="K10" s="10">
        <f>COUNTIFS('Base de datos'!$B:$B, $B10, 'Base de datos'!$G:$G, $C10, 'Base de datos'!$E:$E, "Medio")</f>
        <v>0</v>
      </c>
      <c r="L10" s="10">
        <f>COUNTIFS('Base de datos'!$B:$B, $B10, 'Base de datos'!$G:$G, $C10, 'Base de datos'!$E:$E, "Bajo")</f>
        <v>0</v>
      </c>
      <c r="M10" s="10">
        <f ca="1">COUNTIFS('Base de datos'!$B:$B, $B10, 'Base de datos'!$G:$G, $C10, 'Base de datos'!$P:$P, "*10d*")</f>
        <v>0</v>
      </c>
      <c r="N10" s="10">
        <f ca="1">COUNTIFS('Base de datos'!$B:$B, $B10, 'Base de datos'!$G:$G, $C10, 'Base de datos'!$O:$O, "*20d*")</f>
        <v>0</v>
      </c>
      <c r="O10" s="29">
        <f ca="1">COUNTIFS('Base de datos'!$B:$B, $B10, 'Base de datos'!$G:$G, $C10, 'Base de datos'!$N:$N, "*30d*")</f>
        <v>0</v>
      </c>
      <c r="P10" s="52">
        <f ca="1">COUNTIFS('Base de datos'!$B:$B, $B10, 'Base de datos'!$G:$G, $C10, 'Base de datos'!$Q:$Q, "*5d*")</f>
        <v>0</v>
      </c>
      <c r="Q10" s="52">
        <f>COUNTIFS('Base de datos'!$A:$A, $A12, 'Base de datos'!$B:$B, $B12, 'Base de datos'!$G:$G, $C12, 'Base de datos'!$S:$S, "&gt;=01/01/2026", 'Base de datos'!$S:$S, "&lt;=31/01/2026")</f>
        <v>0</v>
      </c>
      <c r="R10" s="10">
        <f>COUNTIFS('Base de datos'!$A:$A, $A12, 'Base de datos'!$B:$B, $B12, 'Base de datos'!$G:$G, $C12, 'Base de datos'!$S:$S, "&gt;=01/02/2026", 'Base de datos'!$S:$S, "&lt;=28/02/2026")</f>
        <v>1</v>
      </c>
      <c r="S10" s="10">
        <f>COUNTIFS('Base de datos'!$A:$A, $A12, 'Base de datos'!$B:$B, $B12, 'Base de datos'!$G:$G, $C12, 'Base de datos'!$S:$S, "&gt;=01/03/2026", 'Base de datos'!$S:$S, "&lt;=31/03/2026")</f>
        <v>0</v>
      </c>
      <c r="T10" s="10">
        <f>COUNTIFS('Base de datos'!$A:$A, $A12, 'Base de datos'!$B:$B, $B12, 'Base de datos'!$G:$G, $C12, 'Base de datos'!$S:$S, "&gt;=01/04/2026", 'Base de datos'!$S:$S, "&lt;=30/04/2026")</f>
        <v>0</v>
      </c>
      <c r="U10" s="10">
        <f>COUNTIFS('Base de datos'!$A:$A, $A12, 'Base de datos'!$B:$B, $B12, 'Base de datos'!$G:$G, $C12, 'Base de datos'!$S:$S, "&gt;=01/05/2026", 'Base de datos'!$S:$S, "&lt;=31/05/2026")</f>
        <v>0</v>
      </c>
      <c r="V10" s="10">
        <f>COUNTIFS('Base de datos'!$A:$A, $A12, 'Base de datos'!$B:$B, $B12, 'Base de datos'!$G:$G, $C12, 'Base de datos'!$S:$S, "&gt;=01/06/2026", 'Base de datos'!$S:$S, "&lt;=30/06/2026")</f>
        <v>0</v>
      </c>
      <c r="W10" s="10">
        <f>COUNTIFS('Base de datos'!$A:$A, $A10, 'Base de datos'!$B:$B, $B10, 'Base de datos'!$G:$G, $C10, 'Base de datos'!$S:$S, "&gt;=01/07/2026", 'Base de datos'!$S:$S, "&lt;=31/07/2026")</f>
        <v>0</v>
      </c>
      <c r="X10" s="10">
        <f>COUNTIFS('Base de datos'!$A:$A, $A10, 'Base de datos'!$B:$B, $B10, 'Base de datos'!$G:$G, $C10, 'Base de datos'!$S:$S, "&gt;=01/08/2026", 'Base de datos'!$S:$S, "&lt;=31/08/2026")</f>
        <v>0</v>
      </c>
      <c r="Y10" s="10">
        <f>COUNTIFS('Base de datos'!$A:$A, $A10, 'Base de datos'!$B:$B, $B10, 'Base de datos'!$G:$G, $C10, 'Base de datos'!$S:$S, "&gt;=01/09/2026", 'Base de datos'!$S:$S, "&lt;=30/09/2026")</f>
        <v>0</v>
      </c>
      <c r="Z10" s="10">
        <f>COUNTIFS('Base de datos'!$A:$A, $A10, 'Base de datos'!$B:$B, $B10, 'Base de datos'!$G:$G, $C10, 'Base de datos'!$S:$S, "&gt;=01/10/2026", 'Base de datos'!$S:$S, "&lt;=31/10/2026")</f>
        <v>0</v>
      </c>
      <c r="AA10" s="10">
        <f>COUNTIFS('Base de datos'!$A:$A, $A10, 'Base de datos'!$B:$B, $B10, 'Base de datos'!$G:$G, $C10, 'Base de datos'!$S:$S, "&gt;=01/11/2026", 'Base de datos'!$S:$S, "&lt;=30/11/2026")</f>
        <v>0</v>
      </c>
      <c r="AB10" s="10">
        <f>COUNTIFS('Base de datos'!$A:$A, $A10, 'Base de datos'!$B:$B, $B10, 'Base de datos'!$G:$G, $C10, 'Base de datos'!$S:$S, "&gt;=01/12/2026", 'Base de datos'!$S:$S, "&lt;=31/12/2026")</f>
        <v>0</v>
      </c>
    </row>
    <row r="11" spans="1:28" ht="24">
      <c r="A11" s="3" t="s">
        <v>111</v>
      </c>
      <c r="B11" s="70" t="s">
        <v>157</v>
      </c>
      <c r="C11" s="3" t="s">
        <v>179</v>
      </c>
      <c r="D11" s="10">
        <f>COUNTIFS('Base de datos'!$B:$B, $B11, 'Base de datos'!$G:$G, $C11, 'Base de datos'!$D:$D, "&lt;&gt;")</f>
        <v>1</v>
      </c>
      <c r="E11" s="10">
        <f>COUNTIFS('Base de datos'!$B:$B, $B11, 'Base de datos'!$G:$G, $C11, 'Base de datos'!$F:$F, "&lt;&gt;")</f>
        <v>1</v>
      </c>
      <c r="F11" s="10">
        <f>COUNTIFS('Base de datos'!$B:$B, $B11, 'Base de datos'!$G:$G, $C11, 'Base de datos'!$L:$L, "Abierta")</f>
        <v>0</v>
      </c>
      <c r="G11" s="10">
        <f>COUNTIFS('Base de datos'!$B:$B, $B11, 'Base de datos'!$G:$G, $C11, 'Base de datos'!$L:$L, "Finalizada")</f>
        <v>1</v>
      </c>
      <c r="H11" s="10">
        <f>COUNTIFS('Base de datos'!$B:$B, $B11, 'Base de datos'!$G:$G, $C11, 'Base de datos'!$L:$L, "Vencida")</f>
        <v>0</v>
      </c>
      <c r="I11" s="10">
        <f>COUNTIFS('Base de datos'!$B:$B, $B11, 'Base de datos'!$G:$G, $C11, 'Base de datos'!$L:$L, "Sin plan de acción")</f>
        <v>0</v>
      </c>
      <c r="J11" s="10">
        <f>COUNTIFS('Base de datos'!$B:$B, $B11, 'Base de datos'!$G:$G, $C11, 'Base de datos'!$E:$E, "Alto")</f>
        <v>0</v>
      </c>
      <c r="K11" s="10">
        <f>COUNTIFS('Base de datos'!$B:$B, $B11, 'Base de datos'!$G:$G, $C11, 'Base de datos'!$E:$E, "Medio")</f>
        <v>0</v>
      </c>
      <c r="L11" s="10">
        <f>COUNTIFS('Base de datos'!$B:$B, $B11, 'Base de datos'!$G:$G, $C11, 'Base de datos'!$E:$E, "Bajo")</f>
        <v>0</v>
      </c>
      <c r="M11" s="10">
        <f ca="1">COUNTIFS('Base de datos'!$B:$B, $B11, 'Base de datos'!$G:$G, $C11, 'Base de datos'!$P:$P, "*10d*")</f>
        <v>0</v>
      </c>
      <c r="N11" s="10">
        <f ca="1">COUNTIFS('Base de datos'!$B:$B, $B11, 'Base de datos'!$G:$G, $C11, 'Base de datos'!$O:$O, "*20d*")</f>
        <v>0</v>
      </c>
      <c r="O11" s="29">
        <f ca="1">COUNTIFS('Base de datos'!$B:$B, $B11, 'Base de datos'!$G:$G, $C11, 'Base de datos'!$N:$N, "*30d*")</f>
        <v>0</v>
      </c>
      <c r="P11" s="52">
        <f ca="1">COUNTIFS('Base de datos'!$B:$B, $B11, 'Base de datos'!$G:$G, $C11, 'Base de datos'!$Q:$Q, "*5d*")</f>
        <v>0</v>
      </c>
      <c r="Q11" s="52">
        <f>COUNTIFS('Base de datos'!$A:$A, $A13, 'Base de datos'!$B:$B, $B13, 'Base de datos'!$G:$G, $C13, 'Base de datos'!$S:$S, "&gt;=01/01/2026", 'Base de datos'!$S:$S, "&lt;=31/01/2026")</f>
        <v>0</v>
      </c>
      <c r="R11" s="10">
        <f>COUNTIFS('Base de datos'!$A:$A, $A13, 'Base de datos'!$B:$B, $B13, 'Base de datos'!$G:$G, $C13, 'Base de datos'!$S:$S, "&gt;=01/02/2026", 'Base de datos'!$S:$S, "&lt;=28/02/2026")</f>
        <v>0</v>
      </c>
      <c r="S11" s="10">
        <f>COUNTIFS('Base de datos'!$A:$A, $A13, 'Base de datos'!$B:$B, $B13, 'Base de datos'!$G:$G, $C13, 'Base de datos'!$S:$S, "&gt;=01/03/2026", 'Base de datos'!$S:$S, "&lt;=31/03/2026")</f>
        <v>0</v>
      </c>
      <c r="T11" s="10">
        <f>COUNTIFS('Base de datos'!$A:$A, $A13, 'Base de datos'!$B:$B, $B13, 'Base de datos'!$G:$G, $C13, 'Base de datos'!$S:$S, "&gt;=01/04/2026", 'Base de datos'!$S:$S, "&lt;=30/04/2026")</f>
        <v>0</v>
      </c>
      <c r="U11" s="10">
        <f>COUNTIFS('Base de datos'!$A:$A, $A13, 'Base de datos'!$B:$B, $B13, 'Base de datos'!$G:$G, $C13, 'Base de datos'!$S:$S, "&gt;=01/05/2026", 'Base de datos'!$S:$S, "&lt;=31/05/2026")</f>
        <v>0</v>
      </c>
      <c r="V11" s="10">
        <f>COUNTIFS('Base de datos'!$A:$A, $A13, 'Base de datos'!$B:$B, $B13, 'Base de datos'!$G:$G, $C13, 'Base de datos'!$S:$S, "&gt;=01/06/2026", 'Base de datos'!$S:$S, "&lt;=30/06/2026")</f>
        <v>0</v>
      </c>
      <c r="W11" s="10">
        <f>COUNTIFS('Base de datos'!$A:$A, $A11, 'Base de datos'!$B:$B, $B11, 'Base de datos'!$G:$G, $C11, 'Base de datos'!$S:$S, "&gt;=01/07/2026", 'Base de datos'!$S:$S, "&lt;=31/07/2026")</f>
        <v>0</v>
      </c>
      <c r="X11" s="10">
        <f>COUNTIFS('Base de datos'!$A:$A, $A11, 'Base de datos'!$B:$B, $B11, 'Base de datos'!$G:$G, $C11, 'Base de datos'!$S:$S, "&gt;=01/08/2026", 'Base de datos'!$S:$S, "&lt;=31/08/2026")</f>
        <v>0</v>
      </c>
      <c r="Y11" s="10">
        <f>COUNTIFS('Base de datos'!$A:$A, $A11, 'Base de datos'!$B:$B, $B11, 'Base de datos'!$G:$G, $C11, 'Base de datos'!$S:$S, "&gt;=01/09/2026", 'Base de datos'!$S:$S, "&lt;=30/09/2026")</f>
        <v>0</v>
      </c>
      <c r="Z11" s="10">
        <f>COUNTIFS('Base de datos'!$A:$A, $A11, 'Base de datos'!$B:$B, $B11, 'Base de datos'!$G:$G, $C11, 'Base de datos'!$S:$S, "&gt;=01/10/2026", 'Base de datos'!$S:$S, "&lt;=31/10/2026")</f>
        <v>0</v>
      </c>
      <c r="AA11" s="10">
        <f>COUNTIFS('Base de datos'!$A:$A, $A11, 'Base de datos'!$B:$B, $B11, 'Base de datos'!$G:$G, $C11, 'Base de datos'!$S:$S, "&gt;=01/11/2026", 'Base de datos'!$S:$S, "&lt;=30/11/2026")</f>
        <v>0</v>
      </c>
      <c r="AB11" s="10">
        <f>COUNTIFS('Base de datos'!$A:$A, $A11, 'Base de datos'!$B:$B, $B11, 'Base de datos'!$G:$G, $C11, 'Base de datos'!$S:$S, "&gt;=01/12/2026", 'Base de datos'!$S:$S, "&lt;=31/12/2026")</f>
        <v>0</v>
      </c>
    </row>
    <row r="12" spans="1:28" ht="24">
      <c r="A12" s="3" t="s">
        <v>180</v>
      </c>
      <c r="B12" s="70" t="s">
        <v>181</v>
      </c>
      <c r="C12" s="3" t="s">
        <v>144</v>
      </c>
      <c r="D12" s="10">
        <f>COUNTIFS('Base de datos'!$B:$B, $B12, 'Base de datos'!$G:$G, $C12, 'Base de datos'!$D:$D, "&lt;&gt;")</f>
        <v>0</v>
      </c>
      <c r="E12" s="10">
        <f>COUNTIFS('Base de datos'!$B:$B, $B12, 'Base de datos'!$G:$G, $C12, 'Base de datos'!$F:$F, "&lt;&gt;")</f>
        <v>1</v>
      </c>
      <c r="F12" s="10">
        <f>COUNTIFS('Base de datos'!$B:$B, $B12, 'Base de datos'!$G:$G, $C12, 'Base de datos'!$L:$L, "Abierta")</f>
        <v>0</v>
      </c>
      <c r="G12" s="10">
        <f>COUNTIFS('Base de datos'!$B:$B, $B12, 'Base de datos'!$G:$G, $C12, 'Base de datos'!$L:$L, "Finalizada")</f>
        <v>1</v>
      </c>
      <c r="H12" s="10">
        <f>COUNTIFS('Base de datos'!$B:$B, $B12, 'Base de datos'!$G:$G, $C12, 'Base de datos'!$L:$L, "Vencida")</f>
        <v>0</v>
      </c>
      <c r="I12" s="10">
        <f>COUNTIFS('Base de datos'!$B:$B, $B12, 'Base de datos'!$G:$G, $C12, 'Base de datos'!$L:$L, "Sin plan de acción")</f>
        <v>0</v>
      </c>
      <c r="J12" s="10">
        <f>COUNTIFS('Base de datos'!$B:$B, $B12, 'Base de datos'!$G:$G, $C12, 'Base de datos'!$E:$E, "Alto")</f>
        <v>0</v>
      </c>
      <c r="K12" s="10">
        <f>COUNTIFS('Base de datos'!$B:$B, $B12, 'Base de datos'!$G:$G, $C12, 'Base de datos'!$E:$E, "Medio")</f>
        <v>0</v>
      </c>
      <c r="L12" s="10">
        <f>COUNTIFS('Base de datos'!$B:$B, $B12, 'Base de datos'!$G:$G, $C12, 'Base de datos'!$E:$E, "Bajo")</f>
        <v>0</v>
      </c>
      <c r="M12" s="10">
        <f ca="1">COUNTIFS('Base de datos'!$B:$B, $B12, 'Base de datos'!$G:$G, $C12, 'Base de datos'!$P:$P, "*10d*")</f>
        <v>0</v>
      </c>
      <c r="N12" s="10">
        <f ca="1">COUNTIFS('Base de datos'!$B:$B, $B12, 'Base de datos'!$G:$G, $C12, 'Base de datos'!$O:$O, "*20d*")</f>
        <v>0</v>
      </c>
      <c r="O12" s="29">
        <f ca="1">COUNTIFS('Base de datos'!$B:$B, $B12, 'Base de datos'!$G:$G, $C12, 'Base de datos'!$N:$N, "*30d*")</f>
        <v>0</v>
      </c>
      <c r="P12" s="52">
        <f ca="1">COUNTIFS('Base de datos'!$B:$B, $B12, 'Base de datos'!$G:$G, $C12, 'Base de datos'!$Q:$Q, "*5d*")</f>
        <v>0</v>
      </c>
      <c r="Q12" s="52">
        <f>COUNTIFS('Base de datos'!$A:$A, $A14, 'Base de datos'!$B:$B, $B14, 'Base de datos'!$G:$G, $C14, 'Base de datos'!$S:$S, "&gt;=01/01/2026", 'Base de datos'!$S:$S, "&lt;=31/01/2026")</f>
        <v>0</v>
      </c>
      <c r="R12" s="10">
        <f>COUNTIFS('Base de datos'!$A:$A, $A14, 'Base de datos'!$B:$B, $B14, 'Base de datos'!$G:$G, $C14, 'Base de datos'!$S:$S, "&gt;=01/02/2026", 'Base de datos'!$S:$S, "&lt;=28/02/2026")</f>
        <v>0</v>
      </c>
      <c r="S12" s="10">
        <f>COUNTIFS('Base de datos'!$A:$A, $A14, 'Base de datos'!$B:$B, $B14, 'Base de datos'!$G:$G, $C14, 'Base de datos'!$S:$S, "&gt;=01/03/2026", 'Base de datos'!$S:$S, "&lt;=31/03/2026")</f>
        <v>0</v>
      </c>
      <c r="T12" s="10">
        <f>COUNTIFS('Base de datos'!$A:$A, $A14, 'Base de datos'!$B:$B, $B14, 'Base de datos'!$G:$G, $C14, 'Base de datos'!$S:$S, "&gt;=01/04/2026", 'Base de datos'!$S:$S, "&lt;=30/04/2026")</f>
        <v>0</v>
      </c>
      <c r="U12" s="10">
        <f>COUNTIFS('Base de datos'!$A:$A, $A14, 'Base de datos'!$B:$B, $B14, 'Base de datos'!$G:$G, $C14, 'Base de datos'!$S:$S, "&gt;=01/05/2026", 'Base de datos'!$S:$S, "&lt;=31/05/2026")</f>
        <v>0</v>
      </c>
      <c r="V12" s="10">
        <f>COUNTIFS('Base de datos'!$A:$A, $A14, 'Base de datos'!$B:$B, $B14, 'Base de datos'!$G:$G, $C14, 'Base de datos'!$S:$S, "&gt;=01/06/2026", 'Base de datos'!$S:$S, "&lt;=30/06/2026")</f>
        <v>1</v>
      </c>
      <c r="W12" s="10">
        <f>COUNTIFS('Base de datos'!$A:$A, $A12, 'Base de datos'!$B:$B, $B12, 'Base de datos'!$G:$G, $C12, 'Base de datos'!$S:$S, "&gt;=01/07/2026", 'Base de datos'!$S:$S, "&lt;=31/07/2026")</f>
        <v>0</v>
      </c>
      <c r="X12" s="10">
        <f>COUNTIFS('Base de datos'!$A:$A, $A12, 'Base de datos'!$B:$B, $B12, 'Base de datos'!$G:$G, $C12, 'Base de datos'!$S:$S, "&gt;=01/08/2026", 'Base de datos'!$S:$S, "&lt;=31/08/2026")</f>
        <v>0</v>
      </c>
      <c r="Y12" s="10">
        <f>COUNTIFS('Base de datos'!$A:$A, $A12, 'Base de datos'!$B:$B, $B12, 'Base de datos'!$G:$G, $C12, 'Base de datos'!$S:$S, "&gt;=01/09/2026", 'Base de datos'!$S:$S, "&lt;=30/09/2026")</f>
        <v>0</v>
      </c>
      <c r="Z12" s="10">
        <f>COUNTIFS('Base de datos'!$A:$A, $A12, 'Base de datos'!$B:$B, $B12, 'Base de datos'!$G:$G, $C12, 'Base de datos'!$S:$S, "&gt;=01/10/2026", 'Base de datos'!$S:$S, "&lt;=31/10/2026")</f>
        <v>0</v>
      </c>
      <c r="AA12" s="10">
        <f>COUNTIFS('Base de datos'!$A:$A, $A12, 'Base de datos'!$B:$B, $B12, 'Base de datos'!$G:$G, $C12, 'Base de datos'!$S:$S, "&gt;=01/11/2026", 'Base de datos'!$S:$S, "&lt;=30/11/2026")</f>
        <v>0</v>
      </c>
      <c r="AB12" s="10">
        <f>COUNTIFS('Base de datos'!$A:$A, $A12, 'Base de datos'!$B:$B, $B12, 'Base de datos'!$G:$G, $C12, 'Base de datos'!$S:$S, "&gt;=01/12/2026", 'Base de datos'!$S:$S, "&lt;=31/12/2026")</f>
        <v>0</v>
      </c>
    </row>
    <row r="13" spans="1:28" ht="34.200000000000003">
      <c r="A13" s="3" t="s">
        <v>180</v>
      </c>
      <c r="B13" s="70" t="s">
        <v>181</v>
      </c>
      <c r="C13" s="3" t="s">
        <v>190</v>
      </c>
      <c r="D13" s="10">
        <f>COUNTIFS('Base de datos'!$B:$B, $B13, 'Base de datos'!$G:$G, $C13, 'Base de datos'!$D:$D, "&lt;&gt;")</f>
        <v>2</v>
      </c>
      <c r="E13" s="10">
        <f>COUNTIFS('Base de datos'!$B:$B, $B13, 'Base de datos'!$G:$G, $C13, 'Base de datos'!$F:$F, "&lt;&gt;")</f>
        <v>2</v>
      </c>
      <c r="F13" s="10">
        <f>COUNTIFS('Base de datos'!$B:$B, $B13, 'Base de datos'!$G:$G, $C13, 'Base de datos'!$L:$L, "Abierta")</f>
        <v>0</v>
      </c>
      <c r="G13" s="10">
        <f>COUNTIFS('Base de datos'!$B:$B, $B13, 'Base de datos'!$G:$G, $C13, 'Base de datos'!$L:$L, "Finalizada")</f>
        <v>2</v>
      </c>
      <c r="H13" s="10">
        <f>COUNTIFS('Base de datos'!$B:$B, $B13, 'Base de datos'!$G:$G, $C13, 'Base de datos'!$L:$L, "Vencida")</f>
        <v>0</v>
      </c>
      <c r="I13" s="10">
        <f>COUNTIFS('Base de datos'!$B:$B, $B13, 'Base de datos'!$G:$G, $C13, 'Base de datos'!$L:$L, "Sin plan de acción")</f>
        <v>0</v>
      </c>
      <c r="J13" s="10">
        <f>COUNTIFS('Base de datos'!$B:$B, $B13, 'Base de datos'!$G:$G, $C13, 'Base de datos'!$E:$E, "Alto")</f>
        <v>0</v>
      </c>
      <c r="K13" s="10">
        <f>COUNTIFS('Base de datos'!$B:$B, $B13, 'Base de datos'!$G:$G, $C13, 'Base de datos'!$E:$E, "Medio")</f>
        <v>2</v>
      </c>
      <c r="L13" s="10">
        <f>COUNTIFS('Base de datos'!$B:$B, $B13, 'Base de datos'!$G:$G, $C13, 'Base de datos'!$E:$E, "Bajo")</f>
        <v>0</v>
      </c>
      <c r="M13" s="10">
        <f ca="1">COUNTIFS('Base de datos'!$B:$B, $B13, 'Base de datos'!$G:$G, $C13, 'Base de datos'!$P:$P, "*10d*")</f>
        <v>0</v>
      </c>
      <c r="N13" s="10">
        <f ca="1">COUNTIFS('Base de datos'!$B:$B, $B13, 'Base de datos'!$G:$G, $C13, 'Base de datos'!$O:$O, "*20d*")</f>
        <v>0</v>
      </c>
      <c r="O13" s="29">
        <f ca="1">COUNTIFS('Base de datos'!$B:$B, $B13, 'Base de datos'!$G:$G, $C13, 'Base de datos'!$N:$N, "*30d*")</f>
        <v>0</v>
      </c>
      <c r="P13" s="52">
        <f ca="1">COUNTIFS('Base de datos'!$B:$B, $B13, 'Base de datos'!$G:$G, $C13, 'Base de datos'!$Q:$Q, "*5d*")</f>
        <v>0</v>
      </c>
      <c r="Q13" s="52">
        <f>COUNTIFS('Base de datos'!$A:$A, $A15, 'Base de datos'!$B:$B, $B15, 'Base de datos'!$G:$G, $C15, 'Base de datos'!$S:$S, "&gt;=01/01/2026", 'Base de datos'!$S:$S, "&lt;=31/01/2026")</f>
        <v>0</v>
      </c>
      <c r="R13" s="10">
        <f>COUNTIFS('Base de datos'!$A:$A, $A15, 'Base de datos'!$B:$B, $B15, 'Base de datos'!$G:$G, $C15, 'Base de datos'!$S:$S, "&gt;=01/02/2026", 'Base de datos'!$S:$S, "&lt;=28/02/2026")</f>
        <v>0</v>
      </c>
      <c r="S13" s="10">
        <f>COUNTIFS('Base de datos'!$A:$A, $A15, 'Base de datos'!$B:$B, $B15, 'Base de datos'!$G:$G, $C15, 'Base de datos'!$S:$S, "&gt;=01/03/2026", 'Base de datos'!$S:$S, "&lt;=31/03/2026")</f>
        <v>0</v>
      </c>
      <c r="T13" s="10">
        <f>COUNTIFS('Base de datos'!$A:$A, $A15, 'Base de datos'!$B:$B, $B15, 'Base de datos'!$G:$G, $C15, 'Base de datos'!$S:$S, "&gt;=01/04/2026", 'Base de datos'!$S:$S, "&lt;=30/04/2026")</f>
        <v>0</v>
      </c>
      <c r="U13" s="10">
        <f>COUNTIFS('Base de datos'!$A:$A, $A15, 'Base de datos'!$B:$B, $B15, 'Base de datos'!$G:$G, $C15, 'Base de datos'!$S:$S, "&gt;=01/05/2026", 'Base de datos'!$S:$S, "&lt;=31/05/2026")</f>
        <v>0</v>
      </c>
      <c r="V13" s="10">
        <f>COUNTIFS('Base de datos'!$A:$A, $A15, 'Base de datos'!$B:$B, $B15, 'Base de datos'!$G:$G, $C15, 'Base de datos'!$S:$S, "&gt;=01/06/2026", 'Base de datos'!$S:$S, "&lt;=30/06/2026")</f>
        <v>0</v>
      </c>
      <c r="W13" s="10">
        <f>COUNTIFS('Base de datos'!$A:$A, $A13, 'Base de datos'!$B:$B, $B13, 'Base de datos'!$G:$G, $C13, 'Base de datos'!$S:$S, "&gt;=01/07/2026", 'Base de datos'!$S:$S, "&lt;=31/07/2026")</f>
        <v>0</v>
      </c>
      <c r="X13" s="10">
        <f>COUNTIFS('Base de datos'!$A:$A, $A13, 'Base de datos'!$B:$B, $B13, 'Base de datos'!$G:$G, $C13, 'Base de datos'!$S:$S, "&gt;=01/08/2026", 'Base de datos'!$S:$S, "&lt;=31/08/2026")</f>
        <v>0</v>
      </c>
      <c r="Y13" s="10">
        <f>COUNTIFS('Base de datos'!$A:$A, $A13, 'Base de datos'!$B:$B, $B13, 'Base de datos'!$G:$G, $C13, 'Base de datos'!$S:$S, "&gt;=01/09/2026", 'Base de datos'!$S:$S, "&lt;=30/09/2026")</f>
        <v>0</v>
      </c>
      <c r="Z13" s="10">
        <f>COUNTIFS('Base de datos'!$A:$A, $A13, 'Base de datos'!$B:$B, $B13, 'Base de datos'!$G:$G, $C13, 'Base de datos'!$S:$S, "&gt;=01/10/2026", 'Base de datos'!$S:$S, "&lt;=31/10/2026")</f>
        <v>0</v>
      </c>
      <c r="AA13" s="10">
        <f>COUNTIFS('Base de datos'!$A:$A, $A13, 'Base de datos'!$B:$B, $B13, 'Base de datos'!$G:$G, $C13, 'Base de datos'!$S:$S, "&gt;=01/11/2026", 'Base de datos'!$S:$S, "&lt;=30/11/2026")</f>
        <v>0</v>
      </c>
      <c r="AB13" s="10">
        <f>COUNTIFS('Base de datos'!$A:$A, $A13, 'Base de datos'!$B:$B, $B13, 'Base de datos'!$G:$G, $C13, 'Base de datos'!$S:$S, "&gt;=01/12/2026", 'Base de datos'!$S:$S, "&lt;=31/12/2026")</f>
        <v>0</v>
      </c>
    </row>
    <row r="14" spans="1:28" ht="68.400000000000006">
      <c r="A14" s="3" t="s">
        <v>180</v>
      </c>
      <c r="B14" s="70" t="s">
        <v>181</v>
      </c>
      <c r="C14" s="3" t="s">
        <v>199</v>
      </c>
      <c r="D14" s="10">
        <f>COUNTIFS('Base de datos'!$B:$B, $B14, 'Base de datos'!$G:$G, $C14, 'Base de datos'!$D:$D, "&lt;&gt;")</f>
        <v>0</v>
      </c>
      <c r="E14" s="10">
        <f>COUNTIFS('Base de datos'!$B:$B, $B14, 'Base de datos'!$G:$G, $C14, 'Base de datos'!$F:$F, "&lt;&gt;")</f>
        <v>1</v>
      </c>
      <c r="F14" s="10">
        <f>COUNTIFS('Base de datos'!$B:$B, $B14, 'Base de datos'!$G:$G, $C14, 'Base de datos'!$L:$L, "Abierta")</f>
        <v>0</v>
      </c>
      <c r="G14" s="10">
        <f>COUNTIFS('Base de datos'!$B:$B, $B14, 'Base de datos'!$G:$G, $C14, 'Base de datos'!$L:$L, "Finalizada")</f>
        <v>1</v>
      </c>
      <c r="H14" s="10">
        <f>COUNTIFS('Base de datos'!$B:$B, $B14, 'Base de datos'!$G:$G, $C14, 'Base de datos'!$L:$L, "Vencida")</f>
        <v>0</v>
      </c>
      <c r="I14" s="10">
        <f>COUNTIFS('Base de datos'!$B:$B, $B14, 'Base de datos'!$G:$G, $C14, 'Base de datos'!$L:$L, "Sin plan de acción")</f>
        <v>0</v>
      </c>
      <c r="J14" s="10">
        <f>COUNTIFS('Base de datos'!$B:$B, $B14, 'Base de datos'!$G:$G, $C14, 'Base de datos'!$E:$E, "Alto")</f>
        <v>0</v>
      </c>
      <c r="K14" s="10">
        <f>COUNTIFS('Base de datos'!$B:$B, $B14, 'Base de datos'!$G:$G, $C14, 'Base de datos'!$E:$E, "Medio")</f>
        <v>0</v>
      </c>
      <c r="L14" s="10">
        <f>COUNTIFS('Base de datos'!$B:$B, $B14, 'Base de datos'!$G:$G, $C14, 'Base de datos'!$E:$E, "Bajo")</f>
        <v>0</v>
      </c>
      <c r="M14" s="10">
        <f ca="1">COUNTIFS('Base de datos'!$B:$B, $B14, 'Base de datos'!$G:$G, $C14, 'Base de datos'!$P:$P, "*10d*")</f>
        <v>0</v>
      </c>
      <c r="N14" s="10">
        <f ca="1">COUNTIFS('Base de datos'!$B:$B, $B14, 'Base de datos'!$G:$G, $C14, 'Base de datos'!$O:$O, "*20d*")</f>
        <v>0</v>
      </c>
      <c r="O14" s="29">
        <f ca="1">COUNTIFS('Base de datos'!$B:$B, $B14, 'Base de datos'!$G:$G, $C14, 'Base de datos'!$N:$N, "*30d*")</f>
        <v>0</v>
      </c>
      <c r="P14" s="52">
        <f ca="1">COUNTIFS('Base de datos'!$B:$B, $B14, 'Base de datos'!$G:$G, $C14, 'Base de datos'!$Q:$Q, "*5d*")</f>
        <v>0</v>
      </c>
      <c r="Q14" s="52">
        <f>COUNTIFS('Base de datos'!$A:$A, $A16, 'Base de datos'!$B:$B, $B16, 'Base de datos'!$G:$G, $C16, 'Base de datos'!$S:$S, "&gt;=01/01/2026", 'Base de datos'!$S:$S, "&lt;=31/01/2026")</f>
        <v>0</v>
      </c>
      <c r="R14" s="10">
        <f>COUNTIFS('Base de datos'!$A:$A, $A16, 'Base de datos'!$B:$B, $B16, 'Base de datos'!$G:$G, $C16, 'Base de datos'!$S:$S, "&gt;=01/02/2026", 'Base de datos'!$S:$S, "&lt;=28/02/2026")</f>
        <v>0</v>
      </c>
      <c r="S14" s="10">
        <f>COUNTIFS('Base de datos'!$A:$A, $A16, 'Base de datos'!$B:$B, $B16, 'Base de datos'!$G:$G, $C16, 'Base de datos'!$S:$S, "&gt;=01/03/2026", 'Base de datos'!$S:$S, "&lt;=31/03/2026")</f>
        <v>0</v>
      </c>
      <c r="T14" s="10">
        <f>COUNTIFS('Base de datos'!$A:$A, $A16, 'Base de datos'!$B:$B, $B16, 'Base de datos'!$G:$G, $C16, 'Base de datos'!$S:$S, "&gt;=01/04/2026", 'Base de datos'!$S:$S, "&lt;=30/04/2026")</f>
        <v>0</v>
      </c>
      <c r="U14" s="10">
        <f>COUNTIFS('Base de datos'!$A:$A, $A16, 'Base de datos'!$B:$B, $B16, 'Base de datos'!$G:$G, $C16, 'Base de datos'!$S:$S, "&gt;=01/05/2026", 'Base de datos'!$S:$S, "&lt;=31/05/2026")</f>
        <v>0</v>
      </c>
      <c r="V14" s="10">
        <f>COUNTIFS('Base de datos'!$A:$A, $A16, 'Base de datos'!$B:$B, $B16, 'Base de datos'!$G:$G, $C16, 'Base de datos'!$S:$S, "&gt;=01/06/2026", 'Base de datos'!$S:$S, "&lt;=30/06/2026")</f>
        <v>0</v>
      </c>
      <c r="W14" s="10">
        <f>COUNTIFS('Base de datos'!$A:$A, $A14, 'Base de datos'!$B:$B, $B14, 'Base de datos'!$G:$G, $C14, 'Base de datos'!$S:$S, "&gt;=01/07/2026", 'Base de datos'!$S:$S, "&lt;=31/07/2026")</f>
        <v>0</v>
      </c>
      <c r="X14" s="10">
        <f>COUNTIFS('Base de datos'!$A:$A, $A14, 'Base de datos'!$B:$B, $B14, 'Base de datos'!$G:$G, $C14, 'Base de datos'!$S:$S, "&gt;=01/08/2026", 'Base de datos'!$S:$S, "&lt;=31/08/2026")</f>
        <v>0</v>
      </c>
      <c r="Y14" s="10">
        <f>COUNTIFS('Base de datos'!$A:$A, $A14, 'Base de datos'!$B:$B, $B14, 'Base de datos'!$G:$G, $C14, 'Base de datos'!$S:$S, "&gt;=01/09/2026", 'Base de datos'!$S:$S, "&lt;=30/09/2026")</f>
        <v>0</v>
      </c>
      <c r="Z14" s="10">
        <f>COUNTIFS('Base de datos'!$A:$A, $A14, 'Base de datos'!$B:$B, $B14, 'Base de datos'!$G:$G, $C14, 'Base de datos'!$S:$S, "&gt;=01/10/2026", 'Base de datos'!$S:$S, "&lt;=31/10/2026")</f>
        <v>0</v>
      </c>
      <c r="AA14" s="10">
        <f>COUNTIFS('Base de datos'!$A:$A, $A14, 'Base de datos'!$B:$B, $B14, 'Base de datos'!$G:$G, $C14, 'Base de datos'!$S:$S, "&gt;=01/11/2026", 'Base de datos'!$S:$S, "&lt;=30/11/2026")</f>
        <v>0</v>
      </c>
      <c r="AB14" s="10">
        <f>COUNTIFS('Base de datos'!$A:$A, $A14, 'Base de datos'!$B:$B, $B14, 'Base de datos'!$G:$G, $C14, 'Base de datos'!$S:$S, "&gt;=01/12/2026", 'Base de datos'!$S:$S, "&lt;=31/12/2026")</f>
        <v>0</v>
      </c>
    </row>
    <row r="15" spans="1:28" ht="125.4">
      <c r="A15" s="3" t="s">
        <v>180</v>
      </c>
      <c r="B15" s="70" t="s">
        <v>181</v>
      </c>
      <c r="C15" s="3" t="s">
        <v>203</v>
      </c>
      <c r="D15" s="10">
        <f>COUNTIFS('Base de datos'!$B:$B, $B15, 'Base de datos'!$G:$G, $C15, 'Base de datos'!$D:$D, "&lt;&gt;")</f>
        <v>0</v>
      </c>
      <c r="E15" s="10">
        <f>COUNTIFS('Base de datos'!$B:$B, $B15, 'Base de datos'!$G:$G, $C15, 'Base de datos'!$F:$F, "&lt;&gt;")</f>
        <v>1</v>
      </c>
      <c r="F15" s="10">
        <f>COUNTIFS('Base de datos'!$B:$B, $B15, 'Base de datos'!$G:$G, $C15, 'Base de datos'!$L:$L, "Abierta")</f>
        <v>0</v>
      </c>
      <c r="G15" s="10">
        <f>COUNTIFS('Base de datos'!$B:$B, $B15, 'Base de datos'!$G:$G, $C15, 'Base de datos'!$L:$L, "Finalizada")</f>
        <v>1</v>
      </c>
      <c r="H15" s="10">
        <f>COUNTIFS('Base de datos'!$B:$B, $B15, 'Base de datos'!$G:$G, $C15, 'Base de datos'!$L:$L, "Vencida")</f>
        <v>0</v>
      </c>
      <c r="I15" s="10">
        <f>COUNTIFS('Base de datos'!$B:$B, $B15, 'Base de datos'!$G:$G, $C15, 'Base de datos'!$L:$L, "Sin plan de acción")</f>
        <v>0</v>
      </c>
      <c r="J15" s="10">
        <f>COUNTIFS('Base de datos'!$B:$B, $B15, 'Base de datos'!$G:$G, $C15, 'Base de datos'!$E:$E, "Alto")</f>
        <v>0</v>
      </c>
      <c r="K15" s="10">
        <f>COUNTIFS('Base de datos'!$B:$B, $B15, 'Base de datos'!$G:$G, $C15, 'Base de datos'!$E:$E, "Medio")</f>
        <v>0</v>
      </c>
      <c r="L15" s="10">
        <f>COUNTIFS('Base de datos'!$B:$B, $B15, 'Base de datos'!$G:$G, $C15, 'Base de datos'!$E:$E, "Bajo")</f>
        <v>0</v>
      </c>
      <c r="M15" s="10">
        <f ca="1">COUNTIFS('Base de datos'!$B:$B, $B15, 'Base de datos'!$G:$G, $C15, 'Base de datos'!$P:$P, "*10d*")</f>
        <v>0</v>
      </c>
      <c r="N15" s="10">
        <f ca="1">COUNTIFS('Base de datos'!$B:$B, $B15, 'Base de datos'!$G:$G, $C15, 'Base de datos'!$O:$O, "*20d*")</f>
        <v>0</v>
      </c>
      <c r="O15" s="29">
        <f ca="1">COUNTIFS('Base de datos'!$B:$B, $B15, 'Base de datos'!$G:$G, $C15, 'Base de datos'!$N:$N, "*30d*")</f>
        <v>0</v>
      </c>
      <c r="P15" s="52">
        <f ca="1">COUNTIFS('Base de datos'!$B:$B, $B15, 'Base de datos'!$G:$G, $C15, 'Base de datos'!$Q:$Q, "*5d*")</f>
        <v>0</v>
      </c>
      <c r="Q15" s="52">
        <f>COUNTIFS('Base de datos'!$A:$A, $A17, 'Base de datos'!$B:$B, $B17, 'Base de datos'!$G:$G, $C17, 'Base de datos'!$S:$S, "&gt;=01/01/2026", 'Base de datos'!$S:$S, "&lt;=31/01/2026")</f>
        <v>0</v>
      </c>
      <c r="R15" s="10">
        <f>COUNTIFS('Base de datos'!$A:$A, $A17, 'Base de datos'!$B:$B, $B17, 'Base de datos'!$G:$G, $C17, 'Base de datos'!$S:$S, "&gt;=01/02/2026", 'Base de datos'!$S:$S, "&lt;=28/02/2026")</f>
        <v>1</v>
      </c>
      <c r="S15" s="10">
        <f>COUNTIFS('Base de datos'!$A:$A, $A17, 'Base de datos'!$B:$B, $B17, 'Base de datos'!$G:$G, $C17, 'Base de datos'!$S:$S, "&gt;=01/03/2026", 'Base de datos'!$S:$S, "&lt;=31/03/2026")</f>
        <v>0</v>
      </c>
      <c r="T15" s="10">
        <f>COUNTIFS('Base de datos'!$A:$A, $A17, 'Base de datos'!$B:$B, $B17, 'Base de datos'!$G:$G, $C17, 'Base de datos'!$S:$S, "&gt;=01/04/2026", 'Base de datos'!$S:$S, "&lt;=30/04/2026")</f>
        <v>0</v>
      </c>
      <c r="U15" s="10">
        <f>COUNTIFS('Base de datos'!$A:$A, $A17, 'Base de datos'!$B:$B, $B17, 'Base de datos'!$G:$G, $C17, 'Base de datos'!$S:$S, "&gt;=01/05/2026", 'Base de datos'!$S:$S, "&lt;=31/05/2026")</f>
        <v>0</v>
      </c>
      <c r="V15" s="10">
        <f>COUNTIFS('Base de datos'!$A:$A, $A17, 'Base de datos'!$B:$B, $B17, 'Base de datos'!$G:$G, $C17, 'Base de datos'!$S:$S, "&gt;=01/06/2026", 'Base de datos'!$S:$S, "&lt;=30/06/2026")</f>
        <v>0</v>
      </c>
      <c r="W15" s="10">
        <f>COUNTIFS('Base de datos'!$A:$A, $A15, 'Base de datos'!$B:$B, $B15, 'Base de datos'!$G:$G, $C15, 'Base de datos'!$S:$S, "&gt;=01/07/2026", 'Base de datos'!$S:$S, "&lt;=31/07/2026")</f>
        <v>0</v>
      </c>
      <c r="X15" s="10">
        <f>COUNTIFS('Base de datos'!$A:$A, $A15, 'Base de datos'!$B:$B, $B15, 'Base de datos'!$G:$G, $C15, 'Base de datos'!$S:$S, "&gt;=01/08/2026", 'Base de datos'!$S:$S, "&lt;=31/08/2026")</f>
        <v>0</v>
      </c>
      <c r="Y15" s="10">
        <f>COUNTIFS('Base de datos'!$A:$A, $A15, 'Base de datos'!$B:$B, $B15, 'Base de datos'!$G:$G, $C15, 'Base de datos'!$S:$S, "&gt;=01/09/2026", 'Base de datos'!$S:$S, "&lt;=30/09/2026")</f>
        <v>0</v>
      </c>
      <c r="Z15" s="10">
        <f>COUNTIFS('Base de datos'!$A:$A, $A15, 'Base de datos'!$B:$B, $B15, 'Base de datos'!$G:$G, $C15, 'Base de datos'!$S:$S, "&gt;=01/10/2026", 'Base de datos'!$S:$S, "&lt;=31/10/2026")</f>
        <v>0</v>
      </c>
      <c r="AA15" s="10">
        <f>COUNTIFS('Base de datos'!$A:$A, $A15, 'Base de datos'!$B:$B, $B15, 'Base de datos'!$G:$G, $C15, 'Base de datos'!$S:$S, "&gt;=01/11/2026", 'Base de datos'!$S:$S, "&lt;=30/11/2026")</f>
        <v>0</v>
      </c>
      <c r="AB15" s="10">
        <f>COUNTIFS('Base de datos'!$A:$A, $A15, 'Base de datos'!$B:$B, $B15, 'Base de datos'!$G:$G, $C15, 'Base de datos'!$S:$S, "&gt;=01/12/2026", 'Base de datos'!$S:$S, "&lt;=31/12/2026")</f>
        <v>0</v>
      </c>
    </row>
    <row r="16" spans="1:28" ht="34.200000000000003">
      <c r="A16" s="3" t="s">
        <v>180</v>
      </c>
      <c r="B16" s="70" t="s">
        <v>181</v>
      </c>
      <c r="C16" s="3" t="s">
        <v>148</v>
      </c>
      <c r="D16" s="10">
        <f>COUNTIFS('Base de datos'!$B:$B, $B16, 'Base de datos'!$G:$G, $C16, 'Base de datos'!$D:$D, "&lt;&gt;")</f>
        <v>1</v>
      </c>
      <c r="E16" s="10">
        <f>COUNTIFS('Base de datos'!$B:$B, $B16, 'Base de datos'!$G:$G, $C16, 'Base de datos'!$F:$F, "&lt;&gt;")</f>
        <v>1</v>
      </c>
      <c r="F16" s="10">
        <f>COUNTIFS('Base de datos'!$B:$B, $B16, 'Base de datos'!$G:$G, $C16, 'Base de datos'!$L:$L, "Abierta")</f>
        <v>0</v>
      </c>
      <c r="G16" s="10">
        <f>COUNTIFS('Base de datos'!$B:$B, $B16, 'Base de datos'!$G:$G, $C16, 'Base de datos'!$L:$L, "Finalizada")</f>
        <v>1</v>
      </c>
      <c r="H16" s="10">
        <f>COUNTIFS('Base de datos'!$B:$B, $B16, 'Base de datos'!$G:$G, $C16, 'Base de datos'!$L:$L, "Vencida")</f>
        <v>0</v>
      </c>
      <c r="I16" s="10">
        <f>COUNTIFS('Base de datos'!$B:$B, $B16, 'Base de datos'!$G:$G, $C16, 'Base de datos'!$L:$L, "Sin plan de acción")</f>
        <v>0</v>
      </c>
      <c r="J16" s="10">
        <f>COUNTIFS('Base de datos'!$B:$B, $B16, 'Base de datos'!$G:$G, $C16, 'Base de datos'!$E:$E, "Alto")</f>
        <v>0</v>
      </c>
      <c r="K16" s="10">
        <f>COUNTIFS('Base de datos'!$B:$B, $B16, 'Base de datos'!$G:$G, $C16, 'Base de datos'!$E:$E, "Medio")</f>
        <v>1</v>
      </c>
      <c r="L16" s="10">
        <f>COUNTIFS('Base de datos'!$B:$B, $B16, 'Base de datos'!$G:$G, $C16, 'Base de datos'!$E:$E, "Bajo")</f>
        <v>0</v>
      </c>
      <c r="M16" s="10">
        <f ca="1">COUNTIFS('Base de datos'!$B:$B, $B16, 'Base de datos'!$G:$G, $C16, 'Base de datos'!$P:$P, "*10d*")</f>
        <v>0</v>
      </c>
      <c r="N16" s="10">
        <f ca="1">COUNTIFS('Base de datos'!$B:$B, $B16, 'Base de datos'!$G:$G, $C16, 'Base de datos'!$O:$O, "*20d*")</f>
        <v>0</v>
      </c>
      <c r="O16" s="29">
        <f ca="1">COUNTIFS('Base de datos'!$B:$B, $B16, 'Base de datos'!$G:$G, $C16, 'Base de datos'!$N:$N, "*30d*")</f>
        <v>0</v>
      </c>
      <c r="P16" s="52">
        <f ca="1">COUNTIFS('Base de datos'!$B:$B, $B16, 'Base de datos'!$G:$G, $C16, 'Base de datos'!$Q:$Q, "*5d*")</f>
        <v>0</v>
      </c>
      <c r="Q16" s="52">
        <f>COUNTIFS('Base de datos'!$A:$A, $A18, 'Base de datos'!$B:$B, $B18, 'Base de datos'!$G:$G, $C18, 'Base de datos'!$S:$S, "&gt;=01/01/2026", 'Base de datos'!$S:$S, "&lt;=31/01/2026")</f>
        <v>0</v>
      </c>
      <c r="R16" s="10">
        <f>COUNTIFS('Base de datos'!$A:$A, $A18, 'Base de datos'!$B:$B, $B18, 'Base de datos'!$G:$G, $C18, 'Base de datos'!$S:$S, "&gt;=01/02/2026", 'Base de datos'!$S:$S, "&lt;=28/02/2026")</f>
        <v>0</v>
      </c>
      <c r="S16" s="10">
        <f>COUNTIFS('Base de datos'!$A:$A, $A18, 'Base de datos'!$B:$B, $B18, 'Base de datos'!$G:$G, $C18, 'Base de datos'!$S:$S, "&gt;=01/03/2026", 'Base de datos'!$S:$S, "&lt;=31/03/2026")</f>
        <v>0</v>
      </c>
      <c r="T16" s="10">
        <f>COUNTIFS('Base de datos'!$A:$A, $A18, 'Base de datos'!$B:$B, $B18, 'Base de datos'!$G:$G, $C18, 'Base de datos'!$S:$S, "&gt;=01/04/2026", 'Base de datos'!$S:$S, "&lt;=30/04/2026")</f>
        <v>0</v>
      </c>
      <c r="U16" s="10">
        <f>COUNTIFS('Base de datos'!$A:$A, $A18, 'Base de datos'!$B:$B, $B18, 'Base de datos'!$G:$G, $C18, 'Base de datos'!$S:$S, "&gt;=01/05/2026", 'Base de datos'!$S:$S, "&lt;=31/05/2026")</f>
        <v>0</v>
      </c>
      <c r="V16" s="10">
        <f>COUNTIFS('Base de datos'!$A:$A, $A18, 'Base de datos'!$B:$B, $B18, 'Base de datos'!$G:$G, $C18, 'Base de datos'!$S:$S, "&gt;=01/06/2026", 'Base de datos'!$S:$S, "&lt;=30/06/2026")</f>
        <v>0</v>
      </c>
      <c r="W16" s="10">
        <f>COUNTIFS('Base de datos'!$A:$A, $A16, 'Base de datos'!$B:$B, $B16, 'Base de datos'!$G:$G, $C16, 'Base de datos'!$S:$S, "&gt;=01/07/2026", 'Base de datos'!$S:$S, "&lt;=31/07/2026")</f>
        <v>0</v>
      </c>
      <c r="X16" s="10">
        <f>COUNTIFS('Base de datos'!$A:$A, $A16, 'Base de datos'!$B:$B, $B16, 'Base de datos'!$G:$G, $C16, 'Base de datos'!$S:$S, "&gt;=01/08/2026", 'Base de datos'!$S:$S, "&lt;=31/08/2026")</f>
        <v>0</v>
      </c>
      <c r="Y16" s="10">
        <f>COUNTIFS('Base de datos'!$A:$A, $A16, 'Base de datos'!$B:$B, $B16, 'Base de datos'!$G:$G, $C16, 'Base de datos'!$S:$S, "&gt;=01/09/2026", 'Base de datos'!$S:$S, "&lt;=30/09/2026")</f>
        <v>0</v>
      </c>
      <c r="Z16" s="10">
        <f>COUNTIFS('Base de datos'!$A:$A, $A16, 'Base de datos'!$B:$B, $B16, 'Base de datos'!$G:$G, $C16, 'Base de datos'!$S:$S, "&gt;=01/10/2026", 'Base de datos'!$S:$S, "&lt;=31/10/2026")</f>
        <v>0</v>
      </c>
      <c r="AA16" s="10">
        <f>COUNTIFS('Base de datos'!$A:$A, $A16, 'Base de datos'!$B:$B, $B16, 'Base de datos'!$G:$G, $C16, 'Base de datos'!$S:$S, "&gt;=01/11/2026", 'Base de datos'!$S:$S, "&lt;=30/11/2026")</f>
        <v>0</v>
      </c>
      <c r="AB16" s="10">
        <f>COUNTIFS('Base de datos'!$A:$A, $A16, 'Base de datos'!$B:$B, $B16, 'Base de datos'!$G:$G, $C16, 'Base de datos'!$S:$S, "&gt;=01/12/2026", 'Base de datos'!$S:$S, "&lt;=31/12/2026")</f>
        <v>0</v>
      </c>
    </row>
    <row r="17" spans="1:28" ht="34.200000000000003">
      <c r="A17" s="3" t="s">
        <v>180</v>
      </c>
      <c r="B17" s="70" t="s">
        <v>181</v>
      </c>
      <c r="C17" s="3" t="s">
        <v>210</v>
      </c>
      <c r="D17" s="10">
        <f>COUNTIFS('Base de datos'!$B:$B, $B17, 'Base de datos'!$G:$G, $C17, 'Base de datos'!$D:$D, "&lt;&gt;")</f>
        <v>5</v>
      </c>
      <c r="E17" s="10">
        <f>COUNTIFS('Base de datos'!$B:$B, $B17, 'Base de datos'!$G:$G, $C17, 'Base de datos'!$F:$F, "&lt;&gt;")</f>
        <v>7</v>
      </c>
      <c r="F17" s="10">
        <f>COUNTIFS('Base de datos'!$B:$B, $B17, 'Base de datos'!$G:$G, $C17, 'Base de datos'!$L:$L, "Abierta")</f>
        <v>0</v>
      </c>
      <c r="G17" s="10">
        <f>COUNTIFS('Base de datos'!$B:$B, $B17, 'Base de datos'!$G:$G, $C17, 'Base de datos'!$L:$L, "Finalizada")</f>
        <v>5</v>
      </c>
      <c r="H17" s="10">
        <f>COUNTIFS('Base de datos'!$B:$B, $B17, 'Base de datos'!$G:$G, $C17, 'Base de datos'!$L:$L, "Vencida")</f>
        <v>2</v>
      </c>
      <c r="I17" s="10">
        <f>COUNTIFS('Base de datos'!$B:$B, $B17, 'Base de datos'!$G:$G, $C17, 'Base de datos'!$L:$L, "Sin plan de acción")</f>
        <v>0</v>
      </c>
      <c r="J17" s="10">
        <f>COUNTIFS('Base de datos'!$B:$B, $B17, 'Base de datos'!$G:$G, $C17, 'Base de datos'!$E:$E, "Alto")</f>
        <v>0</v>
      </c>
      <c r="K17" s="10">
        <f>COUNTIFS('Base de datos'!$B:$B, $B17, 'Base de datos'!$G:$G, $C17, 'Base de datos'!$E:$E, "Medio")</f>
        <v>5</v>
      </c>
      <c r="L17" s="10">
        <f>COUNTIFS('Base de datos'!$B:$B, $B17, 'Base de datos'!$G:$G, $C17, 'Base de datos'!$E:$E, "Bajo")</f>
        <v>0</v>
      </c>
      <c r="M17" s="10">
        <f ca="1">COUNTIFS('Base de datos'!$B:$B, $B17, 'Base de datos'!$G:$G, $C17, 'Base de datos'!$P:$P, "*10d*")</f>
        <v>0</v>
      </c>
      <c r="N17" s="10">
        <f ca="1">COUNTIFS('Base de datos'!$B:$B, $B17, 'Base de datos'!$G:$G, $C17, 'Base de datos'!$O:$O, "*20d*")</f>
        <v>0</v>
      </c>
      <c r="O17" s="29">
        <f ca="1">COUNTIFS('Base de datos'!$B:$B, $B17, 'Base de datos'!$G:$G, $C17, 'Base de datos'!$N:$N, "*30d*")</f>
        <v>0</v>
      </c>
      <c r="P17" s="52">
        <f ca="1">COUNTIFS('Base de datos'!$B:$B, $B17, 'Base de datos'!$G:$G, $C17, 'Base de datos'!$Q:$Q, "*5d*")</f>
        <v>0</v>
      </c>
      <c r="Q17" s="52">
        <f>COUNTIFS('Base de datos'!$A:$A, $A19, 'Base de datos'!$B:$B, $B19, 'Base de datos'!$G:$G, $C19, 'Base de datos'!$S:$S, "&gt;=01/01/2026", 'Base de datos'!$S:$S, "&lt;=31/01/2026")</f>
        <v>2</v>
      </c>
      <c r="R17" s="10">
        <f>COUNTIFS('Base de datos'!$A:$A, $A19, 'Base de datos'!$B:$B, $B19, 'Base de datos'!$G:$G, $C19, 'Base de datos'!$S:$S, "&gt;=01/02/2026", 'Base de datos'!$S:$S, "&lt;=28/02/2026")</f>
        <v>0</v>
      </c>
      <c r="S17" s="10">
        <f>COUNTIFS('Base de datos'!$A:$A, $A19, 'Base de datos'!$B:$B, $B19, 'Base de datos'!$G:$G, $C19, 'Base de datos'!$S:$S, "&gt;=01/03/2026", 'Base de datos'!$S:$S, "&lt;=31/03/2026")</f>
        <v>0</v>
      </c>
      <c r="T17" s="10">
        <f>COUNTIFS('Base de datos'!$A:$A, $A19, 'Base de datos'!$B:$B, $B19, 'Base de datos'!$G:$G, $C19, 'Base de datos'!$S:$S, "&gt;=01/04/2026", 'Base de datos'!$S:$S, "&lt;=30/04/2026")</f>
        <v>0</v>
      </c>
      <c r="U17" s="10">
        <f>COUNTIFS('Base de datos'!$A:$A, $A19, 'Base de datos'!$B:$B, $B19, 'Base de datos'!$G:$G, $C19, 'Base de datos'!$S:$S, "&gt;=01/05/2026", 'Base de datos'!$S:$S, "&lt;=31/05/2026")</f>
        <v>0</v>
      </c>
      <c r="V17" s="10">
        <f>COUNTIFS('Base de datos'!$A:$A, $A19, 'Base de datos'!$B:$B, $B19, 'Base de datos'!$G:$G, $C19, 'Base de datos'!$S:$S, "&gt;=01/06/2026", 'Base de datos'!$S:$S, "&lt;=30/06/2026")</f>
        <v>0</v>
      </c>
      <c r="W17" s="10">
        <f>COUNTIFS('Base de datos'!$A:$A, $A17, 'Base de datos'!$B:$B, $B17, 'Base de datos'!$G:$G, $C17, 'Base de datos'!$S:$S, "&gt;=01/07/2026", 'Base de datos'!$S:$S, "&lt;=31/07/2026")</f>
        <v>0</v>
      </c>
      <c r="X17" s="10">
        <f>COUNTIFS('Base de datos'!$A:$A, $A17, 'Base de datos'!$B:$B, $B17, 'Base de datos'!$G:$G, $C17, 'Base de datos'!$S:$S, "&gt;=01/08/2026", 'Base de datos'!$S:$S, "&lt;=31/08/2026")</f>
        <v>0</v>
      </c>
      <c r="Y17" s="10">
        <f>COUNTIFS('Base de datos'!$A:$A, $A17, 'Base de datos'!$B:$B, $B17, 'Base de datos'!$G:$G, $C17, 'Base de datos'!$S:$S, "&gt;=01/09/2026", 'Base de datos'!$S:$S, "&lt;=30/09/2026")</f>
        <v>0</v>
      </c>
      <c r="Z17" s="10">
        <f>COUNTIFS('Base de datos'!$A:$A, $A17, 'Base de datos'!$B:$B, $B17, 'Base de datos'!$G:$G, $C17, 'Base de datos'!$S:$S, "&gt;=01/10/2026", 'Base de datos'!$S:$S, "&lt;=31/10/2026")</f>
        <v>0</v>
      </c>
      <c r="AA17" s="10">
        <f>COUNTIFS('Base de datos'!$A:$A, $A17, 'Base de datos'!$B:$B, $B17, 'Base de datos'!$G:$G, $C17, 'Base de datos'!$S:$S, "&gt;=01/11/2026", 'Base de datos'!$S:$S, "&lt;=30/11/2026")</f>
        <v>0</v>
      </c>
      <c r="AB17" s="10">
        <f>COUNTIFS('Base de datos'!$A:$A, $A17, 'Base de datos'!$B:$B, $B17, 'Base de datos'!$G:$G, $C17, 'Base de datos'!$S:$S, "&gt;=01/12/2026", 'Base de datos'!$S:$S, "&lt;=31/12/2026")</f>
        <v>0</v>
      </c>
    </row>
    <row r="18" spans="1:28" ht="57">
      <c r="A18" s="3" t="s">
        <v>180</v>
      </c>
      <c r="B18" s="70" t="s">
        <v>181</v>
      </c>
      <c r="C18" s="3" t="s">
        <v>239</v>
      </c>
      <c r="D18" s="10">
        <f>COUNTIFS('Base de datos'!$B:$B, $B18, 'Base de datos'!$G:$G, $C18, 'Base de datos'!$D:$D, "&lt;&gt;")</f>
        <v>0</v>
      </c>
      <c r="E18" s="10">
        <f>COUNTIFS('Base de datos'!$B:$B, $B18, 'Base de datos'!$G:$G, $C18, 'Base de datos'!$F:$F, "&lt;&gt;")</f>
        <v>1</v>
      </c>
      <c r="F18" s="10">
        <f>COUNTIFS('Base de datos'!$B:$B, $B18, 'Base de datos'!$G:$G, $C18, 'Base de datos'!$L:$L, "Abierta")</f>
        <v>0</v>
      </c>
      <c r="G18" s="10">
        <f>COUNTIFS('Base de datos'!$B:$B, $B18, 'Base de datos'!$G:$G, $C18, 'Base de datos'!$L:$L, "Finalizada")</f>
        <v>1</v>
      </c>
      <c r="H18" s="10">
        <f>COUNTIFS('Base de datos'!$B:$B, $B18, 'Base de datos'!$G:$G, $C18, 'Base de datos'!$L:$L, "Vencida")</f>
        <v>0</v>
      </c>
      <c r="I18" s="10">
        <f>COUNTIFS('Base de datos'!$B:$B, $B18, 'Base de datos'!$G:$G, $C18, 'Base de datos'!$L:$L, "Sin plan de acción")</f>
        <v>0</v>
      </c>
      <c r="J18" s="10">
        <f>COUNTIFS('Base de datos'!$B:$B, $B18, 'Base de datos'!$G:$G, $C18, 'Base de datos'!$E:$E, "Alto")</f>
        <v>0</v>
      </c>
      <c r="K18" s="10">
        <f>COUNTIFS('Base de datos'!$B:$B, $B18, 'Base de datos'!$G:$G, $C18, 'Base de datos'!$E:$E, "Medio")</f>
        <v>0</v>
      </c>
      <c r="L18" s="10">
        <f>COUNTIFS('Base de datos'!$B:$B, $B18, 'Base de datos'!$G:$G, $C18, 'Base de datos'!$E:$E, "Bajo")</f>
        <v>0</v>
      </c>
      <c r="M18" s="10">
        <f ca="1">COUNTIFS('Base de datos'!$B:$B, $B18, 'Base de datos'!$G:$G, $C18, 'Base de datos'!$P:$P, "*10d*")</f>
        <v>0</v>
      </c>
      <c r="N18" s="10">
        <f ca="1">COUNTIFS('Base de datos'!$B:$B, $B18, 'Base de datos'!$G:$G, $C18, 'Base de datos'!$O:$O, "*20d*")</f>
        <v>0</v>
      </c>
      <c r="O18" s="29">
        <f ca="1">COUNTIFS('Base de datos'!$B:$B, $B18, 'Base de datos'!$G:$G, $C18, 'Base de datos'!$N:$N, "*30d*")</f>
        <v>0</v>
      </c>
      <c r="P18" s="52">
        <f ca="1">COUNTIFS('Base de datos'!$B:$B, $B18, 'Base de datos'!$G:$G, $C18, 'Base de datos'!$Q:$Q, "*5d*")</f>
        <v>0</v>
      </c>
      <c r="Q18" s="52">
        <f>COUNTIFS('Base de datos'!$A:$A, $A20, 'Base de datos'!$B:$B, $B20, 'Base de datos'!$G:$G, $C20, 'Base de datos'!$S:$S, "&gt;=01/01/2026", 'Base de datos'!$S:$S, "&lt;=31/01/2026")</f>
        <v>2</v>
      </c>
      <c r="R18" s="10">
        <f>COUNTIFS('Base de datos'!$A:$A, $A20, 'Base de datos'!$B:$B, $B20, 'Base de datos'!$G:$G, $C20, 'Base de datos'!$S:$S, "&gt;=01/02/2026", 'Base de datos'!$S:$S, "&lt;=28/02/2026")</f>
        <v>0</v>
      </c>
      <c r="S18" s="10">
        <f>COUNTIFS('Base de datos'!$A:$A, $A20, 'Base de datos'!$B:$B, $B20, 'Base de datos'!$G:$G, $C20, 'Base de datos'!$S:$S, "&gt;=01/03/2026", 'Base de datos'!$S:$S, "&lt;=31/03/2026")</f>
        <v>0</v>
      </c>
      <c r="T18" s="10">
        <f>COUNTIFS('Base de datos'!$A:$A, $A20, 'Base de datos'!$B:$B, $B20, 'Base de datos'!$G:$G, $C20, 'Base de datos'!$S:$S, "&gt;=01/04/2026", 'Base de datos'!$S:$S, "&lt;=30/04/2026")</f>
        <v>0</v>
      </c>
      <c r="U18" s="10">
        <f>COUNTIFS('Base de datos'!$A:$A, $A20, 'Base de datos'!$B:$B, $B20, 'Base de datos'!$G:$G, $C20, 'Base de datos'!$S:$S, "&gt;=01/05/2026", 'Base de datos'!$S:$S, "&lt;=31/05/2026")</f>
        <v>0</v>
      </c>
      <c r="V18" s="10">
        <f>COUNTIFS('Base de datos'!$A:$A, $A20, 'Base de datos'!$B:$B, $B20, 'Base de datos'!$G:$G, $C20, 'Base de datos'!$S:$S, "&gt;=01/06/2026", 'Base de datos'!$S:$S, "&lt;=30/06/2026")</f>
        <v>0</v>
      </c>
      <c r="W18" s="10">
        <f>COUNTIFS('Base de datos'!$A:$A, $A18, 'Base de datos'!$B:$B, $B18, 'Base de datos'!$G:$G, $C18, 'Base de datos'!$S:$S, "&gt;=01/07/2026", 'Base de datos'!$S:$S, "&lt;=31/07/2026")</f>
        <v>0</v>
      </c>
      <c r="X18" s="10">
        <f>COUNTIFS('Base de datos'!$A:$A, $A18, 'Base de datos'!$B:$B, $B18, 'Base de datos'!$G:$G, $C18, 'Base de datos'!$S:$S, "&gt;=01/08/2026", 'Base de datos'!$S:$S, "&lt;=31/08/2026")</f>
        <v>0</v>
      </c>
      <c r="Y18" s="10">
        <f>COUNTIFS('Base de datos'!$A:$A, $A18, 'Base de datos'!$B:$B, $B18, 'Base de datos'!$G:$G, $C18, 'Base de datos'!$S:$S, "&gt;=01/09/2026", 'Base de datos'!$S:$S, "&lt;=30/09/2026")</f>
        <v>0</v>
      </c>
      <c r="Z18" s="10">
        <f>COUNTIFS('Base de datos'!$A:$A, $A18, 'Base de datos'!$B:$B, $B18, 'Base de datos'!$G:$G, $C18, 'Base de datos'!$S:$S, "&gt;=01/10/2026", 'Base de datos'!$S:$S, "&lt;=31/10/2026")</f>
        <v>0</v>
      </c>
      <c r="AA18" s="10">
        <f>COUNTIFS('Base de datos'!$A:$A, $A18, 'Base de datos'!$B:$B, $B18, 'Base de datos'!$G:$G, $C18, 'Base de datos'!$S:$S, "&gt;=01/11/2026", 'Base de datos'!$S:$S, "&lt;=30/11/2026")</f>
        <v>0</v>
      </c>
      <c r="AB18" s="10">
        <f>COUNTIFS('Base de datos'!$A:$A, $A18, 'Base de datos'!$B:$B, $B18, 'Base de datos'!$G:$G, $C18, 'Base de datos'!$S:$S, "&gt;=01/12/2026", 'Base de datos'!$S:$S, "&lt;=31/12/2026")</f>
        <v>0</v>
      </c>
    </row>
    <row r="19" spans="1:28" ht="34.200000000000003">
      <c r="A19" s="3" t="s">
        <v>180</v>
      </c>
      <c r="B19" s="70" t="s">
        <v>181</v>
      </c>
      <c r="C19" s="3" t="s">
        <v>17</v>
      </c>
      <c r="D19" s="10">
        <f>COUNTIFS('Base de datos'!$B:$B, $B19, 'Base de datos'!$G:$G, $C19, 'Base de datos'!$D:$D, "&lt;&gt;")</f>
        <v>1</v>
      </c>
      <c r="E19" s="10">
        <f>COUNTIFS('Base de datos'!$B:$B, $B19, 'Base de datos'!$G:$G, $C19, 'Base de datos'!$F:$F, "&lt;&gt;")</f>
        <v>3</v>
      </c>
      <c r="F19" s="10">
        <f>COUNTIFS('Base de datos'!$B:$B, $B19, 'Base de datos'!$G:$G, $C19, 'Base de datos'!$L:$L, "Abierta")</f>
        <v>0</v>
      </c>
      <c r="G19" s="10">
        <f>COUNTIFS('Base de datos'!$B:$B, $B19, 'Base de datos'!$G:$G, $C19, 'Base de datos'!$L:$L, "Finalizada")</f>
        <v>3</v>
      </c>
      <c r="H19" s="10">
        <f>COUNTIFS('Base de datos'!$B:$B, $B19, 'Base de datos'!$G:$G, $C19, 'Base de datos'!$L:$L, "Vencida")</f>
        <v>0</v>
      </c>
      <c r="I19" s="10">
        <f>COUNTIFS('Base de datos'!$B:$B, $B19, 'Base de datos'!$G:$G, $C19, 'Base de datos'!$L:$L, "Sin plan de acción")</f>
        <v>0</v>
      </c>
      <c r="J19" s="10">
        <f>COUNTIFS('Base de datos'!$B:$B, $B19, 'Base de datos'!$G:$G, $C19, 'Base de datos'!$E:$E, "Alto")</f>
        <v>0</v>
      </c>
      <c r="K19" s="10">
        <f>COUNTIFS('Base de datos'!$B:$B, $B19, 'Base de datos'!$G:$G, $C19, 'Base de datos'!$E:$E, "Medio")</f>
        <v>1</v>
      </c>
      <c r="L19" s="10">
        <f>COUNTIFS('Base de datos'!$B:$B, $B19, 'Base de datos'!$G:$G, $C19, 'Base de datos'!$E:$E, "Bajo")</f>
        <v>0</v>
      </c>
      <c r="M19" s="10">
        <f ca="1">COUNTIFS('Base de datos'!$B:$B, $B19, 'Base de datos'!$G:$G, $C19, 'Base de datos'!$P:$P, "*10d*")</f>
        <v>0</v>
      </c>
      <c r="N19" s="10">
        <f ca="1">COUNTIFS('Base de datos'!$B:$B, $B19, 'Base de datos'!$G:$G, $C19, 'Base de datos'!$O:$O, "*20d*")</f>
        <v>0</v>
      </c>
      <c r="O19" s="29">
        <f ca="1">COUNTIFS('Base de datos'!$B:$B, $B19, 'Base de datos'!$G:$G, $C19, 'Base de datos'!$N:$N, "*30d*")</f>
        <v>0</v>
      </c>
      <c r="P19" s="52">
        <f ca="1">COUNTIFS('Base de datos'!$B:$B, $B19, 'Base de datos'!$G:$G, $C19, 'Base de datos'!$Q:$Q, "*5d*")</f>
        <v>0</v>
      </c>
      <c r="Q19" s="52">
        <f>COUNTIFS('Base de datos'!$A:$A, $A21, 'Base de datos'!$B:$B, $B21, 'Base de datos'!$G:$G, $C21, 'Base de datos'!$S:$S, "&gt;=01/01/2026", 'Base de datos'!$S:$S, "&lt;=31/01/2026")</f>
        <v>0</v>
      </c>
      <c r="R19" s="10">
        <f>COUNTIFS('Base de datos'!$A:$A, $A21, 'Base de datos'!$B:$B, $B21, 'Base de datos'!$G:$G, $C21, 'Base de datos'!$S:$S, "&gt;=01/02/2026", 'Base de datos'!$S:$S, "&lt;=28/02/2026")</f>
        <v>0</v>
      </c>
      <c r="S19" s="10">
        <f>COUNTIFS('Base de datos'!$A:$A, $A21, 'Base de datos'!$B:$B, $B21, 'Base de datos'!$G:$G, $C21, 'Base de datos'!$S:$S, "&gt;=01/03/2026", 'Base de datos'!$S:$S, "&lt;=31/03/2026")</f>
        <v>0</v>
      </c>
      <c r="T19" s="10">
        <f>COUNTIFS('Base de datos'!$A:$A, $A21, 'Base de datos'!$B:$B, $B21, 'Base de datos'!$G:$G, $C21, 'Base de datos'!$S:$S, "&gt;=01/04/2026", 'Base de datos'!$S:$S, "&lt;=30/04/2026")</f>
        <v>0</v>
      </c>
      <c r="U19" s="10">
        <f>COUNTIFS('Base de datos'!$A:$A, $A21, 'Base de datos'!$B:$B, $B21, 'Base de datos'!$G:$G, $C21, 'Base de datos'!$S:$S, "&gt;=01/05/2026", 'Base de datos'!$S:$S, "&lt;=31/05/2026")</f>
        <v>0</v>
      </c>
      <c r="V19" s="10">
        <f>COUNTIFS('Base de datos'!$A:$A, $A21, 'Base de datos'!$B:$B, $B21, 'Base de datos'!$G:$G, $C21, 'Base de datos'!$S:$S, "&gt;=01/06/2026", 'Base de datos'!$S:$S, "&lt;=30/06/2026")</f>
        <v>0</v>
      </c>
      <c r="W19" s="10">
        <f>COUNTIFS('Base de datos'!$A:$A, $A19, 'Base de datos'!$B:$B, $B19, 'Base de datos'!$G:$G, $C19, 'Base de datos'!$S:$S, "&gt;=01/07/2026", 'Base de datos'!$S:$S, "&lt;=31/07/2026")</f>
        <v>0</v>
      </c>
      <c r="X19" s="10">
        <f>COUNTIFS('Base de datos'!$A:$A, $A19, 'Base de datos'!$B:$B, $B19, 'Base de datos'!$G:$G, $C19, 'Base de datos'!$S:$S, "&gt;=01/08/2026", 'Base de datos'!$S:$S, "&lt;=31/08/2026")</f>
        <v>0</v>
      </c>
      <c r="Y19" s="10">
        <f>COUNTIFS('Base de datos'!$A:$A, $A19, 'Base de datos'!$B:$B, $B19, 'Base de datos'!$G:$G, $C19, 'Base de datos'!$S:$S, "&gt;=01/09/2026", 'Base de datos'!$S:$S, "&lt;=30/09/2026")</f>
        <v>0</v>
      </c>
      <c r="Z19" s="10">
        <f>COUNTIFS('Base de datos'!$A:$A, $A19, 'Base de datos'!$B:$B, $B19, 'Base de datos'!$G:$G, $C19, 'Base de datos'!$S:$S, "&gt;=01/10/2026", 'Base de datos'!$S:$S, "&lt;=31/10/2026")</f>
        <v>0</v>
      </c>
      <c r="AA19" s="10">
        <f>COUNTIFS('Base de datos'!$A:$A, $A19, 'Base de datos'!$B:$B, $B19, 'Base de datos'!$G:$G, $C19, 'Base de datos'!$S:$S, "&gt;=01/11/2026", 'Base de datos'!$S:$S, "&lt;=30/11/2026")</f>
        <v>0</v>
      </c>
      <c r="AB19" s="10">
        <f>COUNTIFS('Base de datos'!$A:$A, $A19, 'Base de datos'!$B:$B, $B19, 'Base de datos'!$G:$G, $C19, 'Base de datos'!$S:$S, "&gt;=01/12/2026", 'Base de datos'!$S:$S, "&lt;=31/12/2026")</f>
        <v>0</v>
      </c>
    </row>
    <row r="20" spans="1:28" ht="34.200000000000003">
      <c r="A20" s="3" t="s">
        <v>180</v>
      </c>
      <c r="B20" s="5" t="s">
        <v>251</v>
      </c>
      <c r="C20" s="6" t="s">
        <v>256</v>
      </c>
      <c r="D20" s="10">
        <f>COUNTIFS('Base de datos'!$B:$B, $B20, 'Base de datos'!$G:$G, $C20, 'Base de datos'!$D:$D, "&lt;&gt;")</f>
        <v>2</v>
      </c>
      <c r="E20" s="10">
        <f>COUNTIFS('Base de datos'!$B:$B, $B20, 'Base de datos'!$G:$G, $C20, 'Base de datos'!$F:$F, "&lt;&gt;")</f>
        <v>4</v>
      </c>
      <c r="F20" s="10">
        <f>COUNTIFS('Base de datos'!$B:$B, $B20, 'Base de datos'!$G:$G, $C20, 'Base de datos'!$L:$L, "Abierta")</f>
        <v>0</v>
      </c>
      <c r="G20" s="10">
        <f>COUNTIFS('Base de datos'!$B:$B, $B20, 'Base de datos'!$G:$G, $C20, 'Base de datos'!$L:$L, "Finalizada")</f>
        <v>4</v>
      </c>
      <c r="H20" s="10">
        <f>COUNTIFS('Base de datos'!$B:$B, $B20, 'Base de datos'!$G:$G, $C20, 'Base de datos'!$L:$L, "Vencida")</f>
        <v>0</v>
      </c>
      <c r="I20" s="10">
        <f>COUNTIFS('Base de datos'!$B:$B, $B20, 'Base de datos'!$G:$G, $C20, 'Base de datos'!$L:$L, "Sin plan de acción")</f>
        <v>0</v>
      </c>
      <c r="J20" s="10">
        <f>COUNTIFS('Base de datos'!$B:$B, $B20, 'Base de datos'!$G:$G, $C20, 'Base de datos'!$E:$E, "Alto")</f>
        <v>1</v>
      </c>
      <c r="K20" s="10">
        <f>COUNTIFS('Base de datos'!$B:$B, $B20, 'Base de datos'!$G:$G, $C20, 'Base de datos'!$E:$E, "Medio")</f>
        <v>0</v>
      </c>
      <c r="L20" s="10">
        <f>COUNTIFS('Base de datos'!$B:$B, $B20, 'Base de datos'!$G:$G, $C20, 'Base de datos'!$E:$E, "Bajo")</f>
        <v>1</v>
      </c>
      <c r="M20" s="10">
        <f ca="1">COUNTIFS('Base de datos'!$B:$B, $B20, 'Base de datos'!$G:$G, $C20, 'Base de datos'!$P:$P, "*10d*")</f>
        <v>0</v>
      </c>
      <c r="N20" s="10">
        <f ca="1">COUNTIFS('Base de datos'!$B:$B, $B20, 'Base de datos'!$G:$G, $C20, 'Base de datos'!$O:$O, "*20d*")</f>
        <v>0</v>
      </c>
      <c r="O20" s="29">
        <f ca="1">COUNTIFS('Base de datos'!$B:$B, $B20, 'Base de datos'!$G:$G, $C20, 'Base de datos'!$N:$N, "*30d*")</f>
        <v>0</v>
      </c>
      <c r="P20" s="52">
        <f ca="1">COUNTIFS('Base de datos'!$B:$B, $B20, 'Base de datos'!$G:$G, $C20, 'Base de datos'!$Q:$Q, "*5d*")</f>
        <v>0</v>
      </c>
      <c r="Q20" s="52">
        <f>COUNTIFS('Base de datos'!$A:$A, $A22, 'Base de datos'!$B:$B, $B22, 'Base de datos'!$G:$G, $C22, 'Base de datos'!$S:$S, "&gt;=01/01/2026", 'Base de datos'!$S:$S, "&lt;=31/01/2026")</f>
        <v>1</v>
      </c>
      <c r="R20" s="10">
        <f>COUNTIFS('Base de datos'!$A:$A, $A22, 'Base de datos'!$B:$B, $B22, 'Base de datos'!$G:$G, $C22, 'Base de datos'!$S:$S, "&gt;=01/02/2026", 'Base de datos'!$S:$S, "&lt;=28/02/2026")</f>
        <v>0</v>
      </c>
      <c r="S20" s="10">
        <f>COUNTIFS('Base de datos'!$A:$A, $A22, 'Base de datos'!$B:$B, $B22, 'Base de datos'!$G:$G, $C22, 'Base de datos'!$S:$S, "&gt;=01/03/2026", 'Base de datos'!$S:$S, "&lt;=31/03/2026")</f>
        <v>0</v>
      </c>
      <c r="T20" s="10">
        <f>COUNTIFS('Base de datos'!$A:$A, $A22, 'Base de datos'!$B:$B, $B22, 'Base de datos'!$G:$G, $C22, 'Base de datos'!$S:$S, "&gt;=01/04/2026", 'Base de datos'!$S:$S, "&lt;=30/04/2026")</f>
        <v>0</v>
      </c>
      <c r="U20" s="10">
        <f>COUNTIFS('Base de datos'!$A:$A, $A22, 'Base de datos'!$B:$B, $B22, 'Base de datos'!$G:$G, $C22, 'Base de datos'!$S:$S, "&gt;=01/05/2026", 'Base de datos'!$S:$S, "&lt;=31/05/2026")</f>
        <v>0</v>
      </c>
      <c r="V20" s="10">
        <f>COUNTIFS('Base de datos'!$A:$A, $A22, 'Base de datos'!$B:$B, $B22, 'Base de datos'!$G:$G, $C22, 'Base de datos'!$S:$S, "&gt;=01/06/2026", 'Base de datos'!$S:$S, "&lt;=30/06/2026")</f>
        <v>0</v>
      </c>
      <c r="W20" s="10">
        <f>COUNTIFS('Base de datos'!$A:$A, $A20, 'Base de datos'!$B:$B, $B20, 'Base de datos'!$G:$G, $C20, 'Base de datos'!$S:$S, "&gt;=01/07/2026", 'Base de datos'!$S:$S, "&lt;=31/07/2026")</f>
        <v>0</v>
      </c>
      <c r="X20" s="10">
        <f>COUNTIFS('Base de datos'!$A:$A, $A20, 'Base de datos'!$B:$B, $B20, 'Base de datos'!$G:$G, $C20, 'Base de datos'!$S:$S, "&gt;=01/08/2026", 'Base de datos'!$S:$S, "&lt;=31/08/2026")</f>
        <v>0</v>
      </c>
      <c r="Y20" s="10">
        <f>COUNTIFS('Base de datos'!$A:$A, $A20, 'Base de datos'!$B:$B, $B20, 'Base de datos'!$G:$G, $C20, 'Base de datos'!$S:$S, "&gt;=01/09/2026", 'Base de datos'!$S:$S, "&lt;=30/09/2026")</f>
        <v>0</v>
      </c>
      <c r="Z20" s="10">
        <f>COUNTIFS('Base de datos'!$A:$A, $A20, 'Base de datos'!$B:$B, $B20, 'Base de datos'!$G:$G, $C20, 'Base de datos'!$S:$S, "&gt;=01/10/2026", 'Base de datos'!$S:$S, "&lt;=31/10/2026")</f>
        <v>0</v>
      </c>
      <c r="AA20" s="10">
        <f>COUNTIFS('Base de datos'!$A:$A, $A20, 'Base de datos'!$B:$B, $B20, 'Base de datos'!$G:$G, $C20, 'Base de datos'!$S:$S, "&gt;=01/11/2026", 'Base de datos'!$S:$S, "&lt;=30/11/2026")</f>
        <v>0</v>
      </c>
      <c r="AB20" s="10">
        <f>COUNTIFS('Base de datos'!$A:$A, $A20, 'Base de datos'!$B:$B, $B20, 'Base de datos'!$G:$G, $C20, 'Base de datos'!$S:$S, "&gt;=01/12/2026", 'Base de datos'!$S:$S, "&lt;=31/12/2026")</f>
        <v>0</v>
      </c>
    </row>
    <row r="21" spans="1:28" ht="45.6">
      <c r="A21" s="3" t="s">
        <v>180</v>
      </c>
      <c r="B21" s="5" t="s">
        <v>251</v>
      </c>
      <c r="C21" s="6" t="s">
        <v>269</v>
      </c>
      <c r="D21" s="10">
        <f>COUNTIFS('Base de datos'!$B:$B, $B21, 'Base de datos'!$G:$G, $C21, 'Base de datos'!$D:$D, "&lt;&gt;")</f>
        <v>2</v>
      </c>
      <c r="E21" s="10">
        <f>COUNTIFS('Base de datos'!$B:$B, $B21, 'Base de datos'!$G:$G, $C21, 'Base de datos'!$F:$F, "&lt;&gt;")</f>
        <v>3</v>
      </c>
      <c r="F21" s="10">
        <f>COUNTIFS('Base de datos'!$B:$B, $B21, 'Base de datos'!$G:$G, $C21, 'Base de datos'!$L:$L, "Abierta")</f>
        <v>0</v>
      </c>
      <c r="G21" s="10">
        <f>COUNTIFS('Base de datos'!$B:$B, $B21, 'Base de datos'!$G:$G, $C21, 'Base de datos'!$L:$L, "Finalizada")</f>
        <v>3</v>
      </c>
      <c r="H21" s="10">
        <f>COUNTIFS('Base de datos'!$B:$B, $B21, 'Base de datos'!$G:$G, $C21, 'Base de datos'!$L:$L, "Vencida")</f>
        <v>0</v>
      </c>
      <c r="I21" s="10">
        <f>COUNTIFS('Base de datos'!$B:$B, $B21, 'Base de datos'!$G:$G, $C21, 'Base de datos'!$L:$L, "Sin plan de acción")</f>
        <v>0</v>
      </c>
      <c r="J21" s="10">
        <f>COUNTIFS('Base de datos'!$B:$B, $B21, 'Base de datos'!$G:$G, $C21, 'Base de datos'!$E:$E, "Alto")</f>
        <v>0</v>
      </c>
      <c r="K21" s="10">
        <f>COUNTIFS('Base de datos'!$B:$B, $B21, 'Base de datos'!$G:$G, $C21, 'Base de datos'!$E:$E, "Medio")</f>
        <v>1</v>
      </c>
      <c r="L21" s="10">
        <f>COUNTIFS('Base de datos'!$B:$B, $B21, 'Base de datos'!$G:$G, $C21, 'Base de datos'!$E:$E, "Bajo")</f>
        <v>1</v>
      </c>
      <c r="M21" s="10">
        <f ca="1">COUNTIFS('Base de datos'!$B:$B, $B21, 'Base de datos'!$G:$G, $C21, 'Base de datos'!$P:$P, "*10d*")</f>
        <v>0</v>
      </c>
      <c r="N21" s="10">
        <f ca="1">COUNTIFS('Base de datos'!$B:$B, $B21, 'Base de datos'!$G:$G, $C21, 'Base de datos'!$O:$O, "*20d*")</f>
        <v>0</v>
      </c>
      <c r="O21" s="29">
        <f ca="1">COUNTIFS('Base de datos'!$B:$B, $B21, 'Base de datos'!$G:$G, $C21, 'Base de datos'!$N:$N, "*30d*")</f>
        <v>0</v>
      </c>
      <c r="P21" s="52">
        <f ca="1">COUNTIFS('Base de datos'!$B:$B, $B21, 'Base de datos'!$G:$G, $C21, 'Base de datos'!$Q:$Q, "*5d*")</f>
        <v>0</v>
      </c>
      <c r="Q21" s="52">
        <f>COUNTIFS('Base de datos'!$A:$A, $A23, 'Base de datos'!$B:$B, $B23, 'Base de datos'!$G:$G, $C23, 'Base de datos'!$S:$S, "&gt;=01/01/2026", 'Base de datos'!$S:$S, "&lt;=31/01/2026")</f>
        <v>0</v>
      </c>
      <c r="R21" s="10">
        <f>COUNTIFS('Base de datos'!$A:$A, $A23, 'Base de datos'!$B:$B, $B23, 'Base de datos'!$G:$G, $C23, 'Base de datos'!$S:$S, "&gt;=01/02/2026", 'Base de datos'!$S:$S, "&lt;=28/02/2026")</f>
        <v>0</v>
      </c>
      <c r="S21" s="10">
        <f>COUNTIFS('Base de datos'!$A:$A, $A23, 'Base de datos'!$B:$B, $B23, 'Base de datos'!$G:$G, $C23, 'Base de datos'!$S:$S, "&gt;=01/03/2026", 'Base de datos'!$S:$S, "&lt;=31/03/2026")</f>
        <v>0</v>
      </c>
      <c r="T21" s="10">
        <f>COUNTIFS('Base de datos'!$A:$A, $A23, 'Base de datos'!$B:$B, $B23, 'Base de datos'!$G:$G, $C23, 'Base de datos'!$S:$S, "&gt;=01/04/2026", 'Base de datos'!$S:$S, "&lt;=30/04/2026")</f>
        <v>0</v>
      </c>
      <c r="U21" s="10">
        <f>COUNTIFS('Base de datos'!$A:$A, $A23, 'Base de datos'!$B:$B, $B23, 'Base de datos'!$G:$G, $C23, 'Base de datos'!$S:$S, "&gt;=01/05/2026", 'Base de datos'!$S:$S, "&lt;=31/05/2026")</f>
        <v>0</v>
      </c>
      <c r="V21" s="10">
        <f>COUNTIFS('Base de datos'!$A:$A, $A23, 'Base de datos'!$B:$B, $B23, 'Base de datos'!$G:$G, $C23, 'Base de datos'!$S:$S, "&gt;=01/06/2026", 'Base de datos'!$S:$S, "&lt;=30/06/2026")</f>
        <v>0</v>
      </c>
      <c r="W21" s="10">
        <f>COUNTIFS('Base de datos'!$A:$A, $A21, 'Base de datos'!$B:$B, $B21, 'Base de datos'!$G:$G, $C21, 'Base de datos'!$S:$S, "&gt;=01/07/2026", 'Base de datos'!$S:$S, "&lt;=31/07/2026")</f>
        <v>0</v>
      </c>
      <c r="X21" s="10">
        <f>COUNTIFS('Base de datos'!$A:$A, $A21, 'Base de datos'!$B:$B, $B21, 'Base de datos'!$G:$G, $C21, 'Base de datos'!$S:$S, "&gt;=01/08/2026", 'Base de datos'!$S:$S, "&lt;=31/08/2026")</f>
        <v>0</v>
      </c>
      <c r="Y21" s="10">
        <f>COUNTIFS('Base de datos'!$A:$A, $A21, 'Base de datos'!$B:$B, $B21, 'Base de datos'!$G:$G, $C21, 'Base de datos'!$S:$S, "&gt;=01/09/2026", 'Base de datos'!$S:$S, "&lt;=30/09/2026")</f>
        <v>0</v>
      </c>
      <c r="Z21" s="10">
        <f>COUNTIFS('Base de datos'!$A:$A, $A21, 'Base de datos'!$B:$B, $B21, 'Base de datos'!$G:$G, $C21, 'Base de datos'!$S:$S, "&gt;=01/10/2026", 'Base de datos'!$S:$S, "&lt;=31/10/2026")</f>
        <v>0</v>
      </c>
      <c r="AA21" s="10">
        <f>COUNTIFS('Base de datos'!$A:$A, $A21, 'Base de datos'!$B:$B, $B21, 'Base de datos'!$G:$G, $C21, 'Base de datos'!$S:$S, "&gt;=01/11/2026", 'Base de datos'!$S:$S, "&lt;=30/11/2026")</f>
        <v>0</v>
      </c>
      <c r="AB21" s="10">
        <f>COUNTIFS('Base de datos'!$A:$A, $A21, 'Base de datos'!$B:$B, $B21, 'Base de datos'!$G:$G, $C21, 'Base de datos'!$S:$S, "&gt;=01/12/2026", 'Base de datos'!$S:$S, "&lt;=31/12/2026")</f>
        <v>0</v>
      </c>
    </row>
    <row r="22" spans="1:28" ht="34.200000000000003">
      <c r="A22" s="3" t="s">
        <v>180</v>
      </c>
      <c r="B22" s="5" t="s">
        <v>251</v>
      </c>
      <c r="C22" s="6" t="s">
        <v>148</v>
      </c>
      <c r="D22" s="10">
        <f>COUNTIFS('Base de datos'!$B:$B, $B22, 'Base de datos'!$G:$G, $C22, 'Base de datos'!$D:$D, "&lt;&gt;")</f>
        <v>2</v>
      </c>
      <c r="E22" s="10">
        <f>COUNTIFS('Base de datos'!$B:$B, $B22, 'Base de datos'!$G:$G, $C22, 'Base de datos'!$F:$F, "&lt;&gt;")</f>
        <v>2</v>
      </c>
      <c r="F22" s="10">
        <f>COUNTIFS('Base de datos'!$B:$B, $B22, 'Base de datos'!$G:$G, $C22, 'Base de datos'!$L:$L, "Abierta")</f>
        <v>0</v>
      </c>
      <c r="G22" s="10">
        <f>COUNTIFS('Base de datos'!$B:$B, $B22, 'Base de datos'!$G:$G, $C22, 'Base de datos'!$L:$L, "Finalizada")</f>
        <v>2</v>
      </c>
      <c r="H22" s="10">
        <f>COUNTIFS('Base de datos'!$B:$B, $B22, 'Base de datos'!$G:$G, $C22, 'Base de datos'!$L:$L, "Vencida")</f>
        <v>0</v>
      </c>
      <c r="I22" s="10">
        <f>COUNTIFS('Base de datos'!$B:$B, $B22, 'Base de datos'!$G:$G, $C22, 'Base de datos'!$L:$L, "Sin plan de acción")</f>
        <v>0</v>
      </c>
      <c r="J22" s="10">
        <f>COUNTIFS('Base de datos'!$B:$B, $B22, 'Base de datos'!$G:$G, $C22, 'Base de datos'!$E:$E, "Alto")</f>
        <v>0</v>
      </c>
      <c r="K22" s="10">
        <f>COUNTIFS('Base de datos'!$B:$B, $B22, 'Base de datos'!$G:$G, $C22, 'Base de datos'!$E:$E, "Medio")</f>
        <v>1</v>
      </c>
      <c r="L22" s="10">
        <f>COUNTIFS('Base de datos'!$B:$B, $B22, 'Base de datos'!$G:$G, $C22, 'Base de datos'!$E:$E, "Bajo")</f>
        <v>1</v>
      </c>
      <c r="M22" s="10">
        <f ca="1">COUNTIFS('Base de datos'!$B:$B, $B22, 'Base de datos'!$G:$G, $C22, 'Base de datos'!$P:$P, "*10d*")</f>
        <v>0</v>
      </c>
      <c r="N22" s="10">
        <f ca="1">COUNTIFS('Base de datos'!$B:$B, $B22, 'Base de datos'!$G:$G, $C22, 'Base de datos'!$O:$O, "*20d*")</f>
        <v>0</v>
      </c>
      <c r="O22" s="29">
        <f ca="1">COUNTIFS('Base de datos'!$B:$B, $B22, 'Base de datos'!$G:$G, $C22, 'Base de datos'!$N:$N, "*30d*")</f>
        <v>0</v>
      </c>
      <c r="P22" s="52">
        <f ca="1">COUNTIFS('Base de datos'!$B:$B, $B22, 'Base de datos'!$G:$G, $C22, 'Base de datos'!$Q:$Q, "*5d*")</f>
        <v>0</v>
      </c>
      <c r="Q22" s="52">
        <f>COUNTIFS('Base de datos'!$A:$A, $A24, 'Base de datos'!$B:$B, $B24, 'Base de datos'!$G:$G, $C24, 'Base de datos'!$S:$S, "&gt;=01/01/2026", 'Base de datos'!$S:$S, "&lt;=31/01/2026")</f>
        <v>1</v>
      </c>
      <c r="R22" s="10">
        <f>COUNTIFS('Base de datos'!$A:$A, $A24, 'Base de datos'!$B:$B, $B24, 'Base de datos'!$G:$G, $C24, 'Base de datos'!$S:$S, "&gt;=01/02/2026", 'Base de datos'!$S:$S, "&lt;=28/02/2026")</f>
        <v>0</v>
      </c>
      <c r="S22" s="10">
        <f>COUNTIFS('Base de datos'!$A:$A, $A24, 'Base de datos'!$B:$B, $B24, 'Base de datos'!$G:$G, $C24, 'Base de datos'!$S:$S, "&gt;=01/03/2026", 'Base de datos'!$S:$S, "&lt;=31/03/2026")</f>
        <v>0</v>
      </c>
      <c r="T22" s="10">
        <f>COUNTIFS('Base de datos'!$A:$A, $A24, 'Base de datos'!$B:$B, $B24, 'Base de datos'!$G:$G, $C24, 'Base de datos'!$S:$S, "&gt;=01/04/2026", 'Base de datos'!$S:$S, "&lt;=30/04/2026")</f>
        <v>0</v>
      </c>
      <c r="U22" s="10">
        <f>COUNTIFS('Base de datos'!$A:$A, $A24, 'Base de datos'!$B:$B, $B24, 'Base de datos'!$G:$G, $C24, 'Base de datos'!$S:$S, "&gt;=01/05/2026", 'Base de datos'!$S:$S, "&lt;=31/05/2026")</f>
        <v>0</v>
      </c>
      <c r="V22" s="10">
        <f>COUNTIFS('Base de datos'!$A:$A, $A24, 'Base de datos'!$B:$B, $B24, 'Base de datos'!$G:$G, $C24, 'Base de datos'!$S:$S, "&gt;=01/06/2026", 'Base de datos'!$S:$S, "&lt;=30/06/2026")</f>
        <v>0</v>
      </c>
      <c r="W22" s="10">
        <f>COUNTIFS('Base de datos'!$A:$A, $A22, 'Base de datos'!$B:$B, $B22, 'Base de datos'!$G:$G, $C22, 'Base de datos'!$S:$S, "&gt;=01/07/2026", 'Base de datos'!$S:$S, "&lt;=31/07/2026")</f>
        <v>0</v>
      </c>
      <c r="X22" s="10">
        <f>COUNTIFS('Base de datos'!$A:$A, $A22, 'Base de datos'!$B:$B, $B22, 'Base de datos'!$G:$G, $C22, 'Base de datos'!$S:$S, "&gt;=01/08/2026", 'Base de datos'!$S:$S, "&lt;=31/08/2026")</f>
        <v>0</v>
      </c>
      <c r="Y22" s="10">
        <f>COUNTIFS('Base de datos'!$A:$A, $A22, 'Base de datos'!$B:$B, $B22, 'Base de datos'!$G:$G, $C22, 'Base de datos'!$S:$S, "&gt;=01/09/2026", 'Base de datos'!$S:$S, "&lt;=30/09/2026")</f>
        <v>0</v>
      </c>
      <c r="Z22" s="10">
        <f>COUNTIFS('Base de datos'!$A:$A, $A22, 'Base de datos'!$B:$B, $B22, 'Base de datos'!$G:$G, $C22, 'Base de datos'!$S:$S, "&gt;=01/10/2026", 'Base de datos'!$S:$S, "&lt;=31/10/2026")</f>
        <v>0</v>
      </c>
      <c r="AA22" s="10">
        <f>COUNTIFS('Base de datos'!$A:$A, $A22, 'Base de datos'!$B:$B, $B22, 'Base de datos'!$G:$G, $C22, 'Base de datos'!$S:$S, "&gt;=01/11/2026", 'Base de datos'!$S:$S, "&lt;=30/11/2026")</f>
        <v>0</v>
      </c>
      <c r="AB22" s="10">
        <f>COUNTIFS('Base de datos'!$A:$A, $A22, 'Base de datos'!$B:$B, $B22, 'Base de datos'!$G:$G, $C22, 'Base de datos'!$S:$S, "&gt;=01/12/2026", 'Base de datos'!$S:$S, "&lt;=31/12/2026")</f>
        <v>0</v>
      </c>
    </row>
    <row r="23" spans="1:28" ht="68.400000000000006">
      <c r="A23" s="3" t="s">
        <v>180</v>
      </c>
      <c r="B23" s="5" t="s">
        <v>251</v>
      </c>
      <c r="C23" s="3" t="s">
        <v>627</v>
      </c>
      <c r="D23" s="10">
        <f>COUNTIFS('Base de datos'!$B:$B, $B23, 'Base de datos'!$G:$G, $C23, 'Base de datos'!$D:$D, "&lt;&gt;")</f>
        <v>0</v>
      </c>
      <c r="E23" s="10">
        <f>COUNTIFS('Base de datos'!$B:$B, $B23, 'Base de datos'!$G:$G, $C23, 'Base de datos'!$F:$F, "&lt;&gt;")</f>
        <v>0</v>
      </c>
      <c r="F23" s="10">
        <f>COUNTIFS('Base de datos'!$B:$B, $B23, 'Base de datos'!$G:$G, $C23, 'Base de datos'!$L:$L, "Abierta")</f>
        <v>0</v>
      </c>
      <c r="G23" s="10">
        <f>COUNTIFS('Base de datos'!$B:$B, $B23, 'Base de datos'!$G:$G, $C23, 'Base de datos'!$L:$L, "Finalizada")</f>
        <v>0</v>
      </c>
      <c r="H23" s="10">
        <f>COUNTIFS('Base de datos'!$B:$B, $B23, 'Base de datos'!$G:$G, $C23, 'Base de datos'!$L:$L, "Vencida")</f>
        <v>0</v>
      </c>
      <c r="I23" s="10">
        <f>COUNTIFS('Base de datos'!$B:$B, $B23, 'Base de datos'!$G:$G, $C23, 'Base de datos'!$L:$L, "Sin plan de acción")</f>
        <v>0</v>
      </c>
      <c r="J23" s="10">
        <f>COUNTIFS('Base de datos'!$B:$B, $B23, 'Base de datos'!$G:$G, $C23, 'Base de datos'!$E:$E, "Alto")</f>
        <v>0</v>
      </c>
      <c r="K23" s="10">
        <f>COUNTIFS('Base de datos'!$B:$B, $B23, 'Base de datos'!$G:$G, $C23, 'Base de datos'!$E:$E, "Medio")</f>
        <v>0</v>
      </c>
      <c r="L23" s="10">
        <f>COUNTIFS('Base de datos'!$B:$B, $B23, 'Base de datos'!$G:$G, $C23, 'Base de datos'!$E:$E, "Bajo")</f>
        <v>0</v>
      </c>
      <c r="M23" s="10">
        <f>COUNTIFS('Base de datos'!$B:$B, $B23, 'Base de datos'!$G:$G, $C23, 'Base de datos'!$P:$P, "*10d*")</f>
        <v>0</v>
      </c>
      <c r="N23" s="10">
        <f>COUNTIFS('Base de datos'!$B:$B, $B23, 'Base de datos'!$G:$G, $C23, 'Base de datos'!$O:$O, "*20d*")</f>
        <v>0</v>
      </c>
      <c r="O23" s="29">
        <f>COUNTIFS('Base de datos'!$B:$B, $B23, 'Base de datos'!$G:$G, $C23, 'Base de datos'!$N:$N, "*30d*")</f>
        <v>0</v>
      </c>
      <c r="P23" s="52">
        <f>COUNTIFS('Base de datos'!$B:$B, $B23, 'Base de datos'!$G:$G, $C23, 'Base de datos'!$Q:$Q, "*5d*")</f>
        <v>0</v>
      </c>
      <c r="Q23" s="52">
        <f>COUNTIFS('Base de datos'!$A:$A, $A25, 'Base de datos'!$B:$B, $B25, 'Base de datos'!$G:$G, $C25, 'Base de datos'!$S:$S, "&gt;=01/01/2026", 'Base de datos'!$S:$S, "&lt;=31/01/2026")</f>
        <v>2</v>
      </c>
      <c r="R23" s="10">
        <f>COUNTIFS('Base de datos'!$A:$A, $A25, 'Base de datos'!$B:$B, $B25, 'Base de datos'!$G:$G, $C25, 'Base de datos'!$S:$S, "&gt;=01/02/2026", 'Base de datos'!$S:$S, "&lt;=28/02/2026")</f>
        <v>0</v>
      </c>
      <c r="S23" s="10">
        <f>COUNTIFS('Base de datos'!$A:$A, $A25, 'Base de datos'!$B:$B, $B25, 'Base de datos'!$G:$G, $C25, 'Base de datos'!$S:$S, "&gt;=01/03/2026", 'Base de datos'!$S:$S, "&lt;=31/03/2026")</f>
        <v>0</v>
      </c>
      <c r="T23" s="10">
        <f>COUNTIFS('Base de datos'!$A:$A, $A25, 'Base de datos'!$B:$B, $B25, 'Base de datos'!$G:$G, $C25, 'Base de datos'!$S:$S, "&gt;=01/04/2026", 'Base de datos'!$S:$S, "&lt;=30/04/2026")</f>
        <v>0</v>
      </c>
      <c r="U23" s="10">
        <f>COUNTIFS('Base de datos'!$A:$A, $A25, 'Base de datos'!$B:$B, $B25, 'Base de datos'!$G:$G, $C25, 'Base de datos'!$S:$S, "&gt;=01/05/2026", 'Base de datos'!$S:$S, "&lt;=31/05/2026")</f>
        <v>0</v>
      </c>
      <c r="V23" s="10">
        <f>COUNTIFS('Base de datos'!$A:$A, $A25, 'Base de datos'!$B:$B, $B25, 'Base de datos'!$G:$G, $C25, 'Base de datos'!$S:$S, "&gt;=01/06/2026", 'Base de datos'!$S:$S, "&lt;=30/06/2026")</f>
        <v>0</v>
      </c>
      <c r="W23" s="10">
        <f>COUNTIFS('Base de datos'!$A:$A, $A23, 'Base de datos'!$B:$B, $B23, 'Base de datos'!$G:$G, $C23, 'Base de datos'!$S:$S, "&gt;=01/07/2026", 'Base de datos'!$S:$S, "&lt;=31/07/2026")</f>
        <v>0</v>
      </c>
      <c r="X23" s="10">
        <f>COUNTIFS('Base de datos'!$A:$A, $A23, 'Base de datos'!$B:$B, $B23, 'Base de datos'!$G:$G, $C23, 'Base de datos'!$S:$S, "&gt;=01/08/2026", 'Base de datos'!$S:$S, "&lt;=31/08/2026")</f>
        <v>0</v>
      </c>
      <c r="Y23" s="10">
        <f>COUNTIFS('Base de datos'!$A:$A, $A23, 'Base de datos'!$B:$B, $B23, 'Base de datos'!$G:$G, $C23, 'Base de datos'!$S:$S, "&gt;=01/09/2026", 'Base de datos'!$S:$S, "&lt;=30/09/2026")</f>
        <v>0</v>
      </c>
      <c r="Z23" s="10">
        <f>COUNTIFS('Base de datos'!$A:$A, $A23, 'Base de datos'!$B:$B, $B23, 'Base de datos'!$G:$G, $C23, 'Base de datos'!$S:$S, "&gt;=01/10/2026", 'Base de datos'!$S:$S, "&lt;=31/10/2026")</f>
        <v>0</v>
      </c>
      <c r="AA23" s="10">
        <f>COUNTIFS('Base de datos'!$A:$A, $A23, 'Base de datos'!$B:$B, $B23, 'Base de datos'!$G:$G, $C23, 'Base de datos'!$S:$S, "&gt;=01/11/2026", 'Base de datos'!$S:$S, "&lt;=30/11/2026")</f>
        <v>0</v>
      </c>
      <c r="AB23" s="10">
        <f>COUNTIFS('Base de datos'!$A:$A, $A23, 'Base de datos'!$B:$B, $B23, 'Base de datos'!$G:$G, $C23, 'Base de datos'!$S:$S, "&gt;=01/12/2026", 'Base de datos'!$S:$S, "&lt;=31/12/2026")</f>
        <v>0</v>
      </c>
    </row>
    <row r="24" spans="1:28" ht="79.8">
      <c r="A24" s="3" t="s">
        <v>180</v>
      </c>
      <c r="B24" s="5" t="s">
        <v>251</v>
      </c>
      <c r="C24" s="6" t="s">
        <v>502</v>
      </c>
      <c r="D24" s="10">
        <f>COUNTIFS('Base de datos'!$B:$B, $B24, 'Base de datos'!$G:$G, $C24, 'Base de datos'!$D:$D, "&lt;&gt;")</f>
        <v>1</v>
      </c>
      <c r="E24" s="10">
        <f>COUNTIFS('Base de datos'!$B:$B, $B24, 'Base de datos'!$G:$G, $C24, 'Base de datos'!$F:$F, "&lt;&gt;")</f>
        <v>1</v>
      </c>
      <c r="F24" s="10">
        <f>COUNTIFS('Base de datos'!$B:$B, $B24, 'Base de datos'!$G:$G, $C24, 'Base de datos'!$L:$L, "Abierta")</f>
        <v>0</v>
      </c>
      <c r="G24" s="10">
        <f>COUNTIFS('Base de datos'!$B:$B, $B24, 'Base de datos'!$G:$G, $C24, 'Base de datos'!$L:$L, "Finalizada")</f>
        <v>1</v>
      </c>
      <c r="H24" s="10">
        <f>COUNTIFS('Base de datos'!$B:$B, $B24, 'Base de datos'!$G:$G, $C24, 'Base de datos'!$L:$L, "Vencida")</f>
        <v>0</v>
      </c>
      <c r="I24" s="10">
        <f>COUNTIFS('Base de datos'!$B:$B, $B24, 'Base de datos'!$G:$G, $C24, 'Base de datos'!$L:$L, "Sin plan de acción")</f>
        <v>0</v>
      </c>
      <c r="J24" s="10">
        <f>COUNTIFS('Base de datos'!$B:$B, $B24, 'Base de datos'!$G:$G, $C24, 'Base de datos'!$E:$E, "Alto")</f>
        <v>0</v>
      </c>
      <c r="K24" s="10">
        <f>COUNTIFS('Base de datos'!$B:$B, $B24, 'Base de datos'!$G:$G, $C24, 'Base de datos'!$E:$E, "Medio")</f>
        <v>0</v>
      </c>
      <c r="L24" s="10">
        <f>COUNTIFS('Base de datos'!$B:$B, $B24, 'Base de datos'!$G:$G, $C24, 'Base de datos'!$E:$E, "Bajo")</f>
        <v>1</v>
      </c>
      <c r="M24" s="10">
        <f ca="1">COUNTIFS('Base de datos'!$B:$B, $B24, 'Base de datos'!$G:$G, $C24, 'Base de datos'!$P:$P, "*10d*")</f>
        <v>0</v>
      </c>
      <c r="N24" s="10">
        <f ca="1">COUNTIFS('Base de datos'!$B:$B, $B24, 'Base de datos'!$G:$G, $C24, 'Base de datos'!$O:$O, "*20d*")</f>
        <v>0</v>
      </c>
      <c r="O24" s="29">
        <f ca="1">COUNTIFS('Base de datos'!$B:$B, $B24, 'Base de datos'!$G:$G, $C24, 'Base de datos'!$N:$N, "*30d*")</f>
        <v>0</v>
      </c>
      <c r="P24" s="52">
        <f ca="1">COUNTIFS('Base de datos'!$B:$B, $B24, 'Base de datos'!$G:$G, $C24, 'Base de datos'!$Q:$Q, "*5d*")</f>
        <v>0</v>
      </c>
      <c r="Q24" s="52">
        <f>COUNTIFS('Base de datos'!$A:$A, $A26, 'Base de datos'!$B:$B, $B26, 'Base de datos'!$G:$G, $C26, 'Base de datos'!$S:$S, "&gt;=01/01/2026", 'Base de datos'!$S:$S, "&lt;=31/01/2026")</f>
        <v>0</v>
      </c>
      <c r="R24" s="10">
        <f>COUNTIFS('Base de datos'!$A:$A, $A26, 'Base de datos'!$B:$B, $B26, 'Base de datos'!$G:$G, $C26, 'Base de datos'!$S:$S, "&gt;=01/02/2026", 'Base de datos'!$S:$S, "&lt;=28/02/2026")</f>
        <v>0</v>
      </c>
      <c r="S24" s="10">
        <f>COUNTIFS('Base de datos'!$A:$A, $A26, 'Base de datos'!$B:$B, $B26, 'Base de datos'!$G:$G, $C26, 'Base de datos'!$S:$S, "&gt;=01/03/2026", 'Base de datos'!$S:$S, "&lt;=31/03/2026")</f>
        <v>0</v>
      </c>
      <c r="T24" s="10">
        <f>COUNTIFS('Base de datos'!$A:$A, $A26, 'Base de datos'!$B:$B, $B26, 'Base de datos'!$G:$G, $C26, 'Base de datos'!$S:$S, "&gt;=01/04/2026", 'Base de datos'!$S:$S, "&lt;=30/04/2026")</f>
        <v>0</v>
      </c>
      <c r="U24" s="10">
        <f>COUNTIFS('Base de datos'!$A:$A, $A26, 'Base de datos'!$B:$B, $B26, 'Base de datos'!$G:$G, $C26, 'Base de datos'!$S:$S, "&gt;=01/05/2026", 'Base de datos'!$S:$S, "&lt;=31/05/2026")</f>
        <v>0</v>
      </c>
      <c r="V24" s="10">
        <f>COUNTIFS('Base de datos'!$A:$A, $A26, 'Base de datos'!$B:$B, $B26, 'Base de datos'!$G:$G, $C26, 'Base de datos'!$S:$S, "&gt;=01/06/2026", 'Base de datos'!$S:$S, "&lt;=30/06/2026")</f>
        <v>0</v>
      </c>
      <c r="W24" s="10">
        <f>COUNTIFS('Base de datos'!$A:$A, $A24, 'Base de datos'!$B:$B, $B24, 'Base de datos'!$G:$G, $C24, 'Base de datos'!$S:$S, "&gt;=01/07/2026", 'Base de datos'!$S:$S, "&lt;=31/07/2026")</f>
        <v>0</v>
      </c>
      <c r="X24" s="10">
        <f>COUNTIFS('Base de datos'!$A:$A, $A24, 'Base de datos'!$B:$B, $B24, 'Base de datos'!$G:$G, $C24, 'Base de datos'!$S:$S, "&gt;=01/08/2026", 'Base de datos'!$S:$S, "&lt;=31/08/2026")</f>
        <v>0</v>
      </c>
      <c r="Y24" s="10">
        <f>COUNTIFS('Base de datos'!$A:$A, $A24, 'Base de datos'!$B:$B, $B24, 'Base de datos'!$G:$G, $C24, 'Base de datos'!$S:$S, "&gt;=01/09/2026", 'Base de datos'!$S:$S, "&lt;=30/09/2026")</f>
        <v>0</v>
      </c>
      <c r="Z24" s="10">
        <f>COUNTIFS('Base de datos'!$A:$A, $A24, 'Base de datos'!$B:$B, $B24, 'Base de datos'!$G:$G, $C24, 'Base de datos'!$S:$S, "&gt;=01/10/2026", 'Base de datos'!$S:$S, "&lt;=31/10/2026")</f>
        <v>0</v>
      </c>
      <c r="AA24" s="10">
        <f>COUNTIFS('Base de datos'!$A:$A, $A24, 'Base de datos'!$B:$B, $B24, 'Base de datos'!$G:$G, $C24, 'Base de datos'!$S:$S, "&gt;=01/11/2026", 'Base de datos'!$S:$S, "&lt;=30/11/2026")</f>
        <v>0</v>
      </c>
      <c r="AB24" s="10">
        <f>COUNTIFS('Base de datos'!$A:$A, $A24, 'Base de datos'!$B:$B, $B24, 'Base de datos'!$G:$G, $C24, 'Base de datos'!$S:$S, "&gt;=01/12/2026", 'Base de datos'!$S:$S, "&lt;=31/12/2026")</f>
        <v>0</v>
      </c>
    </row>
    <row r="25" spans="1:28" ht="79.8">
      <c r="A25" s="3" t="s">
        <v>180</v>
      </c>
      <c r="B25" s="5" t="s">
        <v>251</v>
      </c>
      <c r="C25" s="6" t="s">
        <v>275</v>
      </c>
      <c r="D25" s="10">
        <f>COUNTIFS('Base de datos'!$B:$B, $B25, 'Base de datos'!$G:$G, $C25, 'Base de datos'!$D:$D, "&lt;&gt;")</f>
        <v>2</v>
      </c>
      <c r="E25" s="10">
        <f>COUNTIFS('Base de datos'!$B:$B, $B25, 'Base de datos'!$G:$G, $C25, 'Base de datos'!$F:$F, "&lt;&gt;")</f>
        <v>2</v>
      </c>
      <c r="F25" s="10">
        <f>COUNTIFS('Base de datos'!$B:$B, $B25, 'Base de datos'!$G:$G, $C25, 'Base de datos'!$L:$L, "Abierta")</f>
        <v>0</v>
      </c>
      <c r="G25" s="10">
        <f>COUNTIFS('Base de datos'!$B:$B, $B25, 'Base de datos'!$G:$G, $C25, 'Base de datos'!$L:$L, "Finalizada")</f>
        <v>2</v>
      </c>
      <c r="H25" s="10">
        <f>COUNTIFS('Base de datos'!$B:$B, $B25, 'Base de datos'!$G:$G, $C25, 'Base de datos'!$L:$L, "Vencida")</f>
        <v>0</v>
      </c>
      <c r="I25" s="10">
        <f>COUNTIFS('Base de datos'!$B:$B, $B25, 'Base de datos'!$G:$G, $C25, 'Base de datos'!$L:$L, "Sin plan de acción")</f>
        <v>0</v>
      </c>
      <c r="J25" s="10">
        <f>COUNTIFS('Base de datos'!$B:$B, $B25, 'Base de datos'!$G:$G, $C25, 'Base de datos'!$E:$E, "Alto")</f>
        <v>0</v>
      </c>
      <c r="K25" s="10">
        <f>COUNTIFS('Base de datos'!$B:$B, $B25, 'Base de datos'!$G:$G, $C25, 'Base de datos'!$E:$E, "Medio")</f>
        <v>1</v>
      </c>
      <c r="L25" s="10">
        <f>COUNTIFS('Base de datos'!$B:$B, $B25, 'Base de datos'!$G:$G, $C25, 'Base de datos'!$E:$E, "Bajo")</f>
        <v>1</v>
      </c>
      <c r="M25" s="10">
        <f ca="1">COUNTIFS('Base de datos'!$B:$B, $B25, 'Base de datos'!$G:$G, $C25, 'Base de datos'!$P:$P, "*10d*")</f>
        <v>0</v>
      </c>
      <c r="N25" s="10">
        <f ca="1">COUNTIFS('Base de datos'!$B:$B, $B25, 'Base de datos'!$G:$G, $C25, 'Base de datos'!$O:$O, "*20d*")</f>
        <v>0</v>
      </c>
      <c r="O25" s="29">
        <f ca="1">COUNTIFS('Base de datos'!$B:$B, $B25, 'Base de datos'!$G:$G, $C25, 'Base de datos'!$N:$N, "*30d*")</f>
        <v>0</v>
      </c>
      <c r="P25" s="52">
        <f ca="1">COUNTIFS('Base de datos'!$B:$B, $B25, 'Base de datos'!$G:$G, $C25, 'Base de datos'!$Q:$Q, "*5d*")</f>
        <v>0</v>
      </c>
      <c r="Q25" s="52">
        <f>COUNTIFS('Base de datos'!$A:$A, $A27, 'Base de datos'!$B:$B, $B27, 'Base de datos'!$G:$G, $C27, 'Base de datos'!$S:$S, "&gt;=01/01/2026", 'Base de datos'!$S:$S, "&lt;=31/01/2026")</f>
        <v>0</v>
      </c>
      <c r="R25" s="10">
        <f>COUNTIFS('Base de datos'!$A:$A, $A27, 'Base de datos'!$B:$B, $B27, 'Base de datos'!$G:$G, $C27, 'Base de datos'!$S:$S, "&gt;=01/02/2026", 'Base de datos'!$S:$S, "&lt;=28/02/2026")</f>
        <v>0</v>
      </c>
      <c r="S25" s="10">
        <f>COUNTIFS('Base de datos'!$A:$A, $A27, 'Base de datos'!$B:$B, $B27, 'Base de datos'!$G:$G, $C27, 'Base de datos'!$S:$S, "&gt;=01/03/2026", 'Base de datos'!$S:$S, "&lt;=31/03/2026")</f>
        <v>0</v>
      </c>
      <c r="T25" s="10">
        <f>COUNTIFS('Base de datos'!$A:$A, $A27, 'Base de datos'!$B:$B, $B27, 'Base de datos'!$G:$G, $C27, 'Base de datos'!$S:$S, "&gt;=01/04/2026", 'Base de datos'!$S:$S, "&lt;=30/04/2026")</f>
        <v>1</v>
      </c>
      <c r="U25" s="10">
        <f>COUNTIFS('Base de datos'!$A:$A, $A27, 'Base de datos'!$B:$B, $B27, 'Base de datos'!$G:$G, $C27, 'Base de datos'!$S:$S, "&gt;=01/05/2026", 'Base de datos'!$S:$S, "&lt;=31/05/2026")</f>
        <v>0</v>
      </c>
      <c r="V25" s="10">
        <f>COUNTIFS('Base de datos'!$A:$A, $A27, 'Base de datos'!$B:$B, $B27, 'Base de datos'!$G:$G, $C27, 'Base de datos'!$S:$S, "&gt;=01/06/2026", 'Base de datos'!$S:$S, "&lt;=30/06/2026")</f>
        <v>0</v>
      </c>
      <c r="W25" s="10">
        <f>COUNTIFS('Base de datos'!$A:$A, $A25, 'Base de datos'!$B:$B, $B25, 'Base de datos'!$G:$G, $C25, 'Base de datos'!$S:$S, "&gt;=01/07/2026", 'Base de datos'!$S:$S, "&lt;=31/07/2026")</f>
        <v>0</v>
      </c>
      <c r="X25" s="10">
        <f>COUNTIFS('Base de datos'!$A:$A, $A25, 'Base de datos'!$B:$B, $B25, 'Base de datos'!$G:$G, $C25, 'Base de datos'!$S:$S, "&gt;=01/08/2026", 'Base de datos'!$S:$S, "&lt;=31/08/2026")</f>
        <v>0</v>
      </c>
      <c r="Y25" s="10">
        <f>COUNTIFS('Base de datos'!$A:$A, $A25, 'Base de datos'!$B:$B, $B25, 'Base de datos'!$G:$G, $C25, 'Base de datos'!$S:$S, "&gt;=01/09/2026", 'Base de datos'!$S:$S, "&lt;=30/09/2026")</f>
        <v>0</v>
      </c>
      <c r="Z25" s="10">
        <f>COUNTIFS('Base de datos'!$A:$A, $A25, 'Base de datos'!$B:$B, $B25, 'Base de datos'!$G:$G, $C25, 'Base de datos'!$S:$S, "&gt;=01/10/2026", 'Base de datos'!$S:$S, "&lt;=31/10/2026")</f>
        <v>0</v>
      </c>
      <c r="AA25" s="10">
        <f>COUNTIFS('Base de datos'!$A:$A, $A25, 'Base de datos'!$B:$B, $B25, 'Base de datos'!$G:$G, $C25, 'Base de datos'!$S:$S, "&gt;=01/11/2026", 'Base de datos'!$S:$S, "&lt;=30/11/2026")</f>
        <v>0</v>
      </c>
      <c r="AB25" s="10">
        <f>COUNTIFS('Base de datos'!$A:$A, $A25, 'Base de datos'!$B:$B, $B25, 'Base de datos'!$G:$G, $C25, 'Base de datos'!$S:$S, "&gt;=01/12/2026", 'Base de datos'!$S:$S, "&lt;=31/12/2026")</f>
        <v>0</v>
      </c>
    </row>
    <row r="26" spans="1:28" ht="48">
      <c r="A26" s="3" t="s">
        <v>180</v>
      </c>
      <c r="B26" s="5" t="s">
        <v>306</v>
      </c>
      <c r="C26" s="3" t="s">
        <v>310</v>
      </c>
      <c r="D26" s="10">
        <f>COUNTIFS('Base de datos'!$B:$B, $B26, 'Base de datos'!$G:$G, $C26, 'Base de datos'!$D:$D, "&lt;&gt;")</f>
        <v>3</v>
      </c>
      <c r="E26" s="10">
        <f>COUNTIFS('Base de datos'!$B:$B, $B26, 'Base de datos'!$G:$G, $C26, 'Base de datos'!$F:$F, "&lt;&gt;")</f>
        <v>4</v>
      </c>
      <c r="F26" s="10">
        <f>COUNTIFS('Base de datos'!$B:$B, $B26, 'Base de datos'!$G:$G, $C26, 'Base de datos'!$L:$L, "Abierta")</f>
        <v>0</v>
      </c>
      <c r="G26" s="10">
        <f>COUNTIFS('Base de datos'!$B:$B, $B26, 'Base de datos'!$G:$G, $C26, 'Base de datos'!$L:$L, "Finalizada")</f>
        <v>2</v>
      </c>
      <c r="H26" s="10">
        <f>COUNTIFS('Base de datos'!$B:$B, $B26, 'Base de datos'!$G:$G, $C26, 'Base de datos'!$L:$L, "Vencida")</f>
        <v>2</v>
      </c>
      <c r="I26" s="10">
        <f>COUNTIFS('Base de datos'!$B:$B, $B26, 'Base de datos'!$G:$G, $C26, 'Base de datos'!$L:$L, "Sin plan de acción")</f>
        <v>0</v>
      </c>
      <c r="J26" s="10">
        <f>COUNTIFS('Base de datos'!$B:$B, $B26, 'Base de datos'!$G:$G, $C26, 'Base de datos'!$E:$E, "Alto")</f>
        <v>0</v>
      </c>
      <c r="K26" s="10">
        <f>COUNTIFS('Base de datos'!$B:$B, $B26, 'Base de datos'!$G:$G, $C26, 'Base de datos'!$E:$E, "Medio")</f>
        <v>0</v>
      </c>
      <c r="L26" s="10">
        <f>COUNTIFS('Base de datos'!$B:$B, $B26, 'Base de datos'!$G:$G, $C26, 'Base de datos'!$E:$E, "Bajo")</f>
        <v>3</v>
      </c>
      <c r="M26" s="10">
        <f ca="1">COUNTIFS('Base de datos'!$B:$B, $B26, 'Base de datos'!$G:$G, $C26, 'Base de datos'!$P:$P, "*10d*")</f>
        <v>0</v>
      </c>
      <c r="N26" s="10">
        <f ca="1">COUNTIFS('Base de datos'!$B:$B, $B26, 'Base de datos'!$G:$G, $C26, 'Base de datos'!$O:$O, "*20d*")</f>
        <v>0</v>
      </c>
      <c r="O26" s="29">
        <f ca="1">COUNTIFS('Base de datos'!$B:$B, $B26, 'Base de datos'!$G:$G, $C26, 'Base de datos'!$N:$N, "*30d*")</f>
        <v>0</v>
      </c>
      <c r="P26" s="52">
        <f ca="1">COUNTIFS('Base de datos'!$B:$B, $B26, 'Base de datos'!$G:$G, $C26, 'Base de datos'!$Q:$Q, "*5d*")</f>
        <v>0</v>
      </c>
      <c r="Q26" s="52">
        <f>COUNTIFS('Base de datos'!$A:$A, $A28, 'Base de datos'!$B:$B, $B28, 'Base de datos'!$G:$G, $C28, 'Base de datos'!$S:$S, "&gt;=01/01/2026", 'Base de datos'!$S:$S, "&lt;=31/01/2026")</f>
        <v>0</v>
      </c>
      <c r="R26" s="10">
        <f>COUNTIFS('Base de datos'!$A:$A, $A28, 'Base de datos'!$B:$B, $B28, 'Base de datos'!$G:$G, $C28, 'Base de datos'!$S:$S, "&gt;=01/02/2026", 'Base de datos'!$S:$S, "&lt;=28/02/2026")</f>
        <v>0</v>
      </c>
      <c r="S26" s="10">
        <f>COUNTIFS('Base de datos'!$A:$A, $A28, 'Base de datos'!$B:$B, $B28, 'Base de datos'!$G:$G, $C28, 'Base de datos'!$S:$S, "&gt;=01/03/2026", 'Base de datos'!$S:$S, "&lt;=31/03/2026")</f>
        <v>0</v>
      </c>
      <c r="T26" s="10">
        <f>COUNTIFS('Base de datos'!$A:$A, $A28, 'Base de datos'!$B:$B, $B28, 'Base de datos'!$G:$G, $C28, 'Base de datos'!$S:$S, "&gt;=01/04/2026", 'Base de datos'!$S:$S, "&lt;=30/04/2026")</f>
        <v>0</v>
      </c>
      <c r="U26" s="10">
        <f>COUNTIFS('Base de datos'!$A:$A, $A28, 'Base de datos'!$B:$B, $B28, 'Base de datos'!$G:$G, $C28, 'Base de datos'!$S:$S, "&gt;=01/05/2026", 'Base de datos'!$S:$S, "&lt;=31/05/2026")</f>
        <v>0</v>
      </c>
      <c r="V26" s="10">
        <f>COUNTIFS('Base de datos'!$A:$A, $A28, 'Base de datos'!$B:$B, $B28, 'Base de datos'!$G:$G, $C28, 'Base de datos'!$S:$S, "&gt;=01/06/2026", 'Base de datos'!$S:$S, "&lt;=30/06/2026")</f>
        <v>0</v>
      </c>
      <c r="W26" s="10">
        <f>COUNTIFS('Base de datos'!$A:$A, $A26, 'Base de datos'!$B:$B, $B26, 'Base de datos'!$G:$G, $C26, 'Base de datos'!$S:$S, "&gt;=01/07/2026", 'Base de datos'!$S:$S, "&lt;=31/07/2026")</f>
        <v>0</v>
      </c>
      <c r="X26" s="10">
        <f>COUNTIFS('Base de datos'!$A:$A, $A26, 'Base de datos'!$B:$B, $B26, 'Base de datos'!$G:$G, $C26, 'Base de datos'!$S:$S, "&gt;=01/08/2026", 'Base de datos'!$S:$S, "&lt;=31/08/2026")</f>
        <v>0</v>
      </c>
      <c r="Y26" s="10">
        <f>COUNTIFS('Base de datos'!$A:$A, $A26, 'Base de datos'!$B:$B, $B26, 'Base de datos'!$G:$G, $C26, 'Base de datos'!$S:$S, "&gt;=01/09/2026", 'Base de datos'!$S:$S, "&lt;=30/09/2026")</f>
        <v>0</v>
      </c>
      <c r="Z26" s="10">
        <f>COUNTIFS('Base de datos'!$A:$A, $A26, 'Base de datos'!$B:$B, $B26, 'Base de datos'!$G:$G, $C26, 'Base de datos'!$S:$S, "&gt;=01/10/2026", 'Base de datos'!$S:$S, "&lt;=31/10/2026")</f>
        <v>0</v>
      </c>
      <c r="AA26" s="10">
        <f>COUNTIFS('Base de datos'!$A:$A, $A26, 'Base de datos'!$B:$B, $B26, 'Base de datos'!$G:$G, $C26, 'Base de datos'!$S:$S, "&gt;=01/11/2026", 'Base de datos'!$S:$S, "&lt;=30/11/2026")</f>
        <v>0</v>
      </c>
      <c r="AB26" s="10">
        <f>COUNTIFS('Base de datos'!$A:$A, $A26, 'Base de datos'!$B:$B, $B26, 'Base de datos'!$G:$G, $C26, 'Base de datos'!$S:$S, "&gt;=01/12/2026", 'Base de datos'!$S:$S, "&lt;=31/12/2026")</f>
        <v>0</v>
      </c>
    </row>
    <row r="27" spans="1:28" ht="48">
      <c r="A27" s="3" t="s">
        <v>180</v>
      </c>
      <c r="B27" s="5" t="s">
        <v>306</v>
      </c>
      <c r="C27" s="3" t="s">
        <v>17</v>
      </c>
      <c r="D27" s="10">
        <f>COUNTIFS('Base de datos'!$B:$B, $B27, 'Base de datos'!$G:$G, $C27, 'Base de datos'!$D:$D, "&lt;&gt;")</f>
        <v>0</v>
      </c>
      <c r="E27" s="10">
        <f>COUNTIFS('Base de datos'!$B:$B, $B27, 'Base de datos'!$G:$G, $C27, 'Base de datos'!$F:$F, "&lt;&gt;")</f>
        <v>2</v>
      </c>
      <c r="F27" s="10">
        <f>COUNTIFS('Base de datos'!$B:$B, $B27, 'Base de datos'!$G:$G, $C27, 'Base de datos'!$L:$L, "Abierta")</f>
        <v>0</v>
      </c>
      <c r="G27" s="10">
        <f>COUNTIFS('Base de datos'!$B:$B, $B27, 'Base de datos'!$G:$G, $C27, 'Base de datos'!$L:$L, "Finalizada")</f>
        <v>2</v>
      </c>
      <c r="H27" s="10">
        <f>COUNTIFS('Base de datos'!$B:$B, $B27, 'Base de datos'!$G:$G, $C27, 'Base de datos'!$L:$L, "Vencida")</f>
        <v>0</v>
      </c>
      <c r="I27" s="10">
        <f>COUNTIFS('Base de datos'!$B:$B, $B27, 'Base de datos'!$G:$G, $C27, 'Base de datos'!$L:$L, "Sin plan de acción")</f>
        <v>0</v>
      </c>
      <c r="J27" s="10">
        <f>COUNTIFS('Base de datos'!$B:$B, $B27, 'Base de datos'!$G:$G, $C27, 'Base de datos'!$E:$E, "Alto")</f>
        <v>0</v>
      </c>
      <c r="K27" s="10">
        <f>COUNTIFS('Base de datos'!$B:$B, $B27, 'Base de datos'!$G:$G, $C27, 'Base de datos'!$E:$E, "Medio")</f>
        <v>0</v>
      </c>
      <c r="L27" s="10">
        <f>COUNTIFS('Base de datos'!$B:$B, $B27, 'Base de datos'!$G:$G, $C27, 'Base de datos'!$E:$E, "Bajo")</f>
        <v>0</v>
      </c>
      <c r="M27" s="10">
        <f ca="1">COUNTIFS('Base de datos'!$B:$B, $B27, 'Base de datos'!$G:$G, $C27, 'Base de datos'!$P:$P, "*10d*")</f>
        <v>0</v>
      </c>
      <c r="N27" s="10">
        <f ca="1">COUNTIFS('Base de datos'!$B:$B, $B27, 'Base de datos'!$G:$G, $C27, 'Base de datos'!$O:$O, "*20d*")</f>
        <v>0</v>
      </c>
      <c r="O27" s="29">
        <f ca="1">COUNTIFS('Base de datos'!$B:$B, $B27, 'Base de datos'!$G:$G, $C27, 'Base de datos'!$N:$N, "*30d*")</f>
        <v>0</v>
      </c>
      <c r="P27" s="52">
        <f ca="1">COUNTIFS('Base de datos'!$B:$B, $B27, 'Base de datos'!$G:$G, $C27, 'Base de datos'!$Q:$Q, "*5d*")</f>
        <v>0</v>
      </c>
      <c r="Q27" s="52">
        <f>COUNTIFS('Base de datos'!$A:$A, $A29, 'Base de datos'!$B:$B, $B29, 'Base de datos'!$G:$G, $C29, 'Base de datos'!$S:$S, "&gt;=01/01/2026", 'Base de datos'!$S:$S, "&lt;=31/01/2026")</f>
        <v>0</v>
      </c>
      <c r="R27" s="10">
        <f>COUNTIFS('Base de datos'!$A:$A, $A29, 'Base de datos'!$B:$B, $B29, 'Base de datos'!$G:$G, $C29, 'Base de datos'!$S:$S, "&gt;=01/02/2026", 'Base de datos'!$S:$S, "&lt;=28/02/2026")</f>
        <v>2</v>
      </c>
      <c r="S27" s="10">
        <f>COUNTIFS('Base de datos'!$A:$A, $A29, 'Base de datos'!$B:$B, $B29, 'Base de datos'!$G:$G, $C29, 'Base de datos'!$S:$S, "&gt;=01/03/2026", 'Base de datos'!$S:$S, "&lt;=31/03/2026")</f>
        <v>0</v>
      </c>
      <c r="T27" s="10">
        <f>COUNTIFS('Base de datos'!$A:$A, $A29, 'Base de datos'!$B:$B, $B29, 'Base de datos'!$G:$G, $C29, 'Base de datos'!$S:$S, "&gt;=01/04/2026", 'Base de datos'!$S:$S, "&lt;=30/04/2026")</f>
        <v>1</v>
      </c>
      <c r="U27" s="10">
        <f>COUNTIFS('Base de datos'!$A:$A, $A29, 'Base de datos'!$B:$B, $B29, 'Base de datos'!$G:$G, $C29, 'Base de datos'!$S:$S, "&gt;=01/05/2026", 'Base de datos'!$S:$S, "&lt;=31/05/2026")</f>
        <v>0</v>
      </c>
      <c r="V27" s="10">
        <f>COUNTIFS('Base de datos'!$A:$A, $A29, 'Base de datos'!$B:$B, $B29, 'Base de datos'!$G:$G, $C29, 'Base de datos'!$S:$S, "&gt;=01/06/2026", 'Base de datos'!$S:$S, "&lt;=30/06/2026")</f>
        <v>4</v>
      </c>
      <c r="W27" s="10">
        <f>COUNTIFS('Base de datos'!$A:$A, $A27, 'Base de datos'!$B:$B, $B27, 'Base de datos'!$G:$G, $C27, 'Base de datos'!$S:$S, "&gt;=01/07/2026", 'Base de datos'!$S:$S, "&lt;=31/07/2026")</f>
        <v>0</v>
      </c>
      <c r="X27" s="10">
        <f>COUNTIFS('Base de datos'!$A:$A, $A27, 'Base de datos'!$B:$B, $B27, 'Base de datos'!$G:$G, $C27, 'Base de datos'!$S:$S, "&gt;=01/08/2026", 'Base de datos'!$S:$S, "&lt;=31/08/2026")</f>
        <v>0</v>
      </c>
      <c r="Y27" s="10">
        <f>COUNTIFS('Base de datos'!$A:$A, $A27, 'Base de datos'!$B:$B, $B27, 'Base de datos'!$G:$G, $C27, 'Base de datos'!$S:$S, "&gt;=01/09/2026", 'Base de datos'!$S:$S, "&lt;=30/09/2026")</f>
        <v>0</v>
      </c>
      <c r="Z27" s="10">
        <f>COUNTIFS('Base de datos'!$A:$A, $A27, 'Base de datos'!$B:$B, $B27, 'Base de datos'!$G:$G, $C27, 'Base de datos'!$S:$S, "&gt;=01/10/2026", 'Base de datos'!$S:$S, "&lt;=31/10/2026")</f>
        <v>0</v>
      </c>
      <c r="AA27" s="10">
        <f>COUNTIFS('Base de datos'!$A:$A, $A27, 'Base de datos'!$B:$B, $B27, 'Base de datos'!$G:$G, $C27, 'Base de datos'!$S:$S, "&gt;=01/11/2026", 'Base de datos'!$S:$S, "&lt;=30/11/2026")</f>
        <v>0</v>
      </c>
      <c r="AB27" s="10">
        <f>COUNTIFS('Base de datos'!$A:$A, $A27, 'Base de datos'!$B:$B, $B27, 'Base de datos'!$G:$G, $C27, 'Base de datos'!$S:$S, "&gt;=01/12/2026", 'Base de datos'!$S:$S, "&lt;=31/12/2026")</f>
        <v>0</v>
      </c>
    </row>
    <row r="28" spans="1:28" ht="34.200000000000003">
      <c r="A28" s="3" t="s">
        <v>180</v>
      </c>
      <c r="B28" s="5" t="s">
        <v>327</v>
      </c>
      <c r="C28" s="7" t="s">
        <v>256</v>
      </c>
      <c r="D28" s="10">
        <f>COUNTIFS('Base de datos'!$B:$B, $B28, 'Base de datos'!$G:$G, $C28, 'Base de datos'!$D:$D, "&lt;&gt;")</f>
        <v>7</v>
      </c>
      <c r="E28" s="10">
        <f>COUNTIFS('Base de datos'!$B:$B, $B28, 'Base de datos'!$G:$G, $C28, 'Base de datos'!$F:$F, "&lt;&gt;")</f>
        <v>8</v>
      </c>
      <c r="F28" s="10">
        <f>COUNTIFS('Base de datos'!$B:$B, $B28, 'Base de datos'!$G:$G, $C28, 'Base de datos'!$L:$L, "Abierta")</f>
        <v>0</v>
      </c>
      <c r="G28" s="10">
        <f>COUNTIFS('Base de datos'!$B:$B, $B28, 'Base de datos'!$G:$G, $C28, 'Base de datos'!$L:$L, "Finalizada")</f>
        <v>8</v>
      </c>
      <c r="H28" s="10">
        <f>COUNTIFS('Base de datos'!$B:$B, $B28, 'Base de datos'!$G:$G, $C28, 'Base de datos'!$L:$L, "Vencida")</f>
        <v>0</v>
      </c>
      <c r="I28" s="10">
        <f>COUNTIFS('Base de datos'!$B:$B, $B28, 'Base de datos'!$G:$G, $C28, 'Base de datos'!$L:$L, "Sin plan de acción")</f>
        <v>0</v>
      </c>
      <c r="J28" s="10">
        <f>COUNTIFS('Base de datos'!$B:$B, $B28, 'Base de datos'!$G:$G, $C28, 'Base de datos'!$E:$E, "Alto")</f>
        <v>2</v>
      </c>
      <c r="K28" s="10">
        <f>COUNTIFS('Base de datos'!$B:$B, $B28, 'Base de datos'!$G:$G, $C28, 'Base de datos'!$E:$E, "Medio")</f>
        <v>2</v>
      </c>
      <c r="L28" s="10">
        <f>COUNTIFS('Base de datos'!$B:$B, $B28, 'Base de datos'!$G:$G, $C28, 'Base de datos'!$E:$E, "Bajo")</f>
        <v>3</v>
      </c>
      <c r="M28" s="10">
        <f ca="1">COUNTIFS('Base de datos'!$B:$B, $B28, 'Base de datos'!$G:$G, $C28, 'Base de datos'!$P:$P, "*10d*")</f>
        <v>0</v>
      </c>
      <c r="N28" s="10">
        <f ca="1">COUNTIFS('Base de datos'!$B:$B, $B28, 'Base de datos'!$G:$G, $C28, 'Base de datos'!$O:$O, "*20d*")</f>
        <v>0</v>
      </c>
      <c r="O28" s="29">
        <f ca="1">COUNTIFS('Base de datos'!$B:$B, $B28, 'Base de datos'!$G:$G, $C28, 'Base de datos'!$N:$N, "*30d*")</f>
        <v>0</v>
      </c>
      <c r="P28" s="52">
        <f ca="1">COUNTIFS('Base de datos'!$B:$B, $B28, 'Base de datos'!$G:$G, $C28, 'Base de datos'!$Q:$Q, "*5d*")</f>
        <v>0</v>
      </c>
      <c r="Q28" s="52">
        <f>COUNTIFS('Base de datos'!$A:$A, $A30, 'Base de datos'!$B:$B, $B30, 'Base de datos'!$G:$G, $C30, 'Base de datos'!$S:$S, "&gt;=01/01/2026", 'Base de datos'!$S:$S, "&lt;=31/01/2026")</f>
        <v>0</v>
      </c>
      <c r="R28" s="10">
        <f>COUNTIFS('Base de datos'!$A:$A, $A30, 'Base de datos'!$B:$B, $B30, 'Base de datos'!$G:$G, $C30, 'Base de datos'!$S:$S, "&gt;=01/02/2026", 'Base de datos'!$S:$S, "&lt;=28/02/2026")</f>
        <v>0</v>
      </c>
      <c r="S28" s="10">
        <f>COUNTIFS('Base de datos'!$A:$A, $A30, 'Base de datos'!$B:$B, $B30, 'Base de datos'!$G:$G, $C30, 'Base de datos'!$S:$S, "&gt;=01/03/2026", 'Base de datos'!$S:$S, "&lt;=31/03/2026")</f>
        <v>0</v>
      </c>
      <c r="T28" s="10">
        <f>COUNTIFS('Base de datos'!$A:$A, $A30, 'Base de datos'!$B:$B, $B30, 'Base de datos'!$G:$G, $C30, 'Base de datos'!$S:$S, "&gt;=01/04/2026", 'Base de datos'!$S:$S, "&lt;=30/04/2026")</f>
        <v>0</v>
      </c>
      <c r="U28" s="10">
        <f>COUNTIFS('Base de datos'!$A:$A, $A30, 'Base de datos'!$B:$B, $B30, 'Base de datos'!$G:$G, $C30, 'Base de datos'!$S:$S, "&gt;=01/05/2026", 'Base de datos'!$S:$S, "&lt;=31/05/2026")</f>
        <v>0</v>
      </c>
      <c r="V28" s="10">
        <f>COUNTIFS('Base de datos'!$A:$A, $A30, 'Base de datos'!$B:$B, $B30, 'Base de datos'!$G:$G, $C30, 'Base de datos'!$S:$S, "&gt;=01/06/2026", 'Base de datos'!$S:$S, "&lt;=30/06/2026")</f>
        <v>1</v>
      </c>
      <c r="W28" s="10">
        <f>COUNTIFS('Base de datos'!$A:$A, $A28, 'Base de datos'!$B:$B, $B28, 'Base de datos'!$G:$G, $C28, 'Base de datos'!$S:$S, "&gt;=01/07/2026", 'Base de datos'!$S:$S, "&lt;=31/07/2026")</f>
        <v>0</v>
      </c>
      <c r="X28" s="10">
        <f>COUNTIFS('Base de datos'!$A:$A, $A28, 'Base de datos'!$B:$B, $B28, 'Base de datos'!$G:$G, $C28, 'Base de datos'!$S:$S, "&gt;=01/08/2026", 'Base de datos'!$S:$S, "&lt;=31/08/2026")</f>
        <v>0</v>
      </c>
      <c r="Y28" s="10">
        <f>COUNTIFS('Base de datos'!$A:$A, $A28, 'Base de datos'!$B:$B, $B28, 'Base de datos'!$G:$G, $C28, 'Base de datos'!$S:$S, "&gt;=01/09/2026", 'Base de datos'!$S:$S, "&lt;=30/09/2026")</f>
        <v>0</v>
      </c>
      <c r="Z28" s="10">
        <f>COUNTIFS('Base de datos'!$A:$A, $A28, 'Base de datos'!$B:$B, $B28, 'Base de datos'!$G:$G, $C28, 'Base de datos'!$S:$S, "&gt;=01/10/2026", 'Base de datos'!$S:$S, "&lt;=31/10/2026")</f>
        <v>0</v>
      </c>
      <c r="AA28" s="10">
        <f>COUNTIFS('Base de datos'!$A:$A, $A28, 'Base de datos'!$B:$B, $B28, 'Base de datos'!$G:$G, $C28, 'Base de datos'!$S:$S, "&gt;=01/11/2026", 'Base de datos'!$S:$S, "&lt;=30/11/2026")</f>
        <v>0</v>
      </c>
      <c r="AB28" s="10">
        <f>COUNTIFS('Base de datos'!$A:$A, $A28, 'Base de datos'!$B:$B, $B28, 'Base de datos'!$G:$G, $C28, 'Base de datos'!$S:$S, "&gt;=01/12/2026", 'Base de datos'!$S:$S, "&lt;=31/12/2026")</f>
        <v>0</v>
      </c>
    </row>
    <row r="29" spans="1:28" ht="34.200000000000003">
      <c r="A29" s="3" t="s">
        <v>180</v>
      </c>
      <c r="B29" s="5" t="s">
        <v>360</v>
      </c>
      <c r="C29" s="6" t="s">
        <v>210</v>
      </c>
      <c r="D29" s="10">
        <f>COUNTIFS('Base de datos'!$B:$B, $B29, 'Base de datos'!$G:$G, $C29, 'Base de datos'!$D:$D, "&lt;&gt;")</f>
        <v>8</v>
      </c>
      <c r="E29" s="10">
        <f>COUNTIFS('Base de datos'!$B:$B, $B29, 'Base de datos'!$G:$G, $C29, 'Base de datos'!$F:$F, "&lt;&gt;")</f>
        <v>9</v>
      </c>
      <c r="F29" s="10">
        <f>COUNTIFS('Base de datos'!$B:$B, $B29, 'Base de datos'!$G:$G, $C29, 'Base de datos'!$L:$L, "Abierta")</f>
        <v>0</v>
      </c>
      <c r="G29" s="10">
        <f>COUNTIFS('Base de datos'!$B:$B, $B29, 'Base de datos'!$G:$G, $C29, 'Base de datos'!$L:$L, "Finalizada")</f>
        <v>9</v>
      </c>
      <c r="H29" s="10">
        <f>COUNTIFS('Base de datos'!$B:$B, $B29, 'Base de datos'!$G:$G, $C29, 'Base de datos'!$L:$L, "Vencida")</f>
        <v>0</v>
      </c>
      <c r="I29" s="10">
        <f>COUNTIFS('Base de datos'!$B:$B, $B29, 'Base de datos'!$G:$G, $C29, 'Base de datos'!$L:$L, "Sin plan de acción")</f>
        <v>0</v>
      </c>
      <c r="J29" s="10">
        <f>COUNTIFS('Base de datos'!$B:$B, $B29, 'Base de datos'!$G:$G, $C29, 'Base de datos'!$E:$E, "Alto")</f>
        <v>1</v>
      </c>
      <c r="K29" s="10">
        <f>COUNTIFS('Base de datos'!$B:$B, $B29, 'Base de datos'!$G:$G, $C29, 'Base de datos'!$E:$E, "Medio")</f>
        <v>4</v>
      </c>
      <c r="L29" s="10">
        <f>COUNTIFS('Base de datos'!$B:$B, $B29, 'Base de datos'!$G:$G, $C29, 'Base de datos'!$E:$E, "Bajo")</f>
        <v>3</v>
      </c>
      <c r="M29" s="10">
        <f ca="1">COUNTIFS('Base de datos'!$B:$B, $B29, 'Base de datos'!$G:$G, $C29, 'Base de datos'!$P:$P, "*10d*")</f>
        <v>0</v>
      </c>
      <c r="N29" s="10">
        <f ca="1">COUNTIFS('Base de datos'!$B:$B, $B29, 'Base de datos'!$G:$G, $C29, 'Base de datos'!$O:$O, "*20d*")</f>
        <v>0</v>
      </c>
      <c r="O29" s="29">
        <f ca="1">COUNTIFS('Base de datos'!$B:$B, $B29, 'Base de datos'!$G:$G, $C29, 'Base de datos'!$N:$N, "*30d*")</f>
        <v>0</v>
      </c>
      <c r="P29" s="52">
        <f ca="1">COUNTIFS('Base de datos'!$B:$B, $B29, 'Base de datos'!$G:$G, $C29, 'Base de datos'!$Q:$Q, "*5d*")</f>
        <v>0</v>
      </c>
      <c r="Q29" s="52">
        <f>COUNTIFS('Base de datos'!$A:$A, $A31, 'Base de datos'!$B:$B, $B31, 'Base de datos'!$G:$G, $C31, 'Base de datos'!$S:$S, "&gt;=01/01/2026", 'Base de datos'!$S:$S, "&lt;=31/01/2026")</f>
        <v>0</v>
      </c>
      <c r="R29" s="10">
        <f>COUNTIFS('Base de datos'!$A:$A, $A31, 'Base de datos'!$B:$B, $B31, 'Base de datos'!$G:$G, $C31, 'Base de datos'!$S:$S, "&gt;=01/02/2026", 'Base de datos'!$S:$S, "&lt;=28/02/2026")</f>
        <v>0</v>
      </c>
      <c r="S29" s="10">
        <f>COUNTIFS('Base de datos'!$A:$A, $A31, 'Base de datos'!$B:$B, $B31, 'Base de datos'!$G:$G, $C31, 'Base de datos'!$S:$S, "&gt;=01/03/2026", 'Base de datos'!$S:$S, "&lt;=31/03/2026")</f>
        <v>0</v>
      </c>
      <c r="T29" s="10">
        <f>COUNTIFS('Base de datos'!$A:$A, $A31, 'Base de datos'!$B:$B, $B31, 'Base de datos'!$G:$G, $C31, 'Base de datos'!$S:$S, "&gt;=01/04/2026", 'Base de datos'!$S:$S, "&lt;=30/04/2026")</f>
        <v>0</v>
      </c>
      <c r="U29" s="10">
        <f>COUNTIFS('Base de datos'!$A:$A, $A31, 'Base de datos'!$B:$B, $B31, 'Base de datos'!$G:$G, $C31, 'Base de datos'!$S:$S, "&gt;=01/05/2026", 'Base de datos'!$S:$S, "&lt;=31/05/2026")</f>
        <v>0</v>
      </c>
      <c r="V29" s="10">
        <f>COUNTIFS('Base de datos'!$A:$A, $A31, 'Base de datos'!$B:$B, $B31, 'Base de datos'!$G:$G, $C31, 'Base de datos'!$S:$S, "&gt;=01/06/2026", 'Base de datos'!$S:$S, "&lt;=30/06/2026")</f>
        <v>2</v>
      </c>
      <c r="W29" s="10">
        <f>COUNTIFS('Base de datos'!$A:$A, $A29, 'Base de datos'!$B:$B, $B29, 'Base de datos'!$G:$G, $C29, 'Base de datos'!$S:$S, "&gt;=01/07/2026", 'Base de datos'!$S:$S, "&lt;=31/07/2026")</f>
        <v>0</v>
      </c>
      <c r="X29" s="10">
        <f>COUNTIFS('Base de datos'!$A:$A, $A29, 'Base de datos'!$B:$B, $B29, 'Base de datos'!$G:$G, $C29, 'Base de datos'!$S:$S, "&gt;=01/08/2026", 'Base de datos'!$S:$S, "&lt;=31/08/2026")</f>
        <v>0</v>
      </c>
      <c r="Y29" s="10">
        <f>COUNTIFS('Base de datos'!$A:$A, $A29, 'Base de datos'!$B:$B, $B29, 'Base de datos'!$G:$G, $C29, 'Base de datos'!$S:$S, "&gt;=01/09/2026", 'Base de datos'!$S:$S, "&lt;=30/09/2026")</f>
        <v>0</v>
      </c>
      <c r="Z29" s="10">
        <f>COUNTIFS('Base de datos'!$A:$A, $A29, 'Base de datos'!$B:$B, $B29, 'Base de datos'!$G:$G, $C29, 'Base de datos'!$S:$S, "&gt;=01/10/2026", 'Base de datos'!$S:$S, "&lt;=31/10/2026")</f>
        <v>0</v>
      </c>
      <c r="AA29" s="10">
        <f>COUNTIFS('Base de datos'!$A:$A, $A29, 'Base de datos'!$B:$B, $B29, 'Base de datos'!$G:$G, $C29, 'Base de datos'!$S:$S, "&gt;=01/11/2026", 'Base de datos'!$S:$S, "&lt;=30/11/2026")</f>
        <v>0</v>
      </c>
      <c r="AB29" s="10">
        <f>COUNTIFS('Base de datos'!$A:$A, $A29, 'Base de datos'!$B:$B, $B29, 'Base de datos'!$G:$G, $C29, 'Base de datos'!$S:$S, "&gt;=01/12/2026", 'Base de datos'!$S:$S, "&lt;=31/12/2026")</f>
        <v>0</v>
      </c>
    </row>
    <row r="30" spans="1:28" ht="68.400000000000006">
      <c r="A30" s="3" t="s">
        <v>180</v>
      </c>
      <c r="B30" s="5" t="s">
        <v>360</v>
      </c>
      <c r="C30" s="6" t="s">
        <v>371</v>
      </c>
      <c r="D30" s="10">
        <f>COUNTIFS('Base de datos'!$B:$B, $B30, 'Base de datos'!$G:$G, $C30, 'Base de datos'!$D:$D, "&lt;&gt;")</f>
        <v>1</v>
      </c>
      <c r="E30" s="10">
        <f>COUNTIFS('Base de datos'!$B:$B, $B30, 'Base de datos'!$G:$G, $C30, 'Base de datos'!$F:$F, "&lt;&gt;")</f>
        <v>2</v>
      </c>
      <c r="F30" s="10">
        <f>COUNTIFS('Base de datos'!$B:$B, $B30, 'Base de datos'!$G:$G, $C30, 'Base de datos'!$L:$L, "Abierta")</f>
        <v>0</v>
      </c>
      <c r="G30" s="10">
        <f>COUNTIFS('Base de datos'!$B:$B, $B30, 'Base de datos'!$G:$G, $C30, 'Base de datos'!$L:$L, "Finalizada")</f>
        <v>1</v>
      </c>
      <c r="H30" s="10">
        <f>COUNTIFS('Base de datos'!$B:$B, $B30, 'Base de datos'!$G:$G, $C30, 'Base de datos'!$L:$L, "Vencida")</f>
        <v>1</v>
      </c>
      <c r="I30" s="10">
        <f>COUNTIFS('Base de datos'!$B:$B, $B30, 'Base de datos'!$G:$G, $C30, 'Base de datos'!$L:$L, "Sin plan de acción")</f>
        <v>0</v>
      </c>
      <c r="J30" s="10">
        <f>COUNTIFS('Base de datos'!$B:$B, $B30, 'Base de datos'!$G:$G, $C30, 'Base de datos'!$E:$E, "Alto")</f>
        <v>0</v>
      </c>
      <c r="K30" s="10">
        <f>COUNTIFS('Base de datos'!$B:$B, $B30, 'Base de datos'!$G:$G, $C30, 'Base de datos'!$E:$E, "Medio")</f>
        <v>1</v>
      </c>
      <c r="L30" s="10">
        <f>COUNTIFS('Base de datos'!$B:$B, $B30, 'Base de datos'!$G:$G, $C30, 'Base de datos'!$E:$E, "Bajo")</f>
        <v>0</v>
      </c>
      <c r="M30" s="10">
        <f ca="1">COUNTIFS('Base de datos'!$B:$B, $B30, 'Base de datos'!$G:$G, $C30, 'Base de datos'!$P:$P, "*10d*")</f>
        <v>0</v>
      </c>
      <c r="N30" s="10">
        <f ca="1">COUNTIFS('Base de datos'!$B:$B, $B30, 'Base de datos'!$G:$G, $C30, 'Base de datos'!$O:$O, "*20d*")</f>
        <v>0</v>
      </c>
      <c r="O30" s="29">
        <f ca="1">COUNTIFS('Base de datos'!$B:$B, $B30, 'Base de datos'!$G:$G, $C30, 'Base de datos'!$N:$N, "*30d*")</f>
        <v>0</v>
      </c>
      <c r="P30" s="52">
        <f ca="1">COUNTIFS('Base de datos'!$B:$B, $B30, 'Base de datos'!$G:$G, $C30, 'Base de datos'!$Q:$Q, "*5d*")</f>
        <v>0</v>
      </c>
      <c r="Q30" s="52">
        <f>COUNTIFS('Base de datos'!$A:$A, $A32, 'Base de datos'!$B:$B, $B32, 'Base de datos'!$G:$G, $C32, 'Base de datos'!$S:$S, "&gt;=01/01/2026", 'Base de datos'!$S:$S, "&lt;=31/01/2026")</f>
        <v>0</v>
      </c>
      <c r="R30" s="10">
        <f>COUNTIFS('Base de datos'!$A:$A, $A32, 'Base de datos'!$B:$B, $B32, 'Base de datos'!$G:$G, $C32, 'Base de datos'!$S:$S, "&gt;=01/02/2026", 'Base de datos'!$S:$S, "&lt;=28/02/2026")</f>
        <v>0</v>
      </c>
      <c r="S30" s="10">
        <f>COUNTIFS('Base de datos'!$A:$A, $A32, 'Base de datos'!$B:$B, $B32, 'Base de datos'!$G:$G, $C32, 'Base de datos'!$S:$S, "&gt;=01/03/2026", 'Base de datos'!$S:$S, "&lt;=31/03/2026")</f>
        <v>0</v>
      </c>
      <c r="T30" s="10">
        <f>COUNTIFS('Base de datos'!$A:$A, $A32, 'Base de datos'!$B:$B, $B32, 'Base de datos'!$G:$G, $C32, 'Base de datos'!$S:$S, "&gt;=01/04/2026", 'Base de datos'!$S:$S, "&lt;=30/04/2026")</f>
        <v>0</v>
      </c>
      <c r="U30" s="10">
        <f>COUNTIFS('Base de datos'!$A:$A, $A32, 'Base de datos'!$B:$B, $B32, 'Base de datos'!$G:$G, $C32, 'Base de datos'!$S:$S, "&gt;=01/05/2026", 'Base de datos'!$S:$S, "&lt;=31/05/2026")</f>
        <v>0</v>
      </c>
      <c r="V30" s="10">
        <f>COUNTIFS('Base de datos'!$A:$A, $A32, 'Base de datos'!$B:$B, $B32, 'Base de datos'!$G:$G, $C32, 'Base de datos'!$S:$S, "&gt;=01/06/2026", 'Base de datos'!$S:$S, "&lt;=30/06/2026")</f>
        <v>1</v>
      </c>
      <c r="W30" s="10">
        <f>COUNTIFS('Base de datos'!$A:$A, $A30, 'Base de datos'!$B:$B, $B30, 'Base de datos'!$G:$G, $C30, 'Base de datos'!$S:$S, "&gt;=01/07/2026", 'Base de datos'!$S:$S, "&lt;=31/07/2026")</f>
        <v>0</v>
      </c>
      <c r="X30" s="10">
        <f>COUNTIFS('Base de datos'!$A:$A, $A30, 'Base de datos'!$B:$B, $B30, 'Base de datos'!$G:$G, $C30, 'Base de datos'!$S:$S, "&gt;=01/08/2026", 'Base de datos'!$S:$S, "&lt;=31/08/2026")</f>
        <v>0</v>
      </c>
      <c r="Y30" s="10">
        <f>COUNTIFS('Base de datos'!$A:$A, $A30, 'Base de datos'!$B:$B, $B30, 'Base de datos'!$G:$G, $C30, 'Base de datos'!$S:$S, "&gt;=01/09/2026", 'Base de datos'!$S:$S, "&lt;=30/09/2026")</f>
        <v>0</v>
      </c>
      <c r="Z30" s="10">
        <f>COUNTIFS('Base de datos'!$A:$A, $A30, 'Base de datos'!$B:$B, $B30, 'Base de datos'!$G:$G, $C30, 'Base de datos'!$S:$S, "&gt;=01/10/2026", 'Base de datos'!$S:$S, "&lt;=31/10/2026")</f>
        <v>0</v>
      </c>
      <c r="AA30" s="10">
        <f>COUNTIFS('Base de datos'!$A:$A, $A30, 'Base de datos'!$B:$B, $B30, 'Base de datos'!$G:$G, $C30, 'Base de datos'!$S:$S, "&gt;=01/11/2026", 'Base de datos'!$S:$S, "&lt;=30/11/2026")</f>
        <v>0</v>
      </c>
      <c r="AB30" s="10">
        <f>COUNTIFS('Base de datos'!$A:$A, $A30, 'Base de datos'!$B:$B, $B30, 'Base de datos'!$G:$G, $C30, 'Base de datos'!$S:$S, "&gt;=01/12/2026", 'Base de datos'!$S:$S, "&lt;=31/12/2026")</f>
        <v>0</v>
      </c>
    </row>
    <row r="31" spans="1:28" ht="24">
      <c r="A31" s="3" t="s">
        <v>180</v>
      </c>
      <c r="B31" s="5" t="s">
        <v>399</v>
      </c>
      <c r="C31" s="6" t="s">
        <v>179</v>
      </c>
      <c r="D31" s="10">
        <f>COUNTIFS('Base de datos'!$B:$B, $B31, 'Base de datos'!$G:$G, $C31, 'Base de datos'!$D:$D, "&lt;&gt;")</f>
        <v>3</v>
      </c>
      <c r="E31" s="10">
        <f>COUNTIFS('Base de datos'!$B:$B, $B31, 'Base de datos'!$G:$G, $C31, 'Base de datos'!$F:$F, "&lt;&gt;")</f>
        <v>5</v>
      </c>
      <c r="F31" s="10">
        <f>COUNTIFS('Base de datos'!$B:$B, $B31, 'Base de datos'!$G:$G, $C31, 'Base de datos'!$L:$L, "Abierta")</f>
        <v>3</v>
      </c>
      <c r="G31" s="10">
        <f>COUNTIFS('Base de datos'!$B:$B, $B31, 'Base de datos'!$G:$G, $C31, 'Base de datos'!$L:$L, "Finalizada")</f>
        <v>2</v>
      </c>
      <c r="H31" s="10">
        <f>COUNTIFS('Base de datos'!$B:$B, $B31, 'Base de datos'!$G:$G, $C31, 'Base de datos'!$L:$L, "Vencida")</f>
        <v>0</v>
      </c>
      <c r="I31" s="10">
        <f>COUNTIFS('Base de datos'!$B:$B, $B31, 'Base de datos'!$G:$G, $C31, 'Base de datos'!$L:$L, "Sin plan de acción")</f>
        <v>0</v>
      </c>
      <c r="J31" s="10">
        <f>COUNTIFS('Base de datos'!$B:$B, $B31, 'Base de datos'!$G:$G, $C31, 'Base de datos'!$E:$E, "Alto")</f>
        <v>0</v>
      </c>
      <c r="K31" s="10">
        <f>COUNTIFS('Base de datos'!$B:$B, $B31, 'Base de datos'!$G:$G, $C31, 'Base de datos'!$E:$E, "Medio")</f>
        <v>2</v>
      </c>
      <c r="L31" s="10">
        <f>COUNTIFS('Base de datos'!$B:$B, $B31, 'Base de datos'!$G:$G, $C31, 'Base de datos'!$E:$E, "Bajo")</f>
        <v>1</v>
      </c>
      <c r="M31" s="10">
        <f ca="1">COUNTIFS('Base de datos'!$B:$B, $B31, 'Base de datos'!$G:$G, $C31, 'Base de datos'!$P:$P, "*10d*")</f>
        <v>0</v>
      </c>
      <c r="N31" s="10">
        <f ca="1">COUNTIFS('Base de datos'!$B:$B, $B31, 'Base de datos'!$G:$G, $C31, 'Base de datos'!$O:$O, "*20d*")</f>
        <v>2</v>
      </c>
      <c r="O31" s="29">
        <f ca="1">COUNTIFS('Base de datos'!$B:$B, $B31, 'Base de datos'!$G:$G, $C31, 'Base de datos'!$N:$N, "*30d*")</f>
        <v>0</v>
      </c>
      <c r="P31" s="52">
        <f ca="1">COUNTIFS('Base de datos'!$B:$B, $B31, 'Base de datos'!$G:$G, $C31, 'Base de datos'!$Q:$Q, "*5d*")</f>
        <v>0</v>
      </c>
      <c r="Q31" s="52">
        <f>COUNTIFS('Base de datos'!$A:$A, $A33, 'Base de datos'!$B:$B, $B33, 'Base de datos'!$G:$G, $C33, 'Base de datos'!$S:$S, "&gt;=01/01/2026", 'Base de datos'!$S:$S, "&lt;=31/01/2026")</f>
        <v>0</v>
      </c>
      <c r="R31" s="10">
        <f>COUNTIFS('Base de datos'!$A:$A, $A33, 'Base de datos'!$B:$B, $B33, 'Base de datos'!$G:$G, $C33, 'Base de datos'!$S:$S, "&gt;=01/02/2026", 'Base de datos'!$S:$S, "&lt;=28/02/2026")</f>
        <v>0</v>
      </c>
      <c r="S31" s="10">
        <f>COUNTIFS('Base de datos'!$A:$A, $A33, 'Base de datos'!$B:$B, $B33, 'Base de datos'!$G:$G, $C33, 'Base de datos'!$S:$S, "&gt;=01/03/2026", 'Base de datos'!$S:$S, "&lt;=31/03/2026")</f>
        <v>0</v>
      </c>
      <c r="T31" s="10">
        <f>COUNTIFS('Base de datos'!$A:$A, $A33, 'Base de datos'!$B:$B, $B33, 'Base de datos'!$G:$G, $C33, 'Base de datos'!$S:$S, "&gt;=01/04/2026", 'Base de datos'!$S:$S, "&lt;=30/04/2026")</f>
        <v>0</v>
      </c>
      <c r="U31" s="10">
        <f>COUNTIFS('Base de datos'!$A:$A, $A33, 'Base de datos'!$B:$B, $B33, 'Base de datos'!$G:$G, $C33, 'Base de datos'!$S:$S, "&gt;=01/05/2026", 'Base de datos'!$S:$S, "&lt;=31/05/2026")</f>
        <v>0</v>
      </c>
      <c r="V31" s="10">
        <f>COUNTIFS('Base de datos'!$A:$A, $A33, 'Base de datos'!$B:$B, $B33, 'Base de datos'!$G:$G, $C33, 'Base de datos'!$S:$S, "&gt;=01/06/2026", 'Base de datos'!$S:$S, "&lt;=30/06/2026")</f>
        <v>0</v>
      </c>
      <c r="W31" s="10">
        <f>COUNTIFS('Base de datos'!$A:$A, $A31, 'Base de datos'!$B:$B, $B31, 'Base de datos'!$G:$G, $C31, 'Base de datos'!$S:$S, "&gt;=01/07/2026", 'Base de datos'!$S:$S, "&lt;=31/07/2026")</f>
        <v>0</v>
      </c>
      <c r="X31" s="10">
        <f>COUNTIFS('Base de datos'!$A:$A, $A31, 'Base de datos'!$B:$B, $B31, 'Base de datos'!$G:$G, $C31, 'Base de datos'!$S:$S, "&gt;=01/08/2026", 'Base de datos'!$S:$S, "&lt;=31/08/2026")</f>
        <v>0</v>
      </c>
      <c r="Y31" s="10">
        <f>COUNTIFS('Base de datos'!$A:$A, $A31, 'Base de datos'!$B:$B, $B31, 'Base de datos'!$G:$G, $C31, 'Base de datos'!$S:$S, "&gt;=01/09/2026", 'Base de datos'!$S:$S, "&lt;=30/09/2026")</f>
        <v>0</v>
      </c>
      <c r="Z31" s="10">
        <f>COUNTIFS('Base de datos'!$A:$A, $A31, 'Base de datos'!$B:$B, $B31, 'Base de datos'!$G:$G, $C31, 'Base de datos'!$S:$S, "&gt;=01/10/2026", 'Base de datos'!$S:$S, "&lt;=31/10/2026")</f>
        <v>0</v>
      </c>
      <c r="AA31" s="10">
        <f>COUNTIFS('Base de datos'!$A:$A, $A31, 'Base de datos'!$B:$B, $B31, 'Base de datos'!$G:$G, $C31, 'Base de datos'!$S:$S, "&gt;=01/11/2026", 'Base de datos'!$S:$S, "&lt;=30/11/2026")</f>
        <v>0</v>
      </c>
      <c r="AB31" s="10">
        <f>COUNTIFS('Base de datos'!$A:$A, $A31, 'Base de datos'!$B:$B, $B31, 'Base de datos'!$G:$G, $C31, 'Base de datos'!$S:$S, "&gt;=01/12/2026", 'Base de datos'!$S:$S, "&lt;=31/12/2026")</f>
        <v>0</v>
      </c>
    </row>
    <row r="32" spans="1:28" ht="45.6">
      <c r="A32" s="3" t="s">
        <v>180</v>
      </c>
      <c r="B32" s="5" t="s">
        <v>399</v>
      </c>
      <c r="C32" s="6" t="s">
        <v>269</v>
      </c>
      <c r="D32" s="10">
        <f>COUNTIFS('Base de datos'!$B:$B, $B32, 'Base de datos'!$G:$G, $C32, 'Base de datos'!$D:$D, "&lt;&gt;")</f>
        <v>1</v>
      </c>
      <c r="E32" s="10">
        <f>COUNTIFS('Base de datos'!$B:$B, $B32, 'Base de datos'!$G:$G, $C32, 'Base de datos'!$F:$F, "&lt;&gt;")</f>
        <v>1</v>
      </c>
      <c r="F32" s="10">
        <f>COUNTIFS('Base de datos'!$B:$B, $B32, 'Base de datos'!$G:$G, $C32, 'Base de datos'!$L:$L, "Abierta")</f>
        <v>0</v>
      </c>
      <c r="G32" s="10">
        <f>COUNTIFS('Base de datos'!$B:$B, $B32, 'Base de datos'!$G:$G, $C32, 'Base de datos'!$L:$L, "Finalizada")</f>
        <v>1</v>
      </c>
      <c r="H32" s="10">
        <f>COUNTIFS('Base de datos'!$B:$B, $B32, 'Base de datos'!$G:$G, $C32, 'Base de datos'!$L:$L, "Vencida")</f>
        <v>0</v>
      </c>
      <c r="I32" s="10">
        <f>COUNTIFS('Base de datos'!$B:$B, $B32, 'Base de datos'!$G:$G, $C32, 'Base de datos'!$L:$L, "Sin plan de acción")</f>
        <v>0</v>
      </c>
      <c r="J32" s="10">
        <f>COUNTIFS('Base de datos'!$B:$B, $B32, 'Base de datos'!$G:$G, $C32, 'Base de datos'!$E:$E, "Alto")</f>
        <v>0</v>
      </c>
      <c r="K32" s="10">
        <f>COUNTIFS('Base de datos'!$B:$B, $B32, 'Base de datos'!$G:$G, $C32, 'Base de datos'!$E:$E, "Medio")</f>
        <v>1</v>
      </c>
      <c r="L32" s="10">
        <f>COUNTIFS('Base de datos'!$B:$B, $B32, 'Base de datos'!$G:$G, $C32, 'Base de datos'!$E:$E, "Bajo")</f>
        <v>0</v>
      </c>
      <c r="M32" s="10">
        <f ca="1">COUNTIFS('Base de datos'!$B:$B, $B32, 'Base de datos'!$G:$G, $C32, 'Base de datos'!$P:$P, "*10d*")</f>
        <v>0</v>
      </c>
      <c r="N32" s="10">
        <f ca="1">COUNTIFS('Base de datos'!$B:$B, $B32, 'Base de datos'!$G:$G, $C32, 'Base de datos'!$O:$O, "*20d*")</f>
        <v>0</v>
      </c>
      <c r="O32" s="29">
        <f ca="1">COUNTIFS('Base de datos'!$B:$B, $B32, 'Base de datos'!$G:$G, $C32, 'Base de datos'!$N:$N, "*30d*")</f>
        <v>0</v>
      </c>
      <c r="P32" s="52">
        <f ca="1">COUNTIFS('Base de datos'!$B:$B, $B32, 'Base de datos'!$G:$G, $C32, 'Base de datos'!$Q:$Q, "*5d*")</f>
        <v>0</v>
      </c>
      <c r="Q32" s="52">
        <f>COUNTIFS('Base de datos'!$A:$A, $A34, 'Base de datos'!$B:$B, $B34, 'Base de datos'!$G:$G, $C34, 'Base de datos'!$S:$S, "&gt;=01/01/2026", 'Base de datos'!$S:$S, "&lt;=31/01/2026")</f>
        <v>0</v>
      </c>
      <c r="R32" s="10">
        <f>COUNTIFS('Base de datos'!$A:$A, $A34, 'Base de datos'!$B:$B, $B34, 'Base de datos'!$G:$G, $C34, 'Base de datos'!$S:$S, "&gt;=01/02/2026", 'Base de datos'!$S:$S, "&lt;=28/02/2026")</f>
        <v>0</v>
      </c>
      <c r="S32" s="10">
        <f>COUNTIFS('Base de datos'!$A:$A, $A34, 'Base de datos'!$B:$B, $B34, 'Base de datos'!$G:$G, $C34, 'Base de datos'!$S:$S, "&gt;=01/03/2026", 'Base de datos'!$S:$S, "&lt;=31/03/2026")</f>
        <v>0</v>
      </c>
      <c r="T32" s="10">
        <f>COUNTIFS('Base de datos'!$A:$A, $A34, 'Base de datos'!$B:$B, $B34, 'Base de datos'!$G:$G, $C34, 'Base de datos'!$S:$S, "&gt;=01/04/2026", 'Base de datos'!$S:$S, "&lt;=30/04/2026")</f>
        <v>0</v>
      </c>
      <c r="U32" s="10">
        <f>COUNTIFS('Base de datos'!$A:$A, $A34, 'Base de datos'!$B:$B, $B34, 'Base de datos'!$G:$G, $C34, 'Base de datos'!$S:$S, "&gt;=01/05/2026", 'Base de datos'!$S:$S, "&lt;=31/05/2026")</f>
        <v>0</v>
      </c>
      <c r="V32" s="10">
        <f>COUNTIFS('Base de datos'!$A:$A, $A34, 'Base de datos'!$B:$B, $B34, 'Base de datos'!$G:$G, $C34, 'Base de datos'!$S:$S, "&gt;=01/06/2026", 'Base de datos'!$S:$S, "&lt;=30/06/2026")</f>
        <v>0</v>
      </c>
      <c r="W32" s="10">
        <f>COUNTIFS('Base de datos'!$A:$A, $A32, 'Base de datos'!$B:$B, $B32, 'Base de datos'!$G:$G, $C32, 'Base de datos'!$S:$S, "&gt;=01/07/2026", 'Base de datos'!$S:$S, "&lt;=31/07/2026")</f>
        <v>0</v>
      </c>
      <c r="X32" s="10">
        <f>COUNTIFS('Base de datos'!$A:$A, $A32, 'Base de datos'!$B:$B, $B32, 'Base de datos'!$G:$G, $C32, 'Base de datos'!$S:$S, "&gt;=01/08/2026", 'Base de datos'!$S:$S, "&lt;=31/08/2026")</f>
        <v>0</v>
      </c>
      <c r="Y32" s="10">
        <f>COUNTIFS('Base de datos'!$A:$A, $A32, 'Base de datos'!$B:$B, $B32, 'Base de datos'!$G:$G, $C32, 'Base de datos'!$S:$S, "&gt;=01/09/2026", 'Base de datos'!$S:$S, "&lt;=30/09/2026")</f>
        <v>0</v>
      </c>
      <c r="Z32" s="10">
        <f>COUNTIFS('Base de datos'!$A:$A, $A32, 'Base de datos'!$B:$B, $B32, 'Base de datos'!$G:$G, $C32, 'Base de datos'!$S:$S, "&gt;=01/10/2026", 'Base de datos'!$S:$S, "&lt;=31/10/2026")</f>
        <v>0</v>
      </c>
      <c r="AA32" s="10">
        <f>COUNTIFS('Base de datos'!$A:$A, $A32, 'Base de datos'!$B:$B, $B32, 'Base de datos'!$G:$G, $C32, 'Base de datos'!$S:$S, "&gt;=01/11/2026", 'Base de datos'!$S:$S, "&lt;=30/11/2026")</f>
        <v>0</v>
      </c>
      <c r="AB32" s="10">
        <f>COUNTIFS('Base de datos'!$A:$A, $A32, 'Base de datos'!$B:$B, $B32, 'Base de datos'!$G:$G, $C32, 'Base de datos'!$S:$S, "&gt;=01/12/2026", 'Base de datos'!$S:$S, "&lt;=31/12/2026")</f>
        <v>0</v>
      </c>
    </row>
    <row r="33" spans="1:28" ht="24">
      <c r="A33" s="3" t="s">
        <v>180</v>
      </c>
      <c r="B33" s="5" t="s">
        <v>399</v>
      </c>
      <c r="C33" s="6" t="s">
        <v>118</v>
      </c>
      <c r="D33" s="10">
        <f>COUNTIFS('Base de datos'!$B:$B, $B33, 'Base de datos'!$G:$G, $C33, 'Base de datos'!$D:$D, "&lt;&gt;")</f>
        <v>0</v>
      </c>
      <c r="E33" s="10">
        <f>COUNTIFS('Base de datos'!$B:$B, $B33, 'Base de datos'!$G:$G, $C33, 'Base de datos'!$F:$F, "&lt;&gt;")</f>
        <v>0</v>
      </c>
      <c r="F33" s="10">
        <f>COUNTIFS('Base de datos'!$B:$B, $B33, 'Base de datos'!$G:$G, $C33, 'Base de datos'!$L:$L, "Abierta")</f>
        <v>0</v>
      </c>
      <c r="G33" s="10">
        <f>COUNTIFS('Base de datos'!$B:$B, $B33, 'Base de datos'!$G:$G, $C33, 'Base de datos'!$L:$L, "Finalizada")</f>
        <v>0</v>
      </c>
      <c r="H33" s="10">
        <f>COUNTIFS('Base de datos'!$B:$B, $B33, 'Base de datos'!$G:$G, $C33, 'Base de datos'!$L:$L, "Vencida")</f>
        <v>0</v>
      </c>
      <c r="I33" s="10">
        <f>COUNTIFS('Base de datos'!$B:$B, $B33, 'Base de datos'!$G:$G, $C33, 'Base de datos'!$L:$L, "Sin plan de acción")</f>
        <v>1</v>
      </c>
      <c r="J33" s="10">
        <f>COUNTIFS('Base de datos'!$B:$B, $B33, 'Base de datos'!$G:$G, $C33, 'Base de datos'!$E:$E, "Alto")</f>
        <v>0</v>
      </c>
      <c r="K33" s="10">
        <f>COUNTIFS('Base de datos'!$B:$B, $B33, 'Base de datos'!$G:$G, $C33, 'Base de datos'!$E:$E, "Medio")</f>
        <v>0</v>
      </c>
      <c r="L33" s="10">
        <f>COUNTIFS('Base de datos'!$B:$B, $B33, 'Base de datos'!$G:$G, $C33, 'Base de datos'!$E:$E, "Bajo")</f>
        <v>0</v>
      </c>
      <c r="M33" s="10">
        <f ca="1">COUNTIFS('Base de datos'!$B:$B, $B33, 'Base de datos'!$G:$G, $C33, 'Base de datos'!$P:$P, "*10d*")</f>
        <v>0</v>
      </c>
      <c r="N33" s="10">
        <f ca="1">COUNTIFS('Base de datos'!$B:$B, $B33, 'Base de datos'!$G:$G, $C33, 'Base de datos'!$O:$O, "*20d*")</f>
        <v>0</v>
      </c>
      <c r="O33" s="29">
        <f ca="1">COUNTIFS('Base de datos'!$B:$B, $B33, 'Base de datos'!$G:$G, $C33, 'Base de datos'!$N:$N, "*30d*")</f>
        <v>0</v>
      </c>
      <c r="P33" s="52">
        <f ca="1">COUNTIFS('Base de datos'!$B:$B, $B33, 'Base de datos'!$G:$G, $C33, 'Base de datos'!$Q:$Q, "*5d*")</f>
        <v>0</v>
      </c>
      <c r="Q33" s="52">
        <f>COUNTIFS('Base de datos'!$A:$A, $A35, 'Base de datos'!$B:$B, $B35, 'Base de datos'!$G:$G, $C35, 'Base de datos'!$S:$S, "&gt;=01/01/2026", 'Base de datos'!$S:$S, "&lt;=31/01/2026")</f>
        <v>0</v>
      </c>
      <c r="R33" s="10">
        <f>COUNTIFS('Base de datos'!$A:$A, $A35, 'Base de datos'!$B:$B, $B35, 'Base de datos'!$G:$G, $C35, 'Base de datos'!$S:$S, "&gt;=01/02/2026", 'Base de datos'!$S:$S, "&lt;=28/02/2026")</f>
        <v>0</v>
      </c>
      <c r="S33" s="10">
        <f>COUNTIFS('Base de datos'!$A:$A, $A35, 'Base de datos'!$B:$B, $B35, 'Base de datos'!$G:$G, $C35, 'Base de datos'!$S:$S, "&gt;=01/03/2026", 'Base de datos'!$S:$S, "&lt;=31/03/2026")</f>
        <v>0</v>
      </c>
      <c r="T33" s="10">
        <f>COUNTIFS('Base de datos'!$A:$A, $A35, 'Base de datos'!$B:$B, $B35, 'Base de datos'!$G:$G, $C35, 'Base de datos'!$S:$S, "&gt;=01/04/2026", 'Base de datos'!$S:$S, "&lt;=30/04/2026")</f>
        <v>0</v>
      </c>
      <c r="U33" s="10">
        <f>COUNTIFS('Base de datos'!$A:$A, $A35, 'Base de datos'!$B:$B, $B35, 'Base de datos'!$G:$G, $C35, 'Base de datos'!$S:$S, "&gt;=01/05/2026", 'Base de datos'!$S:$S, "&lt;=31/05/2026")</f>
        <v>0</v>
      </c>
      <c r="V33" s="10">
        <f>COUNTIFS('Base de datos'!$A:$A, $A35, 'Base de datos'!$B:$B, $B35, 'Base de datos'!$G:$G, $C35, 'Base de datos'!$S:$S, "&gt;=01/06/2026", 'Base de datos'!$S:$S, "&lt;=30/06/2026")</f>
        <v>0</v>
      </c>
      <c r="W33" s="10">
        <f>COUNTIFS('Base de datos'!$A:$A, $A33, 'Base de datos'!$B:$B, $B33, 'Base de datos'!$G:$G, $C33, 'Base de datos'!$S:$S, "&gt;=01/07/2026", 'Base de datos'!$S:$S, "&lt;=31/07/2026")</f>
        <v>0</v>
      </c>
      <c r="X33" s="10">
        <f>COUNTIFS('Base de datos'!$A:$A, $A33, 'Base de datos'!$B:$B, $B33, 'Base de datos'!$G:$G, $C33, 'Base de datos'!$S:$S, "&gt;=01/08/2026", 'Base de datos'!$S:$S, "&lt;=31/08/2026")</f>
        <v>0</v>
      </c>
      <c r="Y33" s="10">
        <f>COUNTIFS('Base de datos'!$A:$A, $A33, 'Base de datos'!$B:$B, $B33, 'Base de datos'!$G:$G, $C33, 'Base de datos'!$S:$S, "&gt;=01/09/2026", 'Base de datos'!$S:$S, "&lt;=30/09/2026")</f>
        <v>0</v>
      </c>
      <c r="Z33" s="10">
        <f>COUNTIFS('Base de datos'!$A:$A, $A33, 'Base de datos'!$B:$B, $B33, 'Base de datos'!$G:$G, $C33, 'Base de datos'!$S:$S, "&gt;=01/10/2026", 'Base de datos'!$S:$S, "&lt;=31/10/2026")</f>
        <v>0</v>
      </c>
      <c r="AA33" s="10">
        <f>COUNTIFS('Base de datos'!$A:$A, $A33, 'Base de datos'!$B:$B, $B33, 'Base de datos'!$G:$G, $C33, 'Base de datos'!$S:$S, "&gt;=01/11/2026", 'Base de datos'!$S:$S, "&lt;=30/11/2026")</f>
        <v>0</v>
      </c>
      <c r="AB33" s="10">
        <f>COUNTIFS('Base de datos'!$A:$A, $A33, 'Base de datos'!$B:$B, $B33, 'Base de datos'!$G:$G, $C33, 'Base de datos'!$S:$S, "&gt;=01/12/2026", 'Base de datos'!$S:$S, "&lt;=31/12/2026")</f>
        <v>0</v>
      </c>
    </row>
    <row r="34" spans="1:28" ht="91.2">
      <c r="A34" s="3" t="s">
        <v>180</v>
      </c>
      <c r="B34" s="5" t="s">
        <v>399</v>
      </c>
      <c r="C34" s="6" t="s">
        <v>413</v>
      </c>
      <c r="D34" s="10">
        <f>COUNTIFS('Base de datos'!$B:$B, $B34, 'Base de datos'!$G:$G, $C34, 'Base de datos'!$D:$D, "&lt;&gt;")</f>
        <v>1</v>
      </c>
      <c r="E34" s="10">
        <f>COUNTIFS('Base de datos'!$B:$B, $B34, 'Base de datos'!$G:$G, $C34, 'Base de datos'!$F:$F, "&lt;&gt;")</f>
        <v>1</v>
      </c>
      <c r="F34" s="10">
        <f>COUNTIFS('Base de datos'!$B:$B, $B34, 'Base de datos'!$G:$G, $C34, 'Base de datos'!$L:$L, "Abierta")</f>
        <v>1</v>
      </c>
      <c r="G34" s="10">
        <f>COUNTIFS('Base de datos'!$B:$B, $B34, 'Base de datos'!$G:$G, $C34, 'Base de datos'!$L:$L, "Finalizada")</f>
        <v>0</v>
      </c>
      <c r="H34" s="10">
        <f>COUNTIFS('Base de datos'!$B:$B, $B34, 'Base de datos'!$G:$G, $C34, 'Base de datos'!$L:$L, "Vencida")</f>
        <v>0</v>
      </c>
      <c r="I34" s="10">
        <f>COUNTIFS('Base de datos'!$B:$B, $B34, 'Base de datos'!$G:$G, $C34, 'Base de datos'!$L:$L, "Sin plan de acción")</f>
        <v>0</v>
      </c>
      <c r="J34" s="10">
        <f>COUNTIFS('Base de datos'!$B:$B, $B34, 'Base de datos'!$G:$G, $C34, 'Base de datos'!$E:$E, "Alto")</f>
        <v>0</v>
      </c>
      <c r="K34" s="10">
        <f>COUNTIFS('Base de datos'!$B:$B, $B34, 'Base de datos'!$G:$G, $C34, 'Base de datos'!$E:$E, "Medio")</f>
        <v>1</v>
      </c>
      <c r="L34" s="10">
        <f>COUNTIFS('Base de datos'!$B:$B, $B34, 'Base de datos'!$G:$G, $C34, 'Base de datos'!$E:$E, "Bajo")</f>
        <v>0</v>
      </c>
      <c r="M34" s="10">
        <f ca="1">COUNTIFS('Base de datos'!$B:$B, $B34, 'Base de datos'!$G:$G, $C34, 'Base de datos'!$P:$P, "*10d*")</f>
        <v>0</v>
      </c>
      <c r="N34" s="10">
        <f ca="1">COUNTIFS('Base de datos'!$B:$B, $B34, 'Base de datos'!$G:$G, $C34, 'Base de datos'!$O:$O, "*20d*")</f>
        <v>1</v>
      </c>
      <c r="O34" s="29">
        <f ca="1">COUNTIFS('Base de datos'!$B:$B, $B34, 'Base de datos'!$G:$G, $C34, 'Base de datos'!$N:$N, "*30d*")</f>
        <v>0</v>
      </c>
      <c r="P34" s="52">
        <f ca="1">COUNTIFS('Base de datos'!$B:$B, $B34, 'Base de datos'!$G:$G, $C34, 'Base de datos'!$Q:$Q, "*5d*")</f>
        <v>0</v>
      </c>
      <c r="Q34" s="52">
        <f>COUNTIFS('Base de datos'!$A:$A, $A36, 'Base de datos'!$B:$B, $B36, 'Base de datos'!$G:$G, $C36, 'Base de datos'!$S:$S, "&gt;=01/01/2026", 'Base de datos'!$S:$S, "&lt;=31/01/2026")</f>
        <v>0</v>
      </c>
      <c r="R34" s="10">
        <f>COUNTIFS('Base de datos'!$A:$A, $A36, 'Base de datos'!$B:$B, $B36, 'Base de datos'!$G:$G, $C36, 'Base de datos'!$S:$S, "&gt;=01/02/2026", 'Base de datos'!$S:$S, "&lt;=28/02/2026")</f>
        <v>0</v>
      </c>
      <c r="S34" s="10">
        <f>COUNTIFS('Base de datos'!$A:$A, $A36, 'Base de datos'!$B:$B, $B36, 'Base de datos'!$G:$G, $C36, 'Base de datos'!$S:$S, "&gt;=01/03/2026", 'Base de datos'!$S:$S, "&lt;=31/03/2026")</f>
        <v>0</v>
      </c>
      <c r="T34" s="10">
        <f>COUNTIFS('Base de datos'!$A:$A, $A36, 'Base de datos'!$B:$B, $B36, 'Base de datos'!$G:$G, $C36, 'Base de datos'!$S:$S, "&gt;=01/04/2026", 'Base de datos'!$S:$S, "&lt;=30/04/2026")</f>
        <v>0</v>
      </c>
      <c r="U34" s="10">
        <f>COUNTIFS('Base de datos'!$A:$A, $A36, 'Base de datos'!$B:$B, $B36, 'Base de datos'!$G:$G, $C36, 'Base de datos'!$S:$S, "&gt;=01/05/2026", 'Base de datos'!$S:$S, "&lt;=31/05/2026")</f>
        <v>0</v>
      </c>
      <c r="V34" s="10">
        <f>COUNTIFS('Base de datos'!$A:$A, $A36, 'Base de datos'!$B:$B, $B36, 'Base de datos'!$G:$G, $C36, 'Base de datos'!$S:$S, "&gt;=01/06/2026", 'Base de datos'!$S:$S, "&lt;=30/06/2026")</f>
        <v>0</v>
      </c>
      <c r="W34" s="10">
        <f>COUNTIFS('Base de datos'!$A:$A, $A34, 'Base de datos'!$B:$B, $B34, 'Base de datos'!$G:$G, $C34, 'Base de datos'!$S:$S, "&gt;=01/07/2026", 'Base de datos'!$S:$S, "&lt;=31/07/2026")</f>
        <v>0</v>
      </c>
      <c r="X34" s="10">
        <f>COUNTIFS('Base de datos'!$A:$A, $A34, 'Base de datos'!$B:$B, $B34, 'Base de datos'!$G:$G, $C34, 'Base de datos'!$S:$S, "&gt;=01/08/2026", 'Base de datos'!$S:$S, "&lt;=31/08/2026")</f>
        <v>0</v>
      </c>
      <c r="Y34" s="10">
        <f>COUNTIFS('Base de datos'!$A:$A, $A34, 'Base de datos'!$B:$B, $B34, 'Base de datos'!$G:$G, $C34, 'Base de datos'!$S:$S, "&gt;=01/09/2026", 'Base de datos'!$S:$S, "&lt;=30/09/2026")</f>
        <v>0</v>
      </c>
      <c r="Z34" s="10">
        <f>COUNTIFS('Base de datos'!$A:$A, $A34, 'Base de datos'!$B:$B, $B34, 'Base de datos'!$G:$G, $C34, 'Base de datos'!$S:$S, "&gt;=01/10/2026", 'Base de datos'!$S:$S, "&lt;=31/10/2026")</f>
        <v>0</v>
      </c>
      <c r="AA34" s="10">
        <f>COUNTIFS('Base de datos'!$A:$A, $A34, 'Base de datos'!$B:$B, $B34, 'Base de datos'!$G:$G, $C34, 'Base de datos'!$S:$S, "&gt;=01/11/2026", 'Base de datos'!$S:$S, "&lt;=30/11/2026")</f>
        <v>0</v>
      </c>
      <c r="AB34" s="10">
        <f>COUNTIFS('Base de datos'!$A:$A, $A34, 'Base de datos'!$B:$B, $B34, 'Base de datos'!$G:$G, $C34, 'Base de datos'!$S:$S, "&gt;=01/12/2026", 'Base de datos'!$S:$S, "&lt;=31/12/2026")</f>
        <v>0</v>
      </c>
    </row>
    <row r="35" spans="1:28" ht="36">
      <c r="A35" s="3" t="s">
        <v>180</v>
      </c>
      <c r="B35" s="5" t="s">
        <v>419</v>
      </c>
      <c r="C35" s="6" t="s">
        <v>17</v>
      </c>
      <c r="D35" s="10">
        <f>COUNTIFS('Base de datos'!$B:$B, $B35, 'Base de datos'!$G:$G, $C35, 'Base de datos'!$D:$D, "&lt;&gt;")</f>
        <v>1</v>
      </c>
      <c r="E35" s="10">
        <f>COUNTIFS('Base de datos'!$B:$B, $B35, 'Base de datos'!$G:$G, $C35, 'Base de datos'!$F:$F, "&lt;&gt;")</f>
        <v>6</v>
      </c>
      <c r="F35" s="10">
        <f>COUNTIFS('Base de datos'!$B:$B, $B35, 'Base de datos'!$G:$G, $C35, 'Base de datos'!$L:$L, "Abierta")</f>
        <v>0</v>
      </c>
      <c r="G35" s="10">
        <f>COUNTIFS('Base de datos'!$B:$B, $B35, 'Base de datos'!$G:$G, $C35, 'Base de datos'!$L:$L, "Finalizada")</f>
        <v>0</v>
      </c>
      <c r="H35" s="10">
        <f>COUNTIFS('Base de datos'!$B:$B, $B35, 'Base de datos'!$G:$G, $C35, 'Base de datos'!$L:$L, "Vencida")</f>
        <v>6</v>
      </c>
      <c r="I35" s="10">
        <f>COUNTIFS('Base de datos'!$B:$B, $B35, 'Base de datos'!$G:$G, $C35, 'Base de datos'!$L:$L, "Sin plan de acción")</f>
        <v>0</v>
      </c>
      <c r="J35" s="10">
        <f>COUNTIFS('Base de datos'!$B:$B, $B35, 'Base de datos'!$G:$G, $C35, 'Base de datos'!$E:$E, "Alto")</f>
        <v>0</v>
      </c>
      <c r="K35" s="10">
        <f>COUNTIFS('Base de datos'!$B:$B, $B35, 'Base de datos'!$G:$G, $C35, 'Base de datos'!$E:$E, "Medio")</f>
        <v>1</v>
      </c>
      <c r="L35" s="10">
        <f>COUNTIFS('Base de datos'!$B:$B, $B35, 'Base de datos'!$G:$G, $C35, 'Base de datos'!$E:$E, "Bajo")</f>
        <v>0</v>
      </c>
      <c r="M35" s="10">
        <f ca="1">COUNTIFS('Base de datos'!$B:$B, $B35, 'Base de datos'!$G:$G, $C35, 'Base de datos'!$P:$P, "*10d*")</f>
        <v>0</v>
      </c>
      <c r="N35" s="10">
        <f ca="1">COUNTIFS('Base de datos'!$B:$B, $B35, 'Base de datos'!$G:$G, $C35, 'Base de datos'!$O:$O, "*20d*")</f>
        <v>0</v>
      </c>
      <c r="O35" s="29">
        <f ca="1">COUNTIFS('Base de datos'!$B:$B, $B35, 'Base de datos'!$G:$G, $C35, 'Base de datos'!$N:$N, "*30d*")</f>
        <v>0</v>
      </c>
      <c r="P35" s="52">
        <f ca="1">COUNTIFS('Base de datos'!$B:$B, $B35, 'Base de datos'!$G:$G, $C35, 'Base de datos'!$Q:$Q, "*5d*")</f>
        <v>0</v>
      </c>
      <c r="Q35" s="52">
        <f>COUNTIFS('Base de datos'!$A:$A, $A37, 'Base de datos'!$B:$B, $B37, 'Base de datos'!$G:$G, $C37, 'Base de datos'!$S:$S, "&gt;=01/01/2026", 'Base de datos'!$S:$S, "&lt;=31/01/2026")</f>
        <v>0</v>
      </c>
      <c r="R35" s="10">
        <f>COUNTIFS('Base de datos'!$A:$A, $A37, 'Base de datos'!$B:$B, $B37, 'Base de datos'!$G:$G, $C37, 'Base de datos'!$S:$S, "&gt;=01/02/2026", 'Base de datos'!$S:$S, "&lt;=28/02/2026")</f>
        <v>0</v>
      </c>
      <c r="S35" s="10">
        <f>COUNTIFS('Base de datos'!$A:$A, $A37, 'Base de datos'!$B:$B, $B37, 'Base de datos'!$G:$G, $C37, 'Base de datos'!$S:$S, "&gt;=01/03/2026", 'Base de datos'!$S:$S, "&lt;=31/03/2026")</f>
        <v>0</v>
      </c>
      <c r="T35" s="10">
        <f>COUNTIFS('Base de datos'!$A:$A, $A37, 'Base de datos'!$B:$B, $B37, 'Base de datos'!$G:$G, $C37, 'Base de datos'!$S:$S, "&gt;=01/04/2026", 'Base de datos'!$S:$S, "&lt;=30/04/2026")</f>
        <v>0</v>
      </c>
      <c r="U35" s="10">
        <f>COUNTIFS('Base de datos'!$A:$A, $A37, 'Base de datos'!$B:$B, $B37, 'Base de datos'!$G:$G, $C37, 'Base de datos'!$S:$S, "&gt;=01/05/2026", 'Base de datos'!$S:$S, "&lt;=31/05/2026")</f>
        <v>0</v>
      </c>
      <c r="V35" s="10">
        <f>COUNTIFS('Base de datos'!$A:$A, $A37, 'Base de datos'!$B:$B, $B37, 'Base de datos'!$G:$G, $C37, 'Base de datos'!$S:$S, "&gt;=01/06/2026", 'Base de datos'!$S:$S, "&lt;=30/06/2026")</f>
        <v>0</v>
      </c>
      <c r="W35" s="10">
        <f>COUNTIFS('Base de datos'!$A:$A, $A35, 'Base de datos'!$B:$B, $B35, 'Base de datos'!$G:$G, $C35, 'Base de datos'!$S:$S, "&gt;=01/07/2026", 'Base de datos'!$S:$S, "&lt;=31/07/2026")</f>
        <v>0</v>
      </c>
      <c r="X35" s="10">
        <f>COUNTIFS('Base de datos'!$A:$A, $A35, 'Base de datos'!$B:$B, $B35, 'Base de datos'!$G:$G, $C35, 'Base de datos'!$S:$S, "&gt;=01/08/2026", 'Base de datos'!$S:$S, "&lt;=31/08/2026")</f>
        <v>0</v>
      </c>
      <c r="Y35" s="10">
        <f>COUNTIFS('Base de datos'!$A:$A, $A35, 'Base de datos'!$B:$B, $B35, 'Base de datos'!$G:$G, $C35, 'Base de datos'!$S:$S, "&gt;=01/09/2026", 'Base de datos'!$S:$S, "&lt;=30/09/2026")</f>
        <v>0</v>
      </c>
      <c r="Z35" s="10">
        <f>COUNTIFS('Base de datos'!$A:$A, $A35, 'Base de datos'!$B:$B, $B35, 'Base de datos'!$G:$G, $C35, 'Base de datos'!$S:$S, "&gt;=01/10/2026", 'Base de datos'!$S:$S, "&lt;=31/10/2026")</f>
        <v>0</v>
      </c>
      <c r="AA35" s="10">
        <f>COUNTIFS('Base de datos'!$A:$A, $A35, 'Base de datos'!$B:$B, $B35, 'Base de datos'!$G:$G, $C35, 'Base de datos'!$S:$S, "&gt;=01/11/2026", 'Base de datos'!$S:$S, "&lt;=30/11/2026")</f>
        <v>0</v>
      </c>
      <c r="AB35" s="10">
        <f>COUNTIFS('Base de datos'!$A:$A, $A35, 'Base de datos'!$B:$B, $B35, 'Base de datos'!$G:$G, $C35, 'Base de datos'!$S:$S, "&gt;=01/12/2026", 'Base de datos'!$S:$S, "&lt;=31/12/2026")</f>
        <v>0</v>
      </c>
    </row>
    <row r="36" spans="1:28" ht="57">
      <c r="A36" s="3" t="s">
        <v>180</v>
      </c>
      <c r="B36" s="5" t="s">
        <v>419</v>
      </c>
      <c r="C36" s="6" t="s">
        <v>534</v>
      </c>
      <c r="D36" s="10">
        <f>COUNTIFS('Base de datos'!$B:$B, $B36, 'Base de datos'!$G:$G, $C36, 'Base de datos'!$D:$D, "&lt;&gt;")</f>
        <v>1</v>
      </c>
      <c r="E36" s="10">
        <f>COUNTIFS('Base de datos'!$B:$B, $B36, 'Base de datos'!$G:$G, $C36, 'Base de datos'!$F:$F, "&lt;&gt;")</f>
        <v>4</v>
      </c>
      <c r="F36" s="10">
        <f>COUNTIFS('Base de datos'!$B:$B, $B36, 'Base de datos'!$G:$G, $C36, 'Base de datos'!$L:$L, "Abierta")</f>
        <v>0</v>
      </c>
      <c r="G36" s="10">
        <f>COUNTIFS('Base de datos'!$B:$B, $B36, 'Base de datos'!$G:$G, $C36, 'Base de datos'!$L:$L, "Finalizada")</f>
        <v>0</v>
      </c>
      <c r="H36" s="10">
        <f>COUNTIFS('Base de datos'!$B:$B, $B36, 'Base de datos'!$G:$G, $C36, 'Base de datos'!$L:$L, "Vencida")</f>
        <v>4</v>
      </c>
      <c r="I36" s="10">
        <f>COUNTIFS('Base de datos'!$B:$B, $B36, 'Base de datos'!$G:$G, $C36, 'Base de datos'!$L:$L, "Sin plan de acción")</f>
        <v>0</v>
      </c>
      <c r="J36" s="10">
        <f>COUNTIFS('Base de datos'!$B:$B, $B36, 'Base de datos'!$G:$G, $C36, 'Base de datos'!$E:$E, "Alto")</f>
        <v>0</v>
      </c>
      <c r="K36" s="10">
        <f>COUNTIFS('Base de datos'!$B:$B, $B36, 'Base de datos'!$G:$G, $C36, 'Base de datos'!$E:$E, "Medio")</f>
        <v>1</v>
      </c>
      <c r="L36" s="10">
        <f>COUNTIFS('Base de datos'!$B:$B, $B36, 'Base de datos'!$G:$G, $C36, 'Base de datos'!$E:$E, "Bajo")</f>
        <v>0</v>
      </c>
      <c r="M36" s="10">
        <f ca="1">COUNTIFS('Base de datos'!$B:$B, $B36, 'Base de datos'!$G:$G, $C36, 'Base de datos'!$P:$P, "*10d*")</f>
        <v>0</v>
      </c>
      <c r="N36" s="10">
        <f ca="1">COUNTIFS('Base de datos'!$B:$B, $B36, 'Base de datos'!$G:$G, $C36, 'Base de datos'!$O:$O, "*20d*")</f>
        <v>0</v>
      </c>
      <c r="O36" s="29">
        <f ca="1">COUNTIFS('Base de datos'!$B:$B, $B36, 'Base de datos'!$G:$G, $C36, 'Base de datos'!$N:$N, "*30d*")</f>
        <v>0</v>
      </c>
      <c r="P36" s="52">
        <f ca="1">COUNTIFS('Base de datos'!$B:$B, $B36, 'Base de datos'!$G:$G, $C36, 'Base de datos'!$Q:$Q, "*5d*")</f>
        <v>0</v>
      </c>
      <c r="Q36" s="52">
        <f>COUNTIFS('Base de datos'!$A:$A, $A38, 'Base de datos'!$B:$B, $B38, 'Base de datos'!$G:$G, $C38, 'Base de datos'!$S:$S, "&gt;=01/01/2026", 'Base de datos'!$S:$S, "&lt;=31/01/2026")</f>
        <v>0</v>
      </c>
      <c r="R36" s="10">
        <f>COUNTIFS('Base de datos'!$A:$A, $A38, 'Base de datos'!$B:$B, $B38, 'Base de datos'!$G:$G, $C38, 'Base de datos'!$S:$S, "&gt;=01/02/2026", 'Base de datos'!$S:$S, "&lt;=28/02/2026")</f>
        <v>0</v>
      </c>
      <c r="S36" s="10">
        <f>COUNTIFS('Base de datos'!$A:$A, $A38, 'Base de datos'!$B:$B, $B38, 'Base de datos'!$G:$G, $C38, 'Base de datos'!$S:$S, "&gt;=01/03/2026", 'Base de datos'!$S:$S, "&lt;=31/03/2026")</f>
        <v>0</v>
      </c>
      <c r="T36" s="10">
        <f>COUNTIFS('Base de datos'!$A:$A, $A38, 'Base de datos'!$B:$B, $B38, 'Base de datos'!$G:$G, $C38, 'Base de datos'!$S:$S, "&gt;=01/04/2026", 'Base de datos'!$S:$S, "&lt;=30/04/2026")</f>
        <v>0</v>
      </c>
      <c r="U36" s="10">
        <f>COUNTIFS('Base de datos'!$A:$A, $A38, 'Base de datos'!$B:$B, $B38, 'Base de datos'!$G:$G, $C38, 'Base de datos'!$S:$S, "&gt;=01/05/2026", 'Base de datos'!$S:$S, "&lt;=31/05/2026")</f>
        <v>0</v>
      </c>
      <c r="V36" s="10">
        <f>COUNTIFS('Base de datos'!$A:$A, $A38, 'Base de datos'!$B:$B, $B38, 'Base de datos'!$G:$G, $C38, 'Base de datos'!$S:$S, "&gt;=01/06/2026", 'Base de datos'!$S:$S, "&lt;=30/06/2026")</f>
        <v>0</v>
      </c>
      <c r="W36" s="10">
        <f>COUNTIFS('Base de datos'!$A:$A, $A36, 'Base de datos'!$B:$B, $B36, 'Base de datos'!$G:$G, $C36, 'Base de datos'!$S:$S, "&gt;=01/07/2026", 'Base de datos'!$S:$S, "&lt;=31/07/2026")</f>
        <v>0</v>
      </c>
      <c r="X36" s="10">
        <f>COUNTIFS('Base de datos'!$A:$A, $A36, 'Base de datos'!$B:$B, $B36, 'Base de datos'!$G:$G, $C36, 'Base de datos'!$S:$S, "&gt;=01/08/2026", 'Base de datos'!$S:$S, "&lt;=31/08/2026")</f>
        <v>0</v>
      </c>
      <c r="Y36" s="10">
        <f>COUNTIFS('Base de datos'!$A:$A, $A36, 'Base de datos'!$B:$B, $B36, 'Base de datos'!$G:$G, $C36, 'Base de datos'!$S:$S, "&gt;=01/09/2026", 'Base de datos'!$S:$S, "&lt;=30/09/2026")</f>
        <v>0</v>
      </c>
      <c r="Z36" s="10">
        <f>COUNTIFS('Base de datos'!$A:$A, $A36, 'Base de datos'!$B:$B, $B36, 'Base de datos'!$G:$G, $C36, 'Base de datos'!$S:$S, "&gt;=01/10/2026", 'Base de datos'!$S:$S, "&lt;=31/10/2026")</f>
        <v>0</v>
      </c>
      <c r="AA36" s="10">
        <f>COUNTIFS('Base de datos'!$A:$A, $A36, 'Base de datos'!$B:$B, $B36, 'Base de datos'!$G:$G, $C36, 'Base de datos'!$S:$S, "&gt;=01/11/2026", 'Base de datos'!$S:$S, "&lt;=30/11/2026")</f>
        <v>0</v>
      </c>
      <c r="AB36" s="10">
        <f>COUNTIFS('Base de datos'!$A:$A, $A36, 'Base de datos'!$B:$B, $B36, 'Base de datos'!$G:$G, $C36, 'Base de datos'!$S:$S, "&gt;=01/12/2026", 'Base de datos'!$S:$S, "&lt;=31/12/2026")</f>
        <v>0</v>
      </c>
    </row>
    <row r="37" spans="1:28" ht="36">
      <c r="A37" s="3" t="s">
        <v>180</v>
      </c>
      <c r="B37" s="5" t="s">
        <v>419</v>
      </c>
      <c r="C37" s="6" t="s">
        <v>115</v>
      </c>
      <c r="D37" s="10">
        <f>COUNTIFS('Base de datos'!$B:$B, $B37, 'Base de datos'!$G:$G, $C37, 'Base de datos'!$D:$D, "&lt;&gt;")</f>
        <v>1</v>
      </c>
      <c r="E37" s="10">
        <f>COUNTIFS('Base de datos'!$B:$B, $B37, 'Base de datos'!$G:$G, $C37, 'Base de datos'!$F:$F, "&lt;&gt;")</f>
        <v>5</v>
      </c>
      <c r="F37" s="10">
        <f>COUNTIFS('Base de datos'!$B:$B, $B37, 'Base de datos'!$G:$G, $C37, 'Base de datos'!$L:$L, "Abierta")</f>
        <v>5</v>
      </c>
      <c r="G37" s="10">
        <f>COUNTIFS('Base de datos'!$B:$B, $B37, 'Base de datos'!$G:$G, $C37, 'Base de datos'!$L:$L, "Finalizada")</f>
        <v>0</v>
      </c>
      <c r="H37" s="10">
        <f>COUNTIFS('Base de datos'!$B:$B, $B37, 'Base de datos'!$G:$G, $C37, 'Base de datos'!$L:$L, "Vencida")</f>
        <v>0</v>
      </c>
      <c r="I37" s="10">
        <f>COUNTIFS('Base de datos'!$B:$B, $B37, 'Base de datos'!$G:$G, $C37, 'Base de datos'!$L:$L, "Sin plan de acción")</f>
        <v>0</v>
      </c>
      <c r="J37" s="10">
        <f>COUNTIFS('Base de datos'!$B:$B, $B37, 'Base de datos'!$G:$G, $C37, 'Base de datos'!$E:$E, "Alto")</f>
        <v>0</v>
      </c>
      <c r="K37" s="10">
        <f>COUNTIFS('Base de datos'!$B:$B, $B37, 'Base de datos'!$G:$G, $C37, 'Base de datos'!$E:$E, "Medio")</f>
        <v>1</v>
      </c>
      <c r="L37" s="10">
        <f>COUNTIFS('Base de datos'!$B:$B, $B37, 'Base de datos'!$G:$G, $C37, 'Base de datos'!$E:$E, "Bajo")</f>
        <v>0</v>
      </c>
      <c r="M37" s="10">
        <f ca="1">COUNTIFS('Base de datos'!$B:$B, $B37, 'Base de datos'!$G:$G, $C37, 'Base de datos'!$P:$P, "*10d*")</f>
        <v>0</v>
      </c>
      <c r="N37" s="10">
        <f ca="1">COUNTIFS('Base de datos'!$B:$B, $B37, 'Base de datos'!$G:$G, $C37, 'Base de datos'!$O:$O, "*20d*")</f>
        <v>0</v>
      </c>
      <c r="O37" s="29">
        <f ca="1">COUNTIFS('Base de datos'!$B:$B, $B37, 'Base de datos'!$G:$G, $C37, 'Base de datos'!$N:$N, "*30d*")</f>
        <v>0</v>
      </c>
      <c r="P37" s="52">
        <f ca="1">COUNTIFS('Base de datos'!$B:$B, $B37, 'Base de datos'!$G:$G, $C37, 'Base de datos'!$Q:$Q, "*5d*")</f>
        <v>0</v>
      </c>
      <c r="Q37" s="52">
        <f>COUNTIFS('Base de datos'!$A:$A, $A39, 'Base de datos'!$B:$B, $B39, 'Base de datos'!$G:$G, $C39, 'Base de datos'!$S:$S, "&gt;=01/01/2026", 'Base de datos'!$S:$S, "&lt;=31/01/2026")</f>
        <v>0</v>
      </c>
      <c r="R37" s="10">
        <f>COUNTIFS('Base de datos'!$A:$A, $A39, 'Base de datos'!$B:$B, $B39, 'Base de datos'!$G:$G, $C39, 'Base de datos'!$S:$S, "&gt;=01/02/2026", 'Base de datos'!$S:$S, "&lt;=28/02/2026")</f>
        <v>0</v>
      </c>
      <c r="S37" s="10">
        <f>COUNTIFS('Base de datos'!$A:$A, $A39, 'Base de datos'!$B:$B, $B39, 'Base de datos'!$G:$G, $C39, 'Base de datos'!$S:$S, "&gt;=01/03/2026", 'Base de datos'!$S:$S, "&lt;=31/03/2026")</f>
        <v>0</v>
      </c>
      <c r="T37" s="10">
        <f>COUNTIFS('Base de datos'!$A:$A, $A39, 'Base de datos'!$B:$B, $B39, 'Base de datos'!$G:$G, $C39, 'Base de datos'!$S:$S, "&gt;=01/04/2026", 'Base de datos'!$S:$S, "&lt;=30/04/2026")</f>
        <v>0</v>
      </c>
      <c r="U37" s="10">
        <f>COUNTIFS('Base de datos'!$A:$A, $A39, 'Base de datos'!$B:$B, $B39, 'Base de datos'!$G:$G, $C39, 'Base de datos'!$S:$S, "&gt;=01/05/2026", 'Base de datos'!$S:$S, "&lt;=31/05/2026")</f>
        <v>0</v>
      </c>
      <c r="V37" s="10">
        <f>COUNTIFS('Base de datos'!$A:$A, $A39, 'Base de datos'!$B:$B, $B39, 'Base de datos'!$G:$G, $C39, 'Base de datos'!$S:$S, "&gt;=01/06/2026", 'Base de datos'!$S:$S, "&lt;=30/06/2026")</f>
        <v>0</v>
      </c>
      <c r="W37" s="10">
        <f>COUNTIFS('Base de datos'!$A:$A, $A37, 'Base de datos'!$B:$B, $B37, 'Base de datos'!$G:$G, $C37, 'Base de datos'!$S:$S, "&gt;=01/07/2026", 'Base de datos'!$S:$S, "&lt;=31/07/2026")</f>
        <v>0</v>
      </c>
      <c r="X37" s="10">
        <f>COUNTIFS('Base de datos'!$A:$A, $A37, 'Base de datos'!$B:$B, $B37, 'Base de datos'!$G:$G, $C37, 'Base de datos'!$S:$S, "&gt;=01/08/2026", 'Base de datos'!$S:$S, "&lt;=31/08/2026")</f>
        <v>0</v>
      </c>
      <c r="Y37" s="10">
        <f>COUNTIFS('Base de datos'!$A:$A, $A37, 'Base de datos'!$B:$B, $B37, 'Base de datos'!$G:$G, $C37, 'Base de datos'!$S:$S, "&gt;=01/09/2026", 'Base de datos'!$S:$S, "&lt;=30/09/2026")</f>
        <v>0</v>
      </c>
      <c r="Z37" s="10">
        <f>COUNTIFS('Base de datos'!$A:$A, $A37, 'Base de datos'!$B:$B, $B37, 'Base de datos'!$G:$G, $C37, 'Base de datos'!$S:$S, "&gt;=01/10/2026", 'Base de datos'!$S:$S, "&lt;=31/10/2026")</f>
        <v>0</v>
      </c>
      <c r="AA37" s="10">
        <f>COUNTIFS('Base de datos'!$A:$A, $A37, 'Base de datos'!$B:$B, $B37, 'Base de datos'!$G:$G, $C37, 'Base de datos'!$S:$S, "&gt;=01/11/2026", 'Base de datos'!$S:$S, "&lt;=30/11/2026")</f>
        <v>0</v>
      </c>
      <c r="AB37" s="10">
        <f>COUNTIFS('Base de datos'!$A:$A, $A37, 'Base de datos'!$B:$B, $B37, 'Base de datos'!$G:$G, $C37, 'Base de datos'!$S:$S, "&gt;=01/12/2026", 'Base de datos'!$S:$S, "&lt;=31/12/2026")</f>
        <v>0</v>
      </c>
    </row>
    <row r="38" spans="1:28" ht="68.400000000000006">
      <c r="A38" s="3" t="s">
        <v>180</v>
      </c>
      <c r="B38" s="5" t="s">
        <v>419</v>
      </c>
      <c r="C38" s="6" t="s">
        <v>445</v>
      </c>
      <c r="D38" s="10">
        <f>COUNTIFS('Base de datos'!$B:$B, $B38, 'Base de datos'!$G:$G, $C38, 'Base de datos'!$D:$D, "&lt;&gt;")</f>
        <v>1</v>
      </c>
      <c r="E38" s="10">
        <f>COUNTIFS('Base de datos'!$B:$B, $B38, 'Base de datos'!$G:$G, $C38, 'Base de datos'!$F:$F, "&lt;&gt;")</f>
        <v>3</v>
      </c>
      <c r="F38" s="10">
        <f>COUNTIFS('Base de datos'!$B:$B, $B38, 'Base de datos'!$G:$G, $C38, 'Base de datos'!$L:$L, "Abierta")</f>
        <v>0</v>
      </c>
      <c r="G38" s="10">
        <f>COUNTIFS('Base de datos'!$B:$B, $B38, 'Base de datos'!$G:$G, $C38, 'Base de datos'!$L:$L, "Finalizada")</f>
        <v>0</v>
      </c>
      <c r="H38" s="10">
        <f>COUNTIFS('Base de datos'!$B:$B, $B38, 'Base de datos'!$G:$G, $C38, 'Base de datos'!$L:$L, "Vencida")</f>
        <v>3</v>
      </c>
      <c r="I38" s="10">
        <f>COUNTIFS('Base de datos'!$B:$B, $B38, 'Base de datos'!$G:$G, $C38, 'Base de datos'!$L:$L, "Sin plan de acción")</f>
        <v>0</v>
      </c>
      <c r="J38" s="10">
        <f>COUNTIFS('Base de datos'!$B:$B, $B38, 'Base de datos'!$G:$G, $C38, 'Base de datos'!$E:$E, "Alto")</f>
        <v>0</v>
      </c>
      <c r="K38" s="10">
        <f>COUNTIFS('Base de datos'!$B:$B, $B38, 'Base de datos'!$G:$G, $C38, 'Base de datos'!$E:$E, "Medio")</f>
        <v>1</v>
      </c>
      <c r="L38" s="10">
        <f>COUNTIFS('Base de datos'!$B:$B, $B38, 'Base de datos'!$G:$G, $C38, 'Base de datos'!$E:$E, "Bajo")</f>
        <v>0</v>
      </c>
      <c r="M38" s="10">
        <f ca="1">COUNTIFS('Base de datos'!$B:$B, $B38, 'Base de datos'!$G:$G, $C38, 'Base de datos'!$P:$P, "*10d*")</f>
        <v>0</v>
      </c>
      <c r="N38" s="10">
        <f ca="1">COUNTIFS('Base de datos'!$B:$B, $B38, 'Base de datos'!$G:$G, $C38, 'Base de datos'!$O:$O, "*20d*")</f>
        <v>0</v>
      </c>
      <c r="O38" s="29">
        <f ca="1">COUNTIFS('Base de datos'!$B:$B, $B38, 'Base de datos'!$G:$G, $C38, 'Base de datos'!$N:$N, "*30d*")</f>
        <v>0</v>
      </c>
      <c r="P38" s="52">
        <f ca="1">COUNTIFS('Base de datos'!$B:$B, $B38, 'Base de datos'!$G:$G, $C38, 'Base de datos'!$Q:$Q, "*5d*")</f>
        <v>0</v>
      </c>
      <c r="Q38" s="52">
        <f>COUNTIFS('Base de datos'!$A:$A, $A40, 'Base de datos'!$B:$B, $B40, 'Base de datos'!$G:$G, $C40, 'Base de datos'!$S:$S, "&gt;=01/01/2026", 'Base de datos'!$S:$S, "&lt;=31/01/2026")</f>
        <v>0</v>
      </c>
      <c r="R38" s="10">
        <f>COUNTIFS('Base de datos'!$A:$A, $A40, 'Base de datos'!$B:$B, $B40, 'Base de datos'!$G:$G, $C40, 'Base de datos'!$S:$S, "&gt;=01/02/2026", 'Base de datos'!$S:$S, "&lt;=28/02/2026")</f>
        <v>0</v>
      </c>
      <c r="S38" s="10">
        <f>COUNTIFS('Base de datos'!$A:$A, $A40, 'Base de datos'!$B:$B, $B40, 'Base de datos'!$G:$G, $C40, 'Base de datos'!$S:$S, "&gt;=01/03/2026", 'Base de datos'!$S:$S, "&lt;=31/03/2026")</f>
        <v>0</v>
      </c>
      <c r="T38" s="10">
        <f>COUNTIFS('Base de datos'!$A:$A, $A40, 'Base de datos'!$B:$B, $B40, 'Base de datos'!$G:$G, $C40, 'Base de datos'!$S:$S, "&gt;=01/04/2026", 'Base de datos'!$S:$S, "&lt;=30/04/2026")</f>
        <v>0</v>
      </c>
      <c r="U38" s="10">
        <f>COUNTIFS('Base de datos'!$A:$A, $A40, 'Base de datos'!$B:$B, $B40, 'Base de datos'!$G:$G, $C40, 'Base de datos'!$S:$S, "&gt;=01/05/2026", 'Base de datos'!$S:$S, "&lt;=31/05/2026")</f>
        <v>0</v>
      </c>
      <c r="V38" s="10">
        <f>COUNTIFS('Base de datos'!$A:$A, $A40, 'Base de datos'!$B:$B, $B40, 'Base de datos'!$G:$G, $C40, 'Base de datos'!$S:$S, "&gt;=01/06/2026", 'Base de datos'!$S:$S, "&lt;=30/06/2026")</f>
        <v>0</v>
      </c>
      <c r="W38" s="10">
        <f>COUNTIFS('Base de datos'!$A:$A, $A38, 'Base de datos'!$B:$B, $B38, 'Base de datos'!$G:$G, $C38, 'Base de datos'!$S:$S, "&gt;=01/07/2026", 'Base de datos'!$S:$S, "&lt;=31/07/2026")</f>
        <v>0</v>
      </c>
      <c r="X38" s="10">
        <f>COUNTIFS('Base de datos'!$A:$A, $A38, 'Base de datos'!$B:$B, $B38, 'Base de datos'!$G:$G, $C38, 'Base de datos'!$S:$S, "&gt;=01/08/2026", 'Base de datos'!$S:$S, "&lt;=31/08/2026")</f>
        <v>0</v>
      </c>
      <c r="Y38" s="10">
        <f>COUNTIFS('Base de datos'!$A:$A, $A38, 'Base de datos'!$B:$B, $B38, 'Base de datos'!$G:$G, $C38, 'Base de datos'!$S:$S, "&gt;=01/09/2026", 'Base de datos'!$S:$S, "&lt;=30/09/2026")</f>
        <v>0</v>
      </c>
      <c r="Z38" s="10">
        <f>COUNTIFS('Base de datos'!$A:$A, $A38, 'Base de datos'!$B:$B, $B38, 'Base de datos'!$G:$G, $C38, 'Base de datos'!$S:$S, "&gt;=01/10/2026", 'Base de datos'!$S:$S, "&lt;=31/10/2026")</f>
        <v>0</v>
      </c>
      <c r="AA38" s="10">
        <f>COUNTIFS('Base de datos'!$A:$A, $A38, 'Base de datos'!$B:$B, $B38, 'Base de datos'!$G:$G, $C38, 'Base de datos'!$S:$S, "&gt;=01/11/2026", 'Base de datos'!$S:$S, "&lt;=30/11/2026")</f>
        <v>0</v>
      </c>
      <c r="AB38" s="10">
        <f>COUNTIFS('Base de datos'!$A:$A, $A38, 'Base de datos'!$B:$B, $B38, 'Base de datos'!$G:$G, $C38, 'Base de datos'!$S:$S, "&gt;=01/12/2026", 'Base de datos'!$S:$S, "&lt;=31/12/2026")</f>
        <v>0</v>
      </c>
    </row>
    <row r="39" spans="1:28" ht="24">
      <c r="A39" s="3" t="s">
        <v>180</v>
      </c>
      <c r="B39" s="5" t="s">
        <v>449</v>
      </c>
      <c r="C39" s="6" t="s">
        <v>179</v>
      </c>
      <c r="D39" s="10">
        <f>COUNTIFS('Base de datos'!$B:$B, $B39, 'Base de datos'!$G:$G, $C39, 'Base de datos'!$D:$D, "&lt;&gt;")</f>
        <v>1</v>
      </c>
      <c r="E39" s="10">
        <f>COUNTIFS('Base de datos'!$B:$B, $B39, 'Base de datos'!$G:$G, $C39, 'Base de datos'!$F:$F, "&lt;&gt;")</f>
        <v>1</v>
      </c>
      <c r="F39" s="10">
        <f>COUNTIFS('Base de datos'!$B:$B, $B39, 'Base de datos'!$G:$G, $C39, 'Base de datos'!$L:$L, "Abierta")</f>
        <v>0</v>
      </c>
      <c r="G39" s="10">
        <f>COUNTIFS('Base de datos'!$B:$B, $B39, 'Base de datos'!$G:$G, $C39, 'Base de datos'!$L:$L, "Finalizada")</f>
        <v>0</v>
      </c>
      <c r="H39" s="10">
        <f>COUNTIFS('Base de datos'!$B:$B, $B39, 'Base de datos'!$G:$G, $C39, 'Base de datos'!$L:$L, "Vencida")</f>
        <v>1</v>
      </c>
      <c r="I39" s="10">
        <f>COUNTIFS('Base de datos'!$B:$B, $B39, 'Base de datos'!$G:$G, $C39, 'Base de datos'!$L:$L, "Sin plan de acción")</f>
        <v>0</v>
      </c>
      <c r="J39" s="10">
        <f>COUNTIFS('Base de datos'!$B:$B, $B39, 'Base de datos'!$G:$G, $C39, 'Base de datos'!$E:$E, "Alto")</f>
        <v>1</v>
      </c>
      <c r="K39" s="10">
        <f>COUNTIFS('Base de datos'!$B:$B, $B39, 'Base de datos'!$G:$G, $C39, 'Base de datos'!$E:$E, "Medio")</f>
        <v>0</v>
      </c>
      <c r="L39" s="10">
        <f>COUNTIFS('Base de datos'!$B:$B, $B39, 'Base de datos'!$G:$G, $C39, 'Base de datos'!$E:$E, "Bajo")</f>
        <v>0</v>
      </c>
      <c r="M39" s="10">
        <f ca="1">COUNTIFS('Base de datos'!$B:$B, $B39, 'Base de datos'!$G:$G, $C39, 'Base de datos'!$P:$P, "*10d*")</f>
        <v>0</v>
      </c>
      <c r="N39" s="10">
        <f ca="1">COUNTIFS('Base de datos'!$B:$B, $B39, 'Base de datos'!$G:$G, $C39, 'Base de datos'!$O:$O, "*20d*")</f>
        <v>0</v>
      </c>
      <c r="O39" s="29">
        <f ca="1">COUNTIFS('Base de datos'!$B:$B, $B39, 'Base de datos'!$G:$G, $C39, 'Base de datos'!$N:$N, "*30d*")</f>
        <v>0</v>
      </c>
      <c r="P39" s="52">
        <f ca="1">COUNTIFS('Base de datos'!$B:$B, $B39, 'Base de datos'!$G:$G, $C39, 'Base de datos'!$Q:$Q, "*5d*")</f>
        <v>0</v>
      </c>
      <c r="Q39" s="52">
        <f>COUNTIFS('Base de datos'!$A:$A, $A41, 'Base de datos'!$B:$B, $B41, 'Base de datos'!$G:$G, $C41, 'Base de datos'!$S:$S, "&gt;=01/01/2026", 'Base de datos'!$S:$S, "&lt;=31/01/2026")</f>
        <v>0</v>
      </c>
      <c r="R39" s="10">
        <f>COUNTIFS('Base de datos'!$A:$A, $A41, 'Base de datos'!$B:$B, $B41, 'Base de datos'!$G:$G, $C41, 'Base de datos'!$S:$S, "&gt;=01/02/2026", 'Base de datos'!$S:$S, "&lt;=28/02/2026")</f>
        <v>0</v>
      </c>
      <c r="S39" s="10">
        <f>COUNTIFS('Base de datos'!$A:$A, $A41, 'Base de datos'!$B:$B, $B41, 'Base de datos'!$G:$G, $C41, 'Base de datos'!$S:$S, "&gt;=01/03/2026", 'Base de datos'!$S:$S, "&lt;=31/03/2026")</f>
        <v>0</v>
      </c>
      <c r="T39" s="10">
        <f>COUNTIFS('Base de datos'!$A:$A, $A41, 'Base de datos'!$B:$B, $B41, 'Base de datos'!$G:$G, $C41, 'Base de datos'!$S:$S, "&gt;=01/04/2026", 'Base de datos'!$S:$S, "&lt;=30/04/2026")</f>
        <v>1</v>
      </c>
      <c r="U39" s="10">
        <f>COUNTIFS('Base de datos'!$A:$A, $A41, 'Base de datos'!$B:$B, $B41, 'Base de datos'!$G:$G, $C41, 'Base de datos'!$S:$S, "&gt;=01/05/2026", 'Base de datos'!$S:$S, "&lt;=31/05/2026")</f>
        <v>0</v>
      </c>
      <c r="V39" s="10">
        <f>COUNTIFS('Base de datos'!$A:$A, $A41, 'Base de datos'!$B:$B, $B41, 'Base de datos'!$G:$G, $C41, 'Base de datos'!$S:$S, "&gt;=01/06/2026", 'Base de datos'!$S:$S, "&lt;=30/06/2026")</f>
        <v>0</v>
      </c>
      <c r="W39" s="10">
        <f>COUNTIFS('Base de datos'!$A:$A, $A39, 'Base de datos'!$B:$B, $B39, 'Base de datos'!$G:$G, $C39, 'Base de datos'!$S:$S, "&gt;=01/07/2026", 'Base de datos'!$S:$S, "&lt;=31/07/2026")</f>
        <v>0</v>
      </c>
      <c r="X39" s="10">
        <f>COUNTIFS('Base de datos'!$A:$A, $A39, 'Base de datos'!$B:$B, $B39, 'Base de datos'!$G:$G, $C39, 'Base de datos'!$S:$S, "&gt;=01/08/2026", 'Base de datos'!$S:$S, "&lt;=31/08/2026")</f>
        <v>0</v>
      </c>
      <c r="Y39" s="10">
        <f>COUNTIFS('Base de datos'!$A:$A, $A39, 'Base de datos'!$B:$B, $B39, 'Base de datos'!$G:$G, $C39, 'Base de datos'!$S:$S, "&gt;=01/09/2026", 'Base de datos'!$S:$S, "&lt;=30/09/2026")</f>
        <v>0</v>
      </c>
      <c r="Z39" s="10">
        <f>COUNTIFS('Base de datos'!$A:$A, $A39, 'Base de datos'!$B:$B, $B39, 'Base de datos'!$G:$G, $C39, 'Base de datos'!$S:$S, "&gt;=01/10/2026", 'Base de datos'!$S:$S, "&lt;=31/10/2026")</f>
        <v>0</v>
      </c>
      <c r="AA39" s="10">
        <f>COUNTIFS('Base de datos'!$A:$A, $A39, 'Base de datos'!$B:$B, $B39, 'Base de datos'!$G:$G, $C39, 'Base de datos'!$S:$S, "&gt;=01/11/2026", 'Base de datos'!$S:$S, "&lt;=30/11/2026")</f>
        <v>0</v>
      </c>
      <c r="AB39" s="10">
        <f>COUNTIFS('Base de datos'!$A:$A, $A39, 'Base de datos'!$B:$B, $B39, 'Base de datos'!$G:$G, $C39, 'Base de datos'!$S:$S, "&gt;=01/12/2026", 'Base de datos'!$S:$S, "&lt;=31/12/2026")</f>
        <v>0</v>
      </c>
    </row>
    <row r="40" spans="1:28" ht="24">
      <c r="A40" s="3" t="s">
        <v>180</v>
      </c>
      <c r="B40" s="5" t="s">
        <v>449</v>
      </c>
      <c r="C40" s="6" t="s">
        <v>115</v>
      </c>
      <c r="D40" s="10">
        <f>COUNTIFS('Base de datos'!$B:$B, $B40, 'Base de datos'!$G:$G, $C40, 'Base de datos'!$D:$D, "&lt;&gt;")</f>
        <v>2</v>
      </c>
      <c r="E40" s="10">
        <f>COUNTIFS('Base de datos'!$B:$B, $B40, 'Base de datos'!$G:$G, $C40, 'Base de datos'!$F:$F, "&lt;&gt;")</f>
        <v>2</v>
      </c>
      <c r="F40" s="10">
        <f>COUNTIFS('Base de datos'!$B:$B, $B40, 'Base de datos'!$G:$G, $C40, 'Base de datos'!$L:$L, "Abierta")</f>
        <v>0</v>
      </c>
      <c r="G40" s="10">
        <f>COUNTIFS('Base de datos'!$B:$B, $B40, 'Base de datos'!$G:$G, $C40, 'Base de datos'!$L:$L, "Finalizada")</f>
        <v>2</v>
      </c>
      <c r="H40" s="10">
        <f>COUNTIFS('Base de datos'!$B:$B, $B40, 'Base de datos'!$G:$G, $C40, 'Base de datos'!$L:$L, "Vencida")</f>
        <v>0</v>
      </c>
      <c r="I40" s="10">
        <f>COUNTIFS('Base de datos'!$B:$B, $B40, 'Base de datos'!$G:$G, $C40, 'Base de datos'!$L:$L, "Sin plan de acción")</f>
        <v>0</v>
      </c>
      <c r="J40" s="10">
        <f>COUNTIFS('Base de datos'!$B:$B, $B40, 'Base de datos'!$G:$G, $C40, 'Base de datos'!$E:$E, "Alto")</f>
        <v>0</v>
      </c>
      <c r="K40" s="10">
        <f>COUNTIFS('Base de datos'!$B:$B, $B40, 'Base de datos'!$G:$G, $C40, 'Base de datos'!$E:$E, "Medio")</f>
        <v>2</v>
      </c>
      <c r="L40" s="10">
        <f>COUNTIFS('Base de datos'!$B:$B, $B40, 'Base de datos'!$G:$G, $C40, 'Base de datos'!$E:$E, "Bajo")</f>
        <v>0</v>
      </c>
      <c r="M40" s="10">
        <f ca="1">COUNTIFS('Base de datos'!$B:$B, $B40, 'Base de datos'!$G:$G, $C40, 'Base de datos'!$P:$P, "*10d*")</f>
        <v>0</v>
      </c>
      <c r="N40" s="10">
        <f ca="1">COUNTIFS('Base de datos'!$B:$B, $B40, 'Base de datos'!$G:$G, $C40, 'Base de datos'!$O:$O, "*20d*")</f>
        <v>0</v>
      </c>
      <c r="O40" s="29">
        <f ca="1">COUNTIFS('Base de datos'!$B:$B, $B40, 'Base de datos'!$G:$G, $C40, 'Base de datos'!$N:$N, "*30d*")</f>
        <v>0</v>
      </c>
      <c r="P40" s="52">
        <f ca="1">COUNTIFS('Base de datos'!$B:$B, $B40, 'Base de datos'!$G:$G, $C40, 'Base de datos'!$Q:$Q, "*5d*")</f>
        <v>0</v>
      </c>
      <c r="Q40" s="52">
        <f>COUNTIFS('Base de datos'!$A:$A, $A42, 'Base de datos'!$B:$B, $B42, 'Base de datos'!$G:$G, $C42, 'Base de datos'!$S:$S, "&gt;=01/01/2026", 'Base de datos'!$S:$S, "&lt;=31/01/2026")</f>
        <v>0</v>
      </c>
      <c r="R40" s="10">
        <f>COUNTIFS('Base de datos'!$A:$A, $A42, 'Base de datos'!$B:$B, $B42, 'Base de datos'!$G:$G, $C42, 'Base de datos'!$S:$S, "&gt;=01/02/2026", 'Base de datos'!$S:$S, "&lt;=28/02/2026")</f>
        <v>0</v>
      </c>
      <c r="S40" s="10">
        <f>COUNTIFS('Base de datos'!$A:$A, $A42, 'Base de datos'!$B:$B, $B42, 'Base de datos'!$G:$G, $C42, 'Base de datos'!$S:$S, "&gt;=01/03/2026", 'Base de datos'!$S:$S, "&lt;=31/03/2026")</f>
        <v>0</v>
      </c>
      <c r="T40" s="10">
        <f>COUNTIFS('Base de datos'!$A:$A, $A42, 'Base de datos'!$B:$B, $B42, 'Base de datos'!$G:$G, $C42, 'Base de datos'!$S:$S, "&gt;=01/04/2026", 'Base de datos'!$S:$S, "&lt;=30/04/2026")</f>
        <v>0</v>
      </c>
      <c r="U40" s="10">
        <f>COUNTIFS('Base de datos'!$A:$A, $A42, 'Base de datos'!$B:$B, $B42, 'Base de datos'!$G:$G, $C42, 'Base de datos'!$S:$S, "&gt;=01/05/2026", 'Base de datos'!$S:$S, "&lt;=31/05/2026")</f>
        <v>0</v>
      </c>
      <c r="V40" s="10">
        <f>COUNTIFS('Base de datos'!$A:$A, $A42, 'Base de datos'!$B:$B, $B42, 'Base de datos'!$G:$G, $C42, 'Base de datos'!$S:$S, "&gt;=01/06/2026", 'Base de datos'!$S:$S, "&lt;=30/06/2026")</f>
        <v>0</v>
      </c>
      <c r="W40" s="10">
        <f>COUNTIFS('Base de datos'!$A:$A, $A40, 'Base de datos'!$B:$B, $B40, 'Base de datos'!$G:$G, $C40, 'Base de datos'!$S:$S, "&gt;=01/07/2026", 'Base de datos'!$S:$S, "&lt;=31/07/2026")</f>
        <v>0</v>
      </c>
      <c r="X40" s="10">
        <f>COUNTIFS('Base de datos'!$A:$A, $A40, 'Base de datos'!$B:$B, $B40, 'Base de datos'!$G:$G, $C40, 'Base de datos'!$S:$S, "&gt;=01/08/2026", 'Base de datos'!$S:$S, "&lt;=31/08/2026")</f>
        <v>0</v>
      </c>
      <c r="Y40" s="10">
        <f>COUNTIFS('Base de datos'!$A:$A, $A40, 'Base de datos'!$B:$B, $B40, 'Base de datos'!$G:$G, $C40, 'Base de datos'!$S:$S, "&gt;=01/09/2026", 'Base de datos'!$S:$S, "&lt;=30/09/2026")</f>
        <v>0</v>
      </c>
      <c r="Z40" s="10">
        <f>COUNTIFS('Base de datos'!$A:$A, $A40, 'Base de datos'!$B:$B, $B40, 'Base de datos'!$G:$G, $C40, 'Base de datos'!$S:$S, "&gt;=01/10/2026", 'Base de datos'!$S:$S, "&lt;=31/10/2026")</f>
        <v>0</v>
      </c>
      <c r="AA40" s="10">
        <f>COUNTIFS('Base de datos'!$A:$A, $A40, 'Base de datos'!$B:$B, $B40, 'Base de datos'!$G:$G, $C40, 'Base de datos'!$S:$S, "&gt;=01/11/2026", 'Base de datos'!$S:$S, "&lt;=30/11/2026")</f>
        <v>0</v>
      </c>
      <c r="AB40" s="10">
        <f>COUNTIFS('Base de datos'!$A:$A, $A40, 'Base de datos'!$B:$B, $B40, 'Base de datos'!$G:$G, $C40, 'Base de datos'!$S:$S, "&gt;=01/12/2026", 'Base de datos'!$S:$S, "&lt;=31/12/2026")</f>
        <v>0</v>
      </c>
    </row>
    <row r="41" spans="1:28" ht="24">
      <c r="A41" s="3" t="s">
        <v>180</v>
      </c>
      <c r="B41" s="5" t="s">
        <v>449</v>
      </c>
      <c r="C41" s="6" t="s">
        <v>118</v>
      </c>
      <c r="D41" s="10">
        <f>COUNTIFS('Base de datos'!$B:$B, $B41, 'Base de datos'!$G:$G, $C41, 'Base de datos'!$D:$D, "&lt;&gt;")</f>
        <v>1</v>
      </c>
      <c r="E41" s="10">
        <f>COUNTIFS('Base de datos'!$B:$B, $B41, 'Base de datos'!$G:$G, $C41, 'Base de datos'!$F:$F, "&lt;&gt;")</f>
        <v>1</v>
      </c>
      <c r="F41" s="10">
        <f>COUNTIFS('Base de datos'!$B:$B, $B41, 'Base de datos'!$G:$G, $C41, 'Base de datos'!$L:$L, "Abierta")</f>
        <v>0</v>
      </c>
      <c r="G41" s="10">
        <f>COUNTIFS('Base de datos'!$B:$B, $B41, 'Base de datos'!$G:$G, $C41, 'Base de datos'!$L:$L, "Finalizada")</f>
        <v>1</v>
      </c>
      <c r="H41" s="10">
        <f>COUNTIFS('Base de datos'!$B:$B, $B41, 'Base de datos'!$G:$G, $C41, 'Base de datos'!$L:$L, "Vencida")</f>
        <v>0</v>
      </c>
      <c r="I41" s="10">
        <f>COUNTIFS('Base de datos'!$B:$B, $B41, 'Base de datos'!$G:$G, $C41, 'Base de datos'!$L:$L, "Sin plan de acción")</f>
        <v>0</v>
      </c>
      <c r="J41" s="10">
        <f>COUNTIFS('Base de datos'!$B:$B, $B41, 'Base de datos'!$G:$G, $C41, 'Base de datos'!$E:$E, "Alto")</f>
        <v>0</v>
      </c>
      <c r="K41" s="10">
        <f>COUNTIFS('Base de datos'!$B:$B, $B41, 'Base de datos'!$G:$G, $C41, 'Base de datos'!$E:$E, "Medio")</f>
        <v>0</v>
      </c>
      <c r="L41" s="10">
        <f>COUNTIFS('Base de datos'!$B:$B, $B41, 'Base de datos'!$G:$G, $C41, 'Base de datos'!$E:$E, "Bajo")</f>
        <v>1</v>
      </c>
      <c r="M41" s="10">
        <f ca="1">COUNTIFS('Base de datos'!$B:$B, $B41, 'Base de datos'!$G:$G, $C41, 'Base de datos'!$P:$P, "*10d*")</f>
        <v>0</v>
      </c>
      <c r="N41" s="10">
        <f ca="1">COUNTIFS('Base de datos'!$B:$B, $B41, 'Base de datos'!$G:$G, $C41, 'Base de datos'!$O:$O, "*20d*")</f>
        <v>0</v>
      </c>
      <c r="O41" s="29">
        <f ca="1">COUNTIFS('Base de datos'!$B:$B, $B41, 'Base de datos'!$G:$G, $C41, 'Base de datos'!$N:$N, "*30d*")</f>
        <v>0</v>
      </c>
      <c r="P41" s="52">
        <f ca="1">COUNTIFS('Base de datos'!$B:$B, $B41, 'Base de datos'!$G:$G, $C41, 'Base de datos'!$Q:$Q, "*5d*")</f>
        <v>0</v>
      </c>
      <c r="Q41" s="52">
        <f>COUNTIFS('Base de datos'!$A:$A, $A43, 'Base de datos'!$B:$B, $B43, 'Base de datos'!$G:$G, $C43, 'Base de datos'!$S:$S, "&gt;=01/01/2026", 'Base de datos'!$S:$S, "&lt;=31/01/2026")</f>
        <v>0</v>
      </c>
      <c r="R41" s="10">
        <f>COUNTIFS('Base de datos'!$A:$A, $A43, 'Base de datos'!$B:$B, $B43, 'Base de datos'!$G:$G, $C43, 'Base de datos'!$S:$S, "&gt;=01/02/2026", 'Base de datos'!$S:$S, "&lt;=28/02/2026")</f>
        <v>0</v>
      </c>
      <c r="S41" s="10">
        <f>COUNTIFS('Base de datos'!$A:$A, $A43, 'Base de datos'!$B:$B, $B43, 'Base de datos'!$G:$G, $C43, 'Base de datos'!$S:$S, "&gt;=01/03/2026", 'Base de datos'!$S:$S, "&lt;=31/03/2026")</f>
        <v>0</v>
      </c>
      <c r="T41" s="10">
        <f>COUNTIFS('Base de datos'!$A:$A, $A43, 'Base de datos'!$B:$B, $B43, 'Base de datos'!$G:$G, $C43, 'Base de datos'!$S:$S, "&gt;=01/04/2026", 'Base de datos'!$S:$S, "&lt;=30/04/2026")</f>
        <v>0</v>
      </c>
      <c r="U41" s="10">
        <f>COUNTIFS('Base de datos'!$A:$A, $A43, 'Base de datos'!$B:$B, $B43, 'Base de datos'!$G:$G, $C43, 'Base de datos'!$S:$S, "&gt;=01/05/2026", 'Base de datos'!$S:$S, "&lt;=31/05/2026")</f>
        <v>0</v>
      </c>
      <c r="V41" s="10">
        <f>COUNTIFS('Base de datos'!$A:$A, $A43, 'Base de datos'!$B:$B, $B43, 'Base de datos'!$G:$G, $C43, 'Base de datos'!$S:$S, "&gt;=01/06/2026", 'Base de datos'!$S:$S, "&lt;=30/06/2026")</f>
        <v>0</v>
      </c>
      <c r="W41" s="10">
        <f>COUNTIFS('Base de datos'!$A:$A, $A41, 'Base de datos'!$B:$B, $B41, 'Base de datos'!$G:$G, $C41, 'Base de datos'!$S:$S, "&gt;=01/07/2026", 'Base de datos'!$S:$S, "&lt;=31/07/2026")</f>
        <v>0</v>
      </c>
      <c r="X41" s="10">
        <f>COUNTIFS('Base de datos'!$A:$A, $A41, 'Base de datos'!$B:$B, $B41, 'Base de datos'!$G:$G, $C41, 'Base de datos'!$S:$S, "&gt;=01/08/2026", 'Base de datos'!$S:$S, "&lt;=31/08/2026")</f>
        <v>0</v>
      </c>
      <c r="Y41" s="10">
        <f>COUNTIFS('Base de datos'!$A:$A, $A41, 'Base de datos'!$B:$B, $B41, 'Base de datos'!$G:$G, $C41, 'Base de datos'!$S:$S, "&gt;=01/09/2026", 'Base de datos'!$S:$S, "&lt;=30/09/2026")</f>
        <v>0</v>
      </c>
      <c r="Z41" s="10">
        <f>COUNTIFS('Base de datos'!$A:$A, $A41, 'Base de datos'!$B:$B, $B41, 'Base de datos'!$G:$G, $C41, 'Base de datos'!$S:$S, "&gt;=01/10/2026", 'Base de datos'!$S:$S, "&lt;=31/10/2026")</f>
        <v>0</v>
      </c>
      <c r="AA41" s="10">
        <f>COUNTIFS('Base de datos'!$A:$A, $A41, 'Base de datos'!$B:$B, $B41, 'Base de datos'!$G:$G, $C41, 'Base de datos'!$S:$S, "&gt;=01/11/2026", 'Base de datos'!$S:$S, "&lt;=30/11/2026")</f>
        <v>0</v>
      </c>
      <c r="AB41" s="10">
        <f>COUNTIFS('Base de datos'!$A:$A, $A41, 'Base de datos'!$B:$B, $B41, 'Base de datos'!$G:$G, $C41, 'Base de datos'!$S:$S, "&gt;=01/12/2026", 'Base de datos'!$S:$S, "&lt;=31/12/2026")</f>
        <v>0</v>
      </c>
    </row>
    <row r="42" spans="1:28" ht="34.200000000000003">
      <c r="A42" s="3" t="s">
        <v>180</v>
      </c>
      <c r="B42" s="5" t="s">
        <v>461</v>
      </c>
      <c r="C42" s="6" t="s">
        <v>148</v>
      </c>
      <c r="D42" s="10">
        <f>COUNTIFS('Base de datos'!$B:$B, $B42, 'Base de datos'!$G:$G, $C42, 'Base de datos'!$D:$D, "&lt;&gt;")</f>
        <v>2</v>
      </c>
      <c r="E42" s="10">
        <f>COUNTIFS('Base de datos'!$B:$B, $B42, 'Base de datos'!$G:$G, $C42, 'Base de datos'!$F:$F, "&lt;&gt;")</f>
        <v>5</v>
      </c>
      <c r="F42" s="10">
        <f>COUNTIFS('Base de datos'!$B:$B, $B42, 'Base de datos'!$G:$G, $C42, 'Base de datos'!$L:$L, "Abierta")</f>
        <v>5</v>
      </c>
      <c r="G42" s="10">
        <f>COUNTIFS('Base de datos'!$B:$B, $B42, 'Base de datos'!$G:$G, $C42, 'Base de datos'!$L:$L, "Finalizada")</f>
        <v>0</v>
      </c>
      <c r="H42" s="10">
        <f>COUNTIFS('Base de datos'!$B:$B, $B42, 'Base de datos'!$G:$G, $C42, 'Base de datos'!$L:$L, "Vencida")</f>
        <v>0</v>
      </c>
      <c r="I42" s="10">
        <f>COUNTIFS('Base de datos'!$B:$B, $B42, 'Base de datos'!$G:$G, $C42, 'Base de datos'!$L:$L, "Sin plan de acción")</f>
        <v>0</v>
      </c>
      <c r="J42" s="10">
        <f>COUNTIFS('Base de datos'!$B:$B, $B42, 'Base de datos'!$G:$G, $C42, 'Base de datos'!$E:$E, "Alto")</f>
        <v>0</v>
      </c>
      <c r="K42" s="10">
        <f>COUNTIFS('Base de datos'!$B:$B, $B42, 'Base de datos'!$G:$G, $C42, 'Base de datos'!$E:$E, "Medio")</f>
        <v>0</v>
      </c>
      <c r="L42" s="10">
        <f>COUNTIFS('Base de datos'!$B:$B, $B42, 'Base de datos'!$G:$G, $C42, 'Base de datos'!$E:$E, "Bajo")</f>
        <v>0</v>
      </c>
      <c r="M42" s="10">
        <f ca="1">COUNTIFS('Base de datos'!$B:$B, $B42, 'Base de datos'!$G:$G, $C42, 'Base de datos'!$P:$P, "*10d*")</f>
        <v>0</v>
      </c>
      <c r="N42" s="10">
        <f ca="1">COUNTIFS('Base de datos'!$B:$B, $B42, 'Base de datos'!$G:$G, $C42, 'Base de datos'!$O:$O, "*20d*")</f>
        <v>2</v>
      </c>
      <c r="O42" s="29">
        <f ca="1">COUNTIFS('Base de datos'!$B:$B, $B42, 'Base de datos'!$G:$G, $C42, 'Base de datos'!$N:$N, "*30d*")</f>
        <v>0</v>
      </c>
      <c r="P42" s="52">
        <f ca="1">COUNTIFS('Base de datos'!$B:$B, $B42, 'Base de datos'!$G:$G, $C42, 'Base de datos'!$Q:$Q, "*5d*")</f>
        <v>0</v>
      </c>
      <c r="Q42" s="52">
        <f>COUNTIFS('Base de datos'!$A:$A, $A44, 'Base de datos'!$B:$B, $B44, 'Base de datos'!$G:$G, $C44, 'Base de datos'!$S:$S, "&gt;=01/01/2026", 'Base de datos'!$S:$S, "&lt;=31/01/2026")</f>
        <v>0</v>
      </c>
      <c r="R42" s="10">
        <f>COUNTIFS('Base de datos'!$A:$A, $A44, 'Base de datos'!$B:$B, $B44, 'Base de datos'!$G:$G, $C44, 'Base de datos'!$S:$S, "&gt;=01/02/2026", 'Base de datos'!$S:$S, "&lt;=28/02/2026")</f>
        <v>0</v>
      </c>
      <c r="S42" s="10">
        <f>COUNTIFS('Base de datos'!$A:$A, $A44, 'Base de datos'!$B:$B, $B44, 'Base de datos'!$G:$G, $C44, 'Base de datos'!$S:$S, "&gt;=01/03/2026", 'Base de datos'!$S:$S, "&lt;=31/03/2026")</f>
        <v>0</v>
      </c>
      <c r="T42" s="10">
        <f>COUNTIFS('Base de datos'!$A:$A, $A44, 'Base de datos'!$B:$B, $B44, 'Base de datos'!$G:$G, $C44, 'Base de datos'!$S:$S, "&gt;=01/04/2026", 'Base de datos'!$S:$S, "&lt;=30/04/2026")</f>
        <v>0</v>
      </c>
      <c r="U42" s="10">
        <f>COUNTIFS('Base de datos'!$A:$A, $A44, 'Base de datos'!$B:$B, $B44, 'Base de datos'!$G:$G, $C44, 'Base de datos'!$S:$S, "&gt;=01/05/2026", 'Base de datos'!$S:$S, "&lt;=31/05/2026")</f>
        <v>0</v>
      </c>
      <c r="V42" s="10">
        <f>COUNTIFS('Base de datos'!$A:$A, $A44, 'Base de datos'!$B:$B, $B44, 'Base de datos'!$G:$G, $C44, 'Base de datos'!$S:$S, "&gt;=01/06/2026", 'Base de datos'!$S:$S, "&lt;=30/06/2026")</f>
        <v>0</v>
      </c>
      <c r="W42" s="10">
        <f>COUNTIFS('Base de datos'!$A:$A, $A42, 'Base de datos'!$B:$B, $B42, 'Base de datos'!$G:$G, $C42, 'Base de datos'!$S:$S, "&gt;=01/07/2026", 'Base de datos'!$S:$S, "&lt;=31/07/2026")</f>
        <v>0</v>
      </c>
      <c r="X42" s="10">
        <f>COUNTIFS('Base de datos'!$A:$A, $A42, 'Base de datos'!$B:$B, $B42, 'Base de datos'!$G:$G, $C42, 'Base de datos'!$S:$S, "&gt;=01/08/2026", 'Base de datos'!$S:$S, "&lt;=31/08/2026")</f>
        <v>0</v>
      </c>
      <c r="Y42" s="10">
        <f>COUNTIFS('Base de datos'!$A:$A, $A42, 'Base de datos'!$B:$B, $B42, 'Base de datos'!$G:$G, $C42, 'Base de datos'!$S:$S, "&gt;=01/09/2026", 'Base de datos'!$S:$S, "&lt;=30/09/2026")</f>
        <v>0</v>
      </c>
      <c r="Z42" s="10">
        <f>COUNTIFS('Base de datos'!$A:$A, $A42, 'Base de datos'!$B:$B, $B42, 'Base de datos'!$G:$G, $C42, 'Base de datos'!$S:$S, "&gt;=01/10/2026", 'Base de datos'!$S:$S, "&lt;=31/10/2026")</f>
        <v>0</v>
      </c>
      <c r="AA42" s="10">
        <f>COUNTIFS('Base de datos'!$A:$A, $A42, 'Base de datos'!$B:$B, $B42, 'Base de datos'!$G:$G, $C42, 'Base de datos'!$S:$S, "&gt;=01/11/2026", 'Base de datos'!$S:$S, "&lt;=30/11/2026")</f>
        <v>0</v>
      </c>
      <c r="AB42" s="10">
        <f>COUNTIFS('Base de datos'!$A:$A, $A42, 'Base de datos'!$B:$B, $B42, 'Base de datos'!$G:$G, $C42, 'Base de datos'!$S:$S, "&gt;=01/12/2026", 'Base de datos'!$S:$S, "&lt;=31/12/2026")</f>
        <v>0</v>
      </c>
    </row>
    <row r="43" spans="1:28" ht="60">
      <c r="A43" s="3" t="s">
        <v>180</v>
      </c>
      <c r="B43" s="5" t="s">
        <v>471</v>
      </c>
      <c r="C43" s="3" t="s">
        <v>179</v>
      </c>
      <c r="D43" s="10">
        <f>COUNTIFS('Base de datos'!$B:$B, $B43, 'Base de datos'!$G:$G, $C43, 'Base de datos'!$D:$D, "&lt;&gt;")</f>
        <v>1</v>
      </c>
      <c r="E43" s="10">
        <f>COUNTIFS('Base de datos'!$B:$B, $B43, 'Base de datos'!$G:$G, $C43, 'Base de datos'!$F:$F, "&lt;&gt;")</f>
        <v>2</v>
      </c>
      <c r="F43" s="10">
        <f>COUNTIFS('Base de datos'!$B:$B, $B43, 'Base de datos'!$G:$G, $C43, 'Base de datos'!$L:$L, "Abierta")</f>
        <v>0</v>
      </c>
      <c r="G43" s="10">
        <f>COUNTIFS('Base de datos'!$B:$B, $B43, 'Base de datos'!$G:$G, $C43, 'Base de datos'!$L:$L, "Finalizada")</f>
        <v>0</v>
      </c>
      <c r="H43" s="10">
        <f>COUNTIFS('Base de datos'!$B:$B, $B43, 'Base de datos'!$G:$G, $C43, 'Base de datos'!$L:$L, "Vencida")</f>
        <v>2</v>
      </c>
      <c r="I43" s="10">
        <f>COUNTIFS('Base de datos'!$B:$B, $B43, 'Base de datos'!$G:$G, $C43, 'Base de datos'!$L:$L, "Sin plan de acción")</f>
        <v>0</v>
      </c>
      <c r="J43" s="10">
        <f>COUNTIFS('Base de datos'!$B:$B, $B43, 'Base de datos'!$G:$G, $C43, 'Base de datos'!$E:$E, "Alto")</f>
        <v>0</v>
      </c>
      <c r="K43" s="10">
        <f>COUNTIFS('Base de datos'!$B:$B, $B43, 'Base de datos'!$G:$G, $C43, 'Base de datos'!$E:$E, "Medio")</f>
        <v>1</v>
      </c>
      <c r="L43" s="10">
        <f>COUNTIFS('Base de datos'!$B:$B, $B43, 'Base de datos'!$G:$G, $C43, 'Base de datos'!$E:$E, "Bajo")</f>
        <v>0</v>
      </c>
      <c r="M43" s="10">
        <f ca="1">COUNTIFS('Base de datos'!$B:$B, $B43, 'Base de datos'!$G:$G, $C43, 'Base de datos'!$P:$P, "*10d*")</f>
        <v>0</v>
      </c>
      <c r="N43" s="10">
        <f ca="1">COUNTIFS('Base de datos'!$B:$B, $B43, 'Base de datos'!$G:$G, $C43, 'Base de datos'!$O:$O, "*20d*")</f>
        <v>0</v>
      </c>
      <c r="O43" s="29">
        <f ca="1">COUNTIFS('Base de datos'!$B:$B, $B43, 'Base de datos'!$G:$G, $C43, 'Base de datos'!$N:$N, "*30d*")</f>
        <v>0</v>
      </c>
      <c r="P43" s="52">
        <f ca="1">COUNTIFS('Base de datos'!$B:$B, $B43, 'Base de datos'!$G:$G, $C43, 'Base de datos'!$Q:$Q, "*5d*")</f>
        <v>0</v>
      </c>
      <c r="Q43" s="52">
        <f>COUNTIFS('Base de datos'!$A:$A, $A45, 'Base de datos'!$B:$B, $B45, 'Base de datos'!$G:$G, $C45, 'Base de datos'!$S:$S, "&gt;=01/01/2026", 'Base de datos'!$S:$S, "&lt;=31/01/2026")</f>
        <v>2</v>
      </c>
      <c r="R43" s="10">
        <f>COUNTIFS('Base de datos'!$A:$A, $A45, 'Base de datos'!$B:$B, $B45, 'Base de datos'!$G:$G, $C45, 'Base de datos'!$S:$S, "&gt;=01/02/2026", 'Base de datos'!$S:$S, "&lt;=28/02/2026")</f>
        <v>0</v>
      </c>
      <c r="S43" s="10">
        <f>COUNTIFS('Base de datos'!$A:$A, $A45, 'Base de datos'!$B:$B, $B45, 'Base de datos'!$G:$G, $C45, 'Base de datos'!$S:$S, "&gt;=01/03/2026", 'Base de datos'!$S:$S, "&lt;=31/03/2026")</f>
        <v>0</v>
      </c>
      <c r="T43" s="10">
        <f>COUNTIFS('Base de datos'!$A:$A, $A45, 'Base de datos'!$B:$B, $B45, 'Base de datos'!$G:$G, $C45, 'Base de datos'!$S:$S, "&gt;=01/04/2026", 'Base de datos'!$S:$S, "&lt;=30/04/2026")</f>
        <v>0</v>
      </c>
      <c r="U43" s="10">
        <f>COUNTIFS('Base de datos'!$A:$A, $A45, 'Base de datos'!$B:$B, $B45, 'Base de datos'!$G:$G, $C45, 'Base de datos'!$S:$S, "&gt;=01/05/2026", 'Base de datos'!$S:$S, "&lt;=31/05/2026")</f>
        <v>0</v>
      </c>
      <c r="V43" s="10">
        <f>COUNTIFS('Base de datos'!$A:$A, $A45, 'Base de datos'!$B:$B, $B45, 'Base de datos'!$G:$G, $C45, 'Base de datos'!$S:$S, "&gt;=01/06/2026", 'Base de datos'!$S:$S, "&lt;=30/06/2026")</f>
        <v>0</v>
      </c>
      <c r="W43" s="10">
        <f>COUNTIFS('Base de datos'!$A:$A, $A43, 'Base de datos'!$B:$B, $B43, 'Base de datos'!$G:$G, $C43, 'Base de datos'!$S:$S, "&gt;=01/07/2026", 'Base de datos'!$S:$S, "&lt;=31/07/2026")</f>
        <v>0</v>
      </c>
      <c r="X43" s="10">
        <f>COUNTIFS('Base de datos'!$A:$A, $A43, 'Base de datos'!$B:$B, $B43, 'Base de datos'!$G:$G, $C43, 'Base de datos'!$S:$S, "&gt;=01/08/2026", 'Base de datos'!$S:$S, "&lt;=31/08/2026")</f>
        <v>0</v>
      </c>
      <c r="Y43" s="10">
        <f>COUNTIFS('Base de datos'!$A:$A, $A43, 'Base de datos'!$B:$B, $B43, 'Base de datos'!$G:$G, $C43, 'Base de datos'!$S:$S, "&gt;=01/09/2026", 'Base de datos'!$S:$S, "&lt;=30/09/2026")</f>
        <v>0</v>
      </c>
      <c r="Z43" s="10">
        <f>COUNTIFS('Base de datos'!$A:$A, $A43, 'Base de datos'!$B:$B, $B43, 'Base de datos'!$G:$G, $C43, 'Base de datos'!$S:$S, "&gt;=01/10/2026", 'Base de datos'!$S:$S, "&lt;=31/10/2026")</f>
        <v>0</v>
      </c>
      <c r="AA43" s="10">
        <f>COUNTIFS('Base de datos'!$A:$A, $A43, 'Base de datos'!$B:$B, $B43, 'Base de datos'!$G:$G, $C43, 'Base de datos'!$S:$S, "&gt;=01/11/2026", 'Base de datos'!$S:$S, "&lt;=30/11/2026")</f>
        <v>0</v>
      </c>
      <c r="AB43" s="10">
        <f>COUNTIFS('Base de datos'!$A:$A, $A43, 'Base de datos'!$B:$B, $B43, 'Base de datos'!$G:$G, $C43, 'Base de datos'!$S:$S, "&gt;=01/12/2026", 'Base de datos'!$S:$S, "&lt;=31/12/2026")</f>
        <v>0</v>
      </c>
    </row>
    <row r="44" spans="1:28" ht="60">
      <c r="A44" s="3" t="s">
        <v>180</v>
      </c>
      <c r="B44" s="70" t="s">
        <v>471</v>
      </c>
      <c r="C44" s="3" t="s">
        <v>118</v>
      </c>
      <c r="D44" s="10">
        <f>COUNTIFS('Base de datos'!$B:$B, $B44, 'Base de datos'!$G:$G, $C44, 'Base de datos'!$D:$D, "&lt;&gt;")</f>
        <v>1</v>
      </c>
      <c r="E44" s="10">
        <f>COUNTIFS('Base de datos'!$B:$B, $B44, 'Base de datos'!$G:$G, $C44, 'Base de datos'!$F:$F, "&lt;&gt;")</f>
        <v>1</v>
      </c>
      <c r="F44" s="10">
        <f>COUNTIFS('Base de datos'!$B:$B, $B44, 'Base de datos'!$G:$G, $C44, 'Base de datos'!$L:$L, "Abierta")</f>
        <v>1</v>
      </c>
      <c r="G44" s="10">
        <f>COUNTIFS('Base de datos'!$B:$B, $B44, 'Base de datos'!$G:$G, $C44, 'Base de datos'!$L:$L, "Finalizada")</f>
        <v>0</v>
      </c>
      <c r="H44" s="10">
        <f>COUNTIFS('Base de datos'!$B:$B, $B44, 'Base de datos'!$G:$G, $C44, 'Base de datos'!$L:$L, "Vencida")</f>
        <v>0</v>
      </c>
      <c r="I44" s="10">
        <f>COUNTIFS('Base de datos'!$B:$B, $B44, 'Base de datos'!$G:$G, $C44, 'Base de datos'!$L:$L, "Sin plan de acción")</f>
        <v>0</v>
      </c>
      <c r="J44" s="10">
        <f>COUNTIFS('Base de datos'!$B:$B, $B44, 'Base de datos'!$G:$G, $C44, 'Base de datos'!$E:$E, "Alto")</f>
        <v>0</v>
      </c>
      <c r="K44" s="10">
        <f>COUNTIFS('Base de datos'!$B:$B, $B44, 'Base de datos'!$G:$G, $C44, 'Base de datos'!$E:$E, "Medio")</f>
        <v>1</v>
      </c>
      <c r="L44" s="10">
        <f>COUNTIFS('Base de datos'!$B:$B, $B44, 'Base de datos'!$G:$G, $C44, 'Base de datos'!$E:$E, "Bajo")</f>
        <v>0</v>
      </c>
      <c r="M44" s="10">
        <f ca="1">COUNTIFS('Base de datos'!$B:$B, $B44, 'Base de datos'!$G:$G, $C44, 'Base de datos'!$P:$P, "*10d*")</f>
        <v>0</v>
      </c>
      <c r="N44" s="10">
        <f ca="1">COUNTIFS('Base de datos'!$B:$B, $B44, 'Base de datos'!$G:$G, $C44, 'Base de datos'!$O:$O, "*20d*")</f>
        <v>1</v>
      </c>
      <c r="O44" s="29">
        <f ca="1">COUNTIFS('Base de datos'!$B:$B, $B44, 'Base de datos'!$G:$G, $C44, 'Base de datos'!$N:$N, "*30d*")</f>
        <v>0</v>
      </c>
      <c r="P44" s="52">
        <f ca="1">COUNTIFS('Base de datos'!$B:$B, $B44, 'Base de datos'!$G:$G, $C44, 'Base de datos'!$Q:$Q, "*5d*")</f>
        <v>0</v>
      </c>
      <c r="Q44" s="52">
        <f>COUNTIFS('Base de datos'!$A:$A, $A46, 'Base de datos'!$B:$B, $B46, 'Base de datos'!$G:$G, $C46, 'Base de datos'!$S:$S, "&gt;=01/01/2026", 'Base de datos'!$S:$S, "&lt;=31/01/2026")</f>
        <v>0</v>
      </c>
      <c r="R44" s="10">
        <f>COUNTIFS('Base de datos'!$A:$A, $A46, 'Base de datos'!$B:$B, $B46, 'Base de datos'!$G:$G, $C46, 'Base de datos'!$S:$S, "&gt;=01/02/2026", 'Base de datos'!$S:$S, "&lt;=28/02/2026")</f>
        <v>0</v>
      </c>
      <c r="S44" s="10">
        <f>COUNTIFS('Base de datos'!$A:$A, $A46, 'Base de datos'!$B:$B, $B46, 'Base de datos'!$G:$G, $C46, 'Base de datos'!$S:$S, "&gt;=01/03/2026", 'Base de datos'!$S:$S, "&lt;=31/03/2026")</f>
        <v>0</v>
      </c>
      <c r="T44" s="10">
        <f>COUNTIFS('Base de datos'!$A:$A, $A46, 'Base de datos'!$B:$B, $B46, 'Base de datos'!$G:$G, $C46, 'Base de datos'!$S:$S, "&gt;=01/04/2026", 'Base de datos'!$S:$S, "&lt;=30/04/2026")</f>
        <v>0</v>
      </c>
      <c r="U44" s="10">
        <f>COUNTIFS('Base de datos'!$A:$A, $A46, 'Base de datos'!$B:$B, $B46, 'Base de datos'!$G:$G, $C46, 'Base de datos'!$S:$S, "&gt;=01/05/2026", 'Base de datos'!$S:$S, "&lt;=31/05/2026")</f>
        <v>0</v>
      </c>
      <c r="V44" s="10">
        <f>COUNTIFS('Base de datos'!$A:$A, $A46, 'Base de datos'!$B:$B, $B46, 'Base de datos'!$G:$G, $C46, 'Base de datos'!$S:$S, "&gt;=01/06/2026", 'Base de datos'!$S:$S, "&lt;=30/06/2026")</f>
        <v>0</v>
      </c>
      <c r="W44" s="10">
        <f>COUNTIFS('Base de datos'!$A:$A, $A44, 'Base de datos'!$B:$B, $B44, 'Base de datos'!$G:$G, $C44, 'Base de datos'!$S:$S, "&gt;=01/07/2026", 'Base de datos'!$S:$S, "&lt;=31/07/2026")</f>
        <v>0</v>
      </c>
      <c r="X44" s="10">
        <f>COUNTIFS('Base de datos'!$A:$A, $A44, 'Base de datos'!$B:$B, $B44, 'Base de datos'!$G:$G, $C44, 'Base de datos'!$S:$S, "&gt;=01/08/2026", 'Base de datos'!$S:$S, "&lt;=31/08/2026")</f>
        <v>0</v>
      </c>
      <c r="Y44" s="10">
        <f>COUNTIFS('Base de datos'!$A:$A, $A44, 'Base de datos'!$B:$B, $B44, 'Base de datos'!$G:$G, $C44, 'Base de datos'!$S:$S, "&gt;=01/09/2026", 'Base de datos'!$S:$S, "&lt;=30/09/2026")</f>
        <v>0</v>
      </c>
      <c r="Z44" s="10">
        <f>COUNTIFS('Base de datos'!$A:$A, $A44, 'Base de datos'!$B:$B, $B44, 'Base de datos'!$G:$G, $C44, 'Base de datos'!$S:$S, "&gt;=01/10/2026", 'Base de datos'!$S:$S, "&lt;=31/10/2026")</f>
        <v>0</v>
      </c>
      <c r="AA44" s="10">
        <f>COUNTIFS('Base de datos'!$A:$A, $A44, 'Base de datos'!$B:$B, $B44, 'Base de datos'!$G:$G, $C44, 'Base de datos'!$S:$S, "&gt;=01/11/2026", 'Base de datos'!$S:$S, "&lt;=30/11/2026")</f>
        <v>0</v>
      </c>
      <c r="AB44" s="10">
        <f>COUNTIFS('Base de datos'!$A:$A, $A44, 'Base de datos'!$B:$B, $B44, 'Base de datos'!$G:$G, $C44, 'Base de datos'!$S:$S, "&gt;=01/12/2026", 'Base de datos'!$S:$S, "&lt;=31/12/2026")</f>
        <v>0</v>
      </c>
    </row>
    <row r="45" spans="1:28" ht="36">
      <c r="A45" s="3" t="s">
        <v>180</v>
      </c>
      <c r="B45" s="5" t="s">
        <v>477</v>
      </c>
      <c r="C45" s="6" t="s">
        <v>190</v>
      </c>
      <c r="D45" s="10">
        <f>COUNTIFS('Base de datos'!$B:$B, $B45, 'Base de datos'!$G:$G, $C45, 'Base de datos'!$D:$D, "&lt;&gt;")</f>
        <v>2</v>
      </c>
      <c r="E45" s="10">
        <f>COUNTIFS('Base de datos'!$B:$B, $B45, 'Base de datos'!$G:$G, $C45, 'Base de datos'!$F:$F, "&lt;&gt;")</f>
        <v>2</v>
      </c>
      <c r="F45" s="10">
        <f>COUNTIFS('Base de datos'!$B:$B, $B45, 'Base de datos'!$G:$G, $C45, 'Base de datos'!$L:$L, "Abierta")</f>
        <v>0</v>
      </c>
      <c r="G45" s="10">
        <f>COUNTIFS('Base de datos'!$B:$B, $B45, 'Base de datos'!$G:$G, $C45, 'Base de datos'!$L:$L, "Finalizada")</f>
        <v>2</v>
      </c>
      <c r="H45" s="10">
        <f>COUNTIFS('Base de datos'!$B:$B, $B45, 'Base de datos'!$G:$G, $C45, 'Base de datos'!$L:$L, "Vencida")</f>
        <v>0</v>
      </c>
      <c r="I45" s="10">
        <f>COUNTIFS('Base de datos'!$B:$B, $B45, 'Base de datos'!$G:$G, $C45, 'Base de datos'!$L:$L, "Sin plan de acción")</f>
        <v>0</v>
      </c>
      <c r="J45" s="10">
        <f>COUNTIFS('Base de datos'!$B:$B, $B45, 'Base de datos'!$G:$G, $C45, 'Base de datos'!$E:$E, "Alto")</f>
        <v>0</v>
      </c>
      <c r="K45" s="10">
        <f>COUNTIFS('Base de datos'!$B:$B, $B45, 'Base de datos'!$G:$G, $C45, 'Base de datos'!$E:$E, "Medio")</f>
        <v>2</v>
      </c>
      <c r="L45" s="10">
        <f>COUNTIFS('Base de datos'!$B:$B, $B45, 'Base de datos'!$G:$G, $C45, 'Base de datos'!$E:$E, "Bajo")</f>
        <v>0</v>
      </c>
      <c r="M45" s="10">
        <f ca="1">COUNTIFS('Base de datos'!$B:$B, $B45, 'Base de datos'!$G:$G, $C45, 'Base de datos'!$P:$P, "*10d*")</f>
        <v>0</v>
      </c>
      <c r="N45" s="10">
        <f ca="1">COUNTIFS('Base de datos'!$B:$B, $B45, 'Base de datos'!$G:$G, $C45, 'Base de datos'!$O:$O, "*20d*")</f>
        <v>0</v>
      </c>
      <c r="O45" s="29">
        <f ca="1">COUNTIFS('Base de datos'!$B:$B, $B45, 'Base de datos'!$G:$G, $C45, 'Base de datos'!$N:$N, "*30d*")</f>
        <v>0</v>
      </c>
      <c r="P45" s="52">
        <f ca="1">COUNTIFS('Base de datos'!$B:$B, $B45, 'Base de datos'!$G:$G, $C45, 'Base de datos'!$Q:$Q, "*5d*")</f>
        <v>0</v>
      </c>
      <c r="Q45" s="52">
        <f>COUNTIFS('Base de datos'!$A:$A, $A47, 'Base de datos'!$B:$B, $B47, 'Base de datos'!$G:$G, $C47, 'Base de datos'!$S:$S, "&gt;=01/01/2026", 'Base de datos'!$S:$S, "&lt;=31/01/2026")</f>
        <v>0</v>
      </c>
      <c r="R45" s="10">
        <f>COUNTIFS('Base de datos'!$A:$A, $A47, 'Base de datos'!$B:$B, $B47, 'Base de datos'!$G:$G, $C47, 'Base de datos'!$S:$S, "&gt;=01/02/2026", 'Base de datos'!$S:$S, "&lt;=28/02/2026")</f>
        <v>0</v>
      </c>
      <c r="S45" s="10">
        <f>COUNTIFS('Base de datos'!$A:$A, $A47, 'Base de datos'!$B:$B, $B47, 'Base de datos'!$G:$G, $C47, 'Base de datos'!$S:$S, "&gt;=01/03/2026", 'Base de datos'!$S:$S, "&lt;=31/03/2026")</f>
        <v>0</v>
      </c>
      <c r="T45" s="10">
        <f>COUNTIFS('Base de datos'!$A:$A, $A47, 'Base de datos'!$B:$B, $B47, 'Base de datos'!$G:$G, $C47, 'Base de datos'!$S:$S, "&gt;=01/04/2026", 'Base de datos'!$S:$S, "&lt;=30/04/2026")</f>
        <v>0</v>
      </c>
      <c r="U45" s="10">
        <f>COUNTIFS('Base de datos'!$A:$A, $A47, 'Base de datos'!$B:$B, $B47, 'Base de datos'!$G:$G, $C47, 'Base de datos'!$S:$S, "&gt;=01/05/2026", 'Base de datos'!$S:$S, "&lt;=31/05/2026")</f>
        <v>0</v>
      </c>
      <c r="V45" s="10">
        <f>COUNTIFS('Base de datos'!$A:$A, $A47, 'Base de datos'!$B:$B, $B47, 'Base de datos'!$G:$G, $C47, 'Base de datos'!$S:$S, "&gt;=01/06/2026", 'Base de datos'!$S:$S, "&lt;=30/06/2026")</f>
        <v>0</v>
      </c>
      <c r="W45" s="10">
        <f>COUNTIFS('Base de datos'!$A:$A, $A45, 'Base de datos'!$B:$B, $B45, 'Base de datos'!$G:$G, $C45, 'Base de datos'!$S:$S, "&gt;=01/07/2026", 'Base de datos'!$S:$S, "&lt;=31/07/2026")</f>
        <v>0</v>
      </c>
      <c r="X45" s="10">
        <f>COUNTIFS('Base de datos'!$A:$A, $A45, 'Base de datos'!$B:$B, $B45, 'Base de datos'!$G:$G, $C45, 'Base de datos'!$S:$S, "&gt;=01/08/2026", 'Base de datos'!$S:$S, "&lt;=31/08/2026")</f>
        <v>0</v>
      </c>
      <c r="Y45" s="10">
        <f>COUNTIFS('Base de datos'!$A:$A, $A45, 'Base de datos'!$B:$B, $B45, 'Base de datos'!$G:$G, $C45, 'Base de datos'!$S:$S, "&gt;=01/09/2026", 'Base de datos'!$S:$S, "&lt;=30/09/2026")</f>
        <v>0</v>
      </c>
      <c r="Z45" s="10">
        <f>COUNTIFS('Base de datos'!$A:$A, $A45, 'Base de datos'!$B:$B, $B45, 'Base de datos'!$G:$G, $C45, 'Base de datos'!$S:$S, "&gt;=01/10/2026", 'Base de datos'!$S:$S, "&lt;=31/10/2026")</f>
        <v>0</v>
      </c>
      <c r="AA45" s="10">
        <f>COUNTIFS('Base de datos'!$A:$A, $A45, 'Base de datos'!$B:$B, $B45, 'Base de datos'!$G:$G, $C45, 'Base de datos'!$S:$S, "&gt;=01/11/2026", 'Base de datos'!$S:$S, "&lt;=30/11/2026")</f>
        <v>0</v>
      </c>
      <c r="AB45" s="10">
        <f>COUNTIFS('Base de datos'!$A:$A, $A45, 'Base de datos'!$B:$B, $B45, 'Base de datos'!$G:$G, $C45, 'Base de datos'!$S:$S, "&gt;=01/12/2026", 'Base de datos'!$S:$S, "&lt;=31/12/2026")</f>
        <v>0</v>
      </c>
    </row>
    <row r="46" spans="1:28" ht="45.6">
      <c r="A46" s="3" t="s">
        <v>180</v>
      </c>
      <c r="B46" s="5" t="s">
        <v>486</v>
      </c>
      <c r="C46" s="6" t="s">
        <v>269</v>
      </c>
      <c r="D46" s="10">
        <f>COUNTIFS('Base de datos'!$B:$B, $B46, 'Base de datos'!$G:$G, $C46, 'Base de datos'!$D:$D, "&lt;&gt;")</f>
        <v>4</v>
      </c>
      <c r="E46" s="10">
        <f>COUNTIFS('Base de datos'!$B:$B, $B46, 'Base de datos'!$G:$G, $C46, 'Base de datos'!$F:$F, "&lt;&gt;")</f>
        <v>6</v>
      </c>
      <c r="F46" s="10">
        <f>COUNTIFS('Base de datos'!$B:$B, $B46, 'Base de datos'!$G:$G, $C46, 'Base de datos'!$L:$L, "Abierta")</f>
        <v>1</v>
      </c>
      <c r="G46" s="10">
        <f>COUNTIFS('Base de datos'!$B:$B, $B46, 'Base de datos'!$G:$G, $C46, 'Base de datos'!$L:$L, "Finalizada")</f>
        <v>4</v>
      </c>
      <c r="H46" s="10">
        <f>COUNTIFS('Base de datos'!$B:$B, $B46, 'Base de datos'!$G:$G, $C46, 'Base de datos'!$L:$L, "Vencida")</f>
        <v>1</v>
      </c>
      <c r="I46" s="10">
        <f>COUNTIFS('Base de datos'!$B:$B, $B46, 'Base de datos'!$G:$G, $C46, 'Base de datos'!$L:$L, "Sin plan de acción")</f>
        <v>0</v>
      </c>
      <c r="J46" s="10">
        <f>COUNTIFS('Base de datos'!$B:$B, $B46, 'Base de datos'!$G:$G, $C46, 'Base de datos'!$E:$E, "Alto")</f>
        <v>1</v>
      </c>
      <c r="K46" s="10">
        <f>COUNTIFS('Base de datos'!$B:$B, $B46, 'Base de datos'!$G:$G, $C46, 'Base de datos'!$E:$E, "Medio")</f>
        <v>2</v>
      </c>
      <c r="L46" s="10">
        <f>COUNTIFS('Base de datos'!$B:$B, $B46, 'Base de datos'!$G:$G, $C46, 'Base de datos'!$E:$E, "Bajo")</f>
        <v>1</v>
      </c>
      <c r="M46" s="10">
        <f ca="1">COUNTIFS('Base de datos'!$B:$B, $B46, 'Base de datos'!$G:$G, $C46, 'Base de datos'!$P:$P, "*10d*")</f>
        <v>0</v>
      </c>
      <c r="N46" s="10">
        <f ca="1">COUNTIFS('Base de datos'!$B:$B, $B46, 'Base de datos'!$G:$G, $C46, 'Base de datos'!$O:$O, "*20d*")</f>
        <v>1</v>
      </c>
      <c r="O46" s="29">
        <f ca="1">COUNTIFS('Base de datos'!$B:$B, $B46, 'Base de datos'!$G:$G, $C46, 'Base de datos'!$N:$N, "*30d*")</f>
        <v>0</v>
      </c>
      <c r="P46" s="52">
        <f ca="1">COUNTIFS('Base de datos'!$B:$B, $B46, 'Base de datos'!$G:$G, $C46, 'Base de datos'!$Q:$Q, "*5d*")</f>
        <v>0</v>
      </c>
      <c r="Q46" s="52">
        <f>COUNTIFS('Base de datos'!$A:$A, $A48, 'Base de datos'!$B:$B, $B48, 'Base de datos'!$G:$G, $C48, 'Base de datos'!$S:$S, "&gt;=01/01/2026", 'Base de datos'!$S:$S, "&lt;=31/01/2026")</f>
        <v>0</v>
      </c>
      <c r="R46" s="131">
        <f>COUNTIFS('Base de datos'!$A:$A, $A48, 'Base de datos'!$B:$B, $B48, 'Base de datos'!$G:$G, $C48, 'Base de datos'!$S:$S, "&gt;=01/02/2026", 'Base de datos'!$S:$S, "&lt;=28/02/2026")</f>
        <v>0</v>
      </c>
      <c r="S46" s="131">
        <f>COUNTIFS('Base de datos'!$A:$A, $A48, 'Base de datos'!$B:$B, $B48, 'Base de datos'!$G:$G, $C48, 'Base de datos'!$S:$S, "&gt;=01/03/2026", 'Base de datos'!$S:$S, "&lt;=31/03/2026")</f>
        <v>0</v>
      </c>
      <c r="T46" s="131">
        <f>COUNTIFS('Base de datos'!$A:$A, $A48, 'Base de datos'!$B:$B, $B48, 'Base de datos'!$G:$G, $C48, 'Base de datos'!$S:$S, "&gt;=01/04/2026", 'Base de datos'!$S:$S, "&lt;=30/04/2026")</f>
        <v>0</v>
      </c>
      <c r="U46" s="131">
        <f>COUNTIFS('Base de datos'!$A:$A, $A48, 'Base de datos'!$B:$B, $B48, 'Base de datos'!$G:$G, $C48, 'Base de datos'!$S:$S, "&gt;=01/05/2026", 'Base de datos'!$S:$S, "&lt;=31/05/2026")</f>
        <v>0</v>
      </c>
      <c r="V46" s="131">
        <f>COUNTIFS('Base de datos'!$A:$A, $A48, 'Base de datos'!$B:$B, $B48, 'Base de datos'!$G:$G, $C48, 'Base de datos'!$S:$S, "&gt;=01/06/2026", 'Base de datos'!$S:$S, "&lt;=30/06/2026")</f>
        <v>0</v>
      </c>
      <c r="W46" s="10">
        <f>COUNTIFS('Base de datos'!$A:$A, $A46, 'Base de datos'!$B:$B, $B46, 'Base de datos'!$G:$G, $C46, 'Base de datos'!$S:$S, "&gt;=01/07/2026", 'Base de datos'!$S:$S, "&lt;=31/07/2026")</f>
        <v>0</v>
      </c>
      <c r="X46" s="10">
        <f>COUNTIFS('Base de datos'!$A:$A, $A46, 'Base de datos'!$B:$B, $B46, 'Base de datos'!$G:$G, $C46, 'Base de datos'!$S:$S, "&gt;=01/08/2026", 'Base de datos'!$S:$S, "&lt;=31/08/2026")</f>
        <v>0</v>
      </c>
      <c r="Y46" s="10">
        <f>COUNTIFS('Base de datos'!$A:$A, $A46, 'Base de datos'!$B:$B, $B46, 'Base de datos'!$G:$G, $C46, 'Base de datos'!$S:$S, "&gt;=01/09/2026", 'Base de datos'!$S:$S, "&lt;=30/09/2026")</f>
        <v>0</v>
      </c>
      <c r="Z46" s="10">
        <f>COUNTIFS('Base de datos'!$A:$A, $A46, 'Base de datos'!$B:$B, $B46, 'Base de datos'!$G:$G, $C46, 'Base de datos'!$S:$S, "&gt;=01/10/2026", 'Base de datos'!$S:$S, "&lt;=31/10/2026")</f>
        <v>0</v>
      </c>
      <c r="AA46" s="10">
        <f>COUNTIFS('Base de datos'!$A:$A, $A46, 'Base de datos'!$B:$B, $B46, 'Base de datos'!$G:$G, $C46, 'Base de datos'!$S:$S, "&gt;=01/11/2026", 'Base de datos'!$S:$S, "&lt;=30/11/2026")</f>
        <v>0</v>
      </c>
      <c r="AB46" s="10">
        <f>COUNTIFS('Base de datos'!$A:$A, $A46, 'Base de datos'!$B:$B, $B46, 'Base de datos'!$G:$G, $C46, 'Base de datos'!$S:$S, "&gt;=01/12/2026", 'Base de datos'!$S:$S, "&lt;=31/12/2026")</f>
        <v>0</v>
      </c>
    </row>
    <row r="47" spans="1:28" ht="36">
      <c r="A47" s="3" t="s">
        <v>180</v>
      </c>
      <c r="B47" s="5" t="s">
        <v>925</v>
      </c>
      <c r="C47" s="47" t="s">
        <v>115</v>
      </c>
      <c r="D47" s="10">
        <f>COUNTIFS('Base de datos'!$B:$B, $B47, 'Base de datos'!$G:$G, $C47, 'Base de datos'!$D:$D, "&lt;&gt;")</f>
        <v>2</v>
      </c>
      <c r="E47" s="10">
        <f>COUNTIFS('Base de datos'!$B:$B, $B47, 'Base de datos'!$G:$G, $C47, 'Base de datos'!$F:$F, "&lt;&gt;")</f>
        <v>2</v>
      </c>
      <c r="F47" s="10">
        <f>COUNTIFS('Base de datos'!$B:$B, $B47, 'Base de datos'!$G:$G, $C47, 'Base de datos'!$L:$L, "Abierta")</f>
        <v>0</v>
      </c>
      <c r="G47" s="10">
        <f>COUNTIFS('Base de datos'!$B:$B, $B47, 'Base de datos'!$G:$G, $C47, 'Base de datos'!$L:$L, "Finalizada")</f>
        <v>0</v>
      </c>
      <c r="H47" s="10">
        <f>COUNTIFS('Base de datos'!$B:$B, $B47, 'Base de datos'!$G:$G, $C47, 'Base de datos'!$L:$L, "Vencida")</f>
        <v>2</v>
      </c>
      <c r="I47" s="10">
        <f>COUNTIFS('Base de datos'!$B:$B, $B47, 'Base de datos'!$G:$G, $C47, 'Base de datos'!$L:$L, "Sin plan de acción")</f>
        <v>0</v>
      </c>
      <c r="J47" s="10">
        <f>COUNTIFS('Base de datos'!$B:$B, $B47, 'Base de datos'!$G:$G, $C47, 'Base de datos'!$E:$E, "Alto")</f>
        <v>1</v>
      </c>
      <c r="K47" s="10">
        <f>COUNTIFS('Base de datos'!$B:$B, $B47, 'Base de datos'!$G:$G, $C47, 'Base de datos'!$E:$E, "Medio")</f>
        <v>1</v>
      </c>
      <c r="L47" s="10">
        <f>COUNTIFS('Base de datos'!$B:$B, $B47, 'Base de datos'!$G:$G, $C47, 'Base de datos'!$E:$E, "Bajo")</f>
        <v>0</v>
      </c>
      <c r="M47" s="10">
        <f ca="1">COUNTIFS('Base de datos'!$B:$B, $B47, 'Base de datos'!$G:$G, $C47, 'Base de datos'!$P:$P, "*10d*")</f>
        <v>0</v>
      </c>
      <c r="N47" s="10">
        <f ca="1">COUNTIFS('Base de datos'!$B:$B, $B47, 'Base de datos'!$G:$G, $C47, 'Base de datos'!$O:$O, "*20d*")</f>
        <v>0</v>
      </c>
      <c r="O47" s="29">
        <f ca="1">COUNTIFS('Base de datos'!$B:$B, $B47, 'Base de datos'!$G:$G, $C47, 'Base de datos'!$N:$N, "*30d*")</f>
        <v>0</v>
      </c>
      <c r="P47" s="10">
        <f ca="1">COUNTIFS('Base de datos'!$B:$B, $B47, 'Base de datos'!$G:$G, $C47, 'Base de datos'!$Q:$Q, "*5d*")</f>
        <v>0</v>
      </c>
      <c r="Q47" s="10">
        <f>COUNTIFS('Base de datos'!$A:$A, $A49, 'Base de datos'!$B:$B, $B49, 'Base de datos'!$G:$G, $C49, 'Base de datos'!$S:$S, "&gt;=01/01/2026", 'Base de datos'!$S:$S, "&lt;=31/01/2026")</f>
        <v>0</v>
      </c>
      <c r="R47" s="10">
        <f>COUNTIFS('Base de datos'!$A:$A, $A49, 'Base de datos'!$B:$B, $B49, 'Base de datos'!$G:$G, $C49, 'Base de datos'!$S:$S, "&gt;=01/02/2026", 'Base de datos'!$S:$S, "&lt;=28/02/2026")</f>
        <v>0</v>
      </c>
      <c r="S47" s="10">
        <f>COUNTIFS('Base de datos'!$A:$A, $A49, 'Base de datos'!$B:$B, $B49, 'Base de datos'!$G:$G, $C49, 'Base de datos'!$S:$S, "&gt;=01/03/2026", 'Base de datos'!$S:$S, "&lt;=31/03/2026")</f>
        <v>0</v>
      </c>
      <c r="T47" s="10">
        <f>COUNTIFS('Base de datos'!$A:$A, $A49, 'Base de datos'!$B:$B, $B49, 'Base de datos'!$G:$G, $C49, 'Base de datos'!$S:$S, "&gt;=01/04/2026", 'Base de datos'!$S:$S, "&lt;=30/04/2026")</f>
        <v>0</v>
      </c>
      <c r="U47" s="10">
        <f>COUNTIFS('Base de datos'!$A:$A, $A49, 'Base de datos'!$B:$B, $B49, 'Base de datos'!$G:$G, $C49, 'Base de datos'!$S:$S, "&gt;=01/05/2026", 'Base de datos'!$S:$S, "&lt;=31/05/2026")</f>
        <v>0</v>
      </c>
      <c r="V47" s="10">
        <f>COUNTIFS('Base de datos'!$A:$A, $A49, 'Base de datos'!$B:$B, $B49, 'Base de datos'!$G:$G, $C49, 'Base de datos'!$S:$S, "&gt;=01/06/2026", 'Base de datos'!$S:$S, "&lt;=30/06/2026")</f>
        <v>0</v>
      </c>
      <c r="W47" s="10">
        <f>COUNTIFS('Base de datos'!$A:$A, $A47, 'Base de datos'!$B:$B, $B47, 'Base de datos'!$G:$G, $C47, 'Base de datos'!$S:$S, "&gt;=01/07/2026", 'Base de datos'!$S:$S, "&lt;=31/07/2026")</f>
        <v>0</v>
      </c>
      <c r="X47" s="10">
        <f>COUNTIFS('Base de datos'!$A:$A, $A47, 'Base de datos'!$B:$B, $B47, 'Base de datos'!$G:$G, $C47, 'Base de datos'!$S:$S, "&gt;=01/08/2026", 'Base de datos'!$S:$S, "&lt;=31/08/2026")</f>
        <v>0</v>
      </c>
      <c r="Y47" s="10">
        <f>COUNTIFS('Base de datos'!$A:$A, $A47, 'Base de datos'!$B:$B, $B47, 'Base de datos'!$G:$G, $C47, 'Base de datos'!$S:$S, "&gt;=01/09/2026", 'Base de datos'!$S:$S, "&lt;=30/09/2026")</f>
        <v>0</v>
      </c>
      <c r="Z47" s="10">
        <f>COUNTIFS('Base de datos'!$A:$A, $A47, 'Base de datos'!$B:$B, $B47, 'Base de datos'!$G:$G, $C47, 'Base de datos'!$S:$S, "&gt;=01/10/2026", 'Base de datos'!$S:$S, "&lt;=31/10/2026")</f>
        <v>0</v>
      </c>
      <c r="AA47" s="10">
        <f>COUNTIFS('Base de datos'!$A:$A, $A47, 'Base de datos'!$B:$B, $B47, 'Base de datos'!$G:$G, $C47, 'Base de datos'!$S:$S, "&gt;=01/11/2026", 'Base de datos'!$S:$S, "&lt;=30/11/2026")</f>
        <v>0</v>
      </c>
      <c r="AB47" s="10">
        <f>COUNTIFS('Base de datos'!$A:$A, $A47, 'Base de datos'!$B:$B, $B47, 'Base de datos'!$G:$G, $C47, 'Base de datos'!$S:$S, "&gt;=01/12/2026", 'Base de datos'!$S:$S, "&lt;=31/12/2026")</f>
        <v>0</v>
      </c>
    </row>
    <row r="48" spans="1:28" ht="36">
      <c r="A48" s="3" t="s">
        <v>180</v>
      </c>
      <c r="B48" s="5" t="s">
        <v>925</v>
      </c>
      <c r="C48" s="47" t="s">
        <v>950</v>
      </c>
      <c r="D48" s="10">
        <f>COUNTIFS('Base de datos'!$B:$B, $B48, 'Base de datos'!$G:$G, $C48, 'Base de datos'!$D:$D, "&lt;&gt;")</f>
        <v>1</v>
      </c>
      <c r="E48" s="10">
        <f>COUNTIFS('Base de datos'!$B:$B, $B48, 'Base de datos'!$G:$G, $C48, 'Base de datos'!$F:$F, "&lt;&gt;")</f>
        <v>1</v>
      </c>
      <c r="F48" s="10">
        <f>COUNTIFS('Base de datos'!$B:$B, $B48, 'Base de datos'!$G:$G, $C48, 'Base de datos'!$L:$L, "Abierta")</f>
        <v>0</v>
      </c>
      <c r="G48" s="10">
        <f>COUNTIFS('Base de datos'!$B:$B, $B48, 'Base de datos'!$G:$G, $C48, 'Base de datos'!$L:$L, "Finalizada")</f>
        <v>1</v>
      </c>
      <c r="H48" s="10">
        <f>COUNTIFS('Base de datos'!$B:$B, $B48, 'Base de datos'!$G:$G, $C48, 'Base de datos'!$L:$L, "Vencida")</f>
        <v>0</v>
      </c>
      <c r="I48" s="10">
        <f>COUNTIFS('Base de datos'!$B:$B, $B48, 'Base de datos'!$G:$G, $C48, 'Base de datos'!$L:$L, "Sin plan de acción")</f>
        <v>0</v>
      </c>
      <c r="J48" s="10">
        <f>COUNTIFS('Base de datos'!$B:$B, $B48, 'Base de datos'!$G:$G, $C48, 'Base de datos'!$E:$E, "Alto")</f>
        <v>0</v>
      </c>
      <c r="K48" s="10">
        <f>COUNTIFS('Base de datos'!$B:$B, $B48, 'Base de datos'!$G:$G, $C48, 'Base de datos'!$E:$E, "Medio")</f>
        <v>1</v>
      </c>
      <c r="L48" s="10">
        <f>COUNTIFS('Base de datos'!$B:$B, $B48, 'Base de datos'!$G:$G, $C48, 'Base de datos'!$E:$E, "Bajo")</f>
        <v>0</v>
      </c>
      <c r="M48" s="10">
        <f ca="1">COUNTIFS('Base de datos'!$B:$B, $B48, 'Base de datos'!$G:$G, $C48, 'Base de datos'!$P:$P, "*10d*")</f>
        <v>0</v>
      </c>
      <c r="N48" s="10">
        <f ca="1">COUNTIFS('Base de datos'!$B:$B, $B48, 'Base de datos'!$G:$G, $C48, 'Base de datos'!$O:$O, "*20d*")</f>
        <v>0</v>
      </c>
      <c r="O48" s="29">
        <f ca="1">COUNTIFS('Base de datos'!$B:$B, $B48, 'Base de datos'!$G:$G, $C48, 'Base de datos'!$N:$N, "*30d*")</f>
        <v>0</v>
      </c>
      <c r="P48" s="10">
        <f ca="1">COUNTIFS('Base de datos'!$B:$B, $B48, 'Base de datos'!$G:$G, $C48, 'Base de datos'!$Q:$Q, "*5d*")</f>
        <v>0</v>
      </c>
      <c r="Q48" s="10">
        <f>COUNTIFS('Base de datos'!$A:$A, $A50, 'Base de datos'!$B:$B, $B50, 'Base de datos'!$G:$G, $C50, 'Base de datos'!$S:$S, "&gt;=01/01/2026", 'Base de datos'!$S:$S, "&lt;=31/01/2026")</f>
        <v>0</v>
      </c>
      <c r="R48" s="10">
        <f>COUNTIFS('Base de datos'!$A:$A, $A50, 'Base de datos'!$B:$B, $B50, 'Base de datos'!$G:$G, $C50, 'Base de datos'!$S:$S, "&gt;=01/02/2026", 'Base de datos'!$S:$S, "&lt;=28/02/2026")</f>
        <v>0</v>
      </c>
      <c r="S48" s="10">
        <f>COUNTIFS('Base de datos'!$A:$A, $A50, 'Base de datos'!$B:$B, $B50, 'Base de datos'!$G:$G, $C50, 'Base de datos'!$S:$S, "&gt;=01/03/2026", 'Base de datos'!$S:$S, "&lt;=31/03/2026")</f>
        <v>0</v>
      </c>
      <c r="T48" s="10">
        <f>COUNTIFS('Base de datos'!$A:$A, $A50, 'Base de datos'!$B:$B, $B50, 'Base de datos'!$G:$G, $C50, 'Base de datos'!$S:$S, "&gt;=01/04/2026", 'Base de datos'!$S:$S, "&lt;=30/04/2026")</f>
        <v>0</v>
      </c>
      <c r="U48" s="10">
        <f>COUNTIFS('Base de datos'!$A:$A, $A50, 'Base de datos'!$B:$B, $B50, 'Base de datos'!$G:$G, $C50, 'Base de datos'!$S:$S, "&gt;=01/05/2026", 'Base de datos'!$S:$S, "&lt;=31/05/2026")</f>
        <v>0</v>
      </c>
      <c r="V48" s="10">
        <f>COUNTIFS('Base de datos'!$A:$A, $A50, 'Base de datos'!$B:$B, $B50, 'Base de datos'!$G:$G, $C50, 'Base de datos'!$S:$S, "&gt;=01/06/2026", 'Base de datos'!$S:$S, "&lt;=30/06/2026")</f>
        <v>0</v>
      </c>
      <c r="W48" s="10">
        <f>COUNTIFS('Base de datos'!$A:$A, $A48, 'Base de datos'!$B:$B, $B48, 'Base de datos'!$G:$G, $C48, 'Base de datos'!$S:$S, "&gt;=01/07/2026", 'Base de datos'!$S:$S, "&lt;=31/07/2026")</f>
        <v>0</v>
      </c>
      <c r="X48" s="10">
        <f>COUNTIFS('Base de datos'!$A:$A, $A48, 'Base de datos'!$B:$B, $B48, 'Base de datos'!$G:$G, $C48, 'Base de datos'!$S:$S, "&gt;=01/08/2026", 'Base de datos'!$S:$S, "&lt;=31/08/2026")</f>
        <v>0</v>
      </c>
      <c r="Y48" s="10">
        <f>COUNTIFS('Base de datos'!$A:$A, $A48, 'Base de datos'!$B:$B, $B48, 'Base de datos'!$G:$G, $C48, 'Base de datos'!$S:$S, "&gt;=01/09/2026", 'Base de datos'!$S:$S, "&lt;=30/09/2026")</f>
        <v>0</v>
      </c>
      <c r="Z48" s="10">
        <f>COUNTIFS('Base de datos'!$A:$A, $A48, 'Base de datos'!$B:$B, $B48, 'Base de datos'!$G:$G, $C48, 'Base de datos'!$S:$S, "&gt;=01/10/2026", 'Base de datos'!$S:$S, "&lt;=31/10/2026")</f>
        <v>0</v>
      </c>
      <c r="AA48" s="10">
        <f>COUNTIFS('Base de datos'!$A:$A, $A48, 'Base de datos'!$B:$B, $B48, 'Base de datos'!$G:$G, $C48, 'Base de datos'!$S:$S, "&gt;=01/11/2026", 'Base de datos'!$S:$S, "&lt;=30/11/2026")</f>
        <v>0</v>
      </c>
      <c r="AB48" s="10">
        <f>COUNTIFS('Base de datos'!$A:$A, $A48, 'Base de datos'!$B:$B, $B48, 'Base de datos'!$G:$G, $C48, 'Base de datos'!$S:$S, "&gt;=01/12/2026", 'Base de datos'!$S:$S, "&lt;=31/12/2026")</f>
        <v>0</v>
      </c>
    </row>
    <row r="49" spans="1:28" ht="36">
      <c r="A49" s="3" t="s">
        <v>180</v>
      </c>
      <c r="B49" s="5" t="s">
        <v>925</v>
      </c>
      <c r="C49" s="47" t="s">
        <v>190</v>
      </c>
      <c r="D49" s="10">
        <f>COUNTIFS('Base de datos'!$B:$B, $B49, 'Base de datos'!$G:$G, $C49, 'Base de datos'!$D:$D, "&lt;&gt;")</f>
        <v>1</v>
      </c>
      <c r="E49" s="10">
        <f>COUNTIFS('Base de datos'!$B:$B, $B49, 'Base de datos'!$G:$G, $C49, 'Base de datos'!$F:$F, "&lt;&gt;")</f>
        <v>1</v>
      </c>
      <c r="F49" s="10">
        <f>COUNTIFS('Base de datos'!$B:$B, $B49, 'Base de datos'!$G:$G, $C49, 'Base de datos'!$L:$L, "Abierta")</f>
        <v>1</v>
      </c>
      <c r="G49" s="10">
        <f>COUNTIFS('Base de datos'!$B:$B, $B49, 'Base de datos'!$G:$G, $C49, 'Base de datos'!$L:$L, "Finalizada")</f>
        <v>0</v>
      </c>
      <c r="H49" s="10">
        <f>COUNTIFS('Base de datos'!$B:$B, $B49, 'Base de datos'!$G:$G, $C49, 'Base de datos'!$L:$L, "Vencida")</f>
        <v>0</v>
      </c>
      <c r="I49" s="10">
        <f>COUNTIFS('Base de datos'!$B:$B, $B49, 'Base de datos'!$G:$G, $C49, 'Base de datos'!$L:$L, "Sin plan de acción")</f>
        <v>0</v>
      </c>
      <c r="J49" s="10">
        <f>COUNTIFS('Base de datos'!$B:$B, $B49, 'Base de datos'!$G:$G, $C49, 'Base de datos'!$E:$E, "Alto")</f>
        <v>0</v>
      </c>
      <c r="K49" s="10">
        <f>COUNTIFS('Base de datos'!$B:$B, $B49, 'Base de datos'!$G:$G, $C49, 'Base de datos'!$E:$E, "Medio")</f>
        <v>1</v>
      </c>
      <c r="L49" s="10">
        <f>COUNTIFS('Base de datos'!$B:$B, $B49, 'Base de datos'!$G:$G, $C49, 'Base de datos'!$E:$E, "Bajo")</f>
        <v>0</v>
      </c>
      <c r="M49" s="10">
        <f ca="1">COUNTIFS('Base de datos'!$B:$B, $B49, 'Base de datos'!$G:$G, $C49, 'Base de datos'!$P:$P, "*10d*")</f>
        <v>0</v>
      </c>
      <c r="N49" s="10">
        <f ca="1">COUNTIFS('Base de datos'!$B:$B, $B49, 'Base de datos'!$G:$G, $C49, 'Base de datos'!$O:$O, "*20d*")</f>
        <v>0</v>
      </c>
      <c r="O49" s="29">
        <f ca="1">COUNTIFS('Base de datos'!$B:$B, $B49, 'Base de datos'!$G:$G, $C49, 'Base de datos'!$N:$N, "*30d*")</f>
        <v>0</v>
      </c>
      <c r="P49" s="10">
        <f ca="1">COUNTIFS('Base de datos'!$B:$B, $B49, 'Base de datos'!$G:$G, $C49, 'Base de datos'!$Q:$Q, "*5d*")</f>
        <v>0</v>
      </c>
      <c r="Q49" s="10">
        <f>COUNTIFS('Base de datos'!$A:$A, $A51, 'Base de datos'!$B:$B, $B51, 'Base de datos'!$G:$G, $C51, 'Base de datos'!$S:$S, "&gt;=01/01/2026", 'Base de datos'!$S:$S, "&lt;=31/01/2026")</f>
        <v>0</v>
      </c>
      <c r="R49" s="10">
        <f>COUNTIFS('Base de datos'!$A:$A, $A51, 'Base de datos'!$B:$B, $B51, 'Base de datos'!$G:$G, $C51, 'Base de datos'!$S:$S, "&gt;=01/02/2026", 'Base de datos'!$S:$S, "&lt;=28/02/2026")</f>
        <v>0</v>
      </c>
      <c r="S49" s="10">
        <f>COUNTIFS('Base de datos'!$A:$A, $A51, 'Base de datos'!$B:$B, $B51, 'Base de datos'!$G:$G, $C51, 'Base de datos'!$S:$S, "&gt;=01/03/2026", 'Base de datos'!$S:$S, "&lt;=31/03/2026")</f>
        <v>0</v>
      </c>
      <c r="T49" s="10">
        <f>COUNTIFS('Base de datos'!$A:$A, $A51, 'Base de datos'!$B:$B, $B51, 'Base de datos'!$G:$G, $C51, 'Base de datos'!$S:$S, "&gt;=01/04/2026", 'Base de datos'!$S:$S, "&lt;=30/04/2026")</f>
        <v>0</v>
      </c>
      <c r="U49" s="10">
        <f>COUNTIFS('Base de datos'!$A:$A, $A51, 'Base de datos'!$B:$B, $B51, 'Base de datos'!$G:$G, $C51, 'Base de datos'!$S:$S, "&gt;=01/05/2026", 'Base de datos'!$S:$S, "&lt;=31/05/2026")</f>
        <v>0</v>
      </c>
      <c r="V49" s="10">
        <f>COUNTIFS('Base de datos'!$A:$A, $A51, 'Base de datos'!$B:$B, $B51, 'Base de datos'!$G:$G, $C51, 'Base de datos'!$S:$S, "&gt;=01/06/2026", 'Base de datos'!$S:$S, "&lt;=30/06/2026")</f>
        <v>0</v>
      </c>
      <c r="W49" s="10">
        <f>COUNTIFS('Base de datos'!$A:$A, $A49, 'Base de datos'!$B:$B, $B49, 'Base de datos'!$G:$G, $C49, 'Base de datos'!$S:$S, "&gt;=01/07/2026", 'Base de datos'!$S:$S, "&lt;=31/07/2026")</f>
        <v>0</v>
      </c>
      <c r="X49" s="10">
        <f>COUNTIFS('Base de datos'!$A:$A, $A49, 'Base de datos'!$B:$B, $B49, 'Base de datos'!$G:$G, $C49, 'Base de datos'!$S:$S, "&gt;=01/08/2026", 'Base de datos'!$S:$S, "&lt;=31/08/2026")</f>
        <v>0</v>
      </c>
      <c r="Y49" s="10">
        <f>COUNTIFS('Base de datos'!$A:$A, $A49, 'Base de datos'!$B:$B, $B49, 'Base de datos'!$G:$G, $C49, 'Base de datos'!$S:$S, "&gt;=01/09/2026", 'Base de datos'!$S:$S, "&lt;=30/09/2026")</f>
        <v>0</v>
      </c>
      <c r="Z49" s="10">
        <f>COUNTIFS('Base de datos'!$A:$A, $A49, 'Base de datos'!$B:$B, $B49, 'Base de datos'!$G:$G, $C49, 'Base de datos'!$S:$S, "&gt;=01/10/2026", 'Base de datos'!$S:$S, "&lt;=31/10/2026")</f>
        <v>0</v>
      </c>
      <c r="AA49" s="10">
        <f>COUNTIFS('Base de datos'!$A:$A, $A49, 'Base de datos'!$B:$B, $B49, 'Base de datos'!$G:$G, $C49, 'Base de datos'!$S:$S, "&gt;=01/11/2026", 'Base de datos'!$S:$S, "&lt;=30/11/2026")</f>
        <v>0</v>
      </c>
      <c r="AB49" s="10">
        <f>COUNTIFS('Base de datos'!$A:$A, $A49, 'Base de datos'!$B:$B, $B49, 'Base de datos'!$G:$G, $C49, 'Base de datos'!$S:$S, "&gt;=01/12/2026", 'Base de datos'!$S:$S, "&lt;=31/12/2026")</f>
        <v>0</v>
      </c>
    </row>
    <row r="50" spans="1:28" ht="34.200000000000003">
      <c r="A50" s="3" t="s">
        <v>1030</v>
      </c>
      <c r="B50" s="5" t="s">
        <v>1039</v>
      </c>
      <c r="C50" s="47" t="s">
        <v>148</v>
      </c>
      <c r="D50" s="10">
        <f>COUNTIFS('Base de datos'!$B:$B, $B50, 'Base de datos'!$G:$G, $C50, 'Base de datos'!$D:$D, "&lt;&gt;")</f>
        <v>12</v>
      </c>
      <c r="E50" s="10">
        <f>COUNTIFS('Base de datos'!$B:$B, $B50, 'Base de datos'!$G:$G, $C50, 'Base de datos'!$F:$F, "&lt;&gt;")</f>
        <v>12</v>
      </c>
      <c r="F50" s="10">
        <f>COUNTIFS('Base de datos'!$B:$B, $B50, 'Base de datos'!$G:$G, $C50, 'Base de datos'!$L:$L, "Abierta")</f>
        <v>6</v>
      </c>
      <c r="G50" s="10">
        <f>COUNTIFS('Base de datos'!$B:$B, $B50, 'Base de datos'!$G:$G, $C50, 'Base de datos'!$L:$L, "Finalizada")</f>
        <v>0</v>
      </c>
      <c r="H50" s="10">
        <f>COUNTIFS('Base de datos'!$B:$B, $B50, 'Base de datos'!$G:$G, $C50, 'Base de datos'!$L:$L, "Vencida")</f>
        <v>6</v>
      </c>
      <c r="I50" s="10">
        <f>COUNTIFS('Base de datos'!$B:$B, $B50, 'Base de datos'!$G:$G, $C50, 'Base de datos'!$L:$L, "Sin plan de acción")</f>
        <v>0</v>
      </c>
      <c r="J50" s="10">
        <f>COUNTIFS('Base de datos'!$B:$B, $B50, 'Base de datos'!$G:$G, $C50, 'Base de datos'!$E:$E, "Alto")</f>
        <v>10</v>
      </c>
      <c r="K50" s="10">
        <f>COUNTIFS('Base de datos'!$B:$B, $B50, 'Base de datos'!$G:$G, $C50, 'Base de datos'!$E:$E, "Medio")</f>
        <v>2</v>
      </c>
      <c r="L50" s="10">
        <f>COUNTIFS('Base de datos'!$B:$B, $B50, 'Base de datos'!$G:$G, $C50, 'Base de datos'!$E:$E, "Bajo")</f>
        <v>0</v>
      </c>
      <c r="M50" s="10">
        <f ca="1">COUNTIFS('Base de datos'!$B:$B, $B50, 'Base de datos'!$G:$G, $C50, 'Base de datos'!$P:$P, "*10d*")</f>
        <v>0</v>
      </c>
      <c r="N50" s="10">
        <f ca="1">COUNTIFS('Base de datos'!$B:$B, $B50, 'Base de datos'!$G:$G, $C50, 'Base de datos'!$O:$O, "*20d*")</f>
        <v>1</v>
      </c>
      <c r="O50" s="29">
        <f ca="1">COUNTIFS('Base de datos'!$B:$B, $B50, 'Base de datos'!$G:$G, $C50, 'Base de datos'!$N:$N, "*30d*")</f>
        <v>0</v>
      </c>
      <c r="P50" s="10">
        <f ca="1">COUNTIFS('Base de datos'!$B:$B, $B50, 'Base de datos'!$G:$G, $C50, 'Base de datos'!$Q:$Q, "*5d*")</f>
        <v>0</v>
      </c>
      <c r="Q50" s="10">
        <f>COUNTIFS('Base de datos'!$A:$A, $A52, 'Base de datos'!$B:$B, $B52, 'Base de datos'!$G:$G, $C52, 'Base de datos'!$S:$S, "&gt;=01/01/2026", 'Base de datos'!$S:$S, "&lt;=31/01/2026")</f>
        <v>0</v>
      </c>
      <c r="R50" s="10">
        <f>COUNTIFS('Base de datos'!$A:$A, $A52, 'Base de datos'!$B:$B, $B52, 'Base de datos'!$G:$G, $C52, 'Base de datos'!$S:$S, "&gt;=01/02/2026", 'Base de datos'!$S:$S, "&lt;=28/02/2026")</f>
        <v>0</v>
      </c>
      <c r="S50" s="10">
        <f>COUNTIFS('Base de datos'!$A:$A, $A52, 'Base de datos'!$B:$B, $B52, 'Base de datos'!$G:$G, $C52, 'Base de datos'!$S:$S, "&gt;=01/03/2026", 'Base de datos'!$S:$S, "&lt;=31/03/2026")</f>
        <v>0</v>
      </c>
      <c r="T50" s="10">
        <f>COUNTIFS('Base de datos'!$A:$A, $A52, 'Base de datos'!$B:$B, $B52, 'Base de datos'!$G:$G, $C52, 'Base de datos'!$S:$S, "&gt;=01/04/2026", 'Base de datos'!$S:$S, "&lt;=30/04/2026")</f>
        <v>0</v>
      </c>
      <c r="U50" s="10">
        <f>COUNTIFS('Base de datos'!$A:$A, $A52, 'Base de datos'!$B:$B, $B52, 'Base de datos'!$G:$G, $C52, 'Base de datos'!$S:$S, "&gt;=01/05/2026", 'Base de datos'!$S:$S, "&lt;=31/05/2026")</f>
        <v>0</v>
      </c>
      <c r="V50" s="10">
        <f>COUNTIFS('Base de datos'!$A:$A, $A52, 'Base de datos'!$B:$B, $B52, 'Base de datos'!$G:$G, $C52, 'Base de datos'!$S:$S, "&gt;=01/06/2026", 'Base de datos'!$S:$S, "&lt;=30/06/2026")</f>
        <v>0</v>
      </c>
      <c r="W50" s="10">
        <f>COUNTIFS('Base de datos'!$A:$A, $A50, 'Base de datos'!$B:$B, $B50, 'Base de datos'!$G:$G, $C50, 'Base de datos'!$S:$S, "&gt;=01/07/2026", 'Base de datos'!$S:$S, "&lt;=31/07/2026")</f>
        <v>0</v>
      </c>
      <c r="X50" s="10">
        <f>COUNTIFS('Base de datos'!$A:$A, $A50, 'Base de datos'!$B:$B, $B50, 'Base de datos'!$G:$G, $C50, 'Base de datos'!$S:$S, "&gt;=01/08/2026", 'Base de datos'!$S:$S, "&lt;=31/08/2026")</f>
        <v>0</v>
      </c>
      <c r="Y50" s="10">
        <f>COUNTIFS('Base de datos'!$A:$A, $A50, 'Base de datos'!$B:$B, $B50, 'Base de datos'!$G:$G, $C50, 'Base de datos'!$S:$S, "&gt;=01/09/2026", 'Base de datos'!$S:$S, "&lt;=30/09/2026")</f>
        <v>0</v>
      </c>
      <c r="Z50" s="10">
        <f>COUNTIFS('Base de datos'!$A:$A, $A50, 'Base de datos'!$B:$B, $B50, 'Base de datos'!$G:$G, $C50, 'Base de datos'!$S:$S, "&gt;=01/10/2026", 'Base de datos'!$S:$S, "&lt;=31/10/2026")</f>
        <v>0</v>
      </c>
      <c r="AA50" s="10">
        <f>COUNTIFS('Base de datos'!$A:$A, $A50, 'Base de datos'!$B:$B, $B50, 'Base de datos'!$G:$G, $C50, 'Base de datos'!$S:$S, "&gt;=01/11/2026", 'Base de datos'!$S:$S, "&lt;=30/11/2026")</f>
        <v>0</v>
      </c>
      <c r="AB50" s="10">
        <f>COUNTIFS('Base de datos'!$A:$A, $A50, 'Base de datos'!$B:$B, $B50, 'Base de datos'!$G:$G, $C50, 'Base de datos'!$S:$S, "&gt;=01/12/2026", 'Base de datos'!$S:$S, "&lt;=31/12/2026")</f>
        <v>0</v>
      </c>
    </row>
    <row r="51" spans="1:28" ht="79.8">
      <c r="A51" s="3" t="s">
        <v>1030</v>
      </c>
      <c r="B51" s="5" t="s">
        <v>1039</v>
      </c>
      <c r="C51" s="47" t="s">
        <v>1181</v>
      </c>
      <c r="D51" s="10">
        <f>COUNTIFS('Base de datos'!$B:$B, $B51, 'Base de datos'!$G:$G, $C51, 'Base de datos'!$D:$D, "&lt;&gt;")</f>
        <v>2</v>
      </c>
      <c r="E51" s="10">
        <f>COUNTIFS('Base de datos'!$B:$B, $B51, 'Base de datos'!$G:$G, $C51, 'Base de datos'!$F:$F, "&lt;&gt;")</f>
        <v>2</v>
      </c>
      <c r="F51" s="10">
        <f>COUNTIFS('Base de datos'!$B:$B, $B51, 'Base de datos'!$G:$G, $C51, 'Base de datos'!$L:$L, "Abierta")</f>
        <v>0</v>
      </c>
      <c r="G51" s="10">
        <f>COUNTIFS('Base de datos'!$B:$B, $B51, 'Base de datos'!$G:$G, $C51, 'Base de datos'!$L:$L, "Finalizada")</f>
        <v>0</v>
      </c>
      <c r="H51" s="10">
        <f>COUNTIFS('Base de datos'!$B:$B, $B51, 'Base de datos'!$G:$G, $C51, 'Base de datos'!$L:$L, "Vencida")</f>
        <v>2</v>
      </c>
      <c r="I51" s="10">
        <f>COUNTIFS('Base de datos'!$B:$B, $B51, 'Base de datos'!$G:$G, $C51, 'Base de datos'!$L:$L, "Sin plan de acción")</f>
        <v>0</v>
      </c>
      <c r="J51" s="10">
        <f>COUNTIFS('Base de datos'!$B:$B, $B51, 'Base de datos'!$G:$G, $C51, 'Base de datos'!$E:$E, "Alto")</f>
        <v>2</v>
      </c>
      <c r="K51" s="10">
        <f>COUNTIFS('Base de datos'!$B:$B, $B51, 'Base de datos'!$G:$G, $C51, 'Base de datos'!$E:$E, "Medio")</f>
        <v>0</v>
      </c>
      <c r="L51" s="10">
        <f>COUNTIFS('Base de datos'!$B:$B, $B51, 'Base de datos'!$G:$G, $C51, 'Base de datos'!$E:$E, "Bajo")</f>
        <v>0</v>
      </c>
      <c r="M51" s="10">
        <f ca="1">COUNTIFS('Base de datos'!$B:$B, $B51, 'Base de datos'!$G:$G, $C51, 'Base de datos'!$P:$P, "*10d*")</f>
        <v>0</v>
      </c>
      <c r="N51" s="10">
        <f ca="1">COUNTIFS('Base de datos'!$B:$B, $B51, 'Base de datos'!$G:$G, $C51, 'Base de datos'!$O:$O, "*20d*")</f>
        <v>0</v>
      </c>
      <c r="O51" s="29">
        <f ca="1">COUNTIFS('Base de datos'!$B:$B, $B51, 'Base de datos'!$G:$G, $C51, 'Base de datos'!$N:$N, "*30d*")</f>
        <v>0</v>
      </c>
      <c r="P51" s="10">
        <f ca="1">COUNTIFS('Base de datos'!$B:$B, $B51, 'Base de datos'!$G:$G, $C51, 'Base de datos'!$Q:$Q, "*5d*")</f>
        <v>0</v>
      </c>
      <c r="Q51" s="10">
        <f>COUNTIFS('Base de datos'!$A:$A, $A53, 'Base de datos'!$B:$B, $B53, 'Base de datos'!$G:$G, $C53, 'Base de datos'!$S:$S, "&gt;=01/01/2026", 'Base de datos'!$S:$S, "&lt;=31/01/2026")</f>
        <v>0</v>
      </c>
      <c r="R51" s="10">
        <f>COUNTIFS('Base de datos'!$A:$A, $A53, 'Base de datos'!$B:$B, $B53, 'Base de datos'!$G:$G, $C53, 'Base de datos'!$S:$S, "&gt;=01/02/2026", 'Base de datos'!$S:$S, "&lt;=28/02/2026")</f>
        <v>0</v>
      </c>
      <c r="S51" s="10">
        <f>COUNTIFS('Base de datos'!$A:$A, $A53, 'Base de datos'!$B:$B, $B53, 'Base de datos'!$G:$G, $C53, 'Base de datos'!$S:$S, "&gt;=01/03/2026", 'Base de datos'!$S:$S, "&lt;=31/03/2026")</f>
        <v>0</v>
      </c>
      <c r="T51" s="10">
        <f>COUNTIFS('Base de datos'!$A:$A, $A53, 'Base de datos'!$B:$B, $B53, 'Base de datos'!$G:$G, $C53, 'Base de datos'!$S:$S, "&gt;=01/04/2026", 'Base de datos'!$S:$S, "&lt;=30/04/2026")</f>
        <v>0</v>
      </c>
      <c r="U51" s="10">
        <f>COUNTIFS('Base de datos'!$A:$A, $A53, 'Base de datos'!$B:$B, $B53, 'Base de datos'!$G:$G, $C53, 'Base de datos'!$S:$S, "&gt;=01/05/2026", 'Base de datos'!$S:$S, "&lt;=31/05/2026")</f>
        <v>0</v>
      </c>
      <c r="V51" s="10">
        <f>COUNTIFS('Base de datos'!$A:$A, $A53, 'Base de datos'!$B:$B, $B53, 'Base de datos'!$G:$G, $C53, 'Base de datos'!$S:$S, "&gt;=01/06/2026", 'Base de datos'!$S:$S, "&lt;=30/06/2026")</f>
        <v>0</v>
      </c>
      <c r="W51" s="131">
        <f>COUNTIFS('Base de datos'!$A:$A, $A51, 'Base de datos'!$B:$B, $B51, 'Base de datos'!$G:$G, $C51, 'Base de datos'!$S:$S, "&gt;=01/07/2026", 'Base de datos'!$S:$S, "&lt;=31/07/2026")</f>
        <v>0</v>
      </c>
      <c r="X51" s="131">
        <f>COUNTIFS('Base de datos'!$A:$A, $A51, 'Base de datos'!$B:$B, $B51, 'Base de datos'!$G:$G, $C51, 'Base de datos'!$S:$S, "&gt;=01/08/2026", 'Base de datos'!$S:$S, "&lt;=31/08/2026")</f>
        <v>0</v>
      </c>
      <c r="Y51" s="131">
        <f>COUNTIFS('Base de datos'!$A:$A, $A51, 'Base de datos'!$B:$B, $B51, 'Base de datos'!$G:$G, $C51, 'Base de datos'!$S:$S, "&gt;=01/09/2026", 'Base de datos'!$S:$S, "&lt;=30/09/2026")</f>
        <v>0</v>
      </c>
      <c r="Z51" s="131">
        <f>COUNTIFS('Base de datos'!$A:$A, $A51, 'Base de datos'!$B:$B, $B51, 'Base de datos'!$G:$G, $C51, 'Base de datos'!$S:$S, "&gt;=01/10/2026", 'Base de datos'!$S:$S, "&lt;=31/10/2026")</f>
        <v>0</v>
      </c>
      <c r="AA51" s="131">
        <f>COUNTIFS('Base de datos'!$A:$A, $A51, 'Base de datos'!$B:$B, $B51, 'Base de datos'!$G:$G, $C51, 'Base de datos'!$S:$S, "&gt;=01/11/2026", 'Base de datos'!$S:$S, "&lt;=30/11/2026")</f>
        <v>0</v>
      </c>
      <c r="AB51" s="131">
        <f>COUNTIFS('Base de datos'!$A:$A, $A51, 'Base de datos'!$B:$B, $B51, 'Base de datos'!$G:$G, $C51, 'Base de datos'!$S:$S, "&gt;=01/12/2026", 'Base de datos'!$S:$S, "&lt;=31/12/2026")</f>
        <v>0</v>
      </c>
    </row>
    <row r="52" spans="1:28">
      <c r="D52"/>
    </row>
    <row r="53" spans="1:28">
      <c r="D53"/>
    </row>
    <row r="54" spans="1:28">
      <c r="D54"/>
    </row>
    <row r="55" spans="1:28">
      <c r="D55"/>
    </row>
    <row r="56" spans="1:28">
      <c r="D56"/>
    </row>
    <row r="57" spans="1:28">
      <c r="D57"/>
    </row>
    <row r="58" spans="1:28">
      <c r="D58"/>
    </row>
    <row r="59" spans="1:28">
      <c r="D59"/>
    </row>
    <row r="60" spans="1:28">
      <c r="D60"/>
    </row>
    <row r="61" spans="1:28">
      <c r="D61"/>
    </row>
    <row r="62" spans="1:28">
      <c r="D62"/>
    </row>
    <row r="63" spans="1:28">
      <c r="D63"/>
    </row>
  </sheetData>
  <phoneticPr fontId="27"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3BFC58-7A1F-417E-8D3C-AA30FB2C86FD}">
  <sheetPr codeName="Hoja2" filterMode="1">
    <tabColor theme="9" tint="-0.249977111117893"/>
  </sheetPr>
  <dimension ref="A1:AC166"/>
  <sheetViews>
    <sheetView tabSelected="1" topLeftCell="F1" zoomScale="90" zoomScaleNormal="90" workbookViewId="0">
      <pane ySplit="1" topLeftCell="A161" activePane="bottomLeft" state="frozen"/>
      <selection pane="bottomLeft" activeCell="F162" sqref="F162"/>
    </sheetView>
  </sheetViews>
  <sheetFormatPr baseColWidth="10" defaultRowHeight="14.4"/>
  <cols>
    <col min="1" max="1" width="37.88671875" customWidth="1"/>
    <col min="2" max="2" width="28.109375" customWidth="1"/>
    <col min="3" max="3" width="31.109375" customWidth="1"/>
    <col min="4" max="4" width="50.5546875" style="31" customWidth="1"/>
    <col min="5" max="5" width="16.109375" style="151" customWidth="1"/>
    <col min="6" max="6" width="41.33203125" customWidth="1"/>
    <col min="7" max="7" width="35.6640625" customWidth="1"/>
    <col min="8" max="8" width="11.5546875" style="40" customWidth="1"/>
    <col min="9" max="9" width="29.44140625" style="222" customWidth="1"/>
    <col min="10" max="10" width="38" style="22" customWidth="1"/>
    <col min="11" max="11" width="35.6640625" customWidth="1"/>
    <col min="12" max="12" width="12.88671875" customWidth="1"/>
    <col min="13" max="13" width="18.88671875" customWidth="1"/>
    <col min="14" max="14" width="18" customWidth="1"/>
    <col min="15" max="15" width="11.5546875" customWidth="1"/>
    <col min="16" max="16" width="11.5546875" style="22" customWidth="1"/>
    <col min="17" max="17" width="11.5546875" style="18" customWidth="1"/>
    <col min="18" max="18" width="25.5546875" style="22" customWidth="1"/>
    <col min="19" max="19" width="31.6640625" style="206" customWidth="1"/>
    <col min="20" max="20" width="35.33203125" style="21" customWidth="1"/>
    <col min="21" max="21" width="11.5546875" style="8" customWidth="1"/>
    <col min="22" max="22" width="25.21875" style="8" customWidth="1"/>
    <col min="23" max="23" width="22.44140625" style="8" customWidth="1"/>
    <col min="24" max="24" width="27.109375" style="8" customWidth="1"/>
    <col min="25" max="25" width="32" style="149" customWidth="1"/>
    <col min="26" max="26" width="21.88671875" style="8" customWidth="1"/>
    <col min="27" max="27" width="37.109375" style="21" customWidth="1"/>
    <col min="28" max="28" width="21.44140625" style="8" customWidth="1"/>
    <col min="29" max="29" width="26.88671875" style="8" customWidth="1"/>
  </cols>
  <sheetData>
    <row r="1" spans="1:29" ht="24">
      <c r="A1" s="71" t="s">
        <v>0</v>
      </c>
      <c r="B1" s="71" t="s">
        <v>1</v>
      </c>
      <c r="C1" s="71" t="s">
        <v>2</v>
      </c>
      <c r="D1" s="71" t="s">
        <v>3</v>
      </c>
      <c r="E1" s="71" t="s">
        <v>4</v>
      </c>
      <c r="F1" s="71" t="s">
        <v>5</v>
      </c>
      <c r="G1" s="71" t="s">
        <v>6</v>
      </c>
      <c r="H1" s="71" t="s">
        <v>7</v>
      </c>
      <c r="I1" s="216" t="s">
        <v>1582</v>
      </c>
      <c r="J1" s="204" t="s">
        <v>9</v>
      </c>
      <c r="K1" s="73" t="s">
        <v>10</v>
      </c>
      <c r="L1" s="213" t="s">
        <v>11</v>
      </c>
      <c r="M1" s="73" t="s">
        <v>12</v>
      </c>
      <c r="N1" s="204" t="s">
        <v>543</v>
      </c>
      <c r="O1" s="204" t="s">
        <v>544</v>
      </c>
      <c r="P1" s="204" t="s">
        <v>545</v>
      </c>
      <c r="Q1" s="204" t="s">
        <v>609</v>
      </c>
      <c r="R1" s="73" t="s">
        <v>620</v>
      </c>
      <c r="S1" s="216" t="s">
        <v>654</v>
      </c>
      <c r="T1" s="113" t="s">
        <v>666</v>
      </c>
      <c r="U1" s="113" t="s">
        <v>670</v>
      </c>
      <c r="V1" s="186" t="s">
        <v>1336</v>
      </c>
      <c r="W1" s="186" t="s">
        <v>1345</v>
      </c>
      <c r="X1" s="186" t="s">
        <v>1338</v>
      </c>
      <c r="Y1" s="186" t="s">
        <v>1340</v>
      </c>
      <c r="Z1" s="186" t="s">
        <v>1352</v>
      </c>
      <c r="AA1" s="186" t="s">
        <v>1343</v>
      </c>
      <c r="AB1" s="223" t="s">
        <v>1585</v>
      </c>
      <c r="AC1" s="223" t="s">
        <v>1771</v>
      </c>
    </row>
    <row r="2" spans="1:29" ht="34.200000000000003" hidden="1">
      <c r="A2" s="74" t="s">
        <v>13</v>
      </c>
      <c r="B2" s="75" t="s">
        <v>14</v>
      </c>
      <c r="C2" s="74" t="s">
        <v>15</v>
      </c>
      <c r="D2" s="74" t="s">
        <v>15</v>
      </c>
      <c r="E2" s="76"/>
      <c r="F2" s="74" t="s">
        <v>16</v>
      </c>
      <c r="G2" s="74" t="s">
        <v>269</v>
      </c>
      <c r="H2" s="77">
        <v>44995</v>
      </c>
      <c r="I2" s="207">
        <v>45323</v>
      </c>
      <c r="J2" s="78" t="s">
        <v>18</v>
      </c>
      <c r="K2" s="79" t="s">
        <v>19</v>
      </c>
      <c r="L2" s="79" t="s">
        <v>20</v>
      </c>
      <c r="M2" s="80" t="str">
        <f ca="1">IF(L2="Abierta", I2-TODAY(), "")</f>
        <v/>
      </c>
      <c r="N2" s="37" t="str">
        <f ca="1">IF(AND(L2="Abierta", M2&lt;&gt;"", M2&lt;=10, M2&gt;5), "🚨 CRÍTICO (10d)", "")</f>
        <v/>
      </c>
      <c r="O2" s="81" t="str">
        <f ca="1">IF(AND(L2="Abierta", M2&lt;&gt;"", M2&lt;=20, M2&gt;10), "⏳ URGENTE (20d)", "")</f>
        <v/>
      </c>
      <c r="P2" s="81" t="str">
        <f ca="1">IF(AND(L2="Abierta", M2&lt;&gt;"", M2&lt;=30, M2&gt;20), "📅 SEGUIMIENTO (30d)", "")</f>
        <v/>
      </c>
      <c r="Q2" s="81" t="str">
        <f ca="1">IF(AND(L2="Abierta", M2&lt;&gt;"", M2&lt;=5), "⚠️ INMINENTE (5d)", "")</f>
        <v/>
      </c>
      <c r="R2" s="136"/>
      <c r="S2" s="88"/>
      <c r="T2" s="81"/>
      <c r="U2" s="153">
        <v>1</v>
      </c>
      <c r="V2" s="153"/>
      <c r="W2" s="153"/>
      <c r="X2" s="153"/>
      <c r="Y2" s="136"/>
      <c r="Z2" s="153"/>
      <c r="AA2" s="152"/>
      <c r="AB2" s="8">
        <v>1</v>
      </c>
      <c r="AC2"/>
    </row>
    <row r="3" spans="1:29" ht="57" hidden="1">
      <c r="A3" s="74" t="s">
        <v>13</v>
      </c>
      <c r="B3" s="75" t="s">
        <v>14</v>
      </c>
      <c r="C3" s="74" t="s">
        <v>21</v>
      </c>
      <c r="D3" s="74" t="s">
        <v>21</v>
      </c>
      <c r="E3" s="76"/>
      <c r="F3" s="74" t="s">
        <v>22</v>
      </c>
      <c r="G3" s="74" t="s">
        <v>269</v>
      </c>
      <c r="H3" s="77">
        <v>44995</v>
      </c>
      <c r="I3" s="207">
        <v>45381</v>
      </c>
      <c r="J3" s="78" t="s">
        <v>23</v>
      </c>
      <c r="K3" s="79" t="s">
        <v>24</v>
      </c>
      <c r="L3" s="79" t="s">
        <v>20</v>
      </c>
      <c r="M3" s="80" t="str">
        <f t="shared" ref="M3:M66" ca="1" si="0">IF(L3="Abierta", I3-TODAY(), "")</f>
        <v/>
      </c>
      <c r="N3" s="37" t="str">
        <f t="shared" ref="N3:N66" ca="1" si="1">IF(AND(L3="Abierta", M3&lt;&gt;"", M3&lt;=10, M3&gt;5), "🚨 CRÍTICO (10d)", "")</f>
        <v/>
      </c>
      <c r="O3" s="81" t="str">
        <f t="shared" ref="O3:O66" ca="1" si="2">IF(AND(L3="Abierta", M3&lt;&gt;"", M3&lt;=20, M3&gt;10), "⏳ URGENTE (20d)", "")</f>
        <v/>
      </c>
      <c r="P3" s="81" t="str">
        <f t="shared" ref="P3:P66" ca="1" si="3">IF(AND(L3="Abierta", M3&lt;&gt;"", M3&lt;=30, M3&gt;20), "📅 SEGUIMIENTO (30d)", "")</f>
        <v/>
      </c>
      <c r="Q3" s="81" t="str">
        <f t="shared" ref="Q3:Q66" ca="1" si="4">IF(AND(L3="Abierta", M3&lt;&gt;"", M3&lt;=5), "⚠️ INMINENTE (5d)", "")</f>
        <v/>
      </c>
      <c r="R3" s="136"/>
      <c r="S3" s="88"/>
      <c r="T3" s="81"/>
      <c r="U3" s="153">
        <v>2</v>
      </c>
      <c r="V3" s="153"/>
      <c r="W3" s="153"/>
      <c r="X3" s="153"/>
      <c r="Y3" s="136"/>
      <c r="Z3" s="153"/>
      <c r="AA3" s="152"/>
      <c r="AB3" s="8">
        <v>1</v>
      </c>
      <c r="AC3"/>
    </row>
    <row r="4" spans="1:29" ht="79.8" hidden="1">
      <c r="A4" s="74" t="s">
        <v>13</v>
      </c>
      <c r="B4" s="75" t="s">
        <v>14</v>
      </c>
      <c r="C4" s="74" t="s">
        <v>25</v>
      </c>
      <c r="D4" s="74" t="s">
        <v>25</v>
      </c>
      <c r="E4" s="76"/>
      <c r="F4" s="74" t="s">
        <v>26</v>
      </c>
      <c r="G4" s="74" t="s">
        <v>269</v>
      </c>
      <c r="H4" s="77">
        <v>44995</v>
      </c>
      <c r="I4" s="207">
        <v>45473</v>
      </c>
      <c r="J4" s="78" t="s">
        <v>27</v>
      </c>
      <c r="K4" s="79" t="s">
        <v>28</v>
      </c>
      <c r="L4" s="79" t="s">
        <v>20</v>
      </c>
      <c r="M4" s="80" t="str">
        <f t="shared" ca="1" si="0"/>
        <v/>
      </c>
      <c r="N4" s="37" t="str">
        <f t="shared" ca="1" si="1"/>
        <v/>
      </c>
      <c r="O4" s="81" t="str">
        <f t="shared" ca="1" si="2"/>
        <v/>
      </c>
      <c r="P4" s="81" t="str">
        <f t="shared" ca="1" si="3"/>
        <v/>
      </c>
      <c r="Q4" s="81" t="str">
        <f t="shared" ca="1" si="4"/>
        <v/>
      </c>
      <c r="R4" s="136"/>
      <c r="S4" s="88"/>
      <c r="T4" s="81"/>
      <c r="U4" s="153">
        <v>3</v>
      </c>
      <c r="V4" s="153"/>
      <c r="W4" s="153"/>
      <c r="X4" s="153"/>
      <c r="Y4" s="136"/>
      <c r="Z4" s="153"/>
      <c r="AA4" s="152"/>
      <c r="AB4" s="8">
        <v>1</v>
      </c>
      <c r="AC4"/>
    </row>
    <row r="5" spans="1:29" ht="115.2" hidden="1">
      <c r="A5" s="74" t="s">
        <v>13</v>
      </c>
      <c r="B5" s="75" t="s">
        <v>14</v>
      </c>
      <c r="C5" s="74" t="s">
        <v>29</v>
      </c>
      <c r="D5" s="74" t="s">
        <v>29</v>
      </c>
      <c r="E5" s="76"/>
      <c r="F5" s="74" t="s">
        <v>30</v>
      </c>
      <c r="G5" s="74" t="s">
        <v>269</v>
      </c>
      <c r="H5" s="77">
        <v>44995</v>
      </c>
      <c r="I5" s="207">
        <v>46203</v>
      </c>
      <c r="J5" s="82" t="s">
        <v>31</v>
      </c>
      <c r="K5" s="74" t="s">
        <v>804</v>
      </c>
      <c r="L5" s="79" t="s">
        <v>20</v>
      </c>
      <c r="M5" s="80" t="str">
        <f t="shared" ca="1" si="0"/>
        <v/>
      </c>
      <c r="N5" s="37" t="str">
        <f t="shared" ca="1" si="1"/>
        <v/>
      </c>
      <c r="O5" s="81" t="str">
        <f t="shared" ca="1" si="2"/>
        <v/>
      </c>
      <c r="P5" s="81" t="str">
        <f t="shared" ca="1" si="3"/>
        <v/>
      </c>
      <c r="Q5" s="81" t="str">
        <f t="shared" ca="1" si="4"/>
        <v/>
      </c>
      <c r="R5" s="84" t="s">
        <v>635</v>
      </c>
      <c r="S5" s="88"/>
      <c r="T5" s="81"/>
      <c r="U5" s="153">
        <v>4</v>
      </c>
      <c r="V5" s="153"/>
      <c r="W5" s="153"/>
      <c r="X5" s="153"/>
      <c r="Y5" s="136"/>
      <c r="Z5" s="153"/>
      <c r="AA5" s="152"/>
      <c r="AB5" s="8">
        <v>0.5</v>
      </c>
      <c r="AC5"/>
    </row>
    <row r="6" spans="1:29" ht="100.8">
      <c r="A6" s="74" t="s">
        <v>13</v>
      </c>
      <c r="B6" s="75" t="s">
        <v>14</v>
      </c>
      <c r="C6" s="74" t="s">
        <v>29</v>
      </c>
      <c r="D6" s="74"/>
      <c r="E6" s="76"/>
      <c r="F6" s="74" t="s">
        <v>34</v>
      </c>
      <c r="G6" s="74" t="s">
        <v>269</v>
      </c>
      <c r="H6" s="77">
        <v>44995</v>
      </c>
      <c r="I6" s="207">
        <v>46203</v>
      </c>
      <c r="J6" s="82" t="s">
        <v>31</v>
      </c>
      <c r="K6" s="74" t="s">
        <v>804</v>
      </c>
      <c r="L6" s="79" t="s">
        <v>33</v>
      </c>
      <c r="M6" s="80" t="str">
        <f t="shared" ca="1" si="0"/>
        <v/>
      </c>
      <c r="N6" s="37" t="str">
        <f t="shared" ca="1" si="1"/>
        <v/>
      </c>
      <c r="O6" s="81" t="str">
        <f t="shared" ca="1" si="2"/>
        <v/>
      </c>
      <c r="P6" s="81" t="str">
        <f t="shared" ca="1" si="3"/>
        <v/>
      </c>
      <c r="Q6" s="81" t="str">
        <f t="shared" ca="1" si="4"/>
        <v/>
      </c>
      <c r="R6" s="84" t="s">
        <v>635</v>
      </c>
      <c r="S6" s="88"/>
      <c r="T6" s="153" t="s">
        <v>1523</v>
      </c>
      <c r="U6" s="153">
        <v>5</v>
      </c>
      <c r="V6" s="153"/>
      <c r="W6" s="153"/>
      <c r="X6" s="153"/>
      <c r="Y6" s="136"/>
      <c r="Z6" s="153"/>
      <c r="AA6" s="152"/>
      <c r="AB6" s="8">
        <v>0.5</v>
      </c>
      <c r="AC6" s="8" t="s">
        <v>1773</v>
      </c>
    </row>
    <row r="7" spans="1:29" ht="68.400000000000006" hidden="1">
      <c r="A7" s="74" t="s">
        <v>13</v>
      </c>
      <c r="B7" s="75" t="s">
        <v>14</v>
      </c>
      <c r="C7" s="74" t="s">
        <v>36</v>
      </c>
      <c r="D7" s="74" t="s">
        <v>36</v>
      </c>
      <c r="E7" s="76"/>
      <c r="F7" s="74" t="s">
        <v>37</v>
      </c>
      <c r="G7" s="74" t="s">
        <v>269</v>
      </c>
      <c r="H7" s="77">
        <v>44995</v>
      </c>
      <c r="I7" s="207">
        <v>45473</v>
      </c>
      <c r="J7" s="85" t="s">
        <v>38</v>
      </c>
      <c r="K7" s="74" t="s">
        <v>39</v>
      </c>
      <c r="L7" s="79" t="s">
        <v>20</v>
      </c>
      <c r="M7" s="80" t="str">
        <f t="shared" ca="1" si="0"/>
        <v/>
      </c>
      <c r="N7" s="37" t="str">
        <f t="shared" ca="1" si="1"/>
        <v/>
      </c>
      <c r="O7" s="81" t="str">
        <f t="shared" ca="1" si="2"/>
        <v/>
      </c>
      <c r="P7" s="81" t="str">
        <f t="shared" ca="1" si="3"/>
        <v/>
      </c>
      <c r="Q7" s="81" t="str">
        <f t="shared" ca="1" si="4"/>
        <v/>
      </c>
      <c r="R7" s="136"/>
      <c r="S7" s="88"/>
      <c r="T7" s="81"/>
      <c r="U7" s="153">
        <v>6</v>
      </c>
      <c r="V7" s="153"/>
      <c r="W7" s="153"/>
      <c r="X7" s="153"/>
      <c r="Y7" s="136"/>
      <c r="Z7" s="153"/>
      <c r="AA7" s="152"/>
      <c r="AB7" s="8">
        <v>1</v>
      </c>
      <c r="AC7"/>
    </row>
    <row r="8" spans="1:29" ht="57" hidden="1">
      <c r="A8" s="74" t="s">
        <v>13</v>
      </c>
      <c r="B8" s="75" t="s">
        <v>14</v>
      </c>
      <c r="C8" s="74" t="s">
        <v>40</v>
      </c>
      <c r="D8" s="74" t="s">
        <v>40</v>
      </c>
      <c r="E8" s="76"/>
      <c r="F8" s="74" t="s">
        <v>41</v>
      </c>
      <c r="G8" s="74" t="s">
        <v>269</v>
      </c>
      <c r="H8" s="77">
        <v>44995</v>
      </c>
      <c r="I8" s="207">
        <v>45381</v>
      </c>
      <c r="J8" s="78" t="s">
        <v>42</v>
      </c>
      <c r="K8" s="79" t="s">
        <v>43</v>
      </c>
      <c r="L8" s="79" t="s">
        <v>20</v>
      </c>
      <c r="M8" s="80" t="str">
        <f t="shared" ca="1" si="0"/>
        <v/>
      </c>
      <c r="N8" s="37" t="str">
        <f t="shared" ca="1" si="1"/>
        <v/>
      </c>
      <c r="O8" s="81" t="str">
        <f t="shared" ca="1" si="2"/>
        <v/>
      </c>
      <c r="P8" s="81" t="str">
        <f t="shared" ca="1" si="3"/>
        <v/>
      </c>
      <c r="Q8" s="81" t="str">
        <f t="shared" ca="1" si="4"/>
        <v/>
      </c>
      <c r="R8" s="136"/>
      <c r="S8" s="88"/>
      <c r="T8" s="81"/>
      <c r="U8" s="153">
        <v>7</v>
      </c>
      <c r="V8" s="153"/>
      <c r="W8" s="153"/>
      <c r="X8" s="153"/>
      <c r="Y8" s="136"/>
      <c r="Z8" s="153"/>
      <c r="AA8" s="152"/>
      <c r="AB8" s="8">
        <v>1</v>
      </c>
      <c r="AC8"/>
    </row>
    <row r="9" spans="1:29" ht="68.400000000000006" hidden="1">
      <c r="A9" s="74" t="s">
        <v>13</v>
      </c>
      <c r="B9" s="75" t="s">
        <v>14</v>
      </c>
      <c r="C9" s="74" t="s">
        <v>44</v>
      </c>
      <c r="D9" s="74" t="s">
        <v>44</v>
      </c>
      <c r="E9" s="76"/>
      <c r="F9" s="74" t="s">
        <v>45</v>
      </c>
      <c r="G9" s="74" t="s">
        <v>269</v>
      </c>
      <c r="H9" s="77">
        <v>44995</v>
      </c>
      <c r="I9" s="207">
        <v>45443</v>
      </c>
      <c r="J9" s="78"/>
      <c r="K9" s="79" t="s">
        <v>46</v>
      </c>
      <c r="L9" s="79" t="s">
        <v>20</v>
      </c>
      <c r="M9" s="80" t="str">
        <f t="shared" ca="1" si="0"/>
        <v/>
      </c>
      <c r="N9" s="37" t="str">
        <f t="shared" ca="1" si="1"/>
        <v/>
      </c>
      <c r="O9" s="81" t="str">
        <f t="shared" ca="1" si="2"/>
        <v/>
      </c>
      <c r="P9" s="81" t="str">
        <f t="shared" ca="1" si="3"/>
        <v/>
      </c>
      <c r="Q9" s="81" t="str">
        <f t="shared" ca="1" si="4"/>
        <v/>
      </c>
      <c r="R9" s="136"/>
      <c r="S9" s="88"/>
      <c r="T9" s="81"/>
      <c r="U9" s="153">
        <v>8</v>
      </c>
      <c r="V9" s="153"/>
      <c r="W9" s="153"/>
      <c r="X9" s="153"/>
      <c r="Y9" s="136"/>
      <c r="Z9" s="153"/>
      <c r="AA9" s="152"/>
      <c r="AB9" s="8">
        <v>1</v>
      </c>
      <c r="AC9"/>
    </row>
    <row r="10" spans="1:29" ht="57" hidden="1">
      <c r="A10" s="74" t="s">
        <v>13</v>
      </c>
      <c r="B10" s="75" t="s">
        <v>14</v>
      </c>
      <c r="C10" s="74" t="s">
        <v>47</v>
      </c>
      <c r="D10" s="74" t="s">
        <v>47</v>
      </c>
      <c r="E10" s="76"/>
      <c r="F10" s="74" t="s">
        <v>48</v>
      </c>
      <c r="G10" s="74" t="s">
        <v>269</v>
      </c>
      <c r="H10" s="77">
        <v>44995</v>
      </c>
      <c r="I10" s="207">
        <v>45381</v>
      </c>
      <c r="J10" s="78" t="s">
        <v>49</v>
      </c>
      <c r="K10" s="79" t="s">
        <v>50</v>
      </c>
      <c r="L10" s="79" t="s">
        <v>20</v>
      </c>
      <c r="M10" s="80" t="str">
        <f t="shared" ca="1" si="0"/>
        <v/>
      </c>
      <c r="N10" s="37" t="str">
        <f t="shared" ca="1" si="1"/>
        <v/>
      </c>
      <c r="O10" s="81" t="str">
        <f t="shared" ca="1" si="2"/>
        <v/>
      </c>
      <c r="P10" s="81" t="str">
        <f t="shared" ca="1" si="3"/>
        <v/>
      </c>
      <c r="Q10" s="81" t="str">
        <f t="shared" ca="1" si="4"/>
        <v/>
      </c>
      <c r="R10" s="136"/>
      <c r="S10" s="88"/>
      <c r="T10" s="81"/>
      <c r="U10" s="153">
        <v>9</v>
      </c>
      <c r="V10" s="153"/>
      <c r="W10" s="153"/>
      <c r="X10" s="153"/>
      <c r="Y10" s="136"/>
      <c r="Z10" s="153"/>
      <c r="AA10" s="152"/>
      <c r="AB10" s="8">
        <v>1</v>
      </c>
      <c r="AC10"/>
    </row>
    <row r="11" spans="1:29" ht="68.400000000000006" hidden="1">
      <c r="A11" s="74" t="s">
        <v>13</v>
      </c>
      <c r="B11" s="75" t="s">
        <v>14</v>
      </c>
      <c r="C11" s="74" t="s">
        <v>51</v>
      </c>
      <c r="D11" s="74" t="s">
        <v>51</v>
      </c>
      <c r="E11" s="76"/>
      <c r="F11" s="74" t="s">
        <v>52</v>
      </c>
      <c r="G11" s="74" t="s">
        <v>269</v>
      </c>
      <c r="H11" s="77">
        <v>44995</v>
      </c>
      <c r="I11" s="207">
        <v>45381</v>
      </c>
      <c r="J11" s="78" t="s">
        <v>53</v>
      </c>
      <c r="K11" s="79" t="s">
        <v>54</v>
      </c>
      <c r="L11" s="79" t="s">
        <v>20</v>
      </c>
      <c r="M11" s="80" t="str">
        <f t="shared" ca="1" si="0"/>
        <v/>
      </c>
      <c r="N11" s="37" t="str">
        <f t="shared" ca="1" si="1"/>
        <v/>
      </c>
      <c r="O11" s="81" t="str">
        <f t="shared" ca="1" si="2"/>
        <v/>
      </c>
      <c r="P11" s="81" t="str">
        <f t="shared" ca="1" si="3"/>
        <v/>
      </c>
      <c r="Q11" s="81" t="str">
        <f t="shared" ca="1" si="4"/>
        <v/>
      </c>
      <c r="R11" s="136"/>
      <c r="S11" s="88"/>
      <c r="T11" s="81"/>
      <c r="U11" s="153">
        <v>10</v>
      </c>
      <c r="V11" s="153"/>
      <c r="W11" s="153"/>
      <c r="X11" s="153"/>
      <c r="Y11" s="136"/>
      <c r="Z11" s="153"/>
      <c r="AA11" s="152"/>
      <c r="AB11" s="8">
        <v>1</v>
      </c>
      <c r="AC11"/>
    </row>
    <row r="12" spans="1:29" ht="68.400000000000006" hidden="1">
      <c r="A12" s="74" t="s">
        <v>13</v>
      </c>
      <c r="B12" s="75" t="s">
        <v>14</v>
      </c>
      <c r="C12" s="74" t="s">
        <v>55</v>
      </c>
      <c r="D12" s="74" t="s">
        <v>55</v>
      </c>
      <c r="E12" s="76"/>
      <c r="F12" s="74" t="s">
        <v>56</v>
      </c>
      <c r="G12" s="74" t="s">
        <v>269</v>
      </c>
      <c r="H12" s="77">
        <v>44995</v>
      </c>
      <c r="I12" s="207">
        <v>45473</v>
      </c>
      <c r="J12" s="78" t="s">
        <v>57</v>
      </c>
      <c r="K12" s="79" t="s">
        <v>58</v>
      </c>
      <c r="L12" s="79" t="s">
        <v>20</v>
      </c>
      <c r="M12" s="80" t="str">
        <f t="shared" ca="1" si="0"/>
        <v/>
      </c>
      <c r="N12" s="37" t="str">
        <f t="shared" ca="1" si="1"/>
        <v/>
      </c>
      <c r="O12" s="81" t="str">
        <f t="shared" ca="1" si="2"/>
        <v/>
      </c>
      <c r="P12" s="81" t="str">
        <f t="shared" ca="1" si="3"/>
        <v/>
      </c>
      <c r="Q12" s="81" t="str">
        <f t="shared" ca="1" si="4"/>
        <v/>
      </c>
      <c r="R12" s="136"/>
      <c r="S12" s="88"/>
      <c r="T12" s="81"/>
      <c r="U12" s="153">
        <v>11</v>
      </c>
      <c r="V12" s="153"/>
      <c r="W12" s="153"/>
      <c r="X12" s="153"/>
      <c r="Y12" s="136"/>
      <c r="Z12" s="153"/>
      <c r="AA12" s="152"/>
      <c r="AB12" s="8">
        <v>1</v>
      </c>
      <c r="AC12"/>
    </row>
    <row r="13" spans="1:29" ht="34.200000000000003" hidden="1">
      <c r="A13" s="74" t="s">
        <v>13</v>
      </c>
      <c r="B13" s="75" t="s">
        <v>14</v>
      </c>
      <c r="C13" s="74" t="s">
        <v>59</v>
      </c>
      <c r="D13" s="74" t="s">
        <v>59</v>
      </c>
      <c r="E13" s="76"/>
      <c r="F13" s="74" t="s">
        <v>60</v>
      </c>
      <c r="G13" s="74" t="s">
        <v>269</v>
      </c>
      <c r="H13" s="77">
        <v>44995</v>
      </c>
      <c r="I13" s="207">
        <v>45473</v>
      </c>
      <c r="J13" s="78" t="s">
        <v>61</v>
      </c>
      <c r="K13" s="79" t="s">
        <v>62</v>
      </c>
      <c r="L13" s="79" t="s">
        <v>20</v>
      </c>
      <c r="M13" s="80" t="str">
        <f t="shared" ca="1" si="0"/>
        <v/>
      </c>
      <c r="N13" s="37" t="str">
        <f t="shared" ca="1" si="1"/>
        <v/>
      </c>
      <c r="O13" s="81" t="str">
        <f t="shared" ca="1" si="2"/>
        <v/>
      </c>
      <c r="P13" s="81" t="str">
        <f t="shared" ca="1" si="3"/>
        <v/>
      </c>
      <c r="Q13" s="81" t="str">
        <f t="shared" ca="1" si="4"/>
        <v/>
      </c>
      <c r="R13" s="136"/>
      <c r="S13" s="88"/>
      <c r="T13" s="81"/>
      <c r="U13" s="153">
        <v>12</v>
      </c>
      <c r="V13" s="153"/>
      <c r="W13" s="153"/>
      <c r="X13" s="153"/>
      <c r="Y13" s="136"/>
      <c r="Z13" s="153"/>
      <c r="AA13" s="152"/>
      <c r="AB13" s="8">
        <v>1</v>
      </c>
      <c r="AC13"/>
    </row>
    <row r="14" spans="1:29" ht="125.4" hidden="1">
      <c r="A14" s="74" t="s">
        <v>13</v>
      </c>
      <c r="B14" s="75" t="s">
        <v>14</v>
      </c>
      <c r="C14" s="74" t="s">
        <v>63</v>
      </c>
      <c r="D14" s="74" t="s">
        <v>63</v>
      </c>
      <c r="E14" s="76"/>
      <c r="F14" s="74" t="s">
        <v>64</v>
      </c>
      <c r="G14" s="74" t="s">
        <v>269</v>
      </c>
      <c r="H14" s="77">
        <v>44995</v>
      </c>
      <c r="I14" s="207">
        <v>45473</v>
      </c>
      <c r="J14" s="78" t="s">
        <v>65</v>
      </c>
      <c r="K14" s="79" t="s">
        <v>62</v>
      </c>
      <c r="L14" s="79" t="s">
        <v>20</v>
      </c>
      <c r="M14" s="80" t="str">
        <f t="shared" ca="1" si="0"/>
        <v/>
      </c>
      <c r="N14" s="37" t="str">
        <f t="shared" ca="1" si="1"/>
        <v/>
      </c>
      <c r="O14" s="81" t="str">
        <f t="shared" ca="1" si="2"/>
        <v/>
      </c>
      <c r="P14" s="81" t="str">
        <f t="shared" ca="1" si="3"/>
        <v/>
      </c>
      <c r="Q14" s="81" t="str">
        <f t="shared" ca="1" si="4"/>
        <v/>
      </c>
      <c r="R14" s="136"/>
      <c r="S14" s="88"/>
      <c r="T14" s="81"/>
      <c r="U14" s="153">
        <v>13</v>
      </c>
      <c r="V14" s="153"/>
      <c r="W14" s="153"/>
      <c r="X14" s="153"/>
      <c r="Y14" s="136"/>
      <c r="Z14" s="153"/>
      <c r="AA14" s="152"/>
      <c r="AB14" s="8">
        <v>1</v>
      </c>
      <c r="AC14"/>
    </row>
    <row r="15" spans="1:29" ht="102.6" hidden="1">
      <c r="A15" s="74" t="s">
        <v>13</v>
      </c>
      <c r="B15" s="75" t="s">
        <v>14</v>
      </c>
      <c r="C15" s="74" t="s">
        <v>66</v>
      </c>
      <c r="D15" s="74" t="s">
        <v>66</v>
      </c>
      <c r="E15" s="76"/>
      <c r="F15" s="74" t="s">
        <v>67</v>
      </c>
      <c r="G15" s="74" t="s">
        <v>269</v>
      </c>
      <c r="H15" s="77">
        <v>44995</v>
      </c>
      <c r="I15" s="207">
        <v>45473</v>
      </c>
      <c r="J15" s="78" t="s">
        <v>68</v>
      </c>
      <c r="K15" s="79" t="s">
        <v>69</v>
      </c>
      <c r="L15" s="79" t="s">
        <v>20</v>
      </c>
      <c r="M15" s="80" t="str">
        <f t="shared" ca="1" si="0"/>
        <v/>
      </c>
      <c r="N15" s="37" t="str">
        <f t="shared" ca="1" si="1"/>
        <v/>
      </c>
      <c r="O15" s="81" t="str">
        <f t="shared" ca="1" si="2"/>
        <v/>
      </c>
      <c r="P15" s="81" t="str">
        <f t="shared" ca="1" si="3"/>
        <v/>
      </c>
      <c r="Q15" s="81" t="str">
        <f t="shared" ca="1" si="4"/>
        <v/>
      </c>
      <c r="R15" s="136"/>
      <c r="S15" s="88"/>
      <c r="T15" s="81"/>
      <c r="U15" s="153">
        <v>14</v>
      </c>
      <c r="V15" s="153"/>
      <c r="W15" s="153"/>
      <c r="X15" s="153"/>
      <c r="Y15" s="136"/>
      <c r="Z15" s="153"/>
      <c r="AA15" s="152"/>
      <c r="AB15" s="8">
        <v>1</v>
      </c>
      <c r="AC15"/>
    </row>
    <row r="16" spans="1:29" ht="57" hidden="1">
      <c r="A16" s="74" t="s">
        <v>13</v>
      </c>
      <c r="B16" s="75" t="s">
        <v>14</v>
      </c>
      <c r="C16" s="74" t="s">
        <v>70</v>
      </c>
      <c r="D16" s="74" t="s">
        <v>70</v>
      </c>
      <c r="E16" s="76"/>
      <c r="F16" s="74" t="s">
        <v>71</v>
      </c>
      <c r="G16" s="74" t="s">
        <v>269</v>
      </c>
      <c r="H16" s="77">
        <v>44995</v>
      </c>
      <c r="I16" s="207">
        <v>45352</v>
      </c>
      <c r="J16" s="78" t="s">
        <v>72</v>
      </c>
      <c r="K16" s="79" t="s">
        <v>73</v>
      </c>
      <c r="L16" s="79" t="s">
        <v>20</v>
      </c>
      <c r="M16" s="80" t="str">
        <f t="shared" ca="1" si="0"/>
        <v/>
      </c>
      <c r="N16" s="37" t="str">
        <f t="shared" ca="1" si="1"/>
        <v/>
      </c>
      <c r="O16" s="81" t="str">
        <f t="shared" ca="1" si="2"/>
        <v/>
      </c>
      <c r="P16" s="81" t="str">
        <f t="shared" ca="1" si="3"/>
        <v/>
      </c>
      <c r="Q16" s="81" t="str">
        <f t="shared" ca="1" si="4"/>
        <v/>
      </c>
      <c r="R16" s="136"/>
      <c r="S16" s="88"/>
      <c r="T16" s="81"/>
      <c r="U16" s="153">
        <v>15</v>
      </c>
      <c r="V16" s="153"/>
      <c r="W16" s="153"/>
      <c r="X16" s="153"/>
      <c r="Y16" s="136"/>
      <c r="Z16" s="153"/>
      <c r="AA16" s="152"/>
      <c r="AB16" s="8">
        <v>1</v>
      </c>
      <c r="AC16"/>
    </row>
    <row r="17" spans="1:29" ht="68.400000000000006" hidden="1">
      <c r="A17" s="74" t="s">
        <v>13</v>
      </c>
      <c r="B17" s="75" t="s">
        <v>14</v>
      </c>
      <c r="C17" s="74" t="s">
        <v>74</v>
      </c>
      <c r="D17" s="74" t="s">
        <v>74</v>
      </c>
      <c r="E17" s="76"/>
      <c r="F17" s="74" t="s">
        <v>75</v>
      </c>
      <c r="G17" s="74" t="s">
        <v>269</v>
      </c>
      <c r="H17" s="77">
        <v>44995</v>
      </c>
      <c r="I17" s="207">
        <v>45352</v>
      </c>
      <c r="J17" s="78" t="s">
        <v>76</v>
      </c>
      <c r="K17" s="79" t="s">
        <v>73</v>
      </c>
      <c r="L17" s="79" t="s">
        <v>20</v>
      </c>
      <c r="M17" s="80" t="str">
        <f t="shared" ca="1" si="0"/>
        <v/>
      </c>
      <c r="N17" s="37" t="str">
        <f t="shared" ca="1" si="1"/>
        <v/>
      </c>
      <c r="O17" s="81" t="str">
        <f t="shared" ca="1" si="2"/>
        <v/>
      </c>
      <c r="P17" s="81" t="str">
        <f t="shared" ca="1" si="3"/>
        <v/>
      </c>
      <c r="Q17" s="81" t="str">
        <f t="shared" ca="1" si="4"/>
        <v/>
      </c>
      <c r="R17" s="136"/>
      <c r="S17" s="88"/>
      <c r="T17" s="81"/>
      <c r="U17" s="153">
        <v>16</v>
      </c>
      <c r="V17" s="153"/>
      <c r="W17" s="153"/>
      <c r="X17" s="153"/>
      <c r="Y17" s="136"/>
      <c r="Z17" s="153"/>
      <c r="AA17" s="152"/>
      <c r="AB17" s="8">
        <v>1</v>
      </c>
      <c r="AC17"/>
    </row>
    <row r="18" spans="1:29" ht="136.80000000000001" hidden="1">
      <c r="A18" s="74" t="s">
        <v>13</v>
      </c>
      <c r="B18" s="75" t="s">
        <v>14</v>
      </c>
      <c r="C18" s="74" t="s">
        <v>77</v>
      </c>
      <c r="D18" s="74" t="s">
        <v>77</v>
      </c>
      <c r="E18" s="76"/>
      <c r="F18" s="74" t="s">
        <v>78</v>
      </c>
      <c r="G18" s="74" t="s">
        <v>269</v>
      </c>
      <c r="H18" s="77">
        <v>44995</v>
      </c>
      <c r="I18" s="207">
        <v>45473</v>
      </c>
      <c r="J18" s="85" t="s">
        <v>79</v>
      </c>
      <c r="K18" s="79" t="s">
        <v>80</v>
      </c>
      <c r="L18" s="79" t="s">
        <v>20</v>
      </c>
      <c r="M18" s="80" t="str">
        <f t="shared" ca="1" si="0"/>
        <v/>
      </c>
      <c r="N18" s="37" t="str">
        <f t="shared" ca="1" si="1"/>
        <v/>
      </c>
      <c r="O18" s="81" t="str">
        <f t="shared" ca="1" si="2"/>
        <v/>
      </c>
      <c r="P18" s="81" t="str">
        <f t="shared" ca="1" si="3"/>
        <v/>
      </c>
      <c r="Q18" s="81" t="str">
        <f t="shared" ca="1" si="4"/>
        <v/>
      </c>
      <c r="R18" s="136"/>
      <c r="S18" s="88"/>
      <c r="T18" s="81"/>
      <c r="U18" s="153">
        <v>17</v>
      </c>
      <c r="V18" s="153"/>
      <c r="W18" s="153"/>
      <c r="X18" s="153"/>
      <c r="Y18" s="136"/>
      <c r="Z18" s="153"/>
      <c r="AA18" s="152"/>
      <c r="AB18" s="8">
        <v>1</v>
      </c>
      <c r="AC18"/>
    </row>
    <row r="19" spans="1:29" ht="79.8" hidden="1">
      <c r="A19" s="74" t="s">
        <v>13</v>
      </c>
      <c r="B19" s="75" t="s">
        <v>14</v>
      </c>
      <c r="C19" s="74" t="s">
        <v>81</v>
      </c>
      <c r="D19" s="74" t="s">
        <v>81</v>
      </c>
      <c r="E19" s="76"/>
      <c r="F19" s="74" t="s">
        <v>82</v>
      </c>
      <c r="G19" s="74" t="s">
        <v>269</v>
      </c>
      <c r="H19" s="77">
        <v>44995</v>
      </c>
      <c r="I19" s="207">
        <v>45473</v>
      </c>
      <c r="J19" s="78" t="s">
        <v>83</v>
      </c>
      <c r="K19" s="79" t="s">
        <v>84</v>
      </c>
      <c r="L19" s="79" t="s">
        <v>20</v>
      </c>
      <c r="M19" s="80" t="str">
        <f t="shared" ca="1" si="0"/>
        <v/>
      </c>
      <c r="N19" s="37" t="str">
        <f t="shared" ca="1" si="1"/>
        <v/>
      </c>
      <c r="O19" s="81" t="str">
        <f t="shared" ca="1" si="2"/>
        <v/>
      </c>
      <c r="P19" s="81" t="str">
        <f t="shared" ca="1" si="3"/>
        <v/>
      </c>
      <c r="Q19" s="81" t="str">
        <f t="shared" ca="1" si="4"/>
        <v/>
      </c>
      <c r="R19" s="136"/>
      <c r="S19" s="88"/>
      <c r="T19" s="81"/>
      <c r="U19" s="153">
        <v>18</v>
      </c>
      <c r="V19" s="153"/>
      <c r="W19" s="153"/>
      <c r="X19" s="153"/>
      <c r="Y19" s="136"/>
      <c r="Z19" s="153"/>
      <c r="AA19" s="152"/>
      <c r="AB19" s="8">
        <v>1</v>
      </c>
      <c r="AC19"/>
    </row>
    <row r="20" spans="1:29" ht="45.6" hidden="1">
      <c r="A20" s="74" t="s">
        <v>13</v>
      </c>
      <c r="B20" s="75" t="s">
        <v>14</v>
      </c>
      <c r="C20" s="74" t="s">
        <v>85</v>
      </c>
      <c r="D20" s="74" t="s">
        <v>85</v>
      </c>
      <c r="E20" s="76"/>
      <c r="F20" s="74" t="s">
        <v>86</v>
      </c>
      <c r="G20" s="74" t="s">
        <v>269</v>
      </c>
      <c r="H20" s="77">
        <v>44995</v>
      </c>
      <c r="I20" s="207">
        <v>45473</v>
      </c>
      <c r="J20" s="78" t="s">
        <v>87</v>
      </c>
      <c r="K20" s="79"/>
      <c r="L20" s="79" t="s">
        <v>20</v>
      </c>
      <c r="M20" s="80" t="str">
        <f t="shared" ca="1" si="0"/>
        <v/>
      </c>
      <c r="N20" s="37" t="str">
        <f t="shared" ca="1" si="1"/>
        <v/>
      </c>
      <c r="O20" s="81" t="str">
        <f t="shared" ca="1" si="2"/>
        <v/>
      </c>
      <c r="P20" s="81" t="str">
        <f t="shared" ca="1" si="3"/>
        <v/>
      </c>
      <c r="Q20" s="81" t="str">
        <f t="shared" ca="1" si="4"/>
        <v/>
      </c>
      <c r="R20" s="136"/>
      <c r="S20" s="88"/>
      <c r="T20" s="81"/>
      <c r="U20" s="153">
        <v>19</v>
      </c>
      <c r="V20" s="153"/>
      <c r="W20" s="153"/>
      <c r="X20" s="153"/>
      <c r="Y20" s="136"/>
      <c r="Z20" s="153"/>
      <c r="AA20" s="152"/>
      <c r="AB20" s="8">
        <v>1</v>
      </c>
      <c r="AC20"/>
    </row>
    <row r="21" spans="1:29" ht="106.2" hidden="1">
      <c r="A21" s="74" t="s">
        <v>13</v>
      </c>
      <c r="B21" s="75" t="s">
        <v>14</v>
      </c>
      <c r="C21" s="74" t="s">
        <v>88</v>
      </c>
      <c r="D21" s="74" t="s">
        <v>88</v>
      </c>
      <c r="E21" s="76"/>
      <c r="F21" s="74" t="s">
        <v>89</v>
      </c>
      <c r="G21" s="74" t="s">
        <v>269</v>
      </c>
      <c r="H21" s="77">
        <v>44995</v>
      </c>
      <c r="I21" s="207">
        <v>45473</v>
      </c>
      <c r="J21" s="85" t="s">
        <v>90</v>
      </c>
      <c r="K21" s="79" t="s">
        <v>91</v>
      </c>
      <c r="L21" s="79" t="s">
        <v>20</v>
      </c>
      <c r="M21" s="80" t="str">
        <f t="shared" ca="1" si="0"/>
        <v/>
      </c>
      <c r="N21" s="37" t="str">
        <f t="shared" ca="1" si="1"/>
        <v/>
      </c>
      <c r="O21" s="81" t="str">
        <f t="shared" ca="1" si="2"/>
        <v/>
      </c>
      <c r="P21" s="81" t="str">
        <f t="shared" ca="1" si="3"/>
        <v/>
      </c>
      <c r="Q21" s="81" t="str">
        <f t="shared" ca="1" si="4"/>
        <v/>
      </c>
      <c r="R21" s="136"/>
      <c r="S21" s="88"/>
      <c r="T21" s="81"/>
      <c r="U21" s="153">
        <v>20</v>
      </c>
      <c r="V21" s="153"/>
      <c r="W21" s="153"/>
      <c r="X21" s="153"/>
      <c r="Y21" s="136"/>
      <c r="Z21" s="153"/>
      <c r="AA21" s="152"/>
      <c r="AB21" s="8">
        <v>1</v>
      </c>
      <c r="AC21"/>
    </row>
    <row r="22" spans="1:29" ht="79.8" hidden="1">
      <c r="A22" s="74" t="s">
        <v>13</v>
      </c>
      <c r="B22" s="75" t="s">
        <v>14</v>
      </c>
      <c r="C22" s="74" t="s">
        <v>92</v>
      </c>
      <c r="D22" s="74" t="s">
        <v>92</v>
      </c>
      <c r="E22" s="76"/>
      <c r="F22" s="74" t="s">
        <v>93</v>
      </c>
      <c r="G22" s="74" t="s">
        <v>269</v>
      </c>
      <c r="H22" s="77">
        <v>44995</v>
      </c>
      <c r="I22" s="207">
        <v>45381</v>
      </c>
      <c r="J22" s="78" t="s">
        <v>94</v>
      </c>
      <c r="K22" s="79" t="s">
        <v>95</v>
      </c>
      <c r="L22" s="79" t="s">
        <v>20</v>
      </c>
      <c r="M22" s="80" t="str">
        <f t="shared" ca="1" si="0"/>
        <v/>
      </c>
      <c r="N22" s="37" t="str">
        <f t="shared" ca="1" si="1"/>
        <v/>
      </c>
      <c r="O22" s="81" t="str">
        <f t="shared" ca="1" si="2"/>
        <v/>
      </c>
      <c r="P22" s="81" t="str">
        <f t="shared" ca="1" si="3"/>
        <v/>
      </c>
      <c r="Q22" s="81" t="str">
        <f t="shared" ca="1" si="4"/>
        <v/>
      </c>
      <c r="R22" s="136"/>
      <c r="S22" s="88"/>
      <c r="T22" s="81"/>
      <c r="U22" s="153">
        <v>21</v>
      </c>
      <c r="V22" s="153"/>
      <c r="W22" s="153"/>
      <c r="X22" s="153"/>
      <c r="Y22" s="136"/>
      <c r="Z22" s="153"/>
      <c r="AA22" s="152"/>
      <c r="AB22" s="8">
        <v>1</v>
      </c>
      <c r="AC22"/>
    </row>
    <row r="23" spans="1:29" ht="114" hidden="1">
      <c r="A23" s="74" t="s">
        <v>13</v>
      </c>
      <c r="B23" s="75" t="s">
        <v>14</v>
      </c>
      <c r="C23" s="74" t="s">
        <v>96</v>
      </c>
      <c r="D23" s="74" t="s">
        <v>96</v>
      </c>
      <c r="E23" s="76"/>
      <c r="F23" s="74" t="s">
        <v>97</v>
      </c>
      <c r="G23" s="74" t="s">
        <v>269</v>
      </c>
      <c r="H23" s="77">
        <v>44995</v>
      </c>
      <c r="I23" s="207">
        <v>45443</v>
      </c>
      <c r="J23" s="85" t="s">
        <v>98</v>
      </c>
      <c r="K23" s="74" t="s">
        <v>99</v>
      </c>
      <c r="L23" s="79" t="s">
        <v>20</v>
      </c>
      <c r="M23" s="80" t="str">
        <f t="shared" ca="1" si="0"/>
        <v/>
      </c>
      <c r="N23" s="37" t="str">
        <f t="shared" ca="1" si="1"/>
        <v/>
      </c>
      <c r="O23" s="81" t="str">
        <f t="shared" ca="1" si="2"/>
        <v/>
      </c>
      <c r="P23" s="81" t="str">
        <f t="shared" ca="1" si="3"/>
        <v/>
      </c>
      <c r="Q23" s="81" t="str">
        <f t="shared" ca="1" si="4"/>
        <v/>
      </c>
      <c r="R23" s="136"/>
      <c r="S23" s="88"/>
      <c r="T23" s="81"/>
      <c r="U23" s="153">
        <v>22</v>
      </c>
      <c r="V23" s="153"/>
      <c r="W23" s="153"/>
      <c r="X23" s="153"/>
      <c r="Y23" s="136"/>
      <c r="Z23" s="153"/>
      <c r="AA23" s="152"/>
      <c r="AB23" s="8">
        <v>1</v>
      </c>
      <c r="AC23"/>
    </row>
    <row r="24" spans="1:29" ht="114" hidden="1">
      <c r="A24" s="74" t="s">
        <v>13</v>
      </c>
      <c r="B24" s="75" t="s">
        <v>14</v>
      </c>
      <c r="C24" s="74" t="s">
        <v>100</v>
      </c>
      <c r="D24" s="74" t="s">
        <v>100</v>
      </c>
      <c r="E24" s="76"/>
      <c r="F24" s="74" t="s">
        <v>101</v>
      </c>
      <c r="G24" s="74" t="s">
        <v>269</v>
      </c>
      <c r="H24" s="77">
        <v>44995</v>
      </c>
      <c r="I24" s="207">
        <v>45412</v>
      </c>
      <c r="J24" s="78" t="s">
        <v>102</v>
      </c>
      <c r="K24" s="79"/>
      <c r="L24" s="79" t="s">
        <v>20</v>
      </c>
      <c r="M24" s="80" t="str">
        <f t="shared" ca="1" si="0"/>
        <v/>
      </c>
      <c r="N24" s="37" t="str">
        <f t="shared" ca="1" si="1"/>
        <v/>
      </c>
      <c r="O24" s="81" t="str">
        <f t="shared" ca="1" si="2"/>
        <v/>
      </c>
      <c r="P24" s="81" t="str">
        <f t="shared" ca="1" si="3"/>
        <v/>
      </c>
      <c r="Q24" s="81" t="str">
        <f t="shared" ca="1" si="4"/>
        <v/>
      </c>
      <c r="R24" s="136"/>
      <c r="S24" s="88"/>
      <c r="T24" s="81"/>
      <c r="U24" s="153">
        <v>23</v>
      </c>
      <c r="V24" s="153"/>
      <c r="W24" s="153"/>
      <c r="X24" s="153"/>
      <c r="Y24" s="136"/>
      <c r="Z24" s="153"/>
      <c r="AA24" s="152"/>
      <c r="AB24" s="8">
        <v>1</v>
      </c>
      <c r="AC24"/>
    </row>
    <row r="25" spans="1:29" ht="68.400000000000006" hidden="1">
      <c r="A25" s="74" t="s">
        <v>13</v>
      </c>
      <c r="B25" s="75" t="s">
        <v>14</v>
      </c>
      <c r="C25" s="74" t="s">
        <v>103</v>
      </c>
      <c r="D25" s="74" t="s">
        <v>103</v>
      </c>
      <c r="E25" s="76"/>
      <c r="F25" s="74" t="s">
        <v>104</v>
      </c>
      <c r="G25" s="74" t="s">
        <v>269</v>
      </c>
      <c r="H25" s="77">
        <v>44995</v>
      </c>
      <c r="I25" s="207">
        <v>45473</v>
      </c>
      <c r="J25" s="78" t="s">
        <v>105</v>
      </c>
      <c r="K25" s="79"/>
      <c r="L25" s="79" t="s">
        <v>20</v>
      </c>
      <c r="M25" s="80" t="str">
        <f t="shared" ca="1" si="0"/>
        <v/>
      </c>
      <c r="N25" s="37" t="str">
        <f t="shared" ca="1" si="1"/>
        <v/>
      </c>
      <c r="O25" s="81" t="str">
        <f t="shared" ca="1" si="2"/>
        <v/>
      </c>
      <c r="P25" s="81" t="str">
        <f t="shared" ca="1" si="3"/>
        <v/>
      </c>
      <c r="Q25" s="81" t="str">
        <f t="shared" ca="1" si="4"/>
        <v/>
      </c>
      <c r="R25" s="136"/>
      <c r="S25" s="88"/>
      <c r="T25" s="81"/>
      <c r="U25" s="153">
        <v>24</v>
      </c>
      <c r="V25" s="153"/>
      <c r="W25" s="153"/>
      <c r="X25" s="153"/>
      <c r="Y25" s="136"/>
      <c r="Z25" s="153"/>
      <c r="AA25" s="152"/>
      <c r="AB25" s="8">
        <v>1</v>
      </c>
      <c r="AC25"/>
    </row>
    <row r="26" spans="1:29" ht="57" hidden="1">
      <c r="A26" s="74" t="s">
        <v>13</v>
      </c>
      <c r="B26" s="75" t="s">
        <v>14</v>
      </c>
      <c r="C26" s="74" t="s">
        <v>106</v>
      </c>
      <c r="D26" s="74" t="s">
        <v>106</v>
      </c>
      <c r="E26" s="76"/>
      <c r="F26" s="74" t="s">
        <v>107</v>
      </c>
      <c r="G26" s="74" t="s">
        <v>269</v>
      </c>
      <c r="H26" s="77">
        <v>44995</v>
      </c>
      <c r="I26" s="207">
        <v>45352</v>
      </c>
      <c r="J26" s="78" t="s">
        <v>108</v>
      </c>
      <c r="K26" s="79"/>
      <c r="L26" s="79" t="s">
        <v>20</v>
      </c>
      <c r="M26" s="80" t="str">
        <f t="shared" ca="1" si="0"/>
        <v/>
      </c>
      <c r="N26" s="37" t="str">
        <f t="shared" ca="1" si="1"/>
        <v/>
      </c>
      <c r="O26" s="81" t="str">
        <f t="shared" ca="1" si="2"/>
        <v/>
      </c>
      <c r="P26" s="81" t="str">
        <f t="shared" ca="1" si="3"/>
        <v/>
      </c>
      <c r="Q26" s="81" t="str">
        <f t="shared" ca="1" si="4"/>
        <v/>
      </c>
      <c r="R26" s="136"/>
      <c r="S26" s="88"/>
      <c r="T26" s="81"/>
      <c r="U26" s="153">
        <v>25</v>
      </c>
      <c r="V26" s="153"/>
      <c r="W26" s="153"/>
      <c r="X26" s="153"/>
      <c r="Y26" s="136"/>
      <c r="Z26" s="153"/>
      <c r="AA26" s="152"/>
      <c r="AB26" s="8">
        <v>1</v>
      </c>
      <c r="AC26"/>
    </row>
    <row r="27" spans="1:29" ht="114" hidden="1">
      <c r="A27" s="74" t="s">
        <v>13</v>
      </c>
      <c r="B27" s="75" t="s">
        <v>14</v>
      </c>
      <c r="C27" s="74" t="s">
        <v>109</v>
      </c>
      <c r="D27" s="74" t="s">
        <v>109</v>
      </c>
      <c r="E27" s="76"/>
      <c r="F27" s="74" t="s">
        <v>110</v>
      </c>
      <c r="G27" s="74" t="s">
        <v>269</v>
      </c>
      <c r="H27" s="77">
        <v>44995</v>
      </c>
      <c r="I27" s="207">
        <v>45473</v>
      </c>
      <c r="J27" s="79"/>
      <c r="K27" s="79"/>
      <c r="L27" s="79" t="s">
        <v>20</v>
      </c>
      <c r="M27" s="80" t="str">
        <f t="shared" ca="1" si="0"/>
        <v/>
      </c>
      <c r="N27" s="37" t="str">
        <f t="shared" ca="1" si="1"/>
        <v/>
      </c>
      <c r="O27" s="81" t="str">
        <f t="shared" ca="1" si="2"/>
        <v/>
      </c>
      <c r="P27" s="81" t="str">
        <f t="shared" ca="1" si="3"/>
        <v/>
      </c>
      <c r="Q27" s="81" t="str">
        <f t="shared" ca="1" si="4"/>
        <v/>
      </c>
      <c r="R27" s="136"/>
      <c r="S27" s="88"/>
      <c r="T27" s="81"/>
      <c r="U27" s="153">
        <v>26</v>
      </c>
      <c r="V27" s="153"/>
      <c r="W27" s="153"/>
      <c r="X27" s="153"/>
      <c r="Y27" s="136"/>
      <c r="Z27" s="153"/>
      <c r="AA27" s="152"/>
      <c r="AB27" s="8">
        <v>1</v>
      </c>
      <c r="AC27"/>
    </row>
    <row r="28" spans="1:29" ht="285" hidden="1">
      <c r="A28" s="74" t="s">
        <v>111</v>
      </c>
      <c r="B28" s="75" t="s">
        <v>112</v>
      </c>
      <c r="C28" s="74" t="s">
        <v>559</v>
      </c>
      <c r="D28" s="74" t="s">
        <v>113</v>
      </c>
      <c r="E28" s="76"/>
      <c r="F28" s="74" t="s">
        <v>114</v>
      </c>
      <c r="G28" s="74" t="s">
        <v>115</v>
      </c>
      <c r="H28" s="77">
        <v>45709</v>
      </c>
      <c r="I28" s="207">
        <v>45709</v>
      </c>
      <c r="J28" s="79"/>
      <c r="K28" s="79"/>
      <c r="L28" s="79" t="s">
        <v>20</v>
      </c>
      <c r="M28" s="80" t="str">
        <f t="shared" ca="1" si="0"/>
        <v/>
      </c>
      <c r="N28" s="37" t="str">
        <f t="shared" ca="1" si="1"/>
        <v/>
      </c>
      <c r="O28" s="81" t="str">
        <f t="shared" ca="1" si="2"/>
        <v/>
      </c>
      <c r="P28" s="81" t="str">
        <f t="shared" ca="1" si="3"/>
        <v/>
      </c>
      <c r="Q28" s="81" t="str">
        <f t="shared" ca="1" si="4"/>
        <v/>
      </c>
      <c r="R28" s="136"/>
      <c r="S28" s="88"/>
      <c r="T28" s="81"/>
      <c r="U28" s="153">
        <v>27</v>
      </c>
      <c r="V28" s="153"/>
      <c r="W28" s="153"/>
      <c r="X28" s="153"/>
      <c r="Y28" s="136"/>
      <c r="Z28" s="153"/>
      <c r="AA28" s="152"/>
      <c r="AB28" s="8">
        <v>1</v>
      </c>
      <c r="AC28"/>
    </row>
    <row r="29" spans="1:29" ht="216.6" hidden="1">
      <c r="A29" s="74" t="s">
        <v>111</v>
      </c>
      <c r="B29" s="75" t="s">
        <v>112</v>
      </c>
      <c r="C29" s="74" t="s">
        <v>560</v>
      </c>
      <c r="D29" s="74" t="s">
        <v>116</v>
      </c>
      <c r="E29" s="76"/>
      <c r="F29" s="74" t="s">
        <v>117</v>
      </c>
      <c r="G29" s="74" t="s">
        <v>118</v>
      </c>
      <c r="H29" s="79" t="s">
        <v>119</v>
      </c>
      <c r="I29" s="207" t="s">
        <v>119</v>
      </c>
      <c r="J29" s="85" t="s">
        <v>120</v>
      </c>
      <c r="K29" s="74" t="s">
        <v>121</v>
      </c>
      <c r="L29" s="79" t="s">
        <v>20</v>
      </c>
      <c r="M29" s="80" t="str">
        <f t="shared" ca="1" si="0"/>
        <v/>
      </c>
      <c r="N29" s="37" t="str">
        <f t="shared" ca="1" si="1"/>
        <v/>
      </c>
      <c r="O29" s="81" t="str">
        <f t="shared" ca="1" si="2"/>
        <v/>
      </c>
      <c r="P29" s="81" t="str">
        <f t="shared" ca="1" si="3"/>
        <v/>
      </c>
      <c r="Q29" s="81" t="str">
        <f t="shared" ca="1" si="4"/>
        <v/>
      </c>
      <c r="R29" s="136"/>
      <c r="S29" s="88"/>
      <c r="T29" s="81"/>
      <c r="U29" s="153">
        <v>28</v>
      </c>
      <c r="V29" s="153"/>
      <c r="W29" s="153"/>
      <c r="X29" s="153"/>
      <c r="Y29" s="136"/>
      <c r="Z29" s="153"/>
      <c r="AA29" s="152"/>
      <c r="AB29" s="8">
        <v>1</v>
      </c>
      <c r="AC29"/>
    </row>
    <row r="30" spans="1:29" ht="149.4" customHeight="1">
      <c r="A30" s="74" t="s">
        <v>111</v>
      </c>
      <c r="B30" s="75" t="s">
        <v>112</v>
      </c>
      <c r="C30" s="74" t="s">
        <v>122</v>
      </c>
      <c r="D30" s="74" t="s">
        <v>122</v>
      </c>
      <c r="E30" s="76"/>
      <c r="F30" s="74" t="s">
        <v>451</v>
      </c>
      <c r="G30" s="74" t="s">
        <v>118</v>
      </c>
      <c r="H30" s="77">
        <v>45681</v>
      </c>
      <c r="I30" s="207">
        <v>46203</v>
      </c>
      <c r="J30" s="82" t="s">
        <v>124</v>
      </c>
      <c r="K30" s="74" t="s">
        <v>125</v>
      </c>
      <c r="L30" s="79" t="s">
        <v>33</v>
      </c>
      <c r="M30" s="80" t="str">
        <f t="shared" ca="1" si="0"/>
        <v/>
      </c>
      <c r="N30" s="37" t="str">
        <f t="shared" ca="1" si="1"/>
        <v/>
      </c>
      <c r="O30" s="81" t="str">
        <f t="shared" ca="1" si="2"/>
        <v/>
      </c>
      <c r="P30" s="81" t="str">
        <f t="shared" ca="1" si="3"/>
        <v/>
      </c>
      <c r="Q30" s="81" t="str">
        <f t="shared" ca="1" si="4"/>
        <v/>
      </c>
      <c r="R30" s="84" t="s">
        <v>647</v>
      </c>
      <c r="S30" s="88"/>
      <c r="T30" s="153" t="s">
        <v>1523</v>
      </c>
      <c r="U30" s="153">
        <v>29</v>
      </c>
      <c r="V30" s="153"/>
      <c r="W30" s="153"/>
      <c r="X30" s="153"/>
      <c r="Y30" s="136"/>
      <c r="Z30" s="153"/>
      <c r="AA30" s="152"/>
      <c r="AB30" s="8">
        <v>1</v>
      </c>
      <c r="AC30" s="8" t="s">
        <v>1775</v>
      </c>
    </row>
    <row r="31" spans="1:29" ht="159.6" hidden="1">
      <c r="A31" s="74" t="s">
        <v>111</v>
      </c>
      <c r="B31" s="75" t="s">
        <v>112</v>
      </c>
      <c r="C31" s="74" t="s">
        <v>561</v>
      </c>
      <c r="D31" s="74" t="s">
        <v>126</v>
      </c>
      <c r="E31" s="76"/>
      <c r="F31" s="74" t="s">
        <v>127</v>
      </c>
      <c r="G31" s="74" t="s">
        <v>128</v>
      </c>
      <c r="H31" s="77">
        <v>45681</v>
      </c>
      <c r="I31" s="207">
        <v>45681</v>
      </c>
      <c r="J31" s="79"/>
      <c r="K31" s="79" t="s">
        <v>129</v>
      </c>
      <c r="L31" s="79" t="s">
        <v>20</v>
      </c>
      <c r="M31" s="80" t="str">
        <f t="shared" ca="1" si="0"/>
        <v/>
      </c>
      <c r="N31" s="37" t="str">
        <f t="shared" ca="1" si="1"/>
        <v/>
      </c>
      <c r="O31" s="81" t="str">
        <f t="shared" ca="1" si="2"/>
        <v/>
      </c>
      <c r="P31" s="81" t="str">
        <f t="shared" ca="1" si="3"/>
        <v/>
      </c>
      <c r="Q31" s="81" t="str">
        <f t="shared" ca="1" si="4"/>
        <v/>
      </c>
      <c r="R31" s="136"/>
      <c r="S31" s="88"/>
      <c r="T31" s="81"/>
      <c r="U31" s="153">
        <v>30</v>
      </c>
      <c r="V31" s="153"/>
      <c r="W31" s="153"/>
      <c r="X31" s="153"/>
      <c r="Y31" s="136"/>
      <c r="Z31" s="153"/>
      <c r="AA31" s="152"/>
      <c r="AB31" s="8">
        <v>1</v>
      </c>
      <c r="AC31"/>
    </row>
    <row r="32" spans="1:29" ht="136.80000000000001" hidden="1">
      <c r="A32" s="74" t="s">
        <v>111</v>
      </c>
      <c r="B32" s="75" t="s">
        <v>112</v>
      </c>
      <c r="C32" s="74" t="s">
        <v>562</v>
      </c>
      <c r="D32" s="74" t="s">
        <v>130</v>
      </c>
      <c r="E32" s="76"/>
      <c r="F32" s="74" t="s">
        <v>131</v>
      </c>
      <c r="G32" s="74" t="s">
        <v>118</v>
      </c>
      <c r="H32" s="77">
        <v>45728</v>
      </c>
      <c r="I32" s="207">
        <v>45747</v>
      </c>
      <c r="J32" s="85" t="s">
        <v>132</v>
      </c>
      <c r="K32" s="74" t="s">
        <v>133</v>
      </c>
      <c r="L32" s="79" t="s">
        <v>20</v>
      </c>
      <c r="M32" s="80" t="str">
        <f t="shared" ca="1" si="0"/>
        <v/>
      </c>
      <c r="N32" s="37" t="str">
        <f t="shared" ca="1" si="1"/>
        <v/>
      </c>
      <c r="O32" s="81" t="str">
        <f t="shared" ca="1" si="2"/>
        <v/>
      </c>
      <c r="P32" s="81" t="str">
        <f t="shared" ca="1" si="3"/>
        <v/>
      </c>
      <c r="Q32" s="81" t="str">
        <f t="shared" ca="1" si="4"/>
        <v/>
      </c>
      <c r="R32" s="136"/>
      <c r="S32" s="88"/>
      <c r="T32" s="81"/>
      <c r="U32" s="153">
        <v>31</v>
      </c>
      <c r="V32" s="153"/>
      <c r="W32" s="153"/>
      <c r="X32" s="153"/>
      <c r="Y32" s="136"/>
      <c r="Z32" s="153"/>
      <c r="AA32" s="152"/>
      <c r="AB32" s="8">
        <v>0.5</v>
      </c>
      <c r="AC32"/>
    </row>
    <row r="33" spans="1:28" customFormat="1" ht="114" hidden="1">
      <c r="A33" s="74" t="s">
        <v>111</v>
      </c>
      <c r="B33" s="75" t="s">
        <v>112</v>
      </c>
      <c r="C33" s="74" t="s">
        <v>562</v>
      </c>
      <c r="D33" s="74"/>
      <c r="E33" s="76"/>
      <c r="F33" s="74" t="s">
        <v>134</v>
      </c>
      <c r="G33" s="74" t="s">
        <v>128</v>
      </c>
      <c r="H33" s="77">
        <v>45728</v>
      </c>
      <c r="I33" s="207">
        <v>45777</v>
      </c>
      <c r="J33" s="85" t="s">
        <v>135</v>
      </c>
      <c r="K33" s="74" t="s">
        <v>133</v>
      </c>
      <c r="L33" s="79" t="s">
        <v>20</v>
      </c>
      <c r="M33" s="80" t="str">
        <f t="shared" ca="1" si="0"/>
        <v/>
      </c>
      <c r="N33" s="37" t="str">
        <f t="shared" ca="1" si="1"/>
        <v/>
      </c>
      <c r="O33" s="81" t="str">
        <f t="shared" ca="1" si="2"/>
        <v/>
      </c>
      <c r="P33" s="81" t="str">
        <f t="shared" ca="1" si="3"/>
        <v/>
      </c>
      <c r="Q33" s="81" t="str">
        <f t="shared" ca="1" si="4"/>
        <v/>
      </c>
      <c r="R33" s="136"/>
      <c r="S33" s="88"/>
      <c r="T33" s="81"/>
      <c r="U33" s="153">
        <v>32</v>
      </c>
      <c r="V33" s="153"/>
      <c r="W33" s="153"/>
      <c r="X33" s="153"/>
      <c r="Y33" s="136"/>
      <c r="Z33" s="153"/>
      <c r="AA33" s="152"/>
      <c r="AB33" s="8">
        <v>0.5</v>
      </c>
    </row>
    <row r="34" spans="1:28" customFormat="1" ht="125.4" hidden="1">
      <c r="A34" s="74" t="s">
        <v>111</v>
      </c>
      <c r="B34" s="75" t="s">
        <v>112</v>
      </c>
      <c r="C34" s="74" t="s">
        <v>563</v>
      </c>
      <c r="D34" s="74" t="s">
        <v>136</v>
      </c>
      <c r="E34" s="76"/>
      <c r="F34" s="74" t="s">
        <v>137</v>
      </c>
      <c r="G34" s="74" t="s">
        <v>115</v>
      </c>
      <c r="H34" s="77">
        <v>45315</v>
      </c>
      <c r="I34" s="207">
        <v>45747</v>
      </c>
      <c r="J34" s="85" t="s">
        <v>138</v>
      </c>
      <c r="K34" s="74" t="s">
        <v>139</v>
      </c>
      <c r="L34" s="79" t="s">
        <v>20</v>
      </c>
      <c r="M34" s="80" t="str">
        <f t="shared" ca="1" si="0"/>
        <v/>
      </c>
      <c r="N34" s="37" t="str">
        <f t="shared" ca="1" si="1"/>
        <v/>
      </c>
      <c r="O34" s="81" t="str">
        <f t="shared" ca="1" si="2"/>
        <v/>
      </c>
      <c r="P34" s="81" t="str">
        <f t="shared" ca="1" si="3"/>
        <v/>
      </c>
      <c r="Q34" s="81" t="str">
        <f t="shared" ca="1" si="4"/>
        <v/>
      </c>
      <c r="R34" s="136"/>
      <c r="S34" s="88"/>
      <c r="T34" s="81"/>
      <c r="U34" s="153">
        <v>33</v>
      </c>
      <c r="V34" s="153"/>
      <c r="W34" s="153"/>
      <c r="X34" s="153"/>
      <c r="Y34" s="136"/>
      <c r="Z34" s="153"/>
      <c r="AA34" s="152"/>
      <c r="AB34" s="8">
        <v>1</v>
      </c>
    </row>
    <row r="35" spans="1:28" customFormat="1" ht="159.6" hidden="1">
      <c r="A35" s="74" t="s">
        <v>111</v>
      </c>
      <c r="B35" s="75" t="s">
        <v>112</v>
      </c>
      <c r="C35" s="74" t="s">
        <v>564</v>
      </c>
      <c r="D35" s="74" t="s">
        <v>140</v>
      </c>
      <c r="E35" s="76"/>
      <c r="F35" s="74" t="s">
        <v>141</v>
      </c>
      <c r="G35" s="74" t="s">
        <v>128</v>
      </c>
      <c r="H35" s="77">
        <v>45681</v>
      </c>
      <c r="I35" s="207">
        <v>45681</v>
      </c>
      <c r="J35" s="79"/>
      <c r="K35" s="79"/>
      <c r="L35" s="79" t="s">
        <v>20</v>
      </c>
      <c r="M35" s="80" t="str">
        <f t="shared" ca="1" si="0"/>
        <v/>
      </c>
      <c r="N35" s="37" t="str">
        <f t="shared" ca="1" si="1"/>
        <v/>
      </c>
      <c r="O35" s="81" t="str">
        <f t="shared" ca="1" si="2"/>
        <v/>
      </c>
      <c r="P35" s="81" t="str">
        <f t="shared" ca="1" si="3"/>
        <v/>
      </c>
      <c r="Q35" s="81" t="str">
        <f t="shared" ca="1" si="4"/>
        <v/>
      </c>
      <c r="R35" s="136"/>
      <c r="S35" s="88"/>
      <c r="T35" s="81"/>
      <c r="U35" s="153">
        <v>34</v>
      </c>
      <c r="V35" s="153"/>
      <c r="W35" s="153"/>
      <c r="X35" s="153"/>
      <c r="Y35" s="136"/>
      <c r="Z35" s="153"/>
      <c r="AA35" s="152"/>
      <c r="AB35" s="8">
        <v>1</v>
      </c>
    </row>
    <row r="36" spans="1:28" customFormat="1" ht="307.8" hidden="1">
      <c r="A36" s="74" t="s">
        <v>111</v>
      </c>
      <c r="B36" s="75" t="s">
        <v>142</v>
      </c>
      <c r="C36" s="74" t="s">
        <v>565</v>
      </c>
      <c r="D36" s="74" t="s">
        <v>503</v>
      </c>
      <c r="E36" s="76"/>
      <c r="F36" s="74" t="s">
        <v>143</v>
      </c>
      <c r="G36" s="74" t="s">
        <v>144</v>
      </c>
      <c r="H36" s="77">
        <v>45716</v>
      </c>
      <c r="I36" s="211">
        <v>46081</v>
      </c>
      <c r="J36" s="82" t="s">
        <v>145</v>
      </c>
      <c r="K36" s="74" t="s">
        <v>806</v>
      </c>
      <c r="L36" s="214" t="s">
        <v>20</v>
      </c>
      <c r="M36" s="80" t="str">
        <f t="shared" ca="1" si="0"/>
        <v/>
      </c>
      <c r="N36" s="37" t="str">
        <f t="shared" ca="1" si="1"/>
        <v/>
      </c>
      <c r="O36" s="81" t="str">
        <f t="shared" ca="1" si="2"/>
        <v/>
      </c>
      <c r="P36" s="81" t="str">
        <f t="shared" ca="1" si="3"/>
        <v/>
      </c>
      <c r="Q36" s="81" t="str">
        <f t="shared" ca="1" si="4"/>
        <v/>
      </c>
      <c r="R36" s="83" t="s">
        <v>621</v>
      </c>
      <c r="S36" s="217">
        <v>46178</v>
      </c>
      <c r="T36" s="81"/>
      <c r="U36" s="153">
        <v>35</v>
      </c>
      <c r="V36" s="153"/>
      <c r="W36" s="153"/>
      <c r="X36" s="153"/>
      <c r="Y36" s="136"/>
      <c r="Z36" s="153"/>
      <c r="AA36" s="152"/>
      <c r="AB36" s="8">
        <v>1</v>
      </c>
    </row>
    <row r="37" spans="1:28" customFormat="1" ht="239.4" hidden="1">
      <c r="A37" s="74" t="s">
        <v>111</v>
      </c>
      <c r="B37" s="75" t="s">
        <v>142</v>
      </c>
      <c r="C37" s="74" t="s">
        <v>566</v>
      </c>
      <c r="D37" s="74" t="s">
        <v>147</v>
      </c>
      <c r="E37" s="76"/>
      <c r="F37" s="74" t="s">
        <v>143</v>
      </c>
      <c r="G37" s="74" t="s">
        <v>144</v>
      </c>
      <c r="H37" s="77">
        <v>45716</v>
      </c>
      <c r="I37" s="211">
        <v>46081</v>
      </c>
      <c r="J37" s="85" t="s">
        <v>145</v>
      </c>
      <c r="K37" s="74" t="s">
        <v>806</v>
      </c>
      <c r="L37" s="214" t="s">
        <v>20</v>
      </c>
      <c r="M37" s="80" t="str">
        <f t="shared" ca="1" si="0"/>
        <v/>
      </c>
      <c r="N37" s="37" t="str">
        <f t="shared" ca="1" si="1"/>
        <v/>
      </c>
      <c r="O37" s="81" t="str">
        <f t="shared" ca="1" si="2"/>
        <v/>
      </c>
      <c r="P37" s="81" t="str">
        <f t="shared" ca="1" si="3"/>
        <v/>
      </c>
      <c r="Q37" s="81" t="str">
        <f t="shared" ca="1" si="4"/>
        <v/>
      </c>
      <c r="R37" s="83" t="s">
        <v>621</v>
      </c>
      <c r="S37" s="217">
        <v>46178</v>
      </c>
      <c r="T37" s="81"/>
      <c r="U37" s="153">
        <v>36</v>
      </c>
      <c r="V37" s="153"/>
      <c r="W37" s="153"/>
      <c r="X37" s="153"/>
      <c r="Y37" s="136"/>
      <c r="Z37" s="153"/>
      <c r="AA37" s="152"/>
      <c r="AB37" s="8">
        <v>1</v>
      </c>
    </row>
    <row r="38" spans="1:28" customFormat="1" ht="330.6" hidden="1">
      <c r="A38" s="74" t="s">
        <v>111</v>
      </c>
      <c r="B38" s="75" t="s">
        <v>142</v>
      </c>
      <c r="C38" s="74" t="s">
        <v>567</v>
      </c>
      <c r="D38" s="74" t="s">
        <v>504</v>
      </c>
      <c r="E38" s="76"/>
      <c r="F38" s="74" t="s">
        <v>143</v>
      </c>
      <c r="G38" s="74" t="s">
        <v>144</v>
      </c>
      <c r="H38" s="77">
        <v>45716</v>
      </c>
      <c r="I38" s="211">
        <v>46081</v>
      </c>
      <c r="J38" s="85" t="s">
        <v>145</v>
      </c>
      <c r="K38" s="74" t="s">
        <v>806</v>
      </c>
      <c r="L38" s="214" t="s">
        <v>20</v>
      </c>
      <c r="M38" s="80" t="str">
        <f t="shared" ca="1" si="0"/>
        <v/>
      </c>
      <c r="N38" s="37" t="str">
        <f t="shared" ca="1" si="1"/>
        <v/>
      </c>
      <c r="O38" s="81" t="str">
        <f t="shared" ca="1" si="2"/>
        <v/>
      </c>
      <c r="P38" s="81" t="str">
        <f t="shared" ca="1" si="3"/>
        <v/>
      </c>
      <c r="Q38" s="81" t="str">
        <f t="shared" ca="1" si="4"/>
        <v/>
      </c>
      <c r="R38" s="83" t="s">
        <v>621</v>
      </c>
      <c r="S38" s="217">
        <v>46178</v>
      </c>
      <c r="T38" s="81"/>
      <c r="U38" s="153">
        <v>37</v>
      </c>
      <c r="V38" s="153"/>
      <c r="W38" s="153"/>
      <c r="X38" s="153"/>
      <c r="Y38" s="136"/>
      <c r="Z38" s="153"/>
      <c r="AA38" s="152"/>
      <c r="AB38" s="8">
        <v>1</v>
      </c>
    </row>
    <row r="39" spans="1:28" customFormat="1" ht="319.2" hidden="1">
      <c r="A39" s="74" t="s">
        <v>111</v>
      </c>
      <c r="B39" s="75" t="s">
        <v>142</v>
      </c>
      <c r="C39" s="74" t="s">
        <v>568</v>
      </c>
      <c r="D39" s="74" t="s">
        <v>505</v>
      </c>
      <c r="E39" s="76"/>
      <c r="F39" s="74" t="s">
        <v>542</v>
      </c>
      <c r="G39" s="74" t="s">
        <v>148</v>
      </c>
      <c r="H39" s="77">
        <v>45412</v>
      </c>
      <c r="I39" s="207">
        <v>45712</v>
      </c>
      <c r="J39" s="85" t="s">
        <v>149</v>
      </c>
      <c r="K39" s="86" t="s">
        <v>150</v>
      </c>
      <c r="L39" s="79" t="s">
        <v>20</v>
      </c>
      <c r="M39" s="80" t="str">
        <f t="shared" ca="1" si="0"/>
        <v/>
      </c>
      <c r="N39" s="37" t="str">
        <f t="shared" ca="1" si="1"/>
        <v/>
      </c>
      <c r="O39" s="81" t="str">
        <f t="shared" ca="1" si="2"/>
        <v/>
      </c>
      <c r="P39" s="81" t="str">
        <f t="shared" ca="1" si="3"/>
        <v/>
      </c>
      <c r="Q39" s="81" t="str">
        <f t="shared" ca="1" si="4"/>
        <v/>
      </c>
      <c r="R39" s="136"/>
      <c r="S39" s="88"/>
      <c r="T39" s="81"/>
      <c r="U39" s="153">
        <v>38</v>
      </c>
      <c r="V39" s="153"/>
      <c r="W39" s="153"/>
      <c r="X39" s="153"/>
      <c r="Y39" s="136"/>
      <c r="Z39" s="153"/>
      <c r="AA39" s="152"/>
      <c r="AB39" s="8">
        <v>1</v>
      </c>
    </row>
    <row r="40" spans="1:28" customFormat="1" ht="91.2" hidden="1">
      <c r="A40" s="74" t="s">
        <v>111</v>
      </c>
      <c r="B40" s="75" t="s">
        <v>142</v>
      </c>
      <c r="C40" s="74" t="s">
        <v>568</v>
      </c>
      <c r="D40" s="74"/>
      <c r="E40" s="76"/>
      <c r="F40" s="74" t="s">
        <v>151</v>
      </c>
      <c r="G40" s="74" t="s">
        <v>148</v>
      </c>
      <c r="H40" s="77">
        <v>45412</v>
      </c>
      <c r="I40" s="207">
        <v>45712</v>
      </c>
      <c r="J40" s="82" t="s">
        <v>152</v>
      </c>
      <c r="K40" s="74" t="s">
        <v>153</v>
      </c>
      <c r="L40" s="79" t="s">
        <v>20</v>
      </c>
      <c r="M40" s="80" t="str">
        <f t="shared" ca="1" si="0"/>
        <v/>
      </c>
      <c r="N40" s="37" t="str">
        <f t="shared" ca="1" si="1"/>
        <v/>
      </c>
      <c r="O40" s="81" t="str">
        <f t="shared" ca="1" si="2"/>
        <v/>
      </c>
      <c r="P40" s="81" t="str">
        <f t="shared" ca="1" si="3"/>
        <v/>
      </c>
      <c r="Q40" s="81" t="str">
        <f t="shared" ca="1" si="4"/>
        <v/>
      </c>
      <c r="R40" s="136"/>
      <c r="S40" s="88"/>
      <c r="T40" s="81"/>
      <c r="U40" s="153">
        <v>39</v>
      </c>
      <c r="V40" s="153"/>
      <c r="W40" s="153"/>
      <c r="X40" s="153"/>
      <c r="Y40" s="136"/>
      <c r="Z40" s="153"/>
      <c r="AA40" s="152"/>
      <c r="AB40" s="8">
        <v>1</v>
      </c>
    </row>
    <row r="41" spans="1:28" customFormat="1" ht="79.8" hidden="1">
      <c r="A41" s="74" t="s">
        <v>111</v>
      </c>
      <c r="B41" s="75" t="s">
        <v>142</v>
      </c>
      <c r="C41" s="74" t="s">
        <v>568</v>
      </c>
      <c r="D41" s="74"/>
      <c r="E41" s="76"/>
      <c r="F41" s="74" t="s">
        <v>154</v>
      </c>
      <c r="G41" s="74" t="s">
        <v>148</v>
      </c>
      <c r="H41" s="77">
        <v>45412</v>
      </c>
      <c r="I41" s="207">
        <v>45712</v>
      </c>
      <c r="J41" s="85" t="s">
        <v>155</v>
      </c>
      <c r="K41" s="74" t="s">
        <v>156</v>
      </c>
      <c r="L41" s="79" t="s">
        <v>20</v>
      </c>
      <c r="M41" s="80" t="str">
        <f t="shared" ca="1" si="0"/>
        <v/>
      </c>
      <c r="N41" s="37" t="str">
        <f t="shared" ca="1" si="1"/>
        <v/>
      </c>
      <c r="O41" s="81" t="str">
        <f t="shared" ca="1" si="2"/>
        <v/>
      </c>
      <c r="P41" s="81" t="str">
        <f t="shared" ca="1" si="3"/>
        <v/>
      </c>
      <c r="Q41" s="81" t="str">
        <f t="shared" ca="1" si="4"/>
        <v/>
      </c>
      <c r="R41" s="136"/>
      <c r="S41" s="88"/>
      <c r="T41" s="81"/>
      <c r="U41" s="153">
        <v>40</v>
      </c>
      <c r="V41" s="153"/>
      <c r="W41" s="153"/>
      <c r="X41" s="153"/>
      <c r="Y41" s="136"/>
      <c r="Z41" s="153"/>
      <c r="AA41" s="152"/>
      <c r="AB41" s="8">
        <v>1</v>
      </c>
    </row>
    <row r="42" spans="1:28" customFormat="1" ht="148.80000000000001" hidden="1">
      <c r="A42" s="74" t="s">
        <v>111</v>
      </c>
      <c r="B42" s="75" t="s">
        <v>157</v>
      </c>
      <c r="C42" s="74" t="s">
        <v>569</v>
      </c>
      <c r="D42" s="74" t="s">
        <v>158</v>
      </c>
      <c r="E42" s="76"/>
      <c r="F42" s="74" t="s">
        <v>159</v>
      </c>
      <c r="G42" s="74" t="s">
        <v>115</v>
      </c>
      <c r="H42" s="87">
        <v>45754</v>
      </c>
      <c r="I42" s="212">
        <v>46080</v>
      </c>
      <c r="J42" s="115" t="s">
        <v>160</v>
      </c>
      <c r="K42" s="74" t="s">
        <v>161</v>
      </c>
      <c r="L42" s="214" t="s">
        <v>20</v>
      </c>
      <c r="M42" s="80" t="str">
        <f t="shared" ca="1" si="0"/>
        <v/>
      </c>
      <c r="N42" s="37" t="str">
        <f t="shared" ca="1" si="1"/>
        <v/>
      </c>
      <c r="O42" s="81" t="str">
        <f t="shared" ca="1" si="2"/>
        <v/>
      </c>
      <c r="P42" s="81" t="str">
        <f t="shared" ca="1" si="3"/>
        <v/>
      </c>
      <c r="Q42" s="81" t="str">
        <f t="shared" ca="1" si="4"/>
        <v/>
      </c>
      <c r="R42" s="117" t="s">
        <v>632</v>
      </c>
      <c r="S42" s="218">
        <v>46128</v>
      </c>
      <c r="T42" s="153" t="s">
        <v>1537</v>
      </c>
      <c r="U42" s="153">
        <v>41</v>
      </c>
      <c r="V42" s="153"/>
      <c r="W42" s="153"/>
      <c r="X42" s="153"/>
      <c r="Y42" s="136"/>
      <c r="Z42" s="153"/>
      <c r="AA42" s="152"/>
      <c r="AB42" s="8">
        <v>1</v>
      </c>
    </row>
    <row r="43" spans="1:28" customFormat="1" ht="148.80000000000001" hidden="1">
      <c r="A43" s="74" t="s">
        <v>111</v>
      </c>
      <c r="B43" s="75" t="s">
        <v>157</v>
      </c>
      <c r="C43" s="74" t="s">
        <v>570</v>
      </c>
      <c r="D43" s="74" t="s">
        <v>162</v>
      </c>
      <c r="E43" s="76"/>
      <c r="F43" s="74" t="s">
        <v>163</v>
      </c>
      <c r="G43" s="74" t="s">
        <v>115</v>
      </c>
      <c r="H43" s="87">
        <v>45754</v>
      </c>
      <c r="I43" s="212">
        <v>46080</v>
      </c>
      <c r="J43" s="82" t="s">
        <v>164</v>
      </c>
      <c r="K43" s="74" t="s">
        <v>165</v>
      </c>
      <c r="L43" s="214" t="s">
        <v>20</v>
      </c>
      <c r="M43" s="80" t="str">
        <f t="shared" ca="1" si="0"/>
        <v/>
      </c>
      <c r="N43" s="37" t="str">
        <f t="shared" ca="1" si="1"/>
        <v/>
      </c>
      <c r="O43" s="81" t="str">
        <f t="shared" ca="1" si="2"/>
        <v/>
      </c>
      <c r="P43" s="81" t="str">
        <f t="shared" ca="1" si="3"/>
        <v/>
      </c>
      <c r="Q43" s="81" t="str">
        <f t="shared" ca="1" si="4"/>
        <v/>
      </c>
      <c r="R43" s="116" t="s">
        <v>622</v>
      </c>
      <c r="S43" s="218">
        <v>46080</v>
      </c>
      <c r="T43" s="153" t="s">
        <v>1537</v>
      </c>
      <c r="U43" s="153">
        <v>42</v>
      </c>
      <c r="V43" s="153"/>
      <c r="W43" s="153"/>
      <c r="X43" s="153"/>
      <c r="Y43" s="136"/>
      <c r="Z43" s="153"/>
      <c r="AA43" s="152"/>
      <c r="AB43" s="8">
        <v>1</v>
      </c>
    </row>
    <row r="44" spans="1:28" customFormat="1" ht="217.2" hidden="1">
      <c r="A44" s="74" t="s">
        <v>111</v>
      </c>
      <c r="B44" s="75" t="s">
        <v>157</v>
      </c>
      <c r="C44" s="74" t="s">
        <v>166</v>
      </c>
      <c r="D44" s="74" t="s">
        <v>167</v>
      </c>
      <c r="E44" s="76"/>
      <c r="F44" s="75" t="s">
        <v>631</v>
      </c>
      <c r="G44" s="74" t="s">
        <v>118</v>
      </c>
      <c r="H44" s="87" t="s">
        <v>169</v>
      </c>
      <c r="I44" s="209" t="s">
        <v>169</v>
      </c>
      <c r="J44" s="118" t="s">
        <v>170</v>
      </c>
      <c r="K44" s="75"/>
      <c r="L44" s="79" t="s">
        <v>20</v>
      </c>
      <c r="M44" s="80" t="str">
        <f t="shared" ca="1" si="0"/>
        <v/>
      </c>
      <c r="N44" s="37" t="str">
        <f t="shared" ca="1" si="1"/>
        <v/>
      </c>
      <c r="O44" s="81" t="str">
        <f t="shared" ca="1" si="2"/>
        <v/>
      </c>
      <c r="P44" s="81" t="str">
        <f t="shared" ca="1" si="3"/>
        <v/>
      </c>
      <c r="Q44" s="81" t="str">
        <f t="shared" ca="1" si="4"/>
        <v/>
      </c>
      <c r="R44" s="161"/>
      <c r="S44" s="205"/>
      <c r="T44" s="153" t="s">
        <v>1537</v>
      </c>
      <c r="U44" s="153">
        <v>43</v>
      </c>
      <c r="V44" s="153"/>
      <c r="W44" s="153"/>
      <c r="X44" s="153"/>
      <c r="Y44" s="136"/>
      <c r="Z44" s="153"/>
      <c r="AA44" s="152"/>
      <c r="AB44" s="8">
        <v>1</v>
      </c>
    </row>
    <row r="45" spans="1:28" customFormat="1" ht="148.80000000000001" hidden="1">
      <c r="A45" s="74" t="s">
        <v>111</v>
      </c>
      <c r="B45" s="75" t="s">
        <v>157</v>
      </c>
      <c r="C45" s="74" t="s">
        <v>1579</v>
      </c>
      <c r="D45" s="74" t="s">
        <v>172</v>
      </c>
      <c r="E45" s="76"/>
      <c r="F45" s="74" t="s">
        <v>173</v>
      </c>
      <c r="G45" s="74" t="s">
        <v>148</v>
      </c>
      <c r="H45" s="77">
        <v>45715</v>
      </c>
      <c r="I45" s="207">
        <v>45736</v>
      </c>
      <c r="J45" s="118" t="s">
        <v>174</v>
      </c>
      <c r="K45" s="74" t="s">
        <v>175</v>
      </c>
      <c r="L45" s="79" t="s">
        <v>20</v>
      </c>
      <c r="M45" s="80" t="str">
        <f t="shared" ca="1" si="0"/>
        <v/>
      </c>
      <c r="N45" s="37" t="str">
        <f t="shared" ca="1" si="1"/>
        <v/>
      </c>
      <c r="O45" s="81" t="str">
        <f t="shared" ca="1" si="2"/>
        <v/>
      </c>
      <c r="P45" s="81" t="str">
        <f t="shared" ca="1" si="3"/>
        <v/>
      </c>
      <c r="Q45" s="81" t="str">
        <f t="shared" ca="1" si="4"/>
        <v/>
      </c>
      <c r="R45" s="161"/>
      <c r="S45" s="205"/>
      <c r="T45" s="153" t="s">
        <v>1537</v>
      </c>
      <c r="U45" s="153">
        <v>44</v>
      </c>
      <c r="V45" s="153"/>
      <c r="W45" s="153"/>
      <c r="X45" s="153"/>
      <c r="Y45" s="136"/>
      <c r="Z45" s="153"/>
      <c r="AA45" s="152"/>
      <c r="AB45" s="8">
        <v>0.5</v>
      </c>
    </row>
    <row r="46" spans="1:28" customFormat="1" ht="68.400000000000006" hidden="1">
      <c r="A46" s="74" t="s">
        <v>111</v>
      </c>
      <c r="B46" s="75" t="s">
        <v>157</v>
      </c>
      <c r="C46" s="74" t="s">
        <v>1579</v>
      </c>
      <c r="D46" s="74"/>
      <c r="E46" s="76"/>
      <c r="F46" s="74" t="s">
        <v>176</v>
      </c>
      <c r="G46" s="74" t="s">
        <v>148</v>
      </c>
      <c r="H46" s="77">
        <v>45715</v>
      </c>
      <c r="I46" s="207">
        <v>45736</v>
      </c>
      <c r="J46" s="115" t="s">
        <v>174</v>
      </c>
      <c r="K46" s="74" t="s">
        <v>177</v>
      </c>
      <c r="L46" s="79" t="s">
        <v>20</v>
      </c>
      <c r="M46" s="80" t="str">
        <f t="shared" ca="1" si="0"/>
        <v/>
      </c>
      <c r="N46" s="37" t="str">
        <f t="shared" ca="1" si="1"/>
        <v/>
      </c>
      <c r="O46" s="81" t="str">
        <f t="shared" ca="1" si="2"/>
        <v/>
      </c>
      <c r="P46" s="81" t="str">
        <f t="shared" ca="1" si="3"/>
        <v/>
      </c>
      <c r="Q46" s="81" t="str">
        <f t="shared" ca="1" si="4"/>
        <v/>
      </c>
      <c r="R46" s="161"/>
      <c r="S46" s="205"/>
      <c r="T46" s="153" t="s">
        <v>1537</v>
      </c>
      <c r="U46" s="153">
        <v>45</v>
      </c>
      <c r="V46" s="153"/>
      <c r="W46" s="153"/>
      <c r="X46" s="153"/>
      <c r="Y46" s="136"/>
      <c r="Z46" s="153"/>
      <c r="AA46" s="152"/>
      <c r="AB46" s="8">
        <v>0.5</v>
      </c>
    </row>
    <row r="47" spans="1:28" customFormat="1" ht="114.6" hidden="1">
      <c r="A47" s="74" t="s">
        <v>111</v>
      </c>
      <c r="B47" s="75" t="s">
        <v>157</v>
      </c>
      <c r="C47" s="74" t="s">
        <v>668</v>
      </c>
      <c r="D47" s="74" t="s">
        <v>668</v>
      </c>
      <c r="E47" s="76"/>
      <c r="F47" s="74" t="s">
        <v>178</v>
      </c>
      <c r="G47" s="74" t="s">
        <v>179</v>
      </c>
      <c r="H47" s="77">
        <v>46023</v>
      </c>
      <c r="I47" s="207">
        <v>46023</v>
      </c>
      <c r="J47" s="115" t="s">
        <v>170</v>
      </c>
      <c r="K47" s="74"/>
      <c r="L47" s="208" t="s">
        <v>20</v>
      </c>
      <c r="M47" s="80" t="str">
        <f t="shared" ca="1" si="0"/>
        <v/>
      </c>
      <c r="N47" s="37" t="str">
        <f t="shared" ca="1" si="1"/>
        <v/>
      </c>
      <c r="O47" s="81" t="str">
        <f t="shared" ca="1" si="2"/>
        <v/>
      </c>
      <c r="P47" s="81" t="str">
        <f t="shared" ca="1" si="3"/>
        <v/>
      </c>
      <c r="Q47" s="81" t="str">
        <f t="shared" ca="1" si="4"/>
        <v/>
      </c>
      <c r="R47" s="117" t="s">
        <v>644</v>
      </c>
      <c r="S47" s="220">
        <v>46023</v>
      </c>
      <c r="T47" s="88" t="s">
        <v>1537</v>
      </c>
      <c r="U47" s="153">
        <v>46</v>
      </c>
      <c r="V47" s="153"/>
      <c r="W47" s="153"/>
      <c r="X47" s="153"/>
      <c r="Y47" s="136"/>
      <c r="Z47" s="153"/>
      <c r="AA47" s="152"/>
      <c r="AB47" s="8">
        <v>0.5</v>
      </c>
    </row>
    <row r="48" spans="1:28" customFormat="1" ht="34.200000000000003" hidden="1">
      <c r="A48" s="74" t="s">
        <v>180</v>
      </c>
      <c r="B48" s="75" t="s">
        <v>181</v>
      </c>
      <c r="C48" s="74" t="s">
        <v>182</v>
      </c>
      <c r="D48" s="74"/>
      <c r="E48" s="76"/>
      <c r="F48" s="74" t="s">
        <v>183</v>
      </c>
      <c r="G48" s="74" t="s">
        <v>144</v>
      </c>
      <c r="H48" s="77">
        <v>45809</v>
      </c>
      <c r="I48" s="211">
        <v>46081</v>
      </c>
      <c r="J48" s="85" t="s">
        <v>184</v>
      </c>
      <c r="K48" s="74" t="s">
        <v>185</v>
      </c>
      <c r="L48" s="214" t="s">
        <v>20</v>
      </c>
      <c r="M48" s="80" t="str">
        <f t="shared" ca="1" si="0"/>
        <v/>
      </c>
      <c r="N48" s="37" t="str">
        <f t="shared" ca="1" si="1"/>
        <v/>
      </c>
      <c r="O48" s="81" t="str">
        <f t="shared" ca="1" si="2"/>
        <v/>
      </c>
      <c r="P48" s="81" t="str">
        <f t="shared" ca="1" si="3"/>
        <v/>
      </c>
      <c r="Q48" s="81" t="str">
        <f t="shared" ca="1" si="4"/>
        <v/>
      </c>
      <c r="R48" s="136"/>
      <c r="S48" s="217">
        <v>46081</v>
      </c>
      <c r="T48" s="81"/>
      <c r="U48" s="153">
        <v>47</v>
      </c>
      <c r="V48" s="153"/>
      <c r="W48" s="153"/>
      <c r="X48" s="153"/>
      <c r="Y48" s="136"/>
      <c r="Z48" s="153"/>
      <c r="AA48" s="152"/>
      <c r="AB48" s="8">
        <v>0.5</v>
      </c>
    </row>
    <row r="49" spans="1:29" ht="183" hidden="1">
      <c r="A49" s="74" t="s">
        <v>180</v>
      </c>
      <c r="B49" s="75" t="s">
        <v>181</v>
      </c>
      <c r="C49" s="74" t="s">
        <v>186</v>
      </c>
      <c r="D49" s="74" t="s">
        <v>187</v>
      </c>
      <c r="E49" s="76" t="s">
        <v>188</v>
      </c>
      <c r="F49" s="74" t="s">
        <v>189</v>
      </c>
      <c r="G49" s="74" t="s">
        <v>190</v>
      </c>
      <c r="H49" s="77">
        <v>45809</v>
      </c>
      <c r="I49" s="207">
        <v>45945</v>
      </c>
      <c r="J49" s="82" t="s">
        <v>191</v>
      </c>
      <c r="K49" s="74" t="s">
        <v>192</v>
      </c>
      <c r="L49" s="79" t="s">
        <v>20</v>
      </c>
      <c r="M49" s="80" t="str">
        <f t="shared" ca="1" si="0"/>
        <v/>
      </c>
      <c r="N49" s="37" t="str">
        <f t="shared" ca="1" si="1"/>
        <v/>
      </c>
      <c r="O49" s="81" t="str">
        <f t="shared" ca="1" si="2"/>
        <v/>
      </c>
      <c r="P49" s="81" t="str">
        <f t="shared" ca="1" si="3"/>
        <v/>
      </c>
      <c r="Q49" s="81" t="str">
        <f t="shared" ca="1" si="4"/>
        <v/>
      </c>
      <c r="R49" s="84" t="s">
        <v>637</v>
      </c>
      <c r="S49" s="88"/>
      <c r="T49" s="81"/>
      <c r="U49" s="153">
        <v>48</v>
      </c>
      <c r="V49" s="153"/>
      <c r="W49" s="153"/>
      <c r="X49" s="153"/>
      <c r="Y49" s="136"/>
      <c r="Z49" s="153"/>
      <c r="AA49" s="152"/>
      <c r="AB49" s="8">
        <v>1</v>
      </c>
      <c r="AC49"/>
    </row>
    <row r="50" spans="1:29" ht="103.2" hidden="1">
      <c r="A50" s="74" t="s">
        <v>180</v>
      </c>
      <c r="B50" s="75" t="s">
        <v>181</v>
      </c>
      <c r="C50" s="74" t="s">
        <v>193</v>
      </c>
      <c r="D50" s="74" t="s">
        <v>194</v>
      </c>
      <c r="E50" s="76" t="s">
        <v>188</v>
      </c>
      <c r="F50" s="74" t="s">
        <v>195</v>
      </c>
      <c r="G50" s="74" t="s">
        <v>190</v>
      </c>
      <c r="H50" s="77">
        <v>45809</v>
      </c>
      <c r="I50" s="207">
        <v>45945</v>
      </c>
      <c r="J50" s="85" t="s">
        <v>196</v>
      </c>
      <c r="K50" s="74" t="s">
        <v>197</v>
      </c>
      <c r="L50" s="79" t="s">
        <v>20</v>
      </c>
      <c r="M50" s="80" t="str">
        <f t="shared" ca="1" si="0"/>
        <v/>
      </c>
      <c r="N50" s="37" t="str">
        <f t="shared" ca="1" si="1"/>
        <v/>
      </c>
      <c r="O50" s="81" t="str">
        <f t="shared" ca="1" si="2"/>
        <v/>
      </c>
      <c r="P50" s="81" t="str">
        <f t="shared" ca="1" si="3"/>
        <v/>
      </c>
      <c r="Q50" s="81" t="str">
        <f t="shared" ca="1" si="4"/>
        <v/>
      </c>
      <c r="R50" s="136"/>
      <c r="S50" s="88"/>
      <c r="T50" s="81"/>
      <c r="U50" s="153">
        <v>49</v>
      </c>
      <c r="V50" s="153"/>
      <c r="W50" s="153"/>
      <c r="X50" s="153"/>
      <c r="Y50" s="136"/>
      <c r="Z50" s="153"/>
      <c r="AA50" s="152"/>
      <c r="AB50" s="8">
        <v>0.33</v>
      </c>
      <c r="AC50"/>
    </row>
    <row r="51" spans="1:29" ht="125.4" hidden="1">
      <c r="A51" s="74" t="s">
        <v>180</v>
      </c>
      <c r="B51" s="75" t="s">
        <v>181</v>
      </c>
      <c r="C51" s="74" t="s">
        <v>186</v>
      </c>
      <c r="D51" s="74"/>
      <c r="E51" s="76"/>
      <c r="F51" s="74" t="s">
        <v>198</v>
      </c>
      <c r="G51" s="74" t="s">
        <v>199</v>
      </c>
      <c r="H51" s="77">
        <v>45809</v>
      </c>
      <c r="I51" s="207">
        <v>46387</v>
      </c>
      <c r="J51" s="142" t="s">
        <v>200</v>
      </c>
      <c r="K51" s="137" t="s">
        <v>840</v>
      </c>
      <c r="L51" s="143" t="s">
        <v>20</v>
      </c>
      <c r="M51" s="80" t="str">
        <f t="shared" ca="1" si="0"/>
        <v/>
      </c>
      <c r="N51" s="37" t="str">
        <f t="shared" ca="1" si="1"/>
        <v/>
      </c>
      <c r="O51" s="81" t="str">
        <f t="shared" ca="1" si="2"/>
        <v/>
      </c>
      <c r="P51" s="81" t="str">
        <f t="shared" ca="1" si="3"/>
        <v/>
      </c>
      <c r="Q51" s="81" t="str">
        <f t="shared" ca="1" si="4"/>
        <v/>
      </c>
      <c r="R51" s="141" t="s">
        <v>638</v>
      </c>
      <c r="S51" s="88">
        <v>46178</v>
      </c>
      <c r="T51" s="159"/>
      <c r="U51" s="153">
        <v>50</v>
      </c>
      <c r="V51" s="153"/>
      <c r="W51" s="153"/>
      <c r="X51" s="153"/>
      <c r="Y51" s="136"/>
      <c r="Z51" s="153"/>
      <c r="AA51" s="152"/>
      <c r="AB51" s="8">
        <v>0.33</v>
      </c>
      <c r="AC51"/>
    </row>
    <row r="52" spans="1:29" ht="68.400000000000006" hidden="1">
      <c r="A52" s="74" t="s">
        <v>180</v>
      </c>
      <c r="B52" s="75" t="s">
        <v>181</v>
      </c>
      <c r="C52" s="74" t="s">
        <v>182</v>
      </c>
      <c r="D52" s="74"/>
      <c r="E52" s="76"/>
      <c r="F52" s="74" t="s">
        <v>202</v>
      </c>
      <c r="G52" s="74" t="s">
        <v>203</v>
      </c>
      <c r="H52" s="77">
        <v>45809</v>
      </c>
      <c r="I52" s="207">
        <v>45992</v>
      </c>
      <c r="J52" s="85" t="s">
        <v>204</v>
      </c>
      <c r="K52" s="74" t="s">
        <v>205</v>
      </c>
      <c r="L52" s="79" t="s">
        <v>20</v>
      </c>
      <c r="M52" s="80" t="str">
        <f t="shared" ca="1" si="0"/>
        <v/>
      </c>
      <c r="N52" s="37" t="str">
        <f t="shared" ca="1" si="1"/>
        <v/>
      </c>
      <c r="O52" s="81" t="str">
        <f t="shared" ca="1" si="2"/>
        <v/>
      </c>
      <c r="P52" s="81" t="str">
        <f t="shared" ca="1" si="3"/>
        <v/>
      </c>
      <c r="Q52" s="81" t="str">
        <f t="shared" ca="1" si="4"/>
        <v/>
      </c>
      <c r="R52" s="136"/>
      <c r="S52" s="88"/>
      <c r="T52" s="81"/>
      <c r="U52" s="153">
        <v>51</v>
      </c>
      <c r="V52" s="153"/>
      <c r="W52" s="153"/>
      <c r="X52" s="153"/>
      <c r="Y52" s="136"/>
      <c r="Z52" s="153"/>
      <c r="AA52" s="152"/>
      <c r="AB52" s="8">
        <v>0.34</v>
      </c>
      <c r="AC52"/>
    </row>
    <row r="53" spans="1:29" ht="115.2" hidden="1">
      <c r="A53" s="74" t="s">
        <v>180</v>
      </c>
      <c r="B53" s="75" t="s">
        <v>181</v>
      </c>
      <c r="C53" s="74" t="s">
        <v>206</v>
      </c>
      <c r="D53" s="74" t="s">
        <v>207</v>
      </c>
      <c r="E53" s="76" t="s">
        <v>188</v>
      </c>
      <c r="F53" s="74" t="s">
        <v>651</v>
      </c>
      <c r="G53" s="74" t="s">
        <v>148</v>
      </c>
      <c r="H53" s="77" t="s">
        <v>169</v>
      </c>
      <c r="I53" s="207" t="s">
        <v>169</v>
      </c>
      <c r="J53" s="82" t="s">
        <v>208</v>
      </c>
      <c r="K53" s="74" t="s">
        <v>650</v>
      </c>
      <c r="L53" s="79" t="s">
        <v>649</v>
      </c>
      <c r="M53" s="80" t="str">
        <f t="shared" ca="1" si="0"/>
        <v/>
      </c>
      <c r="N53" s="37" t="str">
        <f t="shared" ca="1" si="1"/>
        <v/>
      </c>
      <c r="O53" s="81" t="str">
        <f t="shared" ca="1" si="2"/>
        <v/>
      </c>
      <c r="P53" s="81" t="str">
        <f t="shared" ca="1" si="3"/>
        <v/>
      </c>
      <c r="Q53" s="81" t="str">
        <f t="shared" ca="1" si="4"/>
        <v/>
      </c>
      <c r="R53" s="84" t="s">
        <v>626</v>
      </c>
      <c r="S53" s="88"/>
      <c r="T53" s="81"/>
      <c r="U53" s="153">
        <v>52</v>
      </c>
      <c r="V53" s="153"/>
      <c r="W53" s="153"/>
      <c r="X53" s="153"/>
      <c r="Y53" s="136"/>
      <c r="Z53" s="153"/>
      <c r="AA53" s="152"/>
      <c r="AB53" s="8">
        <v>0.5</v>
      </c>
      <c r="AC53"/>
    </row>
    <row r="54" spans="1:29" ht="57.6" hidden="1">
      <c r="A54" s="74" t="s">
        <v>180</v>
      </c>
      <c r="B54" s="75" t="s">
        <v>181</v>
      </c>
      <c r="C54" s="74" t="s">
        <v>186</v>
      </c>
      <c r="D54" s="74"/>
      <c r="E54" s="76"/>
      <c r="F54" s="74" t="s">
        <v>209</v>
      </c>
      <c r="G54" s="74" t="s">
        <v>210</v>
      </c>
      <c r="H54" s="77">
        <v>45809</v>
      </c>
      <c r="I54" s="211">
        <v>46079</v>
      </c>
      <c r="J54" s="82" t="s">
        <v>191</v>
      </c>
      <c r="K54" s="74" t="s">
        <v>628</v>
      </c>
      <c r="L54" s="214" t="s">
        <v>20</v>
      </c>
      <c r="M54" s="80" t="str">
        <f t="shared" ca="1" si="0"/>
        <v/>
      </c>
      <c r="N54" s="37" t="str">
        <f t="shared" ca="1" si="1"/>
        <v/>
      </c>
      <c r="O54" s="81" t="str">
        <f t="shared" ca="1" si="2"/>
        <v/>
      </c>
      <c r="P54" s="81" t="str">
        <f t="shared" ca="1" si="3"/>
        <v/>
      </c>
      <c r="Q54" s="81" t="str">
        <f t="shared" ca="1" si="4"/>
        <v/>
      </c>
      <c r="R54" s="84" t="s">
        <v>623</v>
      </c>
      <c r="S54" s="217">
        <v>46079</v>
      </c>
      <c r="T54" s="81"/>
      <c r="U54" s="153">
        <v>53</v>
      </c>
      <c r="V54" s="153"/>
      <c r="W54" s="153"/>
      <c r="X54" s="153"/>
      <c r="Y54" s="136"/>
      <c r="Z54" s="153"/>
      <c r="AA54" s="152"/>
      <c r="AB54" s="8">
        <v>0.5</v>
      </c>
      <c r="AC54"/>
    </row>
    <row r="55" spans="1:29" ht="136.80000000000001" hidden="1">
      <c r="A55" s="74" t="s">
        <v>180</v>
      </c>
      <c r="B55" s="75" t="s">
        <v>181</v>
      </c>
      <c r="C55" s="74" t="s">
        <v>211</v>
      </c>
      <c r="D55" s="74" t="s">
        <v>212</v>
      </c>
      <c r="E55" s="76" t="s">
        <v>188</v>
      </c>
      <c r="F55" s="74" t="s">
        <v>213</v>
      </c>
      <c r="G55" s="74" t="s">
        <v>210</v>
      </c>
      <c r="H55" s="77">
        <v>45809</v>
      </c>
      <c r="I55" s="207">
        <v>45875</v>
      </c>
      <c r="J55" s="85" t="s">
        <v>214</v>
      </c>
      <c r="K55" s="74" t="s">
        <v>215</v>
      </c>
      <c r="L55" s="79" t="s">
        <v>20</v>
      </c>
      <c r="M55" s="80" t="str">
        <f t="shared" ca="1" si="0"/>
        <v/>
      </c>
      <c r="N55" s="37" t="str">
        <f t="shared" ca="1" si="1"/>
        <v/>
      </c>
      <c r="O55" s="81" t="str">
        <f t="shared" ca="1" si="2"/>
        <v/>
      </c>
      <c r="P55" s="81" t="str">
        <f t="shared" ca="1" si="3"/>
        <v/>
      </c>
      <c r="Q55" s="81" t="str">
        <f t="shared" ca="1" si="4"/>
        <v/>
      </c>
      <c r="R55" s="136"/>
      <c r="S55" s="88"/>
      <c r="T55" s="81"/>
      <c r="U55" s="153">
        <v>54</v>
      </c>
      <c r="V55" s="153"/>
      <c r="W55" s="153"/>
      <c r="X55" s="153"/>
      <c r="Y55" s="136"/>
      <c r="Z55" s="153"/>
      <c r="AA55" s="152"/>
      <c r="AB55" s="8">
        <v>1</v>
      </c>
      <c r="AC55"/>
    </row>
    <row r="56" spans="1:29" ht="69" hidden="1">
      <c r="A56" s="74" t="s">
        <v>180</v>
      </c>
      <c r="B56" s="75" t="s">
        <v>181</v>
      </c>
      <c r="C56" s="74" t="s">
        <v>216</v>
      </c>
      <c r="D56" s="74" t="s">
        <v>217</v>
      </c>
      <c r="E56" s="76" t="s">
        <v>188</v>
      </c>
      <c r="F56" s="74" t="s">
        <v>218</v>
      </c>
      <c r="G56" s="74" t="s">
        <v>210</v>
      </c>
      <c r="H56" s="77">
        <v>45809</v>
      </c>
      <c r="I56" s="207">
        <v>45875</v>
      </c>
      <c r="J56" s="85" t="s">
        <v>219</v>
      </c>
      <c r="K56" s="74" t="s">
        <v>220</v>
      </c>
      <c r="L56" s="79" t="s">
        <v>20</v>
      </c>
      <c r="M56" s="80" t="str">
        <f t="shared" ca="1" si="0"/>
        <v/>
      </c>
      <c r="N56" s="37" t="str">
        <f t="shared" ca="1" si="1"/>
        <v/>
      </c>
      <c r="O56" s="81" t="str">
        <f t="shared" ca="1" si="2"/>
        <v/>
      </c>
      <c r="P56" s="81" t="str">
        <f t="shared" ca="1" si="3"/>
        <v/>
      </c>
      <c r="Q56" s="81" t="str">
        <f t="shared" ca="1" si="4"/>
        <v/>
      </c>
      <c r="R56" s="136"/>
      <c r="S56" s="88"/>
      <c r="T56" s="81"/>
      <c r="U56" s="153">
        <v>55</v>
      </c>
      <c r="V56" s="153"/>
      <c r="W56" s="153"/>
      <c r="X56" s="153"/>
      <c r="Y56" s="136"/>
      <c r="Z56" s="153"/>
      <c r="AA56" s="152"/>
      <c r="AB56" s="8">
        <v>1</v>
      </c>
      <c r="AC56"/>
    </row>
    <row r="57" spans="1:29" ht="114" hidden="1">
      <c r="A57" s="74" t="s">
        <v>180</v>
      </c>
      <c r="B57" s="75" t="s">
        <v>181</v>
      </c>
      <c r="C57" s="74" t="s">
        <v>221</v>
      </c>
      <c r="D57" s="74" t="s">
        <v>222</v>
      </c>
      <c r="E57" s="76" t="s">
        <v>188</v>
      </c>
      <c r="F57" s="74" t="s">
        <v>223</v>
      </c>
      <c r="G57" s="74" t="s">
        <v>210</v>
      </c>
      <c r="H57" s="77">
        <v>45809</v>
      </c>
      <c r="I57" s="207">
        <v>45881</v>
      </c>
      <c r="J57" s="85" t="s">
        <v>224</v>
      </c>
      <c r="K57" s="74" t="s">
        <v>225</v>
      </c>
      <c r="L57" s="79" t="s">
        <v>20</v>
      </c>
      <c r="M57" s="80" t="str">
        <f t="shared" ca="1" si="0"/>
        <v/>
      </c>
      <c r="N57" s="37" t="str">
        <f t="shared" ca="1" si="1"/>
        <v/>
      </c>
      <c r="O57" s="81" t="str">
        <f t="shared" ca="1" si="2"/>
        <v/>
      </c>
      <c r="P57" s="81" t="str">
        <f t="shared" ca="1" si="3"/>
        <v/>
      </c>
      <c r="Q57" s="81" t="str">
        <f t="shared" ca="1" si="4"/>
        <v/>
      </c>
      <c r="R57" s="136"/>
      <c r="S57" s="88"/>
      <c r="T57" s="81"/>
      <c r="U57" s="153">
        <v>56</v>
      </c>
      <c r="V57" s="153"/>
      <c r="W57" s="153"/>
      <c r="X57" s="153"/>
      <c r="Y57" s="136"/>
      <c r="Z57" s="153"/>
      <c r="AA57" s="152"/>
      <c r="AB57" s="8">
        <v>1</v>
      </c>
      <c r="AC57"/>
    </row>
    <row r="58" spans="1:29" ht="103.2" hidden="1">
      <c r="A58" s="74" t="s">
        <v>180</v>
      </c>
      <c r="B58" s="75" t="s">
        <v>181</v>
      </c>
      <c r="C58" s="74" t="s">
        <v>226</v>
      </c>
      <c r="D58" s="74" t="s">
        <v>227</v>
      </c>
      <c r="E58" s="76" t="s">
        <v>188</v>
      </c>
      <c r="F58" s="74" t="s">
        <v>228</v>
      </c>
      <c r="G58" s="74" t="s">
        <v>210</v>
      </c>
      <c r="H58" s="77">
        <v>45809</v>
      </c>
      <c r="I58" s="207">
        <v>45960</v>
      </c>
      <c r="J58" s="85" t="s">
        <v>229</v>
      </c>
      <c r="K58" s="74" t="s">
        <v>230</v>
      </c>
      <c r="L58" s="79" t="s">
        <v>20</v>
      </c>
      <c r="M58" s="80" t="str">
        <f t="shared" ca="1" si="0"/>
        <v/>
      </c>
      <c r="N58" s="37" t="str">
        <f t="shared" ca="1" si="1"/>
        <v/>
      </c>
      <c r="O58" s="81" t="str">
        <f t="shared" ca="1" si="2"/>
        <v/>
      </c>
      <c r="P58" s="81" t="str">
        <f t="shared" ca="1" si="3"/>
        <v/>
      </c>
      <c r="Q58" s="81" t="str">
        <f t="shared" ca="1" si="4"/>
        <v/>
      </c>
      <c r="R58" s="136"/>
      <c r="S58" s="88"/>
      <c r="T58" s="81"/>
      <c r="U58" s="153">
        <v>57</v>
      </c>
      <c r="V58" s="153"/>
      <c r="W58" s="153"/>
      <c r="X58" s="153"/>
      <c r="Y58" s="136"/>
      <c r="Z58" s="153"/>
      <c r="AA58" s="152"/>
      <c r="AB58" s="8">
        <v>1</v>
      </c>
      <c r="AC58"/>
    </row>
    <row r="59" spans="1:29" ht="240.6">
      <c r="A59" s="74" t="s">
        <v>180</v>
      </c>
      <c r="B59" s="75" t="s">
        <v>181</v>
      </c>
      <c r="C59" s="74" t="s">
        <v>231</v>
      </c>
      <c r="D59" s="74" t="s">
        <v>232</v>
      </c>
      <c r="E59" s="76" t="s">
        <v>188</v>
      </c>
      <c r="F59" s="74" t="s">
        <v>233</v>
      </c>
      <c r="G59" s="74" t="s">
        <v>210</v>
      </c>
      <c r="H59" s="77">
        <v>45809</v>
      </c>
      <c r="I59" s="207">
        <v>46203</v>
      </c>
      <c r="J59" s="82" t="s">
        <v>234</v>
      </c>
      <c r="K59" s="74" t="s">
        <v>1307</v>
      </c>
      <c r="L59" s="79" t="s">
        <v>33</v>
      </c>
      <c r="M59" s="80" t="str">
        <f t="shared" ca="1" si="0"/>
        <v/>
      </c>
      <c r="N59" s="37" t="str">
        <f t="shared" ca="1" si="1"/>
        <v/>
      </c>
      <c r="O59" s="81" t="str">
        <f t="shared" ca="1" si="2"/>
        <v/>
      </c>
      <c r="P59" s="81" t="str">
        <f t="shared" ca="1" si="3"/>
        <v/>
      </c>
      <c r="Q59" s="81" t="str">
        <f t="shared" ca="1" si="4"/>
        <v/>
      </c>
      <c r="R59" s="84" t="s">
        <v>629</v>
      </c>
      <c r="S59" s="88"/>
      <c r="T59" s="153" t="s">
        <v>1523</v>
      </c>
      <c r="U59" s="153">
        <v>58</v>
      </c>
      <c r="V59" s="153"/>
      <c r="W59" s="153"/>
      <c r="X59" s="153"/>
      <c r="Y59" s="136"/>
      <c r="Z59" s="153"/>
      <c r="AA59" s="152"/>
      <c r="AB59" s="8">
        <v>0.33</v>
      </c>
      <c r="AC59" s="8" t="s">
        <v>1777</v>
      </c>
    </row>
    <row r="60" spans="1:29" ht="72">
      <c r="A60" s="74" t="s">
        <v>180</v>
      </c>
      <c r="B60" s="75" t="s">
        <v>181</v>
      </c>
      <c r="C60" s="74" t="s">
        <v>231</v>
      </c>
      <c r="D60" s="74"/>
      <c r="E60" s="76"/>
      <c r="F60" s="74" t="s">
        <v>236</v>
      </c>
      <c r="G60" s="74" t="s">
        <v>210</v>
      </c>
      <c r="H60" s="77">
        <v>45809</v>
      </c>
      <c r="I60" s="207">
        <v>46203</v>
      </c>
      <c r="J60" s="85" t="s">
        <v>234</v>
      </c>
      <c r="K60" s="74" t="s">
        <v>816</v>
      </c>
      <c r="L60" s="79" t="s">
        <v>33</v>
      </c>
      <c r="M60" s="80" t="str">
        <f t="shared" ca="1" si="0"/>
        <v/>
      </c>
      <c r="N60" s="37" t="str">
        <f t="shared" ca="1" si="1"/>
        <v/>
      </c>
      <c r="O60" s="81" t="str">
        <f t="shared" ca="1" si="2"/>
        <v/>
      </c>
      <c r="P60" s="81" t="str">
        <f t="shared" ca="1" si="3"/>
        <v/>
      </c>
      <c r="Q60" s="81" t="str">
        <f t="shared" ca="1" si="4"/>
        <v/>
      </c>
      <c r="R60" s="84" t="s">
        <v>629</v>
      </c>
      <c r="S60" s="88"/>
      <c r="T60" s="153" t="s">
        <v>1523</v>
      </c>
      <c r="U60" s="153">
        <v>59</v>
      </c>
      <c r="V60" s="153"/>
      <c r="W60" s="153"/>
      <c r="X60" s="153"/>
      <c r="Y60" s="136"/>
      <c r="Z60" s="153"/>
      <c r="AA60" s="152"/>
      <c r="AB60" s="8">
        <v>0.33</v>
      </c>
      <c r="AC60" s="8" t="s">
        <v>1777</v>
      </c>
    </row>
    <row r="61" spans="1:29" ht="34.200000000000003" hidden="1">
      <c r="A61" s="74" t="s">
        <v>180</v>
      </c>
      <c r="B61" s="75" t="s">
        <v>181</v>
      </c>
      <c r="C61" s="74" t="s">
        <v>182</v>
      </c>
      <c r="D61" s="74"/>
      <c r="E61" s="76"/>
      <c r="F61" s="74" t="s">
        <v>238</v>
      </c>
      <c r="G61" s="74" t="s">
        <v>239</v>
      </c>
      <c r="H61" s="77">
        <v>45809</v>
      </c>
      <c r="I61" s="207">
        <v>46006</v>
      </c>
      <c r="J61" s="85" t="s">
        <v>240</v>
      </c>
      <c r="K61" s="74" t="s">
        <v>241</v>
      </c>
      <c r="L61" s="79" t="s">
        <v>20</v>
      </c>
      <c r="M61" s="80" t="str">
        <f t="shared" ca="1" si="0"/>
        <v/>
      </c>
      <c r="N61" s="37" t="str">
        <f t="shared" ca="1" si="1"/>
        <v/>
      </c>
      <c r="O61" s="81" t="str">
        <f t="shared" ca="1" si="2"/>
        <v/>
      </c>
      <c r="P61" s="81" t="str">
        <f t="shared" ca="1" si="3"/>
        <v/>
      </c>
      <c r="Q61" s="81" t="str">
        <f t="shared" ca="1" si="4"/>
        <v/>
      </c>
      <c r="R61" s="136"/>
      <c r="S61" s="88"/>
      <c r="T61" s="81"/>
      <c r="U61" s="153">
        <v>60</v>
      </c>
      <c r="V61" s="153"/>
      <c r="W61" s="153"/>
      <c r="X61" s="153"/>
      <c r="Y61" s="136"/>
      <c r="Z61" s="153"/>
      <c r="AA61" s="152"/>
      <c r="AB61" s="8">
        <v>0.34</v>
      </c>
      <c r="AC61"/>
    </row>
    <row r="62" spans="1:29" ht="137.4" hidden="1">
      <c r="A62" s="74" t="s">
        <v>180</v>
      </c>
      <c r="B62" s="75" t="s">
        <v>181</v>
      </c>
      <c r="C62" s="74" t="s">
        <v>182</v>
      </c>
      <c r="D62" s="74" t="s">
        <v>242</v>
      </c>
      <c r="E62" s="76" t="s">
        <v>188</v>
      </c>
      <c r="F62" s="74" t="s">
        <v>243</v>
      </c>
      <c r="G62" s="74" t="s">
        <v>17</v>
      </c>
      <c r="H62" s="77">
        <v>45809</v>
      </c>
      <c r="I62" s="207">
        <v>45853</v>
      </c>
      <c r="J62" s="85" t="s">
        <v>244</v>
      </c>
      <c r="K62" s="74" t="s">
        <v>245</v>
      </c>
      <c r="L62" s="79" t="s">
        <v>20</v>
      </c>
      <c r="M62" s="80" t="str">
        <f t="shared" ca="1" si="0"/>
        <v/>
      </c>
      <c r="N62" s="37" t="str">
        <f t="shared" ca="1" si="1"/>
        <v/>
      </c>
      <c r="O62" s="81" t="str">
        <f t="shared" ca="1" si="2"/>
        <v/>
      </c>
      <c r="P62" s="81" t="str">
        <f t="shared" ca="1" si="3"/>
        <v/>
      </c>
      <c r="Q62" s="81" t="str">
        <f t="shared" ca="1" si="4"/>
        <v/>
      </c>
      <c r="R62" s="136"/>
      <c r="S62" s="88"/>
      <c r="T62" s="81"/>
      <c r="U62" s="153">
        <v>61</v>
      </c>
      <c r="V62" s="153"/>
      <c r="W62" s="153"/>
      <c r="X62" s="153"/>
      <c r="Y62" s="136"/>
      <c r="Z62" s="153"/>
      <c r="AA62" s="152"/>
      <c r="AB62" s="8">
        <v>0.33</v>
      </c>
      <c r="AC62"/>
    </row>
    <row r="63" spans="1:29" ht="45.6" hidden="1">
      <c r="A63" s="74" t="s">
        <v>180</v>
      </c>
      <c r="B63" s="75" t="s">
        <v>181</v>
      </c>
      <c r="C63" s="74" t="s">
        <v>182</v>
      </c>
      <c r="D63" s="74"/>
      <c r="E63" s="76"/>
      <c r="F63" s="74" t="s">
        <v>246</v>
      </c>
      <c r="G63" s="74" t="s">
        <v>17</v>
      </c>
      <c r="H63" s="77">
        <v>45809</v>
      </c>
      <c r="I63" s="207">
        <v>46032</v>
      </c>
      <c r="J63" s="91" t="s">
        <v>247</v>
      </c>
      <c r="K63" s="90" t="s">
        <v>248</v>
      </c>
      <c r="L63" s="208" t="s">
        <v>20</v>
      </c>
      <c r="M63" s="80" t="str">
        <f t="shared" ca="1" si="0"/>
        <v/>
      </c>
      <c r="N63" s="37" t="str">
        <f t="shared" ca="1" si="1"/>
        <v/>
      </c>
      <c r="O63" s="81" t="str">
        <f t="shared" ca="1" si="2"/>
        <v/>
      </c>
      <c r="P63" s="81" t="str">
        <f t="shared" ca="1" si="3"/>
        <v/>
      </c>
      <c r="Q63" s="81" t="str">
        <f t="shared" ca="1" si="4"/>
        <v/>
      </c>
      <c r="R63" s="136"/>
      <c r="S63" s="221">
        <v>46032</v>
      </c>
      <c r="T63" s="81"/>
      <c r="U63" s="153">
        <v>62</v>
      </c>
      <c r="V63" s="153"/>
      <c r="W63" s="153"/>
      <c r="X63" s="153"/>
      <c r="Y63" s="136"/>
      <c r="Z63" s="153"/>
      <c r="AA63" s="152"/>
      <c r="AB63" s="8">
        <v>0.33</v>
      </c>
      <c r="AC63"/>
    </row>
    <row r="64" spans="1:29" ht="45.6" hidden="1">
      <c r="A64" s="74" t="s">
        <v>180</v>
      </c>
      <c r="B64" s="75" t="s">
        <v>181</v>
      </c>
      <c r="C64" s="74" t="s">
        <v>182</v>
      </c>
      <c r="D64" s="74"/>
      <c r="E64" s="76"/>
      <c r="F64" s="74" t="s">
        <v>249</v>
      </c>
      <c r="G64" s="74" t="s">
        <v>17</v>
      </c>
      <c r="H64" s="77">
        <v>45809</v>
      </c>
      <c r="I64" s="207">
        <v>46052</v>
      </c>
      <c r="J64" s="91" t="s">
        <v>250</v>
      </c>
      <c r="K64" s="90" t="s">
        <v>248</v>
      </c>
      <c r="L64" s="208" t="s">
        <v>20</v>
      </c>
      <c r="M64" s="80" t="str">
        <f t="shared" ca="1" si="0"/>
        <v/>
      </c>
      <c r="N64" s="37" t="str">
        <f t="shared" ca="1" si="1"/>
        <v/>
      </c>
      <c r="O64" s="81" t="str">
        <f t="shared" ca="1" si="2"/>
        <v/>
      </c>
      <c r="P64" s="81" t="str">
        <f t="shared" ca="1" si="3"/>
        <v/>
      </c>
      <c r="Q64" s="81" t="str">
        <f t="shared" ca="1" si="4"/>
        <v/>
      </c>
      <c r="R64" s="136"/>
      <c r="S64" s="221">
        <v>46052</v>
      </c>
      <c r="T64" s="81"/>
      <c r="U64" s="153">
        <v>63</v>
      </c>
      <c r="V64" s="153"/>
      <c r="W64" s="153"/>
      <c r="X64" s="153"/>
      <c r="Y64" s="136"/>
      <c r="Z64" s="153"/>
      <c r="AA64" s="152"/>
      <c r="AB64" s="8">
        <v>0.34</v>
      </c>
      <c r="AC64"/>
    </row>
    <row r="65" spans="1:29" ht="79.8" hidden="1">
      <c r="A65" s="74" t="s">
        <v>180</v>
      </c>
      <c r="B65" s="92" t="s">
        <v>251</v>
      </c>
      <c r="C65" s="45" t="s">
        <v>252</v>
      </c>
      <c r="D65" s="45" t="s">
        <v>253</v>
      </c>
      <c r="E65" s="199" t="s">
        <v>254</v>
      </c>
      <c r="F65" s="47" t="s">
        <v>255</v>
      </c>
      <c r="G65" s="47" t="s">
        <v>256</v>
      </c>
      <c r="H65" s="87">
        <v>45922</v>
      </c>
      <c r="I65" s="209">
        <v>45961</v>
      </c>
      <c r="J65" s="93" t="s">
        <v>257</v>
      </c>
      <c r="K65" s="45" t="s">
        <v>258</v>
      </c>
      <c r="L65" s="37" t="s">
        <v>20</v>
      </c>
      <c r="M65" s="80" t="str">
        <f t="shared" ca="1" si="0"/>
        <v/>
      </c>
      <c r="N65" s="37" t="str">
        <f t="shared" ca="1" si="1"/>
        <v/>
      </c>
      <c r="O65" s="81" t="str">
        <f t="shared" ca="1" si="2"/>
        <v/>
      </c>
      <c r="P65" s="81" t="str">
        <f t="shared" ca="1" si="3"/>
        <v/>
      </c>
      <c r="Q65" s="81" t="str">
        <f t="shared" ca="1" si="4"/>
        <v/>
      </c>
      <c r="R65" s="136"/>
      <c r="S65" s="88"/>
      <c r="T65" s="81"/>
      <c r="U65" s="153">
        <v>64</v>
      </c>
      <c r="V65" s="153"/>
      <c r="W65" s="153"/>
      <c r="X65" s="153"/>
      <c r="Y65" s="136"/>
      <c r="Z65" s="153"/>
      <c r="AA65" s="152"/>
      <c r="AB65" s="8">
        <v>0.5</v>
      </c>
      <c r="AC65"/>
    </row>
    <row r="66" spans="1:29" ht="114" hidden="1">
      <c r="A66" s="74" t="s">
        <v>180</v>
      </c>
      <c r="B66" s="92" t="s">
        <v>251</v>
      </c>
      <c r="C66" s="45" t="s">
        <v>252</v>
      </c>
      <c r="D66" s="45"/>
      <c r="E66" s="199"/>
      <c r="F66" s="47" t="s">
        <v>259</v>
      </c>
      <c r="G66" s="47" t="s">
        <v>269</v>
      </c>
      <c r="H66" s="87">
        <v>45922</v>
      </c>
      <c r="I66" s="209">
        <v>45961</v>
      </c>
      <c r="J66" s="93" t="s">
        <v>257</v>
      </c>
      <c r="K66" s="45" t="s">
        <v>260</v>
      </c>
      <c r="L66" s="37" t="s">
        <v>20</v>
      </c>
      <c r="M66" s="80" t="str">
        <f t="shared" ca="1" si="0"/>
        <v/>
      </c>
      <c r="N66" s="37" t="str">
        <f t="shared" ca="1" si="1"/>
        <v/>
      </c>
      <c r="O66" s="81" t="str">
        <f t="shared" ca="1" si="2"/>
        <v/>
      </c>
      <c r="P66" s="81" t="str">
        <f t="shared" ca="1" si="3"/>
        <v/>
      </c>
      <c r="Q66" s="81" t="str">
        <f t="shared" ca="1" si="4"/>
        <v/>
      </c>
      <c r="R66" s="136"/>
      <c r="S66" s="88"/>
      <c r="T66" s="81"/>
      <c r="U66" s="153">
        <v>65</v>
      </c>
      <c r="V66" s="153"/>
      <c r="W66" s="153"/>
      <c r="X66" s="153"/>
      <c r="Y66" s="136"/>
      <c r="Z66" s="153"/>
      <c r="AA66" s="152"/>
      <c r="AB66" s="8">
        <v>0.5</v>
      </c>
      <c r="AC66"/>
    </row>
    <row r="67" spans="1:29" ht="80.400000000000006" hidden="1">
      <c r="A67" s="74" t="s">
        <v>180</v>
      </c>
      <c r="B67" s="92" t="s">
        <v>251</v>
      </c>
      <c r="C67" s="45" t="s">
        <v>261</v>
      </c>
      <c r="D67" s="45" t="s">
        <v>262</v>
      </c>
      <c r="E67" s="76" t="s">
        <v>188</v>
      </c>
      <c r="F67" s="47" t="s">
        <v>263</v>
      </c>
      <c r="G67" s="47" t="s">
        <v>148</v>
      </c>
      <c r="H67" s="87">
        <v>45922</v>
      </c>
      <c r="I67" s="209">
        <v>46022</v>
      </c>
      <c r="J67" s="93" t="s">
        <v>264</v>
      </c>
      <c r="K67" s="94" t="s">
        <v>265</v>
      </c>
      <c r="L67" s="37" t="s">
        <v>20</v>
      </c>
      <c r="M67" s="80" t="str">
        <f t="shared" ref="M67:M130" ca="1" si="5">IF(L67="Abierta", I67-TODAY(), "")</f>
        <v/>
      </c>
      <c r="N67" s="37" t="str">
        <f t="shared" ref="N67:N130" ca="1" si="6">IF(AND(L67="Abierta", M67&lt;&gt;"", M67&lt;=10, M67&gt;5), "🚨 CRÍTICO (10d)", "")</f>
        <v/>
      </c>
      <c r="O67" s="81" t="str">
        <f t="shared" ref="O67:O130" ca="1" si="7">IF(AND(L67="Abierta", M67&lt;&gt;"", M67&lt;=20, M67&gt;10), "⏳ URGENTE (20d)", "")</f>
        <v/>
      </c>
      <c r="P67" s="81" t="str">
        <f t="shared" ref="P67:P130" ca="1" si="8">IF(AND(L67="Abierta", M67&lt;&gt;"", M67&lt;=30, M67&gt;20), "📅 SEGUIMIENTO (30d)", "")</f>
        <v/>
      </c>
      <c r="Q67" s="81" t="str">
        <f t="shared" ref="Q67:Q130" ca="1" si="9">IF(AND(L67="Abierta", M67&lt;&gt;"", M67&lt;=5), "⚠️ INMINENTE (5d)", "")</f>
        <v/>
      </c>
      <c r="R67" s="136"/>
      <c r="S67" s="88"/>
      <c r="T67" s="81"/>
      <c r="U67" s="153">
        <v>66</v>
      </c>
      <c r="V67" s="153"/>
      <c r="W67" s="153"/>
      <c r="X67" s="153"/>
      <c r="Y67" s="136"/>
      <c r="Z67" s="153"/>
      <c r="AA67" s="152"/>
      <c r="AB67" s="8">
        <v>1</v>
      </c>
      <c r="AC67"/>
    </row>
    <row r="68" spans="1:29" ht="68.400000000000006" hidden="1">
      <c r="A68" s="74" t="s">
        <v>180</v>
      </c>
      <c r="B68" s="92" t="s">
        <v>251</v>
      </c>
      <c r="C68" s="45" t="s">
        <v>266</v>
      </c>
      <c r="D68" s="45" t="s">
        <v>267</v>
      </c>
      <c r="E68" s="76" t="s">
        <v>188</v>
      </c>
      <c r="F68" s="47" t="s">
        <v>268</v>
      </c>
      <c r="G68" s="47" t="s">
        <v>269</v>
      </c>
      <c r="H68" s="87">
        <v>45922</v>
      </c>
      <c r="I68" s="209">
        <v>46022</v>
      </c>
      <c r="J68" s="93" t="s">
        <v>270</v>
      </c>
      <c r="K68" s="45" t="s">
        <v>271</v>
      </c>
      <c r="L68" s="37" t="s">
        <v>20</v>
      </c>
      <c r="M68" s="80" t="str">
        <f t="shared" ca="1" si="5"/>
        <v/>
      </c>
      <c r="N68" s="37" t="str">
        <f t="shared" ca="1" si="6"/>
        <v/>
      </c>
      <c r="O68" s="81" t="str">
        <f t="shared" ca="1" si="7"/>
        <v/>
      </c>
      <c r="P68" s="81" t="str">
        <f t="shared" ca="1" si="8"/>
        <v/>
      </c>
      <c r="Q68" s="81" t="str">
        <f t="shared" ca="1" si="9"/>
        <v/>
      </c>
      <c r="R68" s="136"/>
      <c r="S68" s="88"/>
      <c r="T68" s="81"/>
      <c r="U68" s="153">
        <v>67</v>
      </c>
      <c r="V68" s="153"/>
      <c r="W68" s="153"/>
      <c r="X68" s="153"/>
      <c r="Y68" s="136"/>
      <c r="Z68" s="153"/>
      <c r="AA68" s="152"/>
      <c r="AB68" s="8">
        <v>1</v>
      </c>
      <c r="AC68"/>
    </row>
    <row r="69" spans="1:29" ht="102.6" hidden="1">
      <c r="A69" s="74" t="s">
        <v>180</v>
      </c>
      <c r="B69" s="92" t="s">
        <v>251</v>
      </c>
      <c r="C69" s="45" t="s">
        <v>272</v>
      </c>
      <c r="D69" s="45" t="s">
        <v>273</v>
      </c>
      <c r="E69" s="76" t="s">
        <v>188</v>
      </c>
      <c r="F69" s="47" t="s">
        <v>274</v>
      </c>
      <c r="G69" s="74" t="s">
        <v>275</v>
      </c>
      <c r="H69" s="87">
        <v>45922</v>
      </c>
      <c r="I69" s="209">
        <v>46053</v>
      </c>
      <c r="J69" s="95" t="s">
        <v>276</v>
      </c>
      <c r="K69" s="45" t="s">
        <v>277</v>
      </c>
      <c r="L69" s="219" t="s">
        <v>20</v>
      </c>
      <c r="M69" s="80" t="str">
        <f t="shared" ca="1" si="5"/>
        <v/>
      </c>
      <c r="N69" s="37" t="str">
        <f t="shared" ca="1" si="6"/>
        <v/>
      </c>
      <c r="O69" s="81" t="str">
        <f t="shared" ca="1" si="7"/>
        <v/>
      </c>
      <c r="P69" s="81" t="str">
        <f t="shared" ca="1" si="8"/>
        <v/>
      </c>
      <c r="Q69" s="81" t="str">
        <f t="shared" ca="1" si="9"/>
        <v/>
      </c>
      <c r="R69" s="84" t="s">
        <v>624</v>
      </c>
      <c r="S69" s="221">
        <v>46053</v>
      </c>
      <c r="T69" s="81"/>
      <c r="U69" s="153">
        <v>68</v>
      </c>
      <c r="V69" s="153"/>
      <c r="W69" s="153"/>
      <c r="X69" s="153"/>
      <c r="Y69" s="136"/>
      <c r="Z69" s="153"/>
      <c r="AA69" s="152"/>
      <c r="AB69" s="8">
        <v>1</v>
      </c>
      <c r="AC69"/>
    </row>
    <row r="70" spans="1:29" ht="45.6" hidden="1">
      <c r="A70" s="74" t="s">
        <v>180</v>
      </c>
      <c r="B70" s="92" t="s">
        <v>251</v>
      </c>
      <c r="C70" s="45" t="s">
        <v>278</v>
      </c>
      <c r="D70" s="45" t="s">
        <v>279</v>
      </c>
      <c r="E70" s="199" t="s">
        <v>280</v>
      </c>
      <c r="F70" s="47" t="s">
        <v>281</v>
      </c>
      <c r="G70" s="47" t="s">
        <v>502</v>
      </c>
      <c r="H70" s="87">
        <v>45922</v>
      </c>
      <c r="I70" s="209">
        <v>46053</v>
      </c>
      <c r="J70" s="95" t="s">
        <v>282</v>
      </c>
      <c r="K70" s="45" t="s">
        <v>283</v>
      </c>
      <c r="L70" s="219" t="s">
        <v>20</v>
      </c>
      <c r="M70" s="80" t="str">
        <f t="shared" ca="1" si="5"/>
        <v/>
      </c>
      <c r="N70" s="37" t="str">
        <f t="shared" ca="1" si="6"/>
        <v/>
      </c>
      <c r="O70" s="81" t="str">
        <f t="shared" ca="1" si="7"/>
        <v/>
      </c>
      <c r="P70" s="81" t="str">
        <f t="shared" ca="1" si="8"/>
        <v/>
      </c>
      <c r="Q70" s="81" t="str">
        <f t="shared" ca="1" si="9"/>
        <v/>
      </c>
      <c r="R70" s="136"/>
      <c r="S70" s="221">
        <v>46053</v>
      </c>
      <c r="T70" s="81"/>
      <c r="U70" s="153">
        <v>69</v>
      </c>
      <c r="V70" s="153"/>
      <c r="W70" s="153"/>
      <c r="X70" s="153"/>
      <c r="Y70" s="136"/>
      <c r="Z70" s="153"/>
      <c r="AA70" s="152"/>
      <c r="AB70" s="8">
        <v>1</v>
      </c>
      <c r="AC70"/>
    </row>
    <row r="71" spans="1:29" ht="80.400000000000006" hidden="1">
      <c r="A71" s="74" t="s">
        <v>180</v>
      </c>
      <c r="B71" s="92" t="s">
        <v>251</v>
      </c>
      <c r="C71" s="45" t="s">
        <v>284</v>
      </c>
      <c r="D71" s="45" t="s">
        <v>285</v>
      </c>
      <c r="E71" s="199" t="s">
        <v>280</v>
      </c>
      <c r="F71" s="47" t="s">
        <v>286</v>
      </c>
      <c r="G71" s="47" t="s">
        <v>256</v>
      </c>
      <c r="H71" s="87">
        <v>45922</v>
      </c>
      <c r="I71" s="209">
        <v>46053</v>
      </c>
      <c r="J71" s="93" t="s">
        <v>287</v>
      </c>
      <c r="K71" s="45" t="s">
        <v>288</v>
      </c>
      <c r="L71" s="219" t="s">
        <v>20</v>
      </c>
      <c r="M71" s="80" t="str">
        <f t="shared" ca="1" si="5"/>
        <v/>
      </c>
      <c r="N71" s="37" t="str">
        <f t="shared" ca="1" si="6"/>
        <v/>
      </c>
      <c r="O71" s="81" t="str">
        <f t="shared" ca="1" si="7"/>
        <v/>
      </c>
      <c r="P71" s="81" t="str">
        <f t="shared" ca="1" si="8"/>
        <v/>
      </c>
      <c r="Q71" s="81" t="str">
        <f t="shared" ca="1" si="9"/>
        <v/>
      </c>
      <c r="R71" s="136"/>
      <c r="S71" s="221">
        <v>46053</v>
      </c>
      <c r="T71" s="81"/>
      <c r="U71" s="153">
        <v>70</v>
      </c>
      <c r="V71" s="153"/>
      <c r="W71" s="153"/>
      <c r="X71" s="153"/>
      <c r="Y71" s="136"/>
      <c r="Z71" s="153"/>
      <c r="AA71" s="152"/>
      <c r="AB71" s="8">
        <v>0.5</v>
      </c>
      <c r="AC71"/>
    </row>
    <row r="72" spans="1:29" ht="34.799999999999997" hidden="1">
      <c r="A72" s="74" t="s">
        <v>180</v>
      </c>
      <c r="B72" s="92" t="s">
        <v>251</v>
      </c>
      <c r="C72" s="45" t="s">
        <v>284</v>
      </c>
      <c r="D72" s="45"/>
      <c r="E72" s="199"/>
      <c r="F72" s="47" t="s">
        <v>289</v>
      </c>
      <c r="G72" s="47" t="s">
        <v>256</v>
      </c>
      <c r="H72" s="87">
        <v>45922</v>
      </c>
      <c r="I72" s="209">
        <v>45989</v>
      </c>
      <c r="J72" s="93" t="s">
        <v>287</v>
      </c>
      <c r="K72" s="45" t="s">
        <v>283</v>
      </c>
      <c r="L72" s="37" t="s">
        <v>20</v>
      </c>
      <c r="M72" s="80" t="str">
        <f t="shared" ca="1" si="5"/>
        <v/>
      </c>
      <c r="N72" s="37" t="str">
        <f t="shared" ca="1" si="6"/>
        <v/>
      </c>
      <c r="O72" s="81" t="str">
        <f t="shared" ca="1" si="7"/>
        <v/>
      </c>
      <c r="P72" s="81" t="str">
        <f t="shared" ca="1" si="8"/>
        <v/>
      </c>
      <c r="Q72" s="81" t="str">
        <f t="shared" ca="1" si="9"/>
        <v/>
      </c>
      <c r="R72" s="136"/>
      <c r="S72" s="88"/>
      <c r="T72" s="81"/>
      <c r="U72" s="153">
        <v>71</v>
      </c>
      <c r="V72" s="153"/>
      <c r="W72" s="153"/>
      <c r="X72" s="153"/>
      <c r="Y72" s="136"/>
      <c r="Z72" s="153"/>
      <c r="AA72" s="152"/>
      <c r="AB72" s="8">
        <v>0.5</v>
      </c>
      <c r="AC72"/>
    </row>
    <row r="73" spans="1:29" ht="100.8" hidden="1">
      <c r="A73" s="74" t="s">
        <v>180</v>
      </c>
      <c r="B73" s="92" t="s">
        <v>251</v>
      </c>
      <c r="C73" s="45" t="s">
        <v>634</v>
      </c>
      <c r="D73" s="45" t="s">
        <v>290</v>
      </c>
      <c r="E73" s="199" t="s">
        <v>280</v>
      </c>
      <c r="F73" s="47" t="s">
        <v>291</v>
      </c>
      <c r="G73" s="47" t="s">
        <v>269</v>
      </c>
      <c r="H73" s="87">
        <v>45922</v>
      </c>
      <c r="I73" s="209">
        <v>46022</v>
      </c>
      <c r="J73" s="93" t="s">
        <v>292</v>
      </c>
      <c r="K73" s="45" t="s">
        <v>822</v>
      </c>
      <c r="L73" s="37" t="s">
        <v>20</v>
      </c>
      <c r="M73" s="80" t="str">
        <f t="shared" ca="1" si="5"/>
        <v/>
      </c>
      <c r="N73" s="37" t="str">
        <f t="shared" ca="1" si="6"/>
        <v/>
      </c>
      <c r="O73" s="81" t="str">
        <f t="shared" ca="1" si="7"/>
        <v/>
      </c>
      <c r="P73" s="81" t="str">
        <f t="shared" ca="1" si="8"/>
        <v/>
      </c>
      <c r="Q73" s="81" t="str">
        <f t="shared" ca="1" si="9"/>
        <v/>
      </c>
      <c r="R73" s="84" t="s">
        <v>636</v>
      </c>
      <c r="S73" s="88"/>
      <c r="T73" s="81"/>
      <c r="U73" s="153">
        <v>72</v>
      </c>
      <c r="V73" s="153"/>
      <c r="W73" s="153"/>
      <c r="X73" s="153"/>
      <c r="Y73" s="136"/>
      <c r="Z73" s="153"/>
      <c r="AA73" s="152"/>
      <c r="AB73" s="8">
        <v>1</v>
      </c>
      <c r="AC73"/>
    </row>
    <row r="74" spans="1:29" ht="68.400000000000006" hidden="1">
      <c r="A74" s="74" t="s">
        <v>180</v>
      </c>
      <c r="B74" s="92" t="s">
        <v>251</v>
      </c>
      <c r="C74" s="45" t="s">
        <v>294</v>
      </c>
      <c r="D74" s="45" t="s">
        <v>295</v>
      </c>
      <c r="E74" s="199" t="s">
        <v>280</v>
      </c>
      <c r="F74" s="47" t="s">
        <v>296</v>
      </c>
      <c r="G74" s="47" t="s">
        <v>275</v>
      </c>
      <c r="H74" s="87">
        <v>45922</v>
      </c>
      <c r="I74" s="209">
        <v>46053</v>
      </c>
      <c r="J74" s="93" t="s">
        <v>297</v>
      </c>
      <c r="K74" s="45" t="s">
        <v>298</v>
      </c>
      <c r="L74" s="219" t="s">
        <v>20</v>
      </c>
      <c r="M74" s="80" t="str">
        <f t="shared" ca="1" si="5"/>
        <v/>
      </c>
      <c r="N74" s="37" t="str">
        <f t="shared" ca="1" si="6"/>
        <v/>
      </c>
      <c r="O74" s="81" t="str">
        <f t="shared" ca="1" si="7"/>
        <v/>
      </c>
      <c r="P74" s="81" t="str">
        <f t="shared" ca="1" si="8"/>
        <v/>
      </c>
      <c r="Q74" s="81" t="str">
        <f t="shared" ca="1" si="9"/>
        <v/>
      </c>
      <c r="R74" s="136"/>
      <c r="S74" s="221">
        <v>46053</v>
      </c>
      <c r="T74" s="81"/>
      <c r="U74" s="153">
        <v>73</v>
      </c>
      <c r="V74" s="153"/>
      <c r="W74" s="153"/>
      <c r="X74" s="153"/>
      <c r="Y74" s="136"/>
      <c r="Z74" s="153"/>
      <c r="AA74" s="152"/>
      <c r="AB74" s="8">
        <v>1</v>
      </c>
      <c r="AC74"/>
    </row>
    <row r="75" spans="1:29" ht="57" hidden="1">
      <c r="A75" s="74" t="s">
        <v>180</v>
      </c>
      <c r="B75" s="92" t="s">
        <v>251</v>
      </c>
      <c r="C75" s="45" t="s">
        <v>299</v>
      </c>
      <c r="D75" s="45" t="s">
        <v>300</v>
      </c>
      <c r="E75" s="199" t="s">
        <v>280</v>
      </c>
      <c r="F75" s="47" t="s">
        <v>301</v>
      </c>
      <c r="G75" s="47" t="s">
        <v>148</v>
      </c>
      <c r="H75" s="87">
        <v>45922</v>
      </c>
      <c r="I75" s="209">
        <v>46025</v>
      </c>
      <c r="J75" s="93" t="s">
        <v>302</v>
      </c>
      <c r="K75" s="45" t="s">
        <v>303</v>
      </c>
      <c r="L75" s="219" t="s">
        <v>20</v>
      </c>
      <c r="M75" s="80" t="str">
        <f t="shared" ca="1" si="5"/>
        <v/>
      </c>
      <c r="N75" s="37" t="str">
        <f t="shared" ca="1" si="6"/>
        <v/>
      </c>
      <c r="O75" s="81" t="str">
        <f t="shared" ca="1" si="7"/>
        <v/>
      </c>
      <c r="P75" s="81" t="str">
        <f t="shared" ca="1" si="8"/>
        <v/>
      </c>
      <c r="Q75" s="81" t="str">
        <f t="shared" ca="1" si="9"/>
        <v/>
      </c>
      <c r="R75" s="136"/>
      <c r="S75" s="221">
        <v>46025</v>
      </c>
      <c r="T75" s="81"/>
      <c r="U75" s="153">
        <v>74</v>
      </c>
      <c r="V75" s="153"/>
      <c r="W75" s="153"/>
      <c r="X75" s="153"/>
      <c r="Y75" s="136"/>
      <c r="Z75" s="153"/>
      <c r="AA75" s="152"/>
      <c r="AB75" s="8">
        <v>0.5</v>
      </c>
      <c r="AC75"/>
    </row>
    <row r="76" spans="1:29" ht="91.2" hidden="1">
      <c r="A76" s="74" t="s">
        <v>180</v>
      </c>
      <c r="B76" s="92" t="s">
        <v>251</v>
      </c>
      <c r="C76" s="45" t="s">
        <v>299</v>
      </c>
      <c r="D76" s="45"/>
      <c r="E76" s="199"/>
      <c r="F76" s="47" t="s">
        <v>304</v>
      </c>
      <c r="G76" s="47" t="s">
        <v>256</v>
      </c>
      <c r="H76" s="87">
        <v>45922</v>
      </c>
      <c r="I76" s="209">
        <v>46053</v>
      </c>
      <c r="J76" s="93" t="s">
        <v>302</v>
      </c>
      <c r="K76" s="45" t="s">
        <v>305</v>
      </c>
      <c r="L76" s="219" t="s">
        <v>20</v>
      </c>
      <c r="M76" s="80" t="str">
        <f t="shared" ca="1" si="5"/>
        <v/>
      </c>
      <c r="N76" s="37" t="str">
        <f t="shared" ca="1" si="6"/>
        <v/>
      </c>
      <c r="O76" s="81" t="str">
        <f t="shared" ca="1" si="7"/>
        <v/>
      </c>
      <c r="P76" s="81" t="str">
        <f t="shared" ca="1" si="8"/>
        <v/>
      </c>
      <c r="Q76" s="81" t="str">
        <f t="shared" ca="1" si="9"/>
        <v/>
      </c>
      <c r="R76" s="136"/>
      <c r="S76" s="221">
        <v>46053</v>
      </c>
      <c r="T76" s="81"/>
      <c r="U76" s="153">
        <v>75</v>
      </c>
      <c r="V76" s="153"/>
      <c r="W76" s="153"/>
      <c r="X76" s="153"/>
      <c r="Y76" s="136"/>
      <c r="Z76" s="153"/>
      <c r="AA76" s="152"/>
      <c r="AB76" s="8">
        <v>0.5</v>
      </c>
      <c r="AC76"/>
    </row>
    <row r="77" spans="1:29" ht="171" hidden="1">
      <c r="A77" s="74" t="s">
        <v>180</v>
      </c>
      <c r="B77" s="92" t="s">
        <v>306</v>
      </c>
      <c r="C77" s="45" t="s">
        <v>307</v>
      </c>
      <c r="D77" s="74" t="s">
        <v>308</v>
      </c>
      <c r="E77" s="199" t="s">
        <v>280</v>
      </c>
      <c r="F77" s="47" t="s">
        <v>309</v>
      </c>
      <c r="G77" s="74" t="s">
        <v>310</v>
      </c>
      <c r="H77" s="87">
        <v>45988</v>
      </c>
      <c r="I77" s="209">
        <v>45988</v>
      </c>
      <c r="J77" s="97" t="s">
        <v>311</v>
      </c>
      <c r="K77" s="45" t="s">
        <v>312</v>
      </c>
      <c r="L77" s="79" t="s">
        <v>20</v>
      </c>
      <c r="M77" s="80" t="str">
        <f t="shared" ca="1" si="5"/>
        <v/>
      </c>
      <c r="N77" s="37" t="str">
        <f t="shared" ca="1" si="6"/>
        <v/>
      </c>
      <c r="O77" s="81" t="str">
        <f t="shared" ca="1" si="7"/>
        <v/>
      </c>
      <c r="P77" s="81" t="str">
        <f t="shared" ca="1" si="8"/>
        <v/>
      </c>
      <c r="Q77" s="81" t="str">
        <f t="shared" ca="1" si="9"/>
        <v/>
      </c>
      <c r="R77" s="136"/>
      <c r="S77" s="88"/>
      <c r="T77" s="81"/>
      <c r="U77" s="153">
        <v>76</v>
      </c>
      <c r="V77" s="153"/>
      <c r="W77" s="153"/>
      <c r="X77" s="153"/>
      <c r="Y77" s="136"/>
      <c r="Z77" s="153"/>
      <c r="AA77" s="152"/>
      <c r="AB77" s="8">
        <v>1</v>
      </c>
      <c r="AC77"/>
    </row>
    <row r="78" spans="1:29" ht="103.2">
      <c r="A78" s="74" t="s">
        <v>180</v>
      </c>
      <c r="B78" s="92" t="s">
        <v>306</v>
      </c>
      <c r="C78" s="45" t="s">
        <v>313</v>
      </c>
      <c r="D78" s="45" t="s">
        <v>314</v>
      </c>
      <c r="E78" s="199" t="s">
        <v>280</v>
      </c>
      <c r="F78" s="47" t="s">
        <v>315</v>
      </c>
      <c r="G78" s="74" t="s">
        <v>310</v>
      </c>
      <c r="H78" s="87">
        <v>45988</v>
      </c>
      <c r="I78" s="209">
        <v>46129</v>
      </c>
      <c r="J78" s="139" t="s">
        <v>316</v>
      </c>
      <c r="K78" s="138" t="s">
        <v>317</v>
      </c>
      <c r="L78" s="140" t="s">
        <v>33</v>
      </c>
      <c r="M78" s="80" t="str">
        <f t="shared" ca="1" si="5"/>
        <v/>
      </c>
      <c r="N78" s="37" t="str">
        <f t="shared" ca="1" si="6"/>
        <v/>
      </c>
      <c r="O78" s="81" t="str">
        <f t="shared" ca="1" si="7"/>
        <v/>
      </c>
      <c r="P78" s="81" t="str">
        <f t="shared" ca="1" si="8"/>
        <v/>
      </c>
      <c r="Q78" s="81" t="str">
        <f t="shared" ca="1" si="9"/>
        <v/>
      </c>
      <c r="R78" s="141" t="s">
        <v>653</v>
      </c>
      <c r="S78" s="88"/>
      <c r="T78" s="153" t="s">
        <v>1536</v>
      </c>
      <c r="U78" s="153">
        <v>77</v>
      </c>
      <c r="V78" s="153"/>
      <c r="W78" s="153"/>
      <c r="X78" s="153"/>
      <c r="Y78" s="136"/>
      <c r="Z78" s="153"/>
      <c r="AA78" s="152"/>
      <c r="AB78" s="8">
        <v>1</v>
      </c>
      <c r="AC78" s="8" t="s">
        <v>1780</v>
      </c>
    </row>
    <row r="79" spans="1:29" ht="80.400000000000006" hidden="1">
      <c r="A79" s="74" t="s">
        <v>180</v>
      </c>
      <c r="B79" s="92" t="s">
        <v>306</v>
      </c>
      <c r="C79" s="45" t="s">
        <v>318</v>
      </c>
      <c r="D79" s="45" t="s">
        <v>319</v>
      </c>
      <c r="E79" s="199" t="s">
        <v>280</v>
      </c>
      <c r="F79" s="47" t="s">
        <v>320</v>
      </c>
      <c r="G79" s="74" t="s">
        <v>310</v>
      </c>
      <c r="H79" s="87">
        <v>45988</v>
      </c>
      <c r="I79" s="209">
        <v>45992</v>
      </c>
      <c r="J79" s="93" t="s">
        <v>321</v>
      </c>
      <c r="K79" s="45" t="s">
        <v>322</v>
      </c>
      <c r="L79" s="37" t="s">
        <v>20</v>
      </c>
      <c r="M79" s="80" t="str">
        <f t="shared" ca="1" si="5"/>
        <v/>
      </c>
      <c r="N79" s="37" t="str">
        <f t="shared" ca="1" si="6"/>
        <v/>
      </c>
      <c r="O79" s="81" t="str">
        <f t="shared" ca="1" si="7"/>
        <v/>
      </c>
      <c r="P79" s="81" t="str">
        <f t="shared" ca="1" si="8"/>
        <v/>
      </c>
      <c r="Q79" s="81" t="str">
        <f t="shared" ca="1" si="9"/>
        <v/>
      </c>
      <c r="R79" s="136"/>
      <c r="S79" s="88"/>
      <c r="T79" s="81"/>
      <c r="U79" s="153">
        <v>78</v>
      </c>
      <c r="V79" s="153"/>
      <c r="W79" s="153"/>
      <c r="X79" s="153"/>
      <c r="Y79" s="136"/>
      <c r="Z79" s="153"/>
      <c r="AA79" s="152"/>
      <c r="AB79" s="8">
        <v>0.25</v>
      </c>
      <c r="AC79"/>
    </row>
    <row r="80" spans="1:29" ht="57.6">
      <c r="A80" s="74" t="s">
        <v>180</v>
      </c>
      <c r="B80" s="92" t="s">
        <v>306</v>
      </c>
      <c r="C80" s="45" t="s">
        <v>318</v>
      </c>
      <c r="D80" s="45"/>
      <c r="E80" s="199"/>
      <c r="F80" s="47" t="s">
        <v>323</v>
      </c>
      <c r="G80" s="74" t="s">
        <v>310</v>
      </c>
      <c r="H80" s="87">
        <v>45988</v>
      </c>
      <c r="I80" s="209">
        <v>46127</v>
      </c>
      <c r="J80" s="139" t="s">
        <v>321</v>
      </c>
      <c r="K80" s="138"/>
      <c r="L80" s="140" t="s">
        <v>33</v>
      </c>
      <c r="M80" s="80" t="str">
        <f t="shared" ca="1" si="5"/>
        <v/>
      </c>
      <c r="N80" s="37" t="str">
        <f t="shared" ca="1" si="6"/>
        <v/>
      </c>
      <c r="O80" s="81" t="str">
        <f t="shared" ca="1" si="7"/>
        <v/>
      </c>
      <c r="P80" s="81" t="str">
        <f t="shared" ca="1" si="8"/>
        <v/>
      </c>
      <c r="Q80" s="81" t="str">
        <f t="shared" ca="1" si="9"/>
        <v/>
      </c>
      <c r="R80" s="141" t="s">
        <v>653</v>
      </c>
      <c r="S80" s="88"/>
      <c r="T80" s="153" t="s">
        <v>1536</v>
      </c>
      <c r="U80" s="153">
        <v>79</v>
      </c>
      <c r="V80" s="153"/>
      <c r="W80" s="153"/>
      <c r="X80" s="153"/>
      <c r="Y80" s="136"/>
      <c r="Z80" s="153"/>
      <c r="AA80" s="152"/>
      <c r="AB80" s="8">
        <v>0.25</v>
      </c>
      <c r="AC80" s="8" t="s">
        <v>1780</v>
      </c>
    </row>
    <row r="81" spans="1:29" ht="91.2" hidden="1">
      <c r="A81" s="74" t="s">
        <v>180</v>
      </c>
      <c r="B81" s="92" t="s">
        <v>306</v>
      </c>
      <c r="C81" s="45" t="s">
        <v>318</v>
      </c>
      <c r="D81" s="45"/>
      <c r="E81" s="199"/>
      <c r="F81" s="47" t="s">
        <v>324</v>
      </c>
      <c r="G81" s="74" t="s">
        <v>17</v>
      </c>
      <c r="H81" s="87">
        <v>45988</v>
      </c>
      <c r="I81" s="209">
        <v>46129</v>
      </c>
      <c r="J81" s="95" t="s">
        <v>316</v>
      </c>
      <c r="K81" s="45" t="s">
        <v>639</v>
      </c>
      <c r="L81" s="37" t="s">
        <v>20</v>
      </c>
      <c r="M81" s="80" t="str">
        <f t="shared" ca="1" si="5"/>
        <v/>
      </c>
      <c r="N81" s="37" t="str">
        <f t="shared" ca="1" si="6"/>
        <v/>
      </c>
      <c r="O81" s="81" t="str">
        <f t="shared" ca="1" si="7"/>
        <v/>
      </c>
      <c r="P81" s="81" t="str">
        <f t="shared" ca="1" si="8"/>
        <v/>
      </c>
      <c r="Q81" s="81" t="str">
        <f t="shared" ca="1" si="9"/>
        <v/>
      </c>
      <c r="R81" s="84" t="s">
        <v>625</v>
      </c>
      <c r="S81" s="88">
        <v>46129</v>
      </c>
      <c r="T81" s="81"/>
      <c r="U81" s="153">
        <v>80</v>
      </c>
      <c r="V81" s="153"/>
      <c r="W81" s="153"/>
      <c r="X81" s="153"/>
      <c r="Y81" s="136"/>
      <c r="Z81" s="153"/>
      <c r="AA81" s="152"/>
      <c r="AB81" s="8">
        <v>0.25</v>
      </c>
      <c r="AC81"/>
    </row>
    <row r="82" spans="1:29" ht="48" hidden="1">
      <c r="A82" s="74" t="s">
        <v>180</v>
      </c>
      <c r="B82" s="92" t="s">
        <v>306</v>
      </c>
      <c r="C82" s="45" t="s">
        <v>318</v>
      </c>
      <c r="D82" s="45"/>
      <c r="E82" s="199"/>
      <c r="F82" s="47" t="s">
        <v>325</v>
      </c>
      <c r="G82" s="74" t="s">
        <v>17</v>
      </c>
      <c r="H82" s="87">
        <v>45988</v>
      </c>
      <c r="I82" s="209">
        <v>45992</v>
      </c>
      <c r="J82" s="93" t="s">
        <v>316</v>
      </c>
      <c r="K82" s="45" t="s">
        <v>326</v>
      </c>
      <c r="L82" s="37" t="s">
        <v>20</v>
      </c>
      <c r="M82" s="80" t="str">
        <f t="shared" ca="1" si="5"/>
        <v/>
      </c>
      <c r="N82" s="37" t="str">
        <f t="shared" ca="1" si="6"/>
        <v/>
      </c>
      <c r="O82" s="81" t="str">
        <f t="shared" ca="1" si="7"/>
        <v/>
      </c>
      <c r="P82" s="81" t="str">
        <f t="shared" ca="1" si="8"/>
        <v/>
      </c>
      <c r="Q82" s="81" t="str">
        <f t="shared" ca="1" si="9"/>
        <v/>
      </c>
      <c r="R82" s="136"/>
      <c r="S82" s="88"/>
      <c r="T82" s="81"/>
      <c r="U82" s="153">
        <v>81</v>
      </c>
      <c r="V82" s="153"/>
      <c r="W82" s="153"/>
      <c r="X82" s="153"/>
      <c r="Y82" s="136"/>
      <c r="Z82" s="153"/>
      <c r="AA82" s="152"/>
      <c r="AB82" s="8">
        <v>0.25</v>
      </c>
      <c r="AC82"/>
    </row>
    <row r="83" spans="1:29" ht="69" hidden="1">
      <c r="A83" s="45" t="s">
        <v>180</v>
      </c>
      <c r="B83" s="101" t="s">
        <v>327</v>
      </c>
      <c r="C83" s="45" t="s">
        <v>328</v>
      </c>
      <c r="D83" s="45" t="s">
        <v>329</v>
      </c>
      <c r="E83" s="199" t="s">
        <v>254</v>
      </c>
      <c r="F83" s="47" t="s">
        <v>330</v>
      </c>
      <c r="G83" s="47" t="s">
        <v>256</v>
      </c>
      <c r="H83" s="87">
        <v>45860</v>
      </c>
      <c r="I83" s="209">
        <v>45884</v>
      </c>
      <c r="J83" s="93" t="s">
        <v>331</v>
      </c>
      <c r="K83" s="45"/>
      <c r="L83" s="37" t="s">
        <v>20</v>
      </c>
      <c r="M83" s="80" t="str">
        <f t="shared" ca="1" si="5"/>
        <v/>
      </c>
      <c r="N83" s="37" t="str">
        <f t="shared" ca="1" si="6"/>
        <v/>
      </c>
      <c r="O83" s="81" t="str">
        <f t="shared" ca="1" si="7"/>
        <v/>
      </c>
      <c r="P83" s="81" t="str">
        <f t="shared" ca="1" si="8"/>
        <v/>
      </c>
      <c r="Q83" s="81" t="str">
        <f t="shared" ca="1" si="9"/>
        <v/>
      </c>
      <c r="R83" s="136"/>
      <c r="S83" s="88"/>
      <c r="T83" s="81"/>
      <c r="U83" s="153">
        <v>82</v>
      </c>
      <c r="V83" s="153"/>
      <c r="W83" s="153"/>
      <c r="X83" s="153"/>
      <c r="Y83" s="136"/>
      <c r="Z83" s="153"/>
      <c r="AA83" s="152"/>
      <c r="AB83" s="8">
        <v>1</v>
      </c>
      <c r="AC83"/>
    </row>
    <row r="84" spans="1:29" ht="148.80000000000001" hidden="1">
      <c r="A84" s="45" t="s">
        <v>180</v>
      </c>
      <c r="B84" s="101" t="s">
        <v>327</v>
      </c>
      <c r="C84" s="45" t="s">
        <v>332</v>
      </c>
      <c r="D84" s="45" t="s">
        <v>333</v>
      </c>
      <c r="E84" s="199" t="s">
        <v>254</v>
      </c>
      <c r="F84" s="47" t="s">
        <v>334</v>
      </c>
      <c r="G84" s="47" t="s">
        <v>256</v>
      </c>
      <c r="H84" s="87">
        <v>45860</v>
      </c>
      <c r="I84" s="209">
        <v>46022</v>
      </c>
      <c r="J84" s="93" t="s">
        <v>335</v>
      </c>
      <c r="K84" s="45" t="s">
        <v>336</v>
      </c>
      <c r="L84" s="37" t="s">
        <v>20</v>
      </c>
      <c r="M84" s="80" t="str">
        <f t="shared" ca="1" si="5"/>
        <v/>
      </c>
      <c r="N84" s="37" t="str">
        <f t="shared" ca="1" si="6"/>
        <v/>
      </c>
      <c r="O84" s="81" t="str">
        <f t="shared" ca="1" si="7"/>
        <v/>
      </c>
      <c r="P84" s="81" t="str">
        <f t="shared" ca="1" si="8"/>
        <v/>
      </c>
      <c r="Q84" s="81" t="str">
        <f t="shared" ca="1" si="9"/>
        <v/>
      </c>
      <c r="R84" s="136"/>
      <c r="S84" s="88"/>
      <c r="T84" s="81"/>
      <c r="U84" s="153">
        <v>83</v>
      </c>
      <c r="V84" s="153"/>
      <c r="W84" s="153"/>
      <c r="X84" s="153"/>
      <c r="Y84" s="136"/>
      <c r="Z84" s="153"/>
      <c r="AA84" s="152"/>
      <c r="AB84" s="8">
        <v>0.5</v>
      </c>
      <c r="AC84"/>
    </row>
    <row r="85" spans="1:29" ht="69" hidden="1">
      <c r="A85" s="45" t="s">
        <v>180</v>
      </c>
      <c r="B85" s="101" t="s">
        <v>327</v>
      </c>
      <c r="C85" s="45" t="s">
        <v>332</v>
      </c>
      <c r="D85" s="45"/>
      <c r="E85" s="199"/>
      <c r="F85" s="47" t="s">
        <v>337</v>
      </c>
      <c r="G85" s="47" t="s">
        <v>256</v>
      </c>
      <c r="H85" s="87">
        <v>45860</v>
      </c>
      <c r="I85" s="209">
        <v>46022</v>
      </c>
      <c r="J85" s="93" t="s">
        <v>335</v>
      </c>
      <c r="K85" s="45" t="s">
        <v>338</v>
      </c>
      <c r="L85" s="37" t="s">
        <v>20</v>
      </c>
      <c r="M85" s="80" t="str">
        <f t="shared" ca="1" si="5"/>
        <v/>
      </c>
      <c r="N85" s="37" t="str">
        <f t="shared" ca="1" si="6"/>
        <v/>
      </c>
      <c r="O85" s="81" t="str">
        <f t="shared" ca="1" si="7"/>
        <v/>
      </c>
      <c r="P85" s="81" t="str">
        <f t="shared" ca="1" si="8"/>
        <v/>
      </c>
      <c r="Q85" s="81" t="str">
        <f t="shared" ca="1" si="9"/>
        <v/>
      </c>
      <c r="R85" s="136"/>
      <c r="S85" s="88"/>
      <c r="T85" s="81"/>
      <c r="U85" s="153">
        <v>84</v>
      </c>
      <c r="V85" s="153"/>
      <c r="W85" s="153"/>
      <c r="X85" s="153"/>
      <c r="Y85" s="136"/>
      <c r="Z85" s="153"/>
      <c r="AA85" s="152"/>
      <c r="AB85" s="8">
        <v>0.5</v>
      </c>
      <c r="AC85"/>
    </row>
    <row r="86" spans="1:29" ht="114.6" hidden="1">
      <c r="A86" s="45" t="s">
        <v>180</v>
      </c>
      <c r="B86" s="101" t="s">
        <v>327</v>
      </c>
      <c r="C86" s="45" t="s">
        <v>339</v>
      </c>
      <c r="D86" s="45" t="s">
        <v>340</v>
      </c>
      <c r="E86" s="76" t="s">
        <v>188</v>
      </c>
      <c r="F86" s="47" t="s">
        <v>341</v>
      </c>
      <c r="G86" s="47" t="s">
        <v>256</v>
      </c>
      <c r="H86" s="87">
        <v>45848</v>
      </c>
      <c r="I86" s="209">
        <v>45915</v>
      </c>
      <c r="J86" s="93" t="s">
        <v>342</v>
      </c>
      <c r="K86" s="45" t="s">
        <v>343</v>
      </c>
      <c r="L86" s="37" t="s">
        <v>20</v>
      </c>
      <c r="M86" s="80" t="str">
        <f t="shared" ca="1" si="5"/>
        <v/>
      </c>
      <c r="N86" s="37" t="str">
        <f t="shared" ca="1" si="6"/>
        <v/>
      </c>
      <c r="O86" s="81" t="str">
        <f t="shared" ca="1" si="7"/>
        <v/>
      </c>
      <c r="P86" s="81" t="str">
        <f t="shared" ca="1" si="8"/>
        <v/>
      </c>
      <c r="Q86" s="81" t="str">
        <f t="shared" ca="1" si="9"/>
        <v/>
      </c>
      <c r="R86" s="136"/>
      <c r="S86" s="88"/>
      <c r="T86" s="81"/>
      <c r="U86" s="153">
        <v>85</v>
      </c>
      <c r="V86" s="153"/>
      <c r="W86" s="153"/>
      <c r="X86" s="153"/>
      <c r="Y86" s="136"/>
      <c r="Z86" s="153"/>
      <c r="AA86" s="152"/>
      <c r="AB86" s="8">
        <v>1</v>
      </c>
      <c r="AC86"/>
    </row>
    <row r="87" spans="1:29" ht="45.6" hidden="1">
      <c r="A87" s="45" t="s">
        <v>180</v>
      </c>
      <c r="B87" s="101" t="s">
        <v>327</v>
      </c>
      <c r="C87" s="45" t="s">
        <v>344</v>
      </c>
      <c r="D87" s="45" t="s">
        <v>345</v>
      </c>
      <c r="E87" s="76" t="s">
        <v>188</v>
      </c>
      <c r="F87" s="47" t="s">
        <v>346</v>
      </c>
      <c r="G87" s="47" t="s">
        <v>256</v>
      </c>
      <c r="H87" s="87">
        <v>45853</v>
      </c>
      <c r="I87" s="209">
        <v>46022</v>
      </c>
      <c r="J87" s="93" t="s">
        <v>347</v>
      </c>
      <c r="K87" s="45" t="s">
        <v>338</v>
      </c>
      <c r="L87" s="37" t="s">
        <v>20</v>
      </c>
      <c r="M87" s="80" t="str">
        <f t="shared" ca="1" si="5"/>
        <v/>
      </c>
      <c r="N87" s="37" t="str">
        <f t="shared" ca="1" si="6"/>
        <v/>
      </c>
      <c r="O87" s="81" t="str">
        <f t="shared" ca="1" si="7"/>
        <v/>
      </c>
      <c r="P87" s="81" t="str">
        <f t="shared" ca="1" si="8"/>
        <v/>
      </c>
      <c r="Q87" s="81" t="str">
        <f t="shared" ca="1" si="9"/>
        <v/>
      </c>
      <c r="R87" s="136"/>
      <c r="S87" s="88"/>
      <c r="T87" s="81"/>
      <c r="U87" s="153">
        <v>86</v>
      </c>
      <c r="V87" s="153"/>
      <c r="W87" s="153"/>
      <c r="X87" s="153"/>
      <c r="Y87" s="136"/>
      <c r="Z87" s="153"/>
      <c r="AA87" s="152"/>
      <c r="AB87" s="8">
        <v>1</v>
      </c>
      <c r="AC87"/>
    </row>
    <row r="88" spans="1:29" ht="137.4" hidden="1">
      <c r="A88" s="45" t="s">
        <v>180</v>
      </c>
      <c r="B88" s="101" t="s">
        <v>327</v>
      </c>
      <c r="C88" s="45" t="s">
        <v>348</v>
      </c>
      <c r="D88" s="45" t="s">
        <v>349</v>
      </c>
      <c r="E88" s="199" t="s">
        <v>280</v>
      </c>
      <c r="F88" s="47" t="s">
        <v>350</v>
      </c>
      <c r="G88" s="47" t="s">
        <v>256</v>
      </c>
      <c r="H88" s="87">
        <v>45860</v>
      </c>
      <c r="I88" s="209">
        <v>45915</v>
      </c>
      <c r="J88" s="93" t="s">
        <v>351</v>
      </c>
      <c r="K88" s="45" t="s">
        <v>352</v>
      </c>
      <c r="L88" s="37" t="s">
        <v>20</v>
      </c>
      <c r="M88" s="80" t="str">
        <f t="shared" ca="1" si="5"/>
        <v/>
      </c>
      <c r="N88" s="37" t="str">
        <f t="shared" ca="1" si="6"/>
        <v/>
      </c>
      <c r="O88" s="81" t="str">
        <f t="shared" ca="1" si="7"/>
        <v/>
      </c>
      <c r="P88" s="81" t="str">
        <f t="shared" ca="1" si="8"/>
        <v/>
      </c>
      <c r="Q88" s="81" t="str">
        <f t="shared" ca="1" si="9"/>
        <v/>
      </c>
      <c r="R88" s="136"/>
      <c r="S88" s="88"/>
      <c r="T88" s="81"/>
      <c r="U88" s="153">
        <v>87</v>
      </c>
      <c r="V88" s="153"/>
      <c r="W88" s="153"/>
      <c r="X88" s="153"/>
      <c r="Y88" s="136"/>
      <c r="Z88" s="153"/>
      <c r="AA88" s="152"/>
      <c r="AB88" s="8">
        <v>1</v>
      </c>
      <c r="AC88"/>
    </row>
    <row r="89" spans="1:29" ht="137.4" hidden="1">
      <c r="A89" s="45" t="s">
        <v>180</v>
      </c>
      <c r="B89" s="101" t="s">
        <v>327</v>
      </c>
      <c r="C89" s="45" t="s">
        <v>353</v>
      </c>
      <c r="D89" s="45" t="s">
        <v>506</v>
      </c>
      <c r="E89" s="199" t="s">
        <v>280</v>
      </c>
      <c r="F89" s="47" t="s">
        <v>354</v>
      </c>
      <c r="G89" s="47" t="s">
        <v>256</v>
      </c>
      <c r="H89" s="87">
        <v>45860</v>
      </c>
      <c r="I89" s="209">
        <v>46022</v>
      </c>
      <c r="J89" s="93" t="s">
        <v>355</v>
      </c>
      <c r="K89" s="45" t="s">
        <v>338</v>
      </c>
      <c r="L89" s="37" t="s">
        <v>20</v>
      </c>
      <c r="M89" s="80" t="str">
        <f t="shared" ca="1" si="5"/>
        <v/>
      </c>
      <c r="N89" s="37" t="str">
        <f t="shared" ca="1" si="6"/>
        <v/>
      </c>
      <c r="O89" s="81" t="str">
        <f t="shared" ca="1" si="7"/>
        <v/>
      </c>
      <c r="P89" s="81" t="str">
        <f t="shared" ca="1" si="8"/>
        <v/>
      </c>
      <c r="Q89" s="81" t="str">
        <f t="shared" ca="1" si="9"/>
        <v/>
      </c>
      <c r="R89" s="136"/>
      <c r="S89" s="88"/>
      <c r="T89" s="81"/>
      <c r="U89" s="153">
        <v>88</v>
      </c>
      <c r="V89" s="153"/>
      <c r="W89" s="153"/>
      <c r="X89" s="153"/>
      <c r="Y89" s="136"/>
      <c r="Z89" s="153"/>
      <c r="AA89" s="152"/>
      <c r="AB89" s="8">
        <v>1</v>
      </c>
      <c r="AC89"/>
    </row>
    <row r="90" spans="1:29" ht="103.2" hidden="1">
      <c r="A90" s="45" t="s">
        <v>180</v>
      </c>
      <c r="B90" s="101" t="s">
        <v>327</v>
      </c>
      <c r="C90" s="45" t="s">
        <v>356</v>
      </c>
      <c r="D90" s="45" t="s">
        <v>357</v>
      </c>
      <c r="E90" s="199" t="s">
        <v>280</v>
      </c>
      <c r="F90" s="47" t="s">
        <v>358</v>
      </c>
      <c r="G90" s="47" t="s">
        <v>256</v>
      </c>
      <c r="H90" s="87">
        <v>45869</v>
      </c>
      <c r="I90" s="209">
        <v>46001</v>
      </c>
      <c r="J90" s="93" t="s">
        <v>359</v>
      </c>
      <c r="K90" s="45"/>
      <c r="L90" s="37" t="s">
        <v>20</v>
      </c>
      <c r="M90" s="80" t="str">
        <f t="shared" ca="1" si="5"/>
        <v/>
      </c>
      <c r="N90" s="37" t="str">
        <f t="shared" ca="1" si="6"/>
        <v/>
      </c>
      <c r="O90" s="81" t="str">
        <f t="shared" ca="1" si="7"/>
        <v/>
      </c>
      <c r="P90" s="81" t="str">
        <f t="shared" ca="1" si="8"/>
        <v/>
      </c>
      <c r="Q90" s="81" t="str">
        <f t="shared" ca="1" si="9"/>
        <v/>
      </c>
      <c r="R90" s="136"/>
      <c r="S90" s="88"/>
      <c r="T90" s="81"/>
      <c r="U90" s="153">
        <v>89</v>
      </c>
      <c r="V90" s="153"/>
      <c r="W90" s="153"/>
      <c r="X90" s="153"/>
      <c r="Y90" s="136"/>
      <c r="Z90" s="153"/>
      <c r="AA90" s="152"/>
      <c r="AB90" s="8">
        <v>1</v>
      </c>
      <c r="AC90"/>
    </row>
    <row r="91" spans="1:29" ht="79.8" hidden="1">
      <c r="A91" s="74" t="s">
        <v>180</v>
      </c>
      <c r="B91" s="92" t="s">
        <v>360</v>
      </c>
      <c r="C91" s="45" t="s">
        <v>361</v>
      </c>
      <c r="D91" s="45" t="s">
        <v>507</v>
      </c>
      <c r="E91" s="199" t="s">
        <v>254</v>
      </c>
      <c r="F91" s="47" t="s">
        <v>362</v>
      </c>
      <c r="G91" s="47" t="s">
        <v>210</v>
      </c>
      <c r="H91" s="87">
        <v>46001</v>
      </c>
      <c r="I91" s="212">
        <v>46063</v>
      </c>
      <c r="J91" s="97" t="s">
        <v>363</v>
      </c>
      <c r="K91" s="45" t="s">
        <v>364</v>
      </c>
      <c r="L91" s="215" t="s">
        <v>20</v>
      </c>
      <c r="M91" s="80" t="str">
        <f t="shared" ca="1" si="5"/>
        <v/>
      </c>
      <c r="N91" s="37" t="str">
        <f t="shared" ca="1" si="6"/>
        <v/>
      </c>
      <c r="O91" s="81" t="str">
        <f t="shared" ca="1" si="7"/>
        <v/>
      </c>
      <c r="P91" s="81" t="str">
        <f t="shared" ca="1" si="8"/>
        <v/>
      </c>
      <c r="Q91" s="81" t="str">
        <f t="shared" ca="1" si="9"/>
        <v/>
      </c>
      <c r="R91" s="136"/>
      <c r="S91" s="217">
        <v>46063</v>
      </c>
      <c r="T91" s="81"/>
      <c r="U91" s="153">
        <v>90</v>
      </c>
      <c r="V91" s="153"/>
      <c r="W91" s="153"/>
      <c r="X91" s="153"/>
      <c r="Y91" s="136"/>
      <c r="Z91" s="153"/>
      <c r="AA91" s="152"/>
      <c r="AB91" s="8">
        <v>1</v>
      </c>
      <c r="AC91"/>
    </row>
    <row r="92" spans="1:29" ht="114" hidden="1">
      <c r="A92" s="74" t="s">
        <v>180</v>
      </c>
      <c r="B92" s="92" t="s">
        <v>360</v>
      </c>
      <c r="C92" s="45" t="s">
        <v>365</v>
      </c>
      <c r="D92" s="45" t="s">
        <v>508</v>
      </c>
      <c r="E92" s="199" t="s">
        <v>188</v>
      </c>
      <c r="F92" s="47" t="s">
        <v>366</v>
      </c>
      <c r="G92" s="47" t="s">
        <v>210</v>
      </c>
      <c r="H92" s="87">
        <v>45989</v>
      </c>
      <c r="I92" s="209">
        <v>46203</v>
      </c>
      <c r="J92" s="99" t="s">
        <v>367</v>
      </c>
      <c r="K92" s="98" t="s">
        <v>368</v>
      </c>
      <c r="L92" s="100" t="s">
        <v>20</v>
      </c>
      <c r="M92" s="80" t="str">
        <f t="shared" ca="1" si="5"/>
        <v/>
      </c>
      <c r="N92" s="37" t="str">
        <f t="shared" ca="1" si="6"/>
        <v/>
      </c>
      <c r="O92" s="81" t="str">
        <f t="shared" ca="1" si="7"/>
        <v/>
      </c>
      <c r="P92" s="81" t="str">
        <f t="shared" ca="1" si="8"/>
        <v/>
      </c>
      <c r="Q92" s="81" t="str">
        <f t="shared" ca="1" si="9"/>
        <v/>
      </c>
      <c r="R92" s="136"/>
      <c r="S92" s="88">
        <v>46081</v>
      </c>
      <c r="T92" s="81"/>
      <c r="U92" s="153">
        <v>91</v>
      </c>
      <c r="V92" s="153"/>
      <c r="W92" s="153"/>
      <c r="X92" s="153"/>
      <c r="Y92" s="136"/>
      <c r="Z92" s="153"/>
      <c r="AA92" s="152"/>
      <c r="AB92" s="8">
        <v>1</v>
      </c>
      <c r="AC92"/>
    </row>
    <row r="93" spans="1:29" ht="144">
      <c r="A93" s="74" t="s">
        <v>180</v>
      </c>
      <c r="B93" s="92" t="s">
        <v>360</v>
      </c>
      <c r="C93" s="45" t="s">
        <v>369</v>
      </c>
      <c r="D93" s="47" t="s">
        <v>509</v>
      </c>
      <c r="E93" s="199" t="s">
        <v>188</v>
      </c>
      <c r="F93" s="47" t="s">
        <v>370</v>
      </c>
      <c r="G93" s="47" t="s">
        <v>371</v>
      </c>
      <c r="H93" s="87">
        <v>45989</v>
      </c>
      <c r="I93" s="209">
        <v>46142</v>
      </c>
      <c r="J93" s="84" t="s">
        <v>372</v>
      </c>
      <c r="K93" s="45" t="s">
        <v>1309</v>
      </c>
      <c r="L93" s="37" t="s">
        <v>33</v>
      </c>
      <c r="M93" s="80" t="str">
        <f t="shared" ca="1" si="5"/>
        <v/>
      </c>
      <c r="N93" s="37" t="str">
        <f t="shared" ca="1" si="6"/>
        <v/>
      </c>
      <c r="O93" s="81" t="str">
        <f t="shared" ca="1" si="7"/>
        <v/>
      </c>
      <c r="P93" s="81" t="str">
        <f t="shared" ca="1" si="8"/>
        <v/>
      </c>
      <c r="Q93" s="81" t="str">
        <f t="shared" ca="1" si="9"/>
        <v/>
      </c>
      <c r="R93" s="84" t="s">
        <v>640</v>
      </c>
      <c r="S93" s="88"/>
      <c r="T93" s="153" t="s">
        <v>1523</v>
      </c>
      <c r="U93" s="153">
        <v>92</v>
      </c>
      <c r="V93" s="153"/>
      <c r="W93" s="153"/>
      <c r="X93" s="153"/>
      <c r="Y93" s="136"/>
      <c r="Z93" s="153"/>
      <c r="AA93" s="152"/>
      <c r="AB93" s="8">
        <v>0.33</v>
      </c>
      <c r="AC93" s="21" t="s">
        <v>1846</v>
      </c>
    </row>
    <row r="94" spans="1:29" ht="144" hidden="1">
      <c r="A94" s="74" t="s">
        <v>180</v>
      </c>
      <c r="B94" s="92" t="s">
        <v>360</v>
      </c>
      <c r="C94" s="45" t="s">
        <v>369</v>
      </c>
      <c r="D94" s="47"/>
      <c r="E94" s="199"/>
      <c r="F94" s="47" t="s">
        <v>373</v>
      </c>
      <c r="G94" s="47" t="s">
        <v>371</v>
      </c>
      <c r="H94" s="87">
        <v>45989</v>
      </c>
      <c r="I94" s="209">
        <v>46142</v>
      </c>
      <c r="J94" s="84" t="s">
        <v>372</v>
      </c>
      <c r="K94" s="45" t="s">
        <v>846</v>
      </c>
      <c r="L94" s="37" t="s">
        <v>20</v>
      </c>
      <c r="M94" s="80" t="str">
        <f t="shared" ca="1" si="5"/>
        <v/>
      </c>
      <c r="N94" s="37" t="str">
        <f t="shared" ca="1" si="6"/>
        <v/>
      </c>
      <c r="O94" s="81" t="str">
        <f t="shared" ca="1" si="7"/>
        <v/>
      </c>
      <c r="P94" s="81" t="str">
        <f t="shared" ca="1" si="8"/>
        <v/>
      </c>
      <c r="Q94" s="81" t="str">
        <f t="shared" ca="1" si="9"/>
        <v/>
      </c>
      <c r="R94" s="84" t="s">
        <v>640</v>
      </c>
      <c r="S94" s="88">
        <v>46178</v>
      </c>
      <c r="T94" s="81"/>
      <c r="U94" s="153">
        <v>93</v>
      </c>
      <c r="V94" s="153"/>
      <c r="W94" s="153"/>
      <c r="X94" s="153"/>
      <c r="Y94" s="136"/>
      <c r="Z94" s="153"/>
      <c r="AA94" s="152"/>
      <c r="AB94" s="8">
        <v>0.33</v>
      </c>
      <c r="AC94"/>
    </row>
    <row r="95" spans="1:29" ht="91.2" hidden="1">
      <c r="A95" s="74" t="s">
        <v>180</v>
      </c>
      <c r="B95" s="92" t="s">
        <v>360</v>
      </c>
      <c r="C95" s="45" t="s">
        <v>369</v>
      </c>
      <c r="D95" s="47"/>
      <c r="E95" s="199"/>
      <c r="F95" s="47" t="s">
        <v>375</v>
      </c>
      <c r="G95" s="47" t="s">
        <v>210</v>
      </c>
      <c r="H95" s="87">
        <v>45989</v>
      </c>
      <c r="I95" s="209">
        <v>46142</v>
      </c>
      <c r="J95" s="97" t="s">
        <v>372</v>
      </c>
      <c r="K95" s="45" t="s">
        <v>376</v>
      </c>
      <c r="L95" s="37" t="s">
        <v>20</v>
      </c>
      <c r="M95" s="80" t="str">
        <f t="shared" ca="1" si="5"/>
        <v/>
      </c>
      <c r="N95" s="37" t="str">
        <f t="shared" ca="1" si="6"/>
        <v/>
      </c>
      <c r="O95" s="81" t="str">
        <f t="shared" ca="1" si="7"/>
        <v/>
      </c>
      <c r="P95" s="81" t="str">
        <f t="shared" ca="1" si="8"/>
        <v/>
      </c>
      <c r="Q95" s="81" t="str">
        <f t="shared" ca="1" si="9"/>
        <v/>
      </c>
      <c r="R95" s="136"/>
      <c r="S95" s="88">
        <v>46142</v>
      </c>
      <c r="T95" s="81"/>
      <c r="U95" s="153">
        <v>94</v>
      </c>
      <c r="V95" s="153"/>
      <c r="W95" s="153"/>
      <c r="X95" s="153"/>
      <c r="Y95" s="136"/>
      <c r="Z95" s="153"/>
      <c r="AA95" s="152"/>
      <c r="AB95" s="8">
        <v>0.34</v>
      </c>
      <c r="AC95"/>
    </row>
    <row r="96" spans="1:29" ht="100.8" hidden="1">
      <c r="A96" s="74" t="s">
        <v>180</v>
      </c>
      <c r="B96" s="92" t="s">
        <v>360</v>
      </c>
      <c r="C96" s="45" t="s">
        <v>377</v>
      </c>
      <c r="D96" s="45" t="s">
        <v>510</v>
      </c>
      <c r="E96" s="199" t="s">
        <v>188</v>
      </c>
      <c r="F96" s="47" t="s">
        <v>378</v>
      </c>
      <c r="G96" s="47" t="s">
        <v>210</v>
      </c>
      <c r="H96" s="87">
        <v>45989</v>
      </c>
      <c r="I96" s="209">
        <v>46127</v>
      </c>
      <c r="J96" s="84" t="s">
        <v>379</v>
      </c>
      <c r="K96" s="45" t="s">
        <v>852</v>
      </c>
      <c r="L96" s="37" t="s">
        <v>20</v>
      </c>
      <c r="M96" s="80" t="str">
        <f t="shared" ca="1" si="5"/>
        <v/>
      </c>
      <c r="N96" s="37" t="str">
        <f t="shared" ca="1" si="6"/>
        <v/>
      </c>
      <c r="O96" s="81" t="str">
        <f t="shared" ca="1" si="7"/>
        <v/>
      </c>
      <c r="P96" s="81" t="str">
        <f t="shared" ca="1" si="8"/>
        <v/>
      </c>
      <c r="Q96" s="81" t="str">
        <f t="shared" ca="1" si="9"/>
        <v/>
      </c>
      <c r="R96" s="84" t="s">
        <v>630</v>
      </c>
      <c r="S96" s="88">
        <v>46178</v>
      </c>
      <c r="T96" s="89"/>
      <c r="U96" s="153">
        <v>95</v>
      </c>
      <c r="V96" s="153"/>
      <c r="W96" s="153"/>
      <c r="X96" s="153"/>
      <c r="Y96" s="136"/>
      <c r="Z96" s="153"/>
      <c r="AA96" s="152"/>
      <c r="AB96" s="8">
        <v>1</v>
      </c>
      <c r="AC96"/>
    </row>
    <row r="97" spans="1:29" ht="100.8" hidden="1">
      <c r="A97" s="74" t="s">
        <v>180</v>
      </c>
      <c r="B97" s="92" t="s">
        <v>360</v>
      </c>
      <c r="C97" s="45" t="s">
        <v>381</v>
      </c>
      <c r="D97" s="45" t="s">
        <v>511</v>
      </c>
      <c r="E97" s="199" t="s">
        <v>188</v>
      </c>
      <c r="F97" s="47" t="s">
        <v>382</v>
      </c>
      <c r="G97" s="47" t="s">
        <v>210</v>
      </c>
      <c r="H97" s="87">
        <v>45989</v>
      </c>
      <c r="I97" s="209">
        <v>46053</v>
      </c>
      <c r="J97" s="84" t="s">
        <v>383</v>
      </c>
      <c r="K97" s="45" t="s">
        <v>825</v>
      </c>
      <c r="L97" s="219" t="s">
        <v>20</v>
      </c>
      <c r="M97" s="80" t="str">
        <f t="shared" ca="1" si="5"/>
        <v/>
      </c>
      <c r="N97" s="37" t="str">
        <f t="shared" ca="1" si="6"/>
        <v/>
      </c>
      <c r="O97" s="81" t="str">
        <f t="shared" ca="1" si="7"/>
        <v/>
      </c>
      <c r="P97" s="81" t="str">
        <f t="shared" ca="1" si="8"/>
        <v/>
      </c>
      <c r="Q97" s="81" t="str">
        <f t="shared" ca="1" si="9"/>
        <v/>
      </c>
      <c r="R97" s="84" t="s">
        <v>630</v>
      </c>
      <c r="S97" s="221">
        <v>46178</v>
      </c>
      <c r="T97" s="81"/>
      <c r="U97" s="153">
        <v>96</v>
      </c>
      <c r="V97" s="153"/>
      <c r="W97" s="153"/>
      <c r="X97" s="153"/>
      <c r="Y97" s="136"/>
      <c r="Z97" s="153"/>
      <c r="AA97" s="152"/>
      <c r="AB97" s="8">
        <v>1</v>
      </c>
      <c r="AC97"/>
    </row>
    <row r="98" spans="1:29" ht="114" hidden="1">
      <c r="A98" s="74" t="s">
        <v>180</v>
      </c>
      <c r="B98" s="92" t="s">
        <v>360</v>
      </c>
      <c r="C98" s="45" t="s">
        <v>385</v>
      </c>
      <c r="D98" s="45" t="s">
        <v>512</v>
      </c>
      <c r="E98" s="199" t="s">
        <v>188</v>
      </c>
      <c r="F98" s="47" t="s">
        <v>386</v>
      </c>
      <c r="G98" s="47" t="s">
        <v>210</v>
      </c>
      <c r="H98" s="87">
        <v>45989</v>
      </c>
      <c r="I98" s="209">
        <v>46006</v>
      </c>
      <c r="J98" s="97" t="s">
        <v>387</v>
      </c>
      <c r="K98" s="45" t="s">
        <v>388</v>
      </c>
      <c r="L98" s="37" t="s">
        <v>20</v>
      </c>
      <c r="M98" s="80" t="str">
        <f t="shared" ca="1" si="5"/>
        <v/>
      </c>
      <c r="N98" s="37" t="str">
        <f t="shared" ca="1" si="6"/>
        <v/>
      </c>
      <c r="O98" s="81" t="str">
        <f t="shared" ca="1" si="7"/>
        <v/>
      </c>
      <c r="P98" s="81" t="str">
        <f t="shared" ca="1" si="8"/>
        <v/>
      </c>
      <c r="Q98" s="81" t="str">
        <f t="shared" ca="1" si="9"/>
        <v/>
      </c>
      <c r="R98" s="136"/>
      <c r="S98" s="88"/>
      <c r="T98" s="81"/>
      <c r="U98" s="153">
        <v>97</v>
      </c>
      <c r="V98" s="153"/>
      <c r="W98" s="153"/>
      <c r="X98" s="153"/>
      <c r="Y98" s="136"/>
      <c r="Z98" s="153"/>
      <c r="AA98" s="152"/>
      <c r="AB98" s="8">
        <v>1</v>
      </c>
      <c r="AC98"/>
    </row>
    <row r="99" spans="1:29" ht="34.799999999999997" hidden="1">
      <c r="A99" s="74" t="s">
        <v>180</v>
      </c>
      <c r="B99" s="92" t="s">
        <v>360</v>
      </c>
      <c r="C99" s="45" t="s">
        <v>389</v>
      </c>
      <c r="D99" s="45" t="s">
        <v>513</v>
      </c>
      <c r="E99" s="199" t="s">
        <v>280</v>
      </c>
      <c r="F99" s="47" t="s">
        <v>390</v>
      </c>
      <c r="G99" s="47" t="s">
        <v>210</v>
      </c>
      <c r="H99" s="87">
        <v>45989</v>
      </c>
      <c r="I99" s="209">
        <v>45992</v>
      </c>
      <c r="J99" s="97" t="s">
        <v>391</v>
      </c>
      <c r="K99" s="45" t="s">
        <v>392</v>
      </c>
      <c r="L99" s="37" t="s">
        <v>20</v>
      </c>
      <c r="M99" s="80" t="str">
        <f t="shared" ca="1" si="5"/>
        <v/>
      </c>
      <c r="N99" s="37" t="str">
        <f t="shared" ca="1" si="6"/>
        <v/>
      </c>
      <c r="O99" s="81" t="str">
        <f t="shared" ca="1" si="7"/>
        <v/>
      </c>
      <c r="P99" s="81" t="str">
        <f t="shared" ca="1" si="8"/>
        <v/>
      </c>
      <c r="Q99" s="81" t="str">
        <f t="shared" ca="1" si="9"/>
        <v/>
      </c>
      <c r="R99" s="136"/>
      <c r="S99" s="88"/>
      <c r="T99" s="81"/>
      <c r="U99" s="153">
        <v>98</v>
      </c>
      <c r="V99" s="153"/>
      <c r="W99" s="153"/>
      <c r="X99" s="153"/>
      <c r="Y99" s="136"/>
      <c r="Z99" s="153"/>
      <c r="AA99" s="152"/>
      <c r="AB99" s="8">
        <v>1</v>
      </c>
      <c r="AC99"/>
    </row>
    <row r="100" spans="1:29" ht="100.8" hidden="1">
      <c r="A100" s="74" t="s">
        <v>180</v>
      </c>
      <c r="B100" s="92" t="s">
        <v>360</v>
      </c>
      <c r="C100" s="45" t="s">
        <v>393</v>
      </c>
      <c r="D100" s="45" t="s">
        <v>514</v>
      </c>
      <c r="E100" s="199" t="s">
        <v>280</v>
      </c>
      <c r="F100" s="47" t="s">
        <v>394</v>
      </c>
      <c r="G100" s="47" t="s">
        <v>210</v>
      </c>
      <c r="H100" s="87">
        <v>45989</v>
      </c>
      <c r="I100" s="209">
        <v>46053</v>
      </c>
      <c r="J100" s="97" t="s">
        <v>395</v>
      </c>
      <c r="K100" s="45" t="s">
        <v>830</v>
      </c>
      <c r="L100" s="219" t="s">
        <v>20</v>
      </c>
      <c r="M100" s="80" t="str">
        <f t="shared" ca="1" si="5"/>
        <v/>
      </c>
      <c r="N100" s="37" t="str">
        <f t="shared" ca="1" si="6"/>
        <v/>
      </c>
      <c r="O100" s="81" t="str">
        <f t="shared" ca="1" si="7"/>
        <v/>
      </c>
      <c r="P100" s="81" t="str">
        <f t="shared" ca="1" si="8"/>
        <v/>
      </c>
      <c r="Q100" s="81" t="str">
        <f t="shared" ca="1" si="9"/>
        <v/>
      </c>
      <c r="R100" s="84" t="s">
        <v>630</v>
      </c>
      <c r="S100" s="221">
        <v>46178</v>
      </c>
      <c r="T100" s="81"/>
      <c r="U100" s="153">
        <v>99</v>
      </c>
      <c r="V100" s="153"/>
      <c r="W100" s="153"/>
      <c r="X100" s="153"/>
      <c r="Y100" s="136"/>
      <c r="Z100" s="153"/>
      <c r="AA100" s="152"/>
      <c r="AB100" s="8">
        <v>1</v>
      </c>
      <c r="AC100"/>
    </row>
    <row r="101" spans="1:29" ht="100.8" hidden="1">
      <c r="A101" s="74" t="s">
        <v>180</v>
      </c>
      <c r="B101" s="92" t="s">
        <v>360</v>
      </c>
      <c r="C101" s="45" t="s">
        <v>397</v>
      </c>
      <c r="D101" s="45" t="s">
        <v>515</v>
      </c>
      <c r="E101" s="199" t="s">
        <v>280</v>
      </c>
      <c r="F101" s="47" t="s">
        <v>394</v>
      </c>
      <c r="G101" s="47" t="s">
        <v>210</v>
      </c>
      <c r="H101" s="87">
        <v>45989</v>
      </c>
      <c r="I101" s="209">
        <v>46053</v>
      </c>
      <c r="J101" s="97" t="s">
        <v>398</v>
      </c>
      <c r="K101" s="45" t="s">
        <v>830</v>
      </c>
      <c r="L101" s="219" t="s">
        <v>20</v>
      </c>
      <c r="M101" s="80" t="str">
        <f t="shared" ca="1" si="5"/>
        <v/>
      </c>
      <c r="N101" s="37" t="str">
        <f t="shared" ca="1" si="6"/>
        <v/>
      </c>
      <c r="O101" s="81" t="str">
        <f t="shared" ca="1" si="7"/>
        <v/>
      </c>
      <c r="P101" s="81" t="str">
        <f t="shared" ca="1" si="8"/>
        <v/>
      </c>
      <c r="Q101" s="81" t="str">
        <f t="shared" ca="1" si="9"/>
        <v/>
      </c>
      <c r="R101" s="84" t="s">
        <v>630</v>
      </c>
      <c r="S101" s="221">
        <v>46178</v>
      </c>
      <c r="T101" s="81"/>
      <c r="U101" s="153">
        <v>100</v>
      </c>
      <c r="V101" s="153"/>
      <c r="W101" s="153"/>
      <c r="X101" s="153"/>
      <c r="Y101" s="136"/>
      <c r="Z101" s="153"/>
      <c r="AA101" s="152"/>
      <c r="AB101" s="8">
        <v>1</v>
      </c>
      <c r="AC101"/>
    </row>
    <row r="102" spans="1:29" ht="72" hidden="1">
      <c r="A102" s="74" t="s">
        <v>180</v>
      </c>
      <c r="B102" s="92" t="s">
        <v>399</v>
      </c>
      <c r="C102" s="45" t="s">
        <v>400</v>
      </c>
      <c r="D102" s="45" t="s">
        <v>516</v>
      </c>
      <c r="E102" s="199" t="s">
        <v>188</v>
      </c>
      <c r="F102" s="47" t="s">
        <v>401</v>
      </c>
      <c r="G102" s="47" t="s">
        <v>179</v>
      </c>
      <c r="H102" s="87">
        <v>46020</v>
      </c>
      <c r="I102" s="209">
        <v>46173</v>
      </c>
      <c r="J102" s="84" t="s">
        <v>402</v>
      </c>
      <c r="K102" s="45" t="s">
        <v>867</v>
      </c>
      <c r="L102" s="37" t="s">
        <v>20</v>
      </c>
      <c r="M102" s="80" t="str">
        <f t="shared" ca="1" si="5"/>
        <v/>
      </c>
      <c r="N102" s="37" t="str">
        <f t="shared" ca="1" si="6"/>
        <v/>
      </c>
      <c r="O102" s="81" t="str">
        <f t="shared" ca="1" si="7"/>
        <v/>
      </c>
      <c r="P102" s="81" t="str">
        <f t="shared" ca="1" si="8"/>
        <v/>
      </c>
      <c r="Q102" s="81" t="str">
        <f t="shared" ca="1" si="9"/>
        <v/>
      </c>
      <c r="R102" s="84" t="s">
        <v>644</v>
      </c>
      <c r="S102" s="88">
        <v>46178</v>
      </c>
      <c r="T102" s="81"/>
      <c r="U102" s="153">
        <v>101</v>
      </c>
      <c r="V102" s="153"/>
      <c r="W102" s="153"/>
      <c r="X102" s="153"/>
      <c r="Y102" s="136"/>
      <c r="Z102" s="153"/>
      <c r="AA102" s="152"/>
      <c r="AB102" s="8">
        <v>1</v>
      </c>
      <c r="AC102"/>
    </row>
    <row r="103" spans="1:29" ht="100.8" hidden="1">
      <c r="A103" s="74" t="s">
        <v>180</v>
      </c>
      <c r="B103" s="92" t="s">
        <v>399</v>
      </c>
      <c r="C103" s="45" t="s">
        <v>403</v>
      </c>
      <c r="D103" s="45" t="s">
        <v>517</v>
      </c>
      <c r="E103" s="199" t="s">
        <v>188</v>
      </c>
      <c r="F103" s="47" t="s">
        <v>404</v>
      </c>
      <c r="G103" s="47" t="s">
        <v>269</v>
      </c>
      <c r="H103" s="87">
        <v>46020</v>
      </c>
      <c r="I103" s="209">
        <v>46115</v>
      </c>
      <c r="J103" s="141" t="s">
        <v>405</v>
      </c>
      <c r="K103" s="138" t="s">
        <v>873</v>
      </c>
      <c r="L103" s="140" t="s">
        <v>20</v>
      </c>
      <c r="M103" s="80" t="str">
        <f t="shared" ca="1" si="5"/>
        <v/>
      </c>
      <c r="N103" s="37" t="str">
        <f t="shared" ca="1" si="6"/>
        <v/>
      </c>
      <c r="O103" s="81" t="str">
        <f t="shared" ca="1" si="7"/>
        <v/>
      </c>
      <c r="P103" s="81" t="str">
        <f t="shared" ca="1" si="8"/>
        <v/>
      </c>
      <c r="Q103" s="81" t="str">
        <f t="shared" ca="1" si="9"/>
        <v/>
      </c>
      <c r="R103" s="141" t="s">
        <v>635</v>
      </c>
      <c r="S103" s="88">
        <v>46178</v>
      </c>
      <c r="T103" s="89"/>
      <c r="U103" s="153">
        <v>102</v>
      </c>
      <c r="V103" s="153"/>
      <c r="W103" s="153"/>
      <c r="X103" s="153"/>
      <c r="Y103" s="136"/>
      <c r="Z103" s="153"/>
      <c r="AA103" s="152"/>
      <c r="AB103" s="8">
        <v>0.5</v>
      </c>
      <c r="AC103"/>
    </row>
    <row r="104" spans="1:29" ht="72">
      <c r="A104" s="74" t="s">
        <v>180</v>
      </c>
      <c r="B104" s="92" t="s">
        <v>399</v>
      </c>
      <c r="C104" s="45" t="s">
        <v>403</v>
      </c>
      <c r="D104" s="45"/>
      <c r="E104" s="199"/>
      <c r="F104" s="47" t="s">
        <v>406</v>
      </c>
      <c r="G104" s="47" t="s">
        <v>179</v>
      </c>
      <c r="H104" s="87">
        <v>46020</v>
      </c>
      <c r="I104" s="209">
        <v>46387</v>
      </c>
      <c r="J104" s="84" t="s">
        <v>407</v>
      </c>
      <c r="K104" s="106"/>
      <c r="L104" s="37" t="s">
        <v>201</v>
      </c>
      <c r="M104" s="80">
        <f t="shared" ca="1" si="5"/>
        <v>105</v>
      </c>
      <c r="N104" s="37" t="str">
        <f t="shared" ca="1" si="6"/>
        <v/>
      </c>
      <c r="O104" s="81" t="str">
        <f t="shared" ca="1" si="7"/>
        <v/>
      </c>
      <c r="P104" s="81" t="str">
        <f t="shared" ca="1" si="8"/>
        <v/>
      </c>
      <c r="Q104" s="81" t="str">
        <f t="shared" ca="1" si="9"/>
        <v/>
      </c>
      <c r="R104" s="84" t="s">
        <v>644</v>
      </c>
      <c r="S104" s="88"/>
      <c r="T104" s="153" t="s">
        <v>1523</v>
      </c>
      <c r="U104" s="153">
        <v>103</v>
      </c>
      <c r="V104" s="153"/>
      <c r="W104" s="153"/>
      <c r="X104" s="153"/>
      <c r="Y104" s="136"/>
      <c r="Z104" s="88"/>
      <c r="AA104" s="152"/>
      <c r="AB104" s="8">
        <v>0.5</v>
      </c>
      <c r="AC104" s="8" t="s">
        <v>1785</v>
      </c>
    </row>
    <row r="105" spans="1:29" ht="79.8">
      <c r="A105" s="74" t="s">
        <v>180</v>
      </c>
      <c r="B105" s="92" t="s">
        <v>399</v>
      </c>
      <c r="C105" s="45" t="s">
        <v>409</v>
      </c>
      <c r="D105" s="45" t="s">
        <v>518</v>
      </c>
      <c r="E105" s="199" t="s">
        <v>188</v>
      </c>
      <c r="F105" s="47" t="s">
        <v>410</v>
      </c>
      <c r="G105" s="47" t="s">
        <v>179</v>
      </c>
      <c r="H105" s="87">
        <v>46020</v>
      </c>
      <c r="I105" s="209">
        <v>46295</v>
      </c>
      <c r="J105" s="97" t="s">
        <v>407</v>
      </c>
      <c r="K105" s="181" t="s">
        <v>1334</v>
      </c>
      <c r="L105" s="37" t="s">
        <v>201</v>
      </c>
      <c r="M105" s="80">
        <f t="shared" ca="1" si="5"/>
        <v>13</v>
      </c>
      <c r="N105" s="37" t="str">
        <f t="shared" ca="1" si="6"/>
        <v/>
      </c>
      <c r="O105" s="81" t="str">
        <f t="shared" ca="1" si="7"/>
        <v>⏳ URGENTE (20d)</v>
      </c>
      <c r="P105" s="81" t="str">
        <f t="shared" ca="1" si="8"/>
        <v/>
      </c>
      <c r="Q105" s="81" t="str">
        <f t="shared" ca="1" si="9"/>
        <v/>
      </c>
      <c r="R105" s="84" t="s">
        <v>644</v>
      </c>
      <c r="S105" s="88"/>
      <c r="T105" s="153" t="s">
        <v>1523</v>
      </c>
      <c r="U105" s="153">
        <v>104</v>
      </c>
      <c r="V105" s="187">
        <v>20265000026423</v>
      </c>
      <c r="W105" s="88">
        <v>46233</v>
      </c>
      <c r="X105" s="153" t="s">
        <v>589</v>
      </c>
      <c r="Y105" s="83" t="s">
        <v>1351</v>
      </c>
      <c r="Z105" s="153" t="s">
        <v>1353</v>
      </c>
      <c r="AA105" s="188" t="s">
        <v>1355</v>
      </c>
      <c r="AB105" s="8">
        <v>0.5</v>
      </c>
      <c r="AC105" s="8" t="s">
        <v>1785</v>
      </c>
    </row>
    <row r="106" spans="1:29" ht="72" hidden="1">
      <c r="A106" s="74" t="s">
        <v>180</v>
      </c>
      <c r="B106" s="92" t="s">
        <v>399</v>
      </c>
      <c r="C106" s="45" t="s">
        <v>409</v>
      </c>
      <c r="D106" s="45"/>
      <c r="E106" s="199"/>
      <c r="F106" s="107"/>
      <c r="G106" s="47" t="s">
        <v>118</v>
      </c>
      <c r="H106" s="87"/>
      <c r="I106" s="209"/>
      <c r="J106" s="97"/>
      <c r="K106" s="106" t="s">
        <v>168</v>
      </c>
      <c r="L106" s="37" t="s">
        <v>171</v>
      </c>
      <c r="M106" s="80" t="str">
        <f t="shared" ca="1" si="5"/>
        <v/>
      </c>
      <c r="N106" s="37" t="str">
        <f t="shared" ca="1" si="6"/>
        <v/>
      </c>
      <c r="O106" s="81" t="str">
        <f t="shared" ca="1" si="7"/>
        <v/>
      </c>
      <c r="P106" s="81" t="str">
        <f t="shared" ca="1" si="8"/>
        <v/>
      </c>
      <c r="Q106" s="81" t="str">
        <f t="shared" ca="1" si="9"/>
        <v/>
      </c>
      <c r="R106" s="83" t="s">
        <v>647</v>
      </c>
      <c r="S106" s="88"/>
      <c r="T106" s="153" t="s">
        <v>1523</v>
      </c>
      <c r="U106" s="153">
        <v>105</v>
      </c>
      <c r="V106" s="153"/>
      <c r="W106" s="153"/>
      <c r="X106" s="153"/>
      <c r="Y106" s="136"/>
      <c r="Z106" s="153"/>
      <c r="AA106" s="152"/>
      <c r="AB106" s="8">
        <v>0.5</v>
      </c>
      <c r="AC106" s="8" t="s">
        <v>1775</v>
      </c>
    </row>
    <row r="107" spans="1:29" ht="201.6">
      <c r="A107" s="74" t="s">
        <v>180</v>
      </c>
      <c r="B107" s="92" t="s">
        <v>399</v>
      </c>
      <c r="C107" s="45" t="s">
        <v>411</v>
      </c>
      <c r="D107" s="45" t="s">
        <v>519</v>
      </c>
      <c r="E107" s="199" t="s">
        <v>188</v>
      </c>
      <c r="F107" s="47" t="s">
        <v>412</v>
      </c>
      <c r="G107" s="47" t="s">
        <v>413</v>
      </c>
      <c r="H107" s="87">
        <v>46020</v>
      </c>
      <c r="I107" s="209">
        <v>46295</v>
      </c>
      <c r="J107" s="84" t="s">
        <v>414</v>
      </c>
      <c r="K107" s="144" t="s">
        <v>1334</v>
      </c>
      <c r="L107" s="37" t="s">
        <v>201</v>
      </c>
      <c r="M107" s="80">
        <f t="shared" ca="1" si="5"/>
        <v>13</v>
      </c>
      <c r="N107" s="37" t="str">
        <f t="shared" ca="1" si="6"/>
        <v/>
      </c>
      <c r="O107" s="81" t="str">
        <f t="shared" ca="1" si="7"/>
        <v>⏳ URGENTE (20d)</v>
      </c>
      <c r="P107" s="81" t="str">
        <f t="shared" ca="1" si="8"/>
        <v/>
      </c>
      <c r="Q107" s="81" t="str">
        <f t="shared" ca="1" si="9"/>
        <v/>
      </c>
      <c r="R107" s="84" t="s">
        <v>648</v>
      </c>
      <c r="S107" s="88"/>
      <c r="T107" s="153" t="s">
        <v>1523</v>
      </c>
      <c r="U107" s="153">
        <v>106</v>
      </c>
      <c r="V107" s="187">
        <v>20265000026423</v>
      </c>
      <c r="W107" s="88">
        <v>46233</v>
      </c>
      <c r="X107" s="153" t="s">
        <v>589</v>
      </c>
      <c r="Y107" s="83" t="s">
        <v>1351</v>
      </c>
      <c r="Z107" s="153" t="s">
        <v>1353</v>
      </c>
      <c r="AA107" s="188" t="s">
        <v>1355</v>
      </c>
      <c r="AB107" s="8">
        <v>0.5</v>
      </c>
      <c r="AC107" s="8" t="s">
        <v>1785</v>
      </c>
    </row>
    <row r="108" spans="1:29" ht="79.8">
      <c r="A108" s="74" t="s">
        <v>180</v>
      </c>
      <c r="B108" s="92" t="s">
        <v>399</v>
      </c>
      <c r="C108" s="45" t="s">
        <v>411</v>
      </c>
      <c r="D108" s="45"/>
      <c r="E108" s="199"/>
      <c r="F108" s="47" t="s">
        <v>415</v>
      </c>
      <c r="G108" s="47" t="s">
        <v>179</v>
      </c>
      <c r="H108" s="87">
        <v>46020</v>
      </c>
      <c r="I108" s="209">
        <v>46295</v>
      </c>
      <c r="J108" s="84" t="s">
        <v>414</v>
      </c>
      <c r="K108" s="144" t="s">
        <v>1334</v>
      </c>
      <c r="L108" s="37" t="s">
        <v>201</v>
      </c>
      <c r="M108" s="80">
        <f t="shared" ca="1" si="5"/>
        <v>13</v>
      </c>
      <c r="N108" s="37" t="str">
        <f t="shared" ca="1" si="6"/>
        <v/>
      </c>
      <c r="O108" s="81" t="str">
        <f t="shared" ca="1" si="7"/>
        <v>⏳ URGENTE (20d)</v>
      </c>
      <c r="P108" s="81" t="str">
        <f t="shared" ca="1" si="8"/>
        <v/>
      </c>
      <c r="Q108" s="81" t="str">
        <f t="shared" ca="1" si="9"/>
        <v/>
      </c>
      <c r="R108" s="84" t="s">
        <v>644</v>
      </c>
      <c r="S108" s="88"/>
      <c r="T108" s="153" t="s">
        <v>1523</v>
      </c>
      <c r="U108" s="153">
        <v>107</v>
      </c>
      <c r="V108" s="187">
        <v>20265000026423</v>
      </c>
      <c r="W108" s="88">
        <v>46233</v>
      </c>
      <c r="X108" s="153" t="s">
        <v>589</v>
      </c>
      <c r="Y108" s="83" t="s">
        <v>1351</v>
      </c>
      <c r="Z108" s="153" t="s">
        <v>1353</v>
      </c>
      <c r="AA108" s="188" t="s">
        <v>1355</v>
      </c>
      <c r="AB108" s="8">
        <v>0.5</v>
      </c>
      <c r="AC108" s="8" t="s">
        <v>1785</v>
      </c>
    </row>
    <row r="109" spans="1:29" ht="72" hidden="1">
      <c r="A109" s="74" t="s">
        <v>180</v>
      </c>
      <c r="B109" s="92" t="s">
        <v>399</v>
      </c>
      <c r="C109" s="45" t="s">
        <v>416</v>
      </c>
      <c r="D109" s="45" t="s">
        <v>520</v>
      </c>
      <c r="E109" s="199" t="s">
        <v>280</v>
      </c>
      <c r="F109" s="47" t="s">
        <v>417</v>
      </c>
      <c r="G109" s="47" t="s">
        <v>179</v>
      </c>
      <c r="H109" s="87">
        <v>46020</v>
      </c>
      <c r="I109" s="209">
        <v>46173</v>
      </c>
      <c r="J109" s="97" t="s">
        <v>418</v>
      </c>
      <c r="K109" s="45" t="s">
        <v>869</v>
      </c>
      <c r="L109" s="37" t="s">
        <v>20</v>
      </c>
      <c r="M109" s="80" t="str">
        <f t="shared" ca="1" si="5"/>
        <v/>
      </c>
      <c r="N109" s="37" t="str">
        <f t="shared" ca="1" si="6"/>
        <v/>
      </c>
      <c r="O109" s="81" t="str">
        <f t="shared" ca="1" si="7"/>
        <v/>
      </c>
      <c r="P109" s="81" t="str">
        <f t="shared" ca="1" si="8"/>
        <v/>
      </c>
      <c r="Q109" s="81" t="str">
        <f t="shared" ca="1" si="9"/>
        <v/>
      </c>
      <c r="R109" s="84" t="s">
        <v>644</v>
      </c>
      <c r="S109" s="88">
        <v>46178</v>
      </c>
      <c r="T109" s="81"/>
      <c r="U109" s="153">
        <v>108</v>
      </c>
      <c r="V109" s="153"/>
      <c r="W109" s="153"/>
      <c r="X109" s="153"/>
      <c r="Y109" s="136"/>
      <c r="Z109" s="153"/>
      <c r="AA109" s="152"/>
      <c r="AB109" s="8">
        <v>1</v>
      </c>
      <c r="AC109"/>
    </row>
    <row r="110" spans="1:29" ht="72">
      <c r="A110" s="74" t="s">
        <v>180</v>
      </c>
      <c r="B110" s="92" t="s">
        <v>419</v>
      </c>
      <c r="C110" s="45" t="s">
        <v>420</v>
      </c>
      <c r="D110" s="45" t="s">
        <v>421</v>
      </c>
      <c r="E110" s="199" t="s">
        <v>188</v>
      </c>
      <c r="F110" s="47" t="s">
        <v>422</v>
      </c>
      <c r="G110" s="47" t="s">
        <v>17</v>
      </c>
      <c r="H110" s="87">
        <v>45992</v>
      </c>
      <c r="I110" s="209">
        <v>46218</v>
      </c>
      <c r="J110" s="119" t="s">
        <v>423</v>
      </c>
      <c r="K110" s="108"/>
      <c r="L110" s="37" t="s">
        <v>33</v>
      </c>
      <c r="M110" s="80" t="str">
        <f t="shared" ca="1" si="5"/>
        <v/>
      </c>
      <c r="N110" s="37" t="str">
        <f t="shared" ca="1" si="6"/>
        <v/>
      </c>
      <c r="O110" s="81" t="str">
        <f t="shared" ca="1" si="7"/>
        <v/>
      </c>
      <c r="P110" s="81" t="str">
        <f t="shared" ca="1" si="8"/>
        <v/>
      </c>
      <c r="Q110" s="81" t="str">
        <f t="shared" ca="1" si="9"/>
        <v/>
      </c>
      <c r="R110" s="117" t="s">
        <v>641</v>
      </c>
      <c r="S110" s="205"/>
      <c r="T110" s="153" t="s">
        <v>1537</v>
      </c>
      <c r="U110" s="153">
        <v>109</v>
      </c>
      <c r="V110" s="153"/>
      <c r="W110" s="153"/>
      <c r="X110" s="153"/>
      <c r="Y110" s="136"/>
      <c r="Z110" s="153"/>
      <c r="AA110" s="152"/>
      <c r="AB110" s="8">
        <v>0.16</v>
      </c>
      <c r="AC110" s="8" t="s">
        <v>1783</v>
      </c>
    </row>
    <row r="111" spans="1:29" ht="72">
      <c r="A111" s="74" t="s">
        <v>180</v>
      </c>
      <c r="B111" s="92" t="s">
        <v>419</v>
      </c>
      <c r="C111" s="45" t="s">
        <v>420</v>
      </c>
      <c r="D111" s="108"/>
      <c r="E111" s="199"/>
      <c r="F111" s="47" t="s">
        <v>424</v>
      </c>
      <c r="G111" s="47" t="s">
        <v>17</v>
      </c>
      <c r="H111" s="87">
        <v>45992</v>
      </c>
      <c r="I111" s="209">
        <v>46218</v>
      </c>
      <c r="J111" s="119" t="s">
        <v>423</v>
      </c>
      <c r="K111" s="108"/>
      <c r="L111" s="37" t="s">
        <v>33</v>
      </c>
      <c r="M111" s="80" t="str">
        <f t="shared" ca="1" si="5"/>
        <v/>
      </c>
      <c r="N111" s="37" t="str">
        <f t="shared" ca="1" si="6"/>
        <v/>
      </c>
      <c r="O111" s="81" t="str">
        <f t="shared" ca="1" si="7"/>
        <v/>
      </c>
      <c r="P111" s="81" t="str">
        <f t="shared" ca="1" si="8"/>
        <v/>
      </c>
      <c r="Q111" s="81" t="str">
        <f t="shared" ca="1" si="9"/>
        <v/>
      </c>
      <c r="R111" s="117" t="s">
        <v>641</v>
      </c>
      <c r="S111" s="205"/>
      <c r="T111" s="153" t="s">
        <v>1537</v>
      </c>
      <c r="U111" s="153">
        <v>110</v>
      </c>
      <c r="V111" s="153"/>
      <c r="W111" s="153"/>
      <c r="X111" s="153"/>
      <c r="Y111" s="136"/>
      <c r="Z111" s="153"/>
      <c r="AA111" s="152"/>
      <c r="AB111" s="8">
        <v>0.16</v>
      </c>
      <c r="AC111" s="8" t="s">
        <v>1783</v>
      </c>
    </row>
    <row r="112" spans="1:29" ht="72">
      <c r="A112" s="74" t="s">
        <v>180</v>
      </c>
      <c r="B112" s="92" t="s">
        <v>419</v>
      </c>
      <c r="C112" s="45" t="s">
        <v>420</v>
      </c>
      <c r="D112" s="108"/>
      <c r="E112" s="199"/>
      <c r="F112" s="47" t="s">
        <v>425</v>
      </c>
      <c r="G112" s="47" t="s">
        <v>17</v>
      </c>
      <c r="H112" s="87">
        <v>45992</v>
      </c>
      <c r="I112" s="209">
        <v>46218</v>
      </c>
      <c r="J112" s="119" t="s">
        <v>423</v>
      </c>
      <c r="K112" s="108"/>
      <c r="L112" s="37" t="s">
        <v>33</v>
      </c>
      <c r="M112" s="80" t="str">
        <f t="shared" ca="1" si="5"/>
        <v/>
      </c>
      <c r="N112" s="37" t="str">
        <f t="shared" ca="1" si="6"/>
        <v/>
      </c>
      <c r="O112" s="81" t="str">
        <f t="shared" ca="1" si="7"/>
        <v/>
      </c>
      <c r="P112" s="81" t="str">
        <f t="shared" ca="1" si="8"/>
        <v/>
      </c>
      <c r="Q112" s="81" t="str">
        <f t="shared" ca="1" si="9"/>
        <v/>
      </c>
      <c r="R112" s="117" t="s">
        <v>641</v>
      </c>
      <c r="S112" s="205"/>
      <c r="T112" s="153" t="s">
        <v>1537</v>
      </c>
      <c r="U112" s="153">
        <v>111</v>
      </c>
      <c r="V112" s="153"/>
      <c r="W112" s="153"/>
      <c r="X112" s="153"/>
      <c r="Y112" s="136"/>
      <c r="Z112" s="153"/>
      <c r="AA112" s="152"/>
      <c r="AB112" s="8">
        <v>0.16</v>
      </c>
      <c r="AC112" s="8" t="s">
        <v>1783</v>
      </c>
    </row>
    <row r="113" spans="1:29" ht="72">
      <c r="A113" s="74" t="s">
        <v>180</v>
      </c>
      <c r="B113" s="92" t="s">
        <v>419</v>
      </c>
      <c r="C113" s="45" t="s">
        <v>420</v>
      </c>
      <c r="D113" s="108"/>
      <c r="E113" s="199"/>
      <c r="F113" s="47" t="s">
        <v>426</v>
      </c>
      <c r="G113" s="47" t="s">
        <v>17</v>
      </c>
      <c r="H113" s="87">
        <v>45992</v>
      </c>
      <c r="I113" s="209">
        <v>46218</v>
      </c>
      <c r="J113" s="119" t="s">
        <v>423</v>
      </c>
      <c r="K113" s="108"/>
      <c r="L113" s="37" t="s">
        <v>33</v>
      </c>
      <c r="M113" s="80" t="str">
        <f t="shared" ca="1" si="5"/>
        <v/>
      </c>
      <c r="N113" s="37" t="str">
        <f t="shared" ca="1" si="6"/>
        <v/>
      </c>
      <c r="O113" s="81" t="str">
        <f t="shared" ca="1" si="7"/>
        <v/>
      </c>
      <c r="P113" s="81" t="str">
        <f t="shared" ca="1" si="8"/>
        <v/>
      </c>
      <c r="Q113" s="81" t="str">
        <f t="shared" ca="1" si="9"/>
        <v/>
      </c>
      <c r="R113" s="117" t="s">
        <v>641</v>
      </c>
      <c r="S113" s="205"/>
      <c r="T113" s="153" t="s">
        <v>1537</v>
      </c>
      <c r="U113" s="153">
        <v>112</v>
      </c>
      <c r="V113" s="153"/>
      <c r="W113" s="153"/>
      <c r="X113" s="153"/>
      <c r="Y113" s="136"/>
      <c r="Z113" s="153"/>
      <c r="AA113" s="152"/>
      <c r="AB113" s="8">
        <v>0.16</v>
      </c>
      <c r="AC113" s="8" t="s">
        <v>1783</v>
      </c>
    </row>
    <row r="114" spans="1:29" ht="72">
      <c r="A114" s="74" t="s">
        <v>180</v>
      </c>
      <c r="B114" s="92" t="s">
        <v>419</v>
      </c>
      <c r="C114" s="45" t="s">
        <v>420</v>
      </c>
      <c r="D114" s="108"/>
      <c r="E114" s="199"/>
      <c r="F114" s="47" t="s">
        <v>427</v>
      </c>
      <c r="G114" s="47" t="s">
        <v>17</v>
      </c>
      <c r="H114" s="87">
        <v>45992</v>
      </c>
      <c r="I114" s="209">
        <v>46218</v>
      </c>
      <c r="J114" s="119" t="s">
        <v>423</v>
      </c>
      <c r="K114" s="108"/>
      <c r="L114" s="37" t="s">
        <v>33</v>
      </c>
      <c r="M114" s="80" t="str">
        <f t="shared" ca="1" si="5"/>
        <v/>
      </c>
      <c r="N114" s="37" t="str">
        <f t="shared" ca="1" si="6"/>
        <v/>
      </c>
      <c r="O114" s="81" t="str">
        <f t="shared" ca="1" si="7"/>
        <v/>
      </c>
      <c r="P114" s="81" t="str">
        <f t="shared" ca="1" si="8"/>
        <v/>
      </c>
      <c r="Q114" s="81" t="str">
        <f t="shared" ca="1" si="9"/>
        <v/>
      </c>
      <c r="R114" s="117" t="s">
        <v>641</v>
      </c>
      <c r="S114" s="205"/>
      <c r="T114" s="153" t="s">
        <v>1537</v>
      </c>
      <c r="U114" s="153">
        <v>113</v>
      </c>
      <c r="V114" s="153"/>
      <c r="W114" s="153"/>
      <c r="X114" s="153"/>
      <c r="Y114" s="136"/>
      <c r="Z114" s="153"/>
      <c r="AA114" s="152"/>
      <c r="AB114" s="8">
        <v>0.16</v>
      </c>
      <c r="AC114" s="8" t="s">
        <v>1783</v>
      </c>
    </row>
    <row r="115" spans="1:29" ht="72">
      <c r="A115" s="74" t="s">
        <v>180</v>
      </c>
      <c r="B115" s="92" t="s">
        <v>419</v>
      </c>
      <c r="C115" s="45" t="s">
        <v>420</v>
      </c>
      <c r="D115" s="108"/>
      <c r="E115" s="199"/>
      <c r="F115" s="47" t="s">
        <v>428</v>
      </c>
      <c r="G115" s="47" t="s">
        <v>17</v>
      </c>
      <c r="H115" s="87">
        <v>45992</v>
      </c>
      <c r="I115" s="209">
        <v>46218</v>
      </c>
      <c r="J115" s="119" t="s">
        <v>423</v>
      </c>
      <c r="K115" s="108"/>
      <c r="L115" s="37" t="s">
        <v>33</v>
      </c>
      <c r="M115" s="80" t="str">
        <f t="shared" ca="1" si="5"/>
        <v/>
      </c>
      <c r="N115" s="37" t="str">
        <f t="shared" ca="1" si="6"/>
        <v/>
      </c>
      <c r="O115" s="81" t="str">
        <f t="shared" ca="1" si="7"/>
        <v/>
      </c>
      <c r="P115" s="81" t="str">
        <f t="shared" ca="1" si="8"/>
        <v/>
      </c>
      <c r="Q115" s="81" t="str">
        <f t="shared" ca="1" si="9"/>
        <v/>
      </c>
      <c r="R115" s="117" t="s">
        <v>641</v>
      </c>
      <c r="S115" s="205"/>
      <c r="T115" s="153" t="s">
        <v>1537</v>
      </c>
      <c r="U115" s="153">
        <v>114</v>
      </c>
      <c r="V115" s="153"/>
      <c r="W115" s="153"/>
      <c r="X115" s="153"/>
      <c r="Y115" s="136"/>
      <c r="Z115" s="153"/>
      <c r="AA115" s="152"/>
      <c r="AB115" s="8">
        <v>0.2</v>
      </c>
      <c r="AC115" s="8" t="s">
        <v>1783</v>
      </c>
    </row>
    <row r="116" spans="1:29" ht="142.19999999999999" customHeight="1">
      <c r="A116" s="74" t="s">
        <v>180</v>
      </c>
      <c r="B116" s="92" t="s">
        <v>419</v>
      </c>
      <c r="C116" s="45" t="s">
        <v>429</v>
      </c>
      <c r="D116" s="45" t="s">
        <v>430</v>
      </c>
      <c r="E116" s="199" t="s">
        <v>188</v>
      </c>
      <c r="F116" s="47" t="s">
        <v>431</v>
      </c>
      <c r="G116" s="47" t="s">
        <v>534</v>
      </c>
      <c r="H116" s="87">
        <v>45992</v>
      </c>
      <c r="I116" s="209">
        <v>46142</v>
      </c>
      <c r="J116" s="119" t="s">
        <v>432</v>
      </c>
      <c r="K116" s="108"/>
      <c r="L116" s="37" t="s">
        <v>33</v>
      </c>
      <c r="M116" s="80" t="str">
        <f t="shared" ca="1" si="5"/>
        <v/>
      </c>
      <c r="N116" s="37" t="str">
        <f t="shared" ca="1" si="6"/>
        <v/>
      </c>
      <c r="O116" s="81" t="str">
        <f t="shared" ca="1" si="7"/>
        <v/>
      </c>
      <c r="P116" s="81" t="str">
        <f t="shared" ca="1" si="8"/>
        <v/>
      </c>
      <c r="Q116" s="81" t="str">
        <f t="shared" ca="1" si="9"/>
        <v/>
      </c>
      <c r="R116" s="117" t="s">
        <v>633</v>
      </c>
      <c r="S116" s="205"/>
      <c r="T116" s="153" t="s">
        <v>1537</v>
      </c>
      <c r="U116" s="153">
        <v>115</v>
      </c>
      <c r="V116" s="153"/>
      <c r="W116" s="153"/>
      <c r="X116" s="153"/>
      <c r="Y116" s="136"/>
      <c r="Z116" s="153"/>
      <c r="AA116" s="152"/>
      <c r="AB116" s="8">
        <v>0.25</v>
      </c>
      <c r="AC116" s="21" t="s">
        <v>1798</v>
      </c>
    </row>
    <row r="117" spans="1:29" ht="72">
      <c r="A117" s="74" t="s">
        <v>180</v>
      </c>
      <c r="B117" s="92" t="s">
        <v>419</v>
      </c>
      <c r="C117" s="45" t="s">
        <v>429</v>
      </c>
      <c r="D117" s="108"/>
      <c r="E117" s="199"/>
      <c r="F117" s="47" t="s">
        <v>433</v>
      </c>
      <c r="G117" s="47" t="s">
        <v>534</v>
      </c>
      <c r="H117" s="87">
        <v>45992</v>
      </c>
      <c r="I117" s="209">
        <v>46142</v>
      </c>
      <c r="J117" s="119" t="s">
        <v>432</v>
      </c>
      <c r="K117" s="108"/>
      <c r="L117" s="37" t="s">
        <v>33</v>
      </c>
      <c r="M117" s="80" t="str">
        <f t="shared" ca="1" si="5"/>
        <v/>
      </c>
      <c r="N117" s="37" t="str">
        <f t="shared" ca="1" si="6"/>
        <v/>
      </c>
      <c r="O117" s="81" t="str">
        <f t="shared" ca="1" si="7"/>
        <v/>
      </c>
      <c r="P117" s="81" t="str">
        <f t="shared" ca="1" si="8"/>
        <v/>
      </c>
      <c r="Q117" s="81" t="str">
        <f t="shared" ca="1" si="9"/>
        <v/>
      </c>
      <c r="R117" s="117" t="s">
        <v>633</v>
      </c>
      <c r="S117" s="205"/>
      <c r="T117" s="153" t="s">
        <v>1537</v>
      </c>
      <c r="U117" s="153">
        <v>116</v>
      </c>
      <c r="V117" s="153"/>
      <c r="W117" s="153"/>
      <c r="X117" s="153"/>
      <c r="Y117" s="136"/>
      <c r="Z117" s="153"/>
      <c r="AA117" s="152"/>
      <c r="AB117" s="8">
        <v>0.25</v>
      </c>
      <c r="AC117" s="21" t="s">
        <v>1798</v>
      </c>
    </row>
    <row r="118" spans="1:29" ht="72">
      <c r="A118" s="74" t="s">
        <v>180</v>
      </c>
      <c r="B118" s="92" t="s">
        <v>419</v>
      </c>
      <c r="C118" s="45" t="s">
        <v>429</v>
      </c>
      <c r="D118" s="108"/>
      <c r="E118" s="199"/>
      <c r="F118" s="47" t="s">
        <v>434</v>
      </c>
      <c r="G118" s="47" t="s">
        <v>534</v>
      </c>
      <c r="H118" s="87">
        <v>45992</v>
      </c>
      <c r="I118" s="209">
        <v>46142</v>
      </c>
      <c r="J118" s="119" t="s">
        <v>432</v>
      </c>
      <c r="K118" s="108"/>
      <c r="L118" s="37" t="s">
        <v>33</v>
      </c>
      <c r="M118" s="80" t="str">
        <f t="shared" ca="1" si="5"/>
        <v/>
      </c>
      <c r="N118" s="37" t="str">
        <f t="shared" ca="1" si="6"/>
        <v/>
      </c>
      <c r="O118" s="81" t="str">
        <f t="shared" ca="1" si="7"/>
        <v/>
      </c>
      <c r="P118" s="81" t="str">
        <f t="shared" ca="1" si="8"/>
        <v/>
      </c>
      <c r="Q118" s="81" t="str">
        <f t="shared" ca="1" si="9"/>
        <v/>
      </c>
      <c r="R118" s="117" t="s">
        <v>633</v>
      </c>
      <c r="S118" s="205"/>
      <c r="T118" s="153" t="s">
        <v>1537</v>
      </c>
      <c r="U118" s="153">
        <v>117</v>
      </c>
      <c r="V118" s="153"/>
      <c r="W118" s="153"/>
      <c r="X118" s="153"/>
      <c r="Y118" s="136"/>
      <c r="Z118" s="153"/>
      <c r="AA118" s="152"/>
      <c r="AB118" s="8">
        <v>0.25</v>
      </c>
    </row>
    <row r="119" spans="1:29" ht="72">
      <c r="A119" s="74" t="s">
        <v>180</v>
      </c>
      <c r="B119" s="92" t="s">
        <v>419</v>
      </c>
      <c r="C119" s="45" t="s">
        <v>429</v>
      </c>
      <c r="D119" s="108"/>
      <c r="E119" s="199"/>
      <c r="F119" s="47" t="s">
        <v>435</v>
      </c>
      <c r="G119" s="47" t="s">
        <v>534</v>
      </c>
      <c r="H119" s="87">
        <v>45992</v>
      </c>
      <c r="I119" s="209">
        <v>46142</v>
      </c>
      <c r="J119" s="119" t="s">
        <v>432</v>
      </c>
      <c r="K119" s="108"/>
      <c r="L119" s="37" t="s">
        <v>33</v>
      </c>
      <c r="M119" s="80" t="str">
        <f t="shared" ca="1" si="5"/>
        <v/>
      </c>
      <c r="N119" s="37" t="str">
        <f t="shared" ca="1" si="6"/>
        <v/>
      </c>
      <c r="O119" s="81" t="str">
        <f t="shared" ca="1" si="7"/>
        <v/>
      </c>
      <c r="P119" s="81" t="str">
        <f t="shared" ca="1" si="8"/>
        <v/>
      </c>
      <c r="Q119" s="81" t="str">
        <f t="shared" ca="1" si="9"/>
        <v/>
      </c>
      <c r="R119" s="117" t="s">
        <v>633</v>
      </c>
      <c r="S119" s="205"/>
      <c r="T119" s="153" t="s">
        <v>1537</v>
      </c>
      <c r="U119" s="153">
        <v>118</v>
      </c>
      <c r="V119" s="153"/>
      <c r="W119" s="153"/>
      <c r="X119" s="153"/>
      <c r="Y119" s="136"/>
      <c r="Z119" s="153"/>
      <c r="AA119" s="152"/>
      <c r="AB119" s="8">
        <v>0.25</v>
      </c>
      <c r="AC119" s="21" t="s">
        <v>1798</v>
      </c>
    </row>
    <row r="120" spans="1:29" ht="126">
      <c r="A120" s="74" t="s">
        <v>180</v>
      </c>
      <c r="B120" s="92" t="s">
        <v>419</v>
      </c>
      <c r="C120" s="45" t="s">
        <v>436</v>
      </c>
      <c r="D120" s="45" t="s">
        <v>521</v>
      </c>
      <c r="E120" s="199" t="s">
        <v>188</v>
      </c>
      <c r="F120" s="47" t="s">
        <v>437</v>
      </c>
      <c r="G120" s="47" t="s">
        <v>115</v>
      </c>
      <c r="H120" s="87">
        <v>45996</v>
      </c>
      <c r="I120" s="209">
        <v>46386</v>
      </c>
      <c r="J120" s="119" t="s">
        <v>438</v>
      </c>
      <c r="K120" s="108"/>
      <c r="L120" s="37" t="s">
        <v>201</v>
      </c>
      <c r="M120" s="80">
        <f t="shared" ca="1" si="5"/>
        <v>104</v>
      </c>
      <c r="N120" s="37" t="str">
        <f t="shared" ca="1" si="6"/>
        <v/>
      </c>
      <c r="O120" s="81" t="str">
        <f t="shared" ca="1" si="7"/>
        <v/>
      </c>
      <c r="P120" s="81" t="str">
        <f t="shared" ca="1" si="8"/>
        <v/>
      </c>
      <c r="Q120" s="81" t="str">
        <f t="shared" ca="1" si="9"/>
        <v/>
      </c>
      <c r="R120" s="117" t="s">
        <v>632</v>
      </c>
      <c r="S120" s="205"/>
      <c r="T120" s="153" t="s">
        <v>1537</v>
      </c>
      <c r="U120" s="153">
        <v>119</v>
      </c>
      <c r="V120" s="153"/>
      <c r="W120" s="153"/>
      <c r="X120" s="153"/>
      <c r="Y120" s="136"/>
      <c r="Z120" s="153"/>
      <c r="AA120" s="152"/>
      <c r="AB120" s="8">
        <v>0.2</v>
      </c>
      <c r="AC120" s="8" t="s">
        <v>1801</v>
      </c>
    </row>
    <row r="121" spans="1:29" ht="43.2">
      <c r="A121" s="74" t="s">
        <v>180</v>
      </c>
      <c r="B121" s="92" t="s">
        <v>419</v>
      </c>
      <c r="C121" s="45" t="s">
        <v>436</v>
      </c>
      <c r="D121" s="108"/>
      <c r="E121" s="199"/>
      <c r="F121" s="47" t="s">
        <v>439</v>
      </c>
      <c r="G121" s="47" t="s">
        <v>115</v>
      </c>
      <c r="H121" s="87">
        <v>45996</v>
      </c>
      <c r="I121" s="209">
        <v>46386</v>
      </c>
      <c r="J121" s="119" t="s">
        <v>438</v>
      </c>
      <c r="K121" s="108"/>
      <c r="L121" s="37" t="s">
        <v>201</v>
      </c>
      <c r="M121" s="80">
        <f t="shared" ca="1" si="5"/>
        <v>104</v>
      </c>
      <c r="N121" s="37" t="str">
        <f t="shared" ca="1" si="6"/>
        <v/>
      </c>
      <c r="O121" s="81" t="str">
        <f t="shared" ca="1" si="7"/>
        <v/>
      </c>
      <c r="P121" s="81" t="str">
        <f t="shared" ca="1" si="8"/>
        <v/>
      </c>
      <c r="Q121" s="81" t="str">
        <f t="shared" ca="1" si="9"/>
        <v/>
      </c>
      <c r="R121" s="117" t="s">
        <v>632</v>
      </c>
      <c r="S121" s="205"/>
      <c r="T121" s="153" t="s">
        <v>1537</v>
      </c>
      <c r="U121" s="153">
        <v>120</v>
      </c>
      <c r="V121" s="153"/>
      <c r="W121" s="153"/>
      <c r="X121" s="153"/>
      <c r="Y121" s="136"/>
      <c r="Z121" s="153"/>
      <c r="AA121" s="152"/>
      <c r="AB121" s="8">
        <v>0.2</v>
      </c>
      <c r="AC121" s="8" t="s">
        <v>1801</v>
      </c>
    </row>
    <row r="122" spans="1:29" ht="43.2">
      <c r="A122" s="74" t="s">
        <v>180</v>
      </c>
      <c r="B122" s="92" t="s">
        <v>419</v>
      </c>
      <c r="C122" s="45" t="s">
        <v>436</v>
      </c>
      <c r="D122" s="108"/>
      <c r="E122" s="199"/>
      <c r="F122" s="47" t="s">
        <v>440</v>
      </c>
      <c r="G122" s="47" t="s">
        <v>115</v>
      </c>
      <c r="H122" s="87">
        <v>45996</v>
      </c>
      <c r="I122" s="209">
        <v>46386</v>
      </c>
      <c r="J122" s="119" t="s">
        <v>438</v>
      </c>
      <c r="K122" s="108"/>
      <c r="L122" s="37" t="s">
        <v>201</v>
      </c>
      <c r="M122" s="80">
        <f t="shared" ca="1" si="5"/>
        <v>104</v>
      </c>
      <c r="N122" s="37" t="str">
        <f t="shared" ca="1" si="6"/>
        <v/>
      </c>
      <c r="O122" s="81" t="str">
        <f t="shared" ca="1" si="7"/>
        <v/>
      </c>
      <c r="P122" s="81" t="str">
        <f t="shared" ca="1" si="8"/>
        <v/>
      </c>
      <c r="Q122" s="81" t="str">
        <f t="shared" ca="1" si="9"/>
        <v/>
      </c>
      <c r="R122" s="117" t="s">
        <v>632</v>
      </c>
      <c r="S122" s="205"/>
      <c r="T122" s="153" t="s">
        <v>1537</v>
      </c>
      <c r="U122" s="153">
        <v>121</v>
      </c>
      <c r="V122" s="153"/>
      <c r="W122" s="153"/>
      <c r="X122" s="153"/>
      <c r="Y122" s="136"/>
      <c r="Z122" s="153"/>
      <c r="AA122" s="152"/>
      <c r="AB122" s="8">
        <v>0.2</v>
      </c>
      <c r="AC122" s="8" t="s">
        <v>1801</v>
      </c>
    </row>
    <row r="123" spans="1:29" ht="43.2">
      <c r="A123" s="74" t="s">
        <v>180</v>
      </c>
      <c r="B123" s="92" t="s">
        <v>419</v>
      </c>
      <c r="C123" s="45" t="s">
        <v>436</v>
      </c>
      <c r="D123" s="108"/>
      <c r="E123" s="199"/>
      <c r="F123" s="47" t="s">
        <v>441</v>
      </c>
      <c r="G123" s="47" t="s">
        <v>115</v>
      </c>
      <c r="H123" s="87">
        <v>45996</v>
      </c>
      <c r="I123" s="209">
        <v>46386</v>
      </c>
      <c r="J123" s="119" t="s">
        <v>438</v>
      </c>
      <c r="K123" s="108"/>
      <c r="L123" s="37" t="s">
        <v>201</v>
      </c>
      <c r="M123" s="80">
        <f t="shared" ca="1" si="5"/>
        <v>104</v>
      </c>
      <c r="N123" s="37" t="str">
        <f t="shared" ca="1" si="6"/>
        <v/>
      </c>
      <c r="O123" s="81" t="str">
        <f t="shared" ca="1" si="7"/>
        <v/>
      </c>
      <c r="P123" s="81" t="str">
        <f t="shared" ca="1" si="8"/>
        <v/>
      </c>
      <c r="Q123" s="81" t="str">
        <f t="shared" ca="1" si="9"/>
        <v/>
      </c>
      <c r="R123" s="117" t="s">
        <v>632</v>
      </c>
      <c r="S123" s="205"/>
      <c r="T123" s="153" t="s">
        <v>1537</v>
      </c>
      <c r="U123" s="153">
        <v>122</v>
      </c>
      <c r="V123" s="153"/>
      <c r="W123" s="153"/>
      <c r="X123" s="153"/>
      <c r="Y123" s="136"/>
      <c r="Z123" s="153"/>
      <c r="AA123" s="152"/>
      <c r="AB123" s="8">
        <v>0.2</v>
      </c>
      <c r="AC123" s="8" t="s">
        <v>1801</v>
      </c>
    </row>
    <row r="124" spans="1:29" ht="45.6">
      <c r="A124" s="74" t="s">
        <v>180</v>
      </c>
      <c r="B124" s="92" t="s">
        <v>419</v>
      </c>
      <c r="C124" s="45" t="s">
        <v>436</v>
      </c>
      <c r="D124" s="108"/>
      <c r="E124" s="199"/>
      <c r="F124" s="47" t="s">
        <v>442</v>
      </c>
      <c r="G124" s="47" t="s">
        <v>115</v>
      </c>
      <c r="H124" s="87">
        <v>45996</v>
      </c>
      <c r="I124" s="209">
        <v>46386</v>
      </c>
      <c r="J124" s="119" t="s">
        <v>438</v>
      </c>
      <c r="K124" s="108"/>
      <c r="L124" s="37" t="s">
        <v>201</v>
      </c>
      <c r="M124" s="80">
        <f t="shared" ca="1" si="5"/>
        <v>104</v>
      </c>
      <c r="N124" s="37" t="str">
        <f t="shared" ca="1" si="6"/>
        <v/>
      </c>
      <c r="O124" s="81" t="str">
        <f t="shared" ca="1" si="7"/>
        <v/>
      </c>
      <c r="P124" s="81" t="str">
        <f t="shared" ca="1" si="8"/>
        <v/>
      </c>
      <c r="Q124" s="81" t="str">
        <f t="shared" ca="1" si="9"/>
        <v/>
      </c>
      <c r="R124" s="117" t="s">
        <v>632</v>
      </c>
      <c r="S124" s="205"/>
      <c r="T124" s="153" t="s">
        <v>1537</v>
      </c>
      <c r="U124" s="153">
        <v>123</v>
      </c>
      <c r="V124" s="153"/>
      <c r="W124" s="153"/>
      <c r="X124" s="153"/>
      <c r="Y124" s="136"/>
      <c r="Z124" s="153"/>
      <c r="AA124" s="152"/>
      <c r="AB124" s="8">
        <v>0.2</v>
      </c>
      <c r="AC124" s="8" t="s">
        <v>1801</v>
      </c>
    </row>
    <row r="125" spans="1:29" ht="114.6">
      <c r="A125" s="74" t="s">
        <v>180</v>
      </c>
      <c r="B125" s="92" t="s">
        <v>419</v>
      </c>
      <c r="C125" s="45" t="s">
        <v>443</v>
      </c>
      <c r="D125" s="45" t="s">
        <v>522</v>
      </c>
      <c r="E125" s="199" t="s">
        <v>188</v>
      </c>
      <c r="F125" s="47" t="s">
        <v>444</v>
      </c>
      <c r="G125" s="47" t="s">
        <v>445</v>
      </c>
      <c r="H125" s="87">
        <v>45992</v>
      </c>
      <c r="I125" s="209">
        <v>46142</v>
      </c>
      <c r="J125" s="119" t="s">
        <v>446</v>
      </c>
      <c r="K125" s="108" t="s">
        <v>1278</v>
      </c>
      <c r="L125" s="37" t="s">
        <v>33</v>
      </c>
      <c r="M125" s="80" t="str">
        <f t="shared" ca="1" si="5"/>
        <v/>
      </c>
      <c r="N125" s="37" t="str">
        <f t="shared" ca="1" si="6"/>
        <v/>
      </c>
      <c r="O125" s="81" t="str">
        <f t="shared" ca="1" si="7"/>
        <v/>
      </c>
      <c r="P125" s="81" t="str">
        <f t="shared" ca="1" si="8"/>
        <v/>
      </c>
      <c r="Q125" s="81" t="str">
        <f t="shared" ca="1" si="9"/>
        <v/>
      </c>
      <c r="R125" s="117" t="s">
        <v>642</v>
      </c>
      <c r="S125" s="205"/>
      <c r="T125" s="153" t="s">
        <v>1537</v>
      </c>
      <c r="U125" s="153">
        <v>124</v>
      </c>
      <c r="V125" s="153"/>
      <c r="W125" s="153"/>
      <c r="X125" s="153"/>
      <c r="Y125" s="136"/>
      <c r="Z125" s="153"/>
      <c r="AA125" s="152"/>
      <c r="AB125" s="8">
        <v>0.33</v>
      </c>
      <c r="AC125" s="21" t="s">
        <v>1843</v>
      </c>
    </row>
    <row r="126" spans="1:29" ht="72">
      <c r="A126" s="74" t="s">
        <v>180</v>
      </c>
      <c r="B126" s="92" t="s">
        <v>419</v>
      </c>
      <c r="C126" s="45" t="s">
        <v>443</v>
      </c>
      <c r="D126" s="108"/>
      <c r="E126" s="199"/>
      <c r="F126" s="47" t="s">
        <v>447</v>
      </c>
      <c r="G126" s="47" t="s">
        <v>445</v>
      </c>
      <c r="H126" s="87">
        <v>45992</v>
      </c>
      <c r="I126" s="209">
        <v>46142</v>
      </c>
      <c r="J126" s="119" t="s">
        <v>446</v>
      </c>
      <c r="K126" s="108"/>
      <c r="L126" s="37" t="s">
        <v>33</v>
      </c>
      <c r="M126" s="80" t="str">
        <f t="shared" ca="1" si="5"/>
        <v/>
      </c>
      <c r="N126" s="37" t="str">
        <f t="shared" ca="1" si="6"/>
        <v/>
      </c>
      <c r="O126" s="81" t="str">
        <f t="shared" ca="1" si="7"/>
        <v/>
      </c>
      <c r="P126" s="81" t="str">
        <f t="shared" ca="1" si="8"/>
        <v/>
      </c>
      <c r="Q126" s="81" t="str">
        <f t="shared" ca="1" si="9"/>
        <v/>
      </c>
      <c r="R126" s="117" t="s">
        <v>643</v>
      </c>
      <c r="S126" s="205"/>
      <c r="T126" s="153" t="s">
        <v>1537</v>
      </c>
      <c r="U126" s="153">
        <v>125</v>
      </c>
      <c r="V126" s="153"/>
      <c r="W126" s="153"/>
      <c r="X126" s="153"/>
      <c r="Y126" s="136"/>
      <c r="Z126" s="153"/>
      <c r="AA126" s="152"/>
      <c r="AB126" s="8">
        <v>0.33</v>
      </c>
      <c r="AC126" s="21" t="s">
        <v>1843</v>
      </c>
    </row>
    <row r="127" spans="1:29" ht="72">
      <c r="A127" s="74" t="s">
        <v>180</v>
      </c>
      <c r="B127" s="92" t="s">
        <v>419</v>
      </c>
      <c r="C127" s="45" t="s">
        <v>443</v>
      </c>
      <c r="D127" s="108"/>
      <c r="E127" s="199"/>
      <c r="F127" s="47" t="s">
        <v>448</v>
      </c>
      <c r="G127" s="47" t="s">
        <v>445</v>
      </c>
      <c r="H127" s="87">
        <v>45992</v>
      </c>
      <c r="I127" s="209">
        <v>46142</v>
      </c>
      <c r="J127" s="119" t="s">
        <v>446</v>
      </c>
      <c r="K127" s="108"/>
      <c r="L127" s="37" t="s">
        <v>33</v>
      </c>
      <c r="M127" s="80" t="str">
        <f t="shared" ca="1" si="5"/>
        <v/>
      </c>
      <c r="N127" s="37" t="str">
        <f t="shared" ca="1" si="6"/>
        <v/>
      </c>
      <c r="O127" s="81" t="str">
        <f t="shared" ca="1" si="7"/>
        <v/>
      </c>
      <c r="P127" s="81" t="str">
        <f t="shared" ca="1" si="8"/>
        <v/>
      </c>
      <c r="Q127" s="81" t="str">
        <f t="shared" ca="1" si="9"/>
        <v/>
      </c>
      <c r="R127" s="117" t="s">
        <v>643</v>
      </c>
      <c r="S127" s="205"/>
      <c r="T127" s="153" t="s">
        <v>1537</v>
      </c>
      <c r="U127" s="153">
        <v>126</v>
      </c>
      <c r="V127" s="153"/>
      <c r="W127" s="153"/>
      <c r="X127" s="153"/>
      <c r="Y127" s="136"/>
      <c r="Z127" s="153"/>
      <c r="AA127" s="152"/>
      <c r="AB127" s="8">
        <v>0.34</v>
      </c>
      <c r="AC127" s="21" t="s">
        <v>1843</v>
      </c>
    </row>
    <row r="128" spans="1:29" ht="136.80000000000001">
      <c r="A128" s="74" t="s">
        <v>180</v>
      </c>
      <c r="B128" s="92" t="s">
        <v>449</v>
      </c>
      <c r="C128" s="45" t="s">
        <v>450</v>
      </c>
      <c r="D128" s="45" t="s">
        <v>523</v>
      </c>
      <c r="E128" s="199" t="s">
        <v>254</v>
      </c>
      <c r="F128" s="47" t="s">
        <v>451</v>
      </c>
      <c r="G128" s="47" t="s">
        <v>179</v>
      </c>
      <c r="H128" s="87">
        <v>46051</v>
      </c>
      <c r="I128" s="209">
        <v>46171</v>
      </c>
      <c r="J128" s="117" t="s">
        <v>452</v>
      </c>
      <c r="K128" s="108"/>
      <c r="L128" s="37" t="s">
        <v>33</v>
      </c>
      <c r="M128" s="80" t="str">
        <f t="shared" ca="1" si="5"/>
        <v/>
      </c>
      <c r="N128" s="37" t="str">
        <f t="shared" ca="1" si="6"/>
        <v/>
      </c>
      <c r="O128" s="81" t="str">
        <f t="shared" ca="1" si="7"/>
        <v/>
      </c>
      <c r="P128" s="81" t="str">
        <f t="shared" ca="1" si="8"/>
        <v/>
      </c>
      <c r="Q128" s="81" t="str">
        <f t="shared" ca="1" si="9"/>
        <v/>
      </c>
      <c r="R128" s="117" t="s">
        <v>644</v>
      </c>
      <c r="S128" s="205"/>
      <c r="T128" s="153" t="s">
        <v>1537</v>
      </c>
      <c r="U128" s="153">
        <v>127</v>
      </c>
      <c r="V128" s="153"/>
      <c r="W128" s="153"/>
      <c r="X128" s="153"/>
      <c r="Y128" s="136"/>
      <c r="Z128" s="153"/>
      <c r="AA128" s="152"/>
      <c r="AB128" s="8">
        <v>1</v>
      </c>
      <c r="AC128" s="8" t="s">
        <v>1811</v>
      </c>
    </row>
    <row r="129" spans="1:29" ht="80.400000000000006" hidden="1">
      <c r="A129" s="74" t="s">
        <v>180</v>
      </c>
      <c r="B129" s="92" t="s">
        <v>449</v>
      </c>
      <c r="C129" s="45" t="s">
        <v>453</v>
      </c>
      <c r="D129" s="45" t="s">
        <v>524</v>
      </c>
      <c r="E129" s="199" t="s">
        <v>188</v>
      </c>
      <c r="F129" s="47" t="s">
        <v>454</v>
      </c>
      <c r="G129" s="47" t="s">
        <v>115</v>
      </c>
      <c r="H129" s="87">
        <v>45697</v>
      </c>
      <c r="I129" s="209">
        <v>45715</v>
      </c>
      <c r="J129" s="119" t="s">
        <v>455</v>
      </c>
      <c r="K129" s="108"/>
      <c r="L129" s="37" t="s">
        <v>20</v>
      </c>
      <c r="M129" s="80" t="str">
        <f t="shared" ca="1" si="5"/>
        <v/>
      </c>
      <c r="N129" s="37" t="str">
        <f t="shared" ca="1" si="6"/>
        <v/>
      </c>
      <c r="O129" s="81" t="str">
        <f t="shared" ca="1" si="7"/>
        <v/>
      </c>
      <c r="P129" s="81" t="str">
        <f t="shared" ca="1" si="8"/>
        <v/>
      </c>
      <c r="Q129" s="81" t="str">
        <f t="shared" ca="1" si="9"/>
        <v/>
      </c>
      <c r="R129" s="161"/>
      <c r="S129" s="205"/>
      <c r="T129" s="153" t="s">
        <v>1537</v>
      </c>
      <c r="U129" s="153">
        <v>128</v>
      </c>
      <c r="V129" s="153"/>
      <c r="W129" s="153"/>
      <c r="X129" s="153"/>
      <c r="Y129" s="136"/>
      <c r="Z129" s="153"/>
      <c r="AA129" s="152"/>
      <c r="AB129" s="8">
        <v>1</v>
      </c>
      <c r="AC129"/>
    </row>
    <row r="130" spans="1:29" ht="114.6" hidden="1">
      <c r="A130" s="74" t="s">
        <v>180</v>
      </c>
      <c r="B130" s="92" t="s">
        <v>449</v>
      </c>
      <c r="C130" s="45" t="s">
        <v>456</v>
      </c>
      <c r="D130" s="45" t="s">
        <v>525</v>
      </c>
      <c r="E130" s="199" t="s">
        <v>188</v>
      </c>
      <c r="F130" s="47" t="s">
        <v>457</v>
      </c>
      <c r="G130" s="47" t="s">
        <v>115</v>
      </c>
      <c r="H130" s="87">
        <v>45697</v>
      </c>
      <c r="I130" s="209">
        <v>45715</v>
      </c>
      <c r="J130" s="119" t="s">
        <v>458</v>
      </c>
      <c r="K130" s="108"/>
      <c r="L130" s="37" t="s">
        <v>20</v>
      </c>
      <c r="M130" s="80" t="str">
        <f t="shared" ca="1" si="5"/>
        <v/>
      </c>
      <c r="N130" s="37" t="str">
        <f t="shared" ca="1" si="6"/>
        <v/>
      </c>
      <c r="O130" s="81" t="str">
        <f t="shared" ca="1" si="7"/>
        <v/>
      </c>
      <c r="P130" s="81" t="str">
        <f t="shared" ca="1" si="8"/>
        <v/>
      </c>
      <c r="Q130" s="81" t="str">
        <f t="shared" ca="1" si="9"/>
        <v/>
      </c>
      <c r="R130" s="161"/>
      <c r="S130" s="205"/>
      <c r="T130" s="153" t="s">
        <v>1537</v>
      </c>
      <c r="U130" s="153">
        <v>129</v>
      </c>
      <c r="V130" s="153"/>
      <c r="W130" s="153"/>
      <c r="X130" s="153"/>
      <c r="Y130" s="136"/>
      <c r="Z130" s="153"/>
      <c r="AA130" s="152"/>
      <c r="AB130" s="8">
        <v>1</v>
      </c>
      <c r="AC130"/>
    </row>
    <row r="131" spans="1:29" ht="70.2" hidden="1">
      <c r="A131" s="74" t="s">
        <v>180</v>
      </c>
      <c r="B131" s="92" t="s">
        <v>449</v>
      </c>
      <c r="C131" s="45" t="s">
        <v>459</v>
      </c>
      <c r="D131" s="108" t="s">
        <v>526</v>
      </c>
      <c r="E131" s="199" t="s">
        <v>280</v>
      </c>
      <c r="F131" s="47" t="s">
        <v>646</v>
      </c>
      <c r="G131" s="47" t="s">
        <v>118</v>
      </c>
      <c r="H131" s="87">
        <v>46118</v>
      </c>
      <c r="I131" s="209">
        <v>46118</v>
      </c>
      <c r="J131" s="117" t="s">
        <v>460</v>
      </c>
      <c r="K131" s="101"/>
      <c r="L131" s="37" t="s">
        <v>20</v>
      </c>
      <c r="M131" s="80" t="str">
        <f t="shared" ref="M131:M165" ca="1" si="10">IF(L131="Abierta", I131-TODAY(), "")</f>
        <v/>
      </c>
      <c r="N131" s="37" t="str">
        <f t="shared" ref="N131:N165" ca="1" si="11">IF(AND(L131="Abierta", M131&lt;&gt;"", M131&lt;=10, M131&gt;5), "🚨 CRÍTICO (10d)", "")</f>
        <v/>
      </c>
      <c r="O131" s="81" t="str">
        <f t="shared" ref="O131:O165" ca="1" si="12">IF(AND(L131="Abierta", M131&lt;&gt;"", M131&lt;=20, M131&gt;10), "⏳ URGENTE (20d)", "")</f>
        <v/>
      </c>
      <c r="P131" s="81" t="str">
        <f t="shared" ref="P131:P165" ca="1" si="13">IF(AND(L131="Abierta", M131&lt;&gt;"", M131&lt;=30, M131&gt;20), "📅 SEGUIMIENTO (30d)", "")</f>
        <v/>
      </c>
      <c r="Q131" s="81" t="str">
        <f t="shared" ref="Q131:Q165" ca="1" si="14">IF(AND(L131="Abierta", M131&lt;&gt;"", M131&lt;=5), "⚠️ INMINENTE (5d)", "")</f>
        <v/>
      </c>
      <c r="R131" s="161"/>
      <c r="S131" s="205">
        <v>46118</v>
      </c>
      <c r="T131" s="153" t="s">
        <v>1537</v>
      </c>
      <c r="U131" s="153">
        <v>130</v>
      </c>
      <c r="V131" s="153"/>
      <c r="W131" s="153"/>
      <c r="X131" s="153"/>
      <c r="Y131" s="136"/>
      <c r="Z131" s="153"/>
      <c r="AA131" s="152"/>
      <c r="AB131" s="8">
        <v>1</v>
      </c>
      <c r="AC131"/>
    </row>
    <row r="132" spans="1:29" ht="114.6">
      <c r="A132" s="74" t="s">
        <v>180</v>
      </c>
      <c r="B132" s="92" t="s">
        <v>461</v>
      </c>
      <c r="C132" s="45" t="s">
        <v>462</v>
      </c>
      <c r="D132" s="45" t="s">
        <v>527</v>
      </c>
      <c r="E132" s="199"/>
      <c r="F132" s="47" t="s">
        <v>463</v>
      </c>
      <c r="G132" s="47" t="s">
        <v>148</v>
      </c>
      <c r="H132" s="87">
        <v>46044</v>
      </c>
      <c r="I132" s="209">
        <v>46293</v>
      </c>
      <c r="J132" s="109" t="s">
        <v>464</v>
      </c>
      <c r="K132" s="37"/>
      <c r="L132" s="37" t="s">
        <v>201</v>
      </c>
      <c r="M132" s="80">
        <f t="shared" ca="1" si="10"/>
        <v>11</v>
      </c>
      <c r="N132" s="37" t="str">
        <f t="shared" ca="1" si="11"/>
        <v/>
      </c>
      <c r="O132" s="81" t="str">
        <f t="shared" ca="1" si="12"/>
        <v>⏳ URGENTE (20d)</v>
      </c>
      <c r="P132" s="81" t="str">
        <f t="shared" ca="1" si="13"/>
        <v/>
      </c>
      <c r="Q132" s="81" t="str">
        <f t="shared" ca="1" si="14"/>
        <v/>
      </c>
      <c r="R132" s="84" t="s">
        <v>652</v>
      </c>
      <c r="S132" s="88"/>
      <c r="T132" s="153" t="s">
        <v>1560</v>
      </c>
      <c r="U132" s="153">
        <v>131</v>
      </c>
      <c r="V132" s="153"/>
      <c r="W132" s="153"/>
      <c r="X132" s="153"/>
      <c r="Y132" s="136"/>
      <c r="Z132" s="153"/>
      <c r="AA132" s="152"/>
      <c r="AB132" s="8">
        <v>1</v>
      </c>
      <c r="AC132" s="8" t="s">
        <v>1813</v>
      </c>
    </row>
    <row r="133" spans="1:29" ht="241.2">
      <c r="A133" s="74" t="s">
        <v>180</v>
      </c>
      <c r="B133" s="92" t="s">
        <v>461</v>
      </c>
      <c r="C133" s="45" t="s">
        <v>465</v>
      </c>
      <c r="D133" s="108" t="s">
        <v>528</v>
      </c>
      <c r="E133" s="199"/>
      <c r="F133" s="47" t="s">
        <v>466</v>
      </c>
      <c r="G133" s="47" t="s">
        <v>148</v>
      </c>
      <c r="H133" s="87">
        <v>46044</v>
      </c>
      <c r="I133" s="209">
        <v>46310</v>
      </c>
      <c r="J133" s="97" t="s">
        <v>467</v>
      </c>
      <c r="K133" s="108"/>
      <c r="L133" s="37" t="s">
        <v>201</v>
      </c>
      <c r="M133" s="80">
        <f t="shared" ca="1" si="10"/>
        <v>28</v>
      </c>
      <c r="N133" s="37" t="str">
        <f t="shared" ca="1" si="11"/>
        <v/>
      </c>
      <c r="O133" s="81" t="str">
        <f t="shared" ca="1" si="12"/>
        <v/>
      </c>
      <c r="P133" s="81" t="str">
        <f t="shared" ca="1" si="13"/>
        <v>📅 SEGUIMIENTO (30d)</v>
      </c>
      <c r="Q133" s="81" t="str">
        <f t="shared" ca="1" si="14"/>
        <v/>
      </c>
      <c r="R133" s="84" t="s">
        <v>652</v>
      </c>
      <c r="S133" s="88"/>
      <c r="T133" s="153" t="s">
        <v>1560</v>
      </c>
      <c r="U133" s="153">
        <v>132</v>
      </c>
      <c r="V133" s="153"/>
      <c r="W133" s="153"/>
      <c r="X133" s="153"/>
      <c r="Y133" s="136"/>
      <c r="Z133" s="153"/>
      <c r="AA133" s="152"/>
      <c r="AB133" s="8">
        <v>0.25</v>
      </c>
      <c r="AC133" s="8" t="s">
        <v>1813</v>
      </c>
    </row>
    <row r="134" spans="1:29" ht="72">
      <c r="A134" s="74" t="s">
        <v>180</v>
      </c>
      <c r="B134" s="92" t="s">
        <v>461</v>
      </c>
      <c r="C134" s="45" t="s">
        <v>465</v>
      </c>
      <c r="D134" s="108"/>
      <c r="E134" s="199"/>
      <c r="F134" s="47" t="s">
        <v>468</v>
      </c>
      <c r="G134" s="47" t="s">
        <v>148</v>
      </c>
      <c r="H134" s="87">
        <v>46044</v>
      </c>
      <c r="I134" s="209">
        <v>46310</v>
      </c>
      <c r="J134" s="97" t="s">
        <v>467</v>
      </c>
      <c r="K134" s="108"/>
      <c r="L134" s="37" t="s">
        <v>201</v>
      </c>
      <c r="M134" s="80">
        <f t="shared" ca="1" si="10"/>
        <v>28</v>
      </c>
      <c r="N134" s="37" t="str">
        <f t="shared" ca="1" si="11"/>
        <v/>
      </c>
      <c r="O134" s="81" t="str">
        <f t="shared" ca="1" si="12"/>
        <v/>
      </c>
      <c r="P134" s="81" t="str">
        <f t="shared" ca="1" si="13"/>
        <v>📅 SEGUIMIENTO (30d)</v>
      </c>
      <c r="Q134" s="81" t="str">
        <f t="shared" ca="1" si="14"/>
        <v/>
      </c>
      <c r="R134" s="84" t="s">
        <v>652</v>
      </c>
      <c r="S134" s="88"/>
      <c r="T134" s="153" t="s">
        <v>1560</v>
      </c>
      <c r="U134" s="153">
        <v>133</v>
      </c>
      <c r="V134" s="153"/>
      <c r="W134" s="153"/>
      <c r="X134" s="153"/>
      <c r="Y134" s="136"/>
      <c r="Z134" s="153"/>
      <c r="AA134" s="152"/>
      <c r="AB134" s="8">
        <v>0.25</v>
      </c>
      <c r="AC134" s="8" t="s">
        <v>1813</v>
      </c>
    </row>
    <row r="135" spans="1:29" ht="72">
      <c r="A135" s="74" t="s">
        <v>180</v>
      </c>
      <c r="B135" s="92" t="s">
        <v>461</v>
      </c>
      <c r="C135" s="45" t="s">
        <v>465</v>
      </c>
      <c r="D135" s="108"/>
      <c r="E135" s="199"/>
      <c r="F135" s="47" t="s">
        <v>469</v>
      </c>
      <c r="G135" s="47" t="s">
        <v>148</v>
      </c>
      <c r="H135" s="87">
        <v>46044</v>
      </c>
      <c r="I135" s="209">
        <v>46310</v>
      </c>
      <c r="J135" s="97" t="s">
        <v>467</v>
      </c>
      <c r="K135" s="108"/>
      <c r="L135" s="37" t="s">
        <v>201</v>
      </c>
      <c r="M135" s="80">
        <f t="shared" ca="1" si="10"/>
        <v>28</v>
      </c>
      <c r="N135" s="37" t="str">
        <f t="shared" ca="1" si="11"/>
        <v/>
      </c>
      <c r="O135" s="81" t="str">
        <f t="shared" ca="1" si="12"/>
        <v/>
      </c>
      <c r="P135" s="81" t="str">
        <f t="shared" ca="1" si="13"/>
        <v>📅 SEGUIMIENTO (30d)</v>
      </c>
      <c r="Q135" s="81" t="str">
        <f t="shared" ca="1" si="14"/>
        <v/>
      </c>
      <c r="R135" s="84" t="s">
        <v>652</v>
      </c>
      <c r="S135" s="88"/>
      <c r="T135" s="153" t="s">
        <v>1560</v>
      </c>
      <c r="U135" s="153">
        <v>134</v>
      </c>
      <c r="V135" s="153"/>
      <c r="W135" s="153"/>
      <c r="X135" s="153"/>
      <c r="Y135" s="136"/>
      <c r="Z135" s="153"/>
      <c r="AA135" s="152"/>
      <c r="AB135" s="8">
        <v>0.25</v>
      </c>
      <c r="AC135" s="8" t="s">
        <v>1813</v>
      </c>
    </row>
    <row r="136" spans="1:29" ht="72">
      <c r="A136" s="74" t="s">
        <v>180</v>
      </c>
      <c r="B136" s="92" t="s">
        <v>461</v>
      </c>
      <c r="C136" s="45" t="s">
        <v>465</v>
      </c>
      <c r="D136" s="108"/>
      <c r="E136" s="199"/>
      <c r="F136" s="47" t="s">
        <v>470</v>
      </c>
      <c r="G136" s="47" t="s">
        <v>148</v>
      </c>
      <c r="H136" s="87">
        <v>46044</v>
      </c>
      <c r="I136" s="209">
        <v>46300</v>
      </c>
      <c r="J136" s="97" t="s">
        <v>467</v>
      </c>
      <c r="K136" s="108"/>
      <c r="L136" s="37" t="s">
        <v>201</v>
      </c>
      <c r="M136" s="80">
        <f t="shared" ca="1" si="10"/>
        <v>18</v>
      </c>
      <c r="N136" s="37" t="str">
        <f t="shared" ca="1" si="11"/>
        <v/>
      </c>
      <c r="O136" s="81" t="str">
        <f t="shared" ca="1" si="12"/>
        <v>⏳ URGENTE (20d)</v>
      </c>
      <c r="P136" s="81" t="str">
        <f t="shared" ca="1" si="13"/>
        <v/>
      </c>
      <c r="Q136" s="81" t="str">
        <f t="shared" ca="1" si="14"/>
        <v/>
      </c>
      <c r="R136" s="84" t="s">
        <v>652</v>
      </c>
      <c r="S136" s="88"/>
      <c r="T136" s="153" t="s">
        <v>1560</v>
      </c>
      <c r="U136" s="153">
        <v>135</v>
      </c>
      <c r="V136" s="153"/>
      <c r="W136" s="153"/>
      <c r="X136" s="153"/>
      <c r="Y136" s="136"/>
      <c r="Z136" s="153"/>
      <c r="AA136" s="152"/>
      <c r="AB136" s="8">
        <v>0.25</v>
      </c>
      <c r="AC136" s="8" t="s">
        <v>1813</v>
      </c>
    </row>
    <row r="137" spans="1:29" ht="229.8">
      <c r="A137" s="74" t="s">
        <v>180</v>
      </c>
      <c r="B137" s="92" t="s">
        <v>471</v>
      </c>
      <c r="C137" s="45" t="s">
        <v>450</v>
      </c>
      <c r="D137" s="108" t="s">
        <v>529</v>
      </c>
      <c r="E137" s="199" t="s">
        <v>188</v>
      </c>
      <c r="F137" s="47" t="s">
        <v>472</v>
      </c>
      <c r="G137" s="74" t="s">
        <v>179</v>
      </c>
      <c r="H137" s="87">
        <v>46051</v>
      </c>
      <c r="I137" s="209">
        <v>46171</v>
      </c>
      <c r="J137" s="117" t="s">
        <v>473</v>
      </c>
      <c r="K137" s="74"/>
      <c r="L137" s="37" t="s">
        <v>33</v>
      </c>
      <c r="M137" s="80" t="str">
        <f t="shared" ca="1" si="10"/>
        <v/>
      </c>
      <c r="N137" s="37" t="str">
        <f t="shared" ca="1" si="11"/>
        <v/>
      </c>
      <c r="O137" s="81" t="str">
        <f t="shared" ca="1" si="12"/>
        <v/>
      </c>
      <c r="P137" s="81" t="str">
        <f t="shared" ca="1" si="13"/>
        <v/>
      </c>
      <c r="Q137" s="81" t="str">
        <f t="shared" ca="1" si="14"/>
        <v/>
      </c>
      <c r="R137" s="117" t="s">
        <v>644</v>
      </c>
      <c r="S137" s="205"/>
      <c r="T137" s="153" t="s">
        <v>1537</v>
      </c>
      <c r="U137" s="153">
        <v>136</v>
      </c>
      <c r="V137" s="153"/>
      <c r="W137" s="153"/>
      <c r="X137" s="153"/>
      <c r="Y137" s="136"/>
      <c r="Z137" s="153"/>
      <c r="AA137" s="152"/>
      <c r="AB137" s="8">
        <v>0.5</v>
      </c>
      <c r="AC137" s="8" t="s">
        <v>1811</v>
      </c>
    </row>
    <row r="138" spans="1:29" ht="72">
      <c r="A138" s="74" t="s">
        <v>180</v>
      </c>
      <c r="B138" s="75" t="s">
        <v>471</v>
      </c>
      <c r="C138" s="45" t="s">
        <v>450</v>
      </c>
      <c r="D138" s="74"/>
      <c r="E138" s="199"/>
      <c r="F138" s="74" t="s">
        <v>474</v>
      </c>
      <c r="G138" s="74" t="s">
        <v>179</v>
      </c>
      <c r="H138" s="87">
        <v>46051</v>
      </c>
      <c r="I138" s="209">
        <v>46171</v>
      </c>
      <c r="J138" s="117" t="s">
        <v>475</v>
      </c>
      <c r="K138" s="74"/>
      <c r="L138" s="79" t="s">
        <v>33</v>
      </c>
      <c r="M138" s="80" t="str">
        <f t="shared" ca="1" si="10"/>
        <v/>
      </c>
      <c r="N138" s="37" t="str">
        <f t="shared" ca="1" si="11"/>
        <v/>
      </c>
      <c r="O138" s="81" t="str">
        <f t="shared" ca="1" si="12"/>
        <v/>
      </c>
      <c r="P138" s="81" t="str">
        <f t="shared" ca="1" si="13"/>
        <v/>
      </c>
      <c r="Q138" s="81" t="str">
        <f t="shared" ca="1" si="14"/>
        <v/>
      </c>
      <c r="R138" s="162" t="s">
        <v>644</v>
      </c>
      <c r="S138" s="205"/>
      <c r="T138" s="153" t="s">
        <v>1537</v>
      </c>
      <c r="U138" s="153">
        <v>137</v>
      </c>
      <c r="V138" s="153"/>
      <c r="W138" s="153"/>
      <c r="X138" s="153"/>
      <c r="Y138" s="136"/>
      <c r="Z138" s="153"/>
      <c r="AA138" s="152"/>
      <c r="AB138" s="8">
        <v>0.5</v>
      </c>
      <c r="AC138" s="8" t="s">
        <v>1811</v>
      </c>
    </row>
    <row r="139" spans="1:29" ht="126">
      <c r="A139" s="74" t="s">
        <v>180</v>
      </c>
      <c r="B139" s="75" t="s">
        <v>471</v>
      </c>
      <c r="C139" s="74" t="s">
        <v>476</v>
      </c>
      <c r="D139" s="74" t="s">
        <v>530</v>
      </c>
      <c r="E139" s="199" t="s">
        <v>188</v>
      </c>
      <c r="F139" s="47" t="s">
        <v>645</v>
      </c>
      <c r="G139" s="74" t="s">
        <v>118</v>
      </c>
      <c r="H139" s="87">
        <v>46108</v>
      </c>
      <c r="I139" s="209">
        <v>46295</v>
      </c>
      <c r="J139" s="117" t="s">
        <v>475</v>
      </c>
      <c r="K139" s="101"/>
      <c r="L139" s="79" t="s">
        <v>201</v>
      </c>
      <c r="M139" s="80">
        <f t="shared" ca="1" si="10"/>
        <v>13</v>
      </c>
      <c r="N139" s="37" t="str">
        <f t="shared" ca="1" si="11"/>
        <v/>
      </c>
      <c r="O139" s="81" t="str">
        <f t="shared" ca="1" si="12"/>
        <v>⏳ URGENTE (20d)</v>
      </c>
      <c r="P139" s="81" t="str">
        <f t="shared" ca="1" si="13"/>
        <v/>
      </c>
      <c r="Q139" s="81" t="str">
        <f t="shared" ca="1" si="14"/>
        <v/>
      </c>
      <c r="R139" s="117" t="s">
        <v>647</v>
      </c>
      <c r="S139" s="205"/>
      <c r="T139" s="153" t="s">
        <v>1537</v>
      </c>
      <c r="U139" s="153">
        <v>138</v>
      </c>
      <c r="V139" s="153"/>
      <c r="W139" s="153"/>
      <c r="X139" s="153"/>
      <c r="Y139" s="136"/>
      <c r="Z139" s="153"/>
      <c r="AA139" s="152"/>
      <c r="AB139" s="8">
        <v>1</v>
      </c>
      <c r="AC139" s="8" t="s">
        <v>1775</v>
      </c>
    </row>
    <row r="140" spans="1:29" ht="58.8" hidden="1">
      <c r="A140" s="74" t="s">
        <v>180</v>
      </c>
      <c r="B140" s="92" t="s">
        <v>477</v>
      </c>
      <c r="C140" s="45" t="s">
        <v>478</v>
      </c>
      <c r="D140" s="108" t="s">
        <v>479</v>
      </c>
      <c r="E140" s="199" t="s">
        <v>188</v>
      </c>
      <c r="F140" s="47" t="s">
        <v>480</v>
      </c>
      <c r="G140" s="47" t="s">
        <v>190</v>
      </c>
      <c r="H140" s="87">
        <v>45947</v>
      </c>
      <c r="I140" s="209">
        <v>46052</v>
      </c>
      <c r="J140" s="84" t="s">
        <v>481</v>
      </c>
      <c r="K140" s="108"/>
      <c r="L140" s="219" t="s">
        <v>20</v>
      </c>
      <c r="M140" s="80" t="str">
        <f t="shared" ca="1" si="10"/>
        <v/>
      </c>
      <c r="N140" s="37" t="str">
        <f t="shared" ca="1" si="11"/>
        <v/>
      </c>
      <c r="O140" s="81" t="str">
        <f t="shared" ca="1" si="12"/>
        <v/>
      </c>
      <c r="P140" s="81" t="str">
        <f t="shared" ca="1" si="13"/>
        <v/>
      </c>
      <c r="Q140" s="81" t="str">
        <f t="shared" ca="1" si="14"/>
        <v/>
      </c>
      <c r="R140" s="136"/>
      <c r="S140" s="221">
        <v>46052</v>
      </c>
      <c r="T140" s="81"/>
      <c r="U140" s="153">
        <v>139</v>
      </c>
      <c r="V140" s="153"/>
      <c r="W140" s="153"/>
      <c r="X140" s="153"/>
      <c r="Y140" s="136"/>
      <c r="Z140" s="153"/>
      <c r="AA140" s="152"/>
      <c r="AB140" s="8">
        <v>1</v>
      </c>
      <c r="AC140"/>
    </row>
    <row r="141" spans="1:29" ht="115.8" hidden="1">
      <c r="A141" s="74" t="s">
        <v>180</v>
      </c>
      <c r="B141" s="92" t="s">
        <v>477</v>
      </c>
      <c r="C141" s="45" t="s">
        <v>482</v>
      </c>
      <c r="D141" s="108" t="s">
        <v>483</v>
      </c>
      <c r="E141" s="199" t="s">
        <v>188</v>
      </c>
      <c r="F141" s="47" t="s">
        <v>484</v>
      </c>
      <c r="G141" s="47" t="s">
        <v>190</v>
      </c>
      <c r="H141" s="87">
        <v>45947</v>
      </c>
      <c r="I141" s="209">
        <v>46052</v>
      </c>
      <c r="J141" s="84" t="s">
        <v>485</v>
      </c>
      <c r="K141" s="108"/>
      <c r="L141" s="219" t="s">
        <v>20</v>
      </c>
      <c r="M141" s="80" t="str">
        <f t="shared" ca="1" si="10"/>
        <v/>
      </c>
      <c r="N141" s="37" t="str">
        <f t="shared" ca="1" si="11"/>
        <v/>
      </c>
      <c r="O141" s="81" t="str">
        <f t="shared" ca="1" si="12"/>
        <v/>
      </c>
      <c r="P141" s="81" t="str">
        <f t="shared" ca="1" si="13"/>
        <v/>
      </c>
      <c r="Q141" s="81" t="str">
        <f t="shared" ca="1" si="14"/>
        <v/>
      </c>
      <c r="R141" s="136"/>
      <c r="S141" s="221">
        <v>46052</v>
      </c>
      <c r="T141" s="81"/>
      <c r="U141" s="153">
        <v>140</v>
      </c>
      <c r="V141" s="153"/>
      <c r="W141" s="153"/>
      <c r="X141" s="153"/>
      <c r="Y141" s="136"/>
      <c r="Z141" s="153"/>
      <c r="AA141" s="152"/>
      <c r="AB141" s="8">
        <v>1</v>
      </c>
      <c r="AC141"/>
    </row>
    <row r="142" spans="1:29" ht="100.8" hidden="1">
      <c r="A142" s="74" t="s">
        <v>180</v>
      </c>
      <c r="B142" s="92" t="s">
        <v>486</v>
      </c>
      <c r="C142" s="45" t="s">
        <v>487</v>
      </c>
      <c r="D142" s="108" t="s">
        <v>531</v>
      </c>
      <c r="E142" s="199" t="s">
        <v>254</v>
      </c>
      <c r="F142" s="47" t="s">
        <v>488</v>
      </c>
      <c r="G142" s="47" t="s">
        <v>269</v>
      </c>
      <c r="H142" s="87">
        <v>46084</v>
      </c>
      <c r="I142" s="209">
        <v>46203</v>
      </c>
      <c r="J142" s="84" t="s">
        <v>489</v>
      </c>
      <c r="K142" s="47" t="s">
        <v>1326</v>
      </c>
      <c r="L142" s="37" t="s">
        <v>20</v>
      </c>
      <c r="M142" s="80" t="str">
        <f t="shared" ca="1" si="10"/>
        <v/>
      </c>
      <c r="N142" s="37" t="str">
        <f t="shared" ca="1" si="11"/>
        <v/>
      </c>
      <c r="O142" s="81" t="str">
        <f t="shared" ca="1" si="12"/>
        <v/>
      </c>
      <c r="P142" s="81" t="str">
        <f t="shared" ca="1" si="13"/>
        <v/>
      </c>
      <c r="Q142" s="81" t="str">
        <f t="shared" ca="1" si="14"/>
        <v/>
      </c>
      <c r="R142" s="110" t="s">
        <v>635</v>
      </c>
      <c r="S142" s="88"/>
      <c r="T142" s="160"/>
      <c r="U142" s="153">
        <v>141</v>
      </c>
      <c r="V142" s="153"/>
      <c r="W142" s="153"/>
      <c r="X142" s="153"/>
      <c r="Y142" s="136"/>
      <c r="Z142" s="153"/>
      <c r="AA142" s="152"/>
      <c r="AB142" s="8">
        <v>0.5</v>
      </c>
      <c r="AC142"/>
    </row>
    <row r="143" spans="1:29" ht="100.8" hidden="1">
      <c r="A143" s="74" t="s">
        <v>180</v>
      </c>
      <c r="B143" s="92" t="s">
        <v>486</v>
      </c>
      <c r="C143" s="45" t="s">
        <v>487</v>
      </c>
      <c r="D143" s="108"/>
      <c r="E143" s="199"/>
      <c r="F143" s="47" t="s">
        <v>490</v>
      </c>
      <c r="G143" s="47" t="s">
        <v>269</v>
      </c>
      <c r="H143" s="87">
        <v>46084</v>
      </c>
      <c r="I143" s="209">
        <v>46203</v>
      </c>
      <c r="J143" s="84" t="s">
        <v>489</v>
      </c>
      <c r="K143" s="182" t="s">
        <v>1330</v>
      </c>
      <c r="L143" s="37" t="s">
        <v>20</v>
      </c>
      <c r="M143" s="80" t="str">
        <f t="shared" ca="1" si="10"/>
        <v/>
      </c>
      <c r="N143" s="37" t="str">
        <f t="shared" ca="1" si="11"/>
        <v/>
      </c>
      <c r="O143" s="81" t="str">
        <f t="shared" ca="1" si="12"/>
        <v/>
      </c>
      <c r="P143" s="81" t="str">
        <f t="shared" ca="1" si="13"/>
        <v/>
      </c>
      <c r="Q143" s="81" t="str">
        <f t="shared" ca="1" si="14"/>
        <v/>
      </c>
      <c r="R143" s="110" t="s">
        <v>635</v>
      </c>
      <c r="S143" s="88"/>
      <c r="T143" s="160"/>
      <c r="U143" s="153">
        <v>142</v>
      </c>
      <c r="V143" s="153"/>
      <c r="W143" s="153"/>
      <c r="X143" s="153"/>
      <c r="Y143" s="136"/>
      <c r="Z143" s="153"/>
      <c r="AA143" s="152"/>
      <c r="AB143" s="8">
        <v>0.5</v>
      </c>
      <c r="AC143"/>
    </row>
    <row r="144" spans="1:29" ht="102.6">
      <c r="A144" s="74" t="s">
        <v>180</v>
      </c>
      <c r="B144" s="92" t="s">
        <v>486</v>
      </c>
      <c r="C144" s="45" t="s">
        <v>491</v>
      </c>
      <c r="D144" s="45" t="s">
        <v>532</v>
      </c>
      <c r="E144" s="199" t="s">
        <v>188</v>
      </c>
      <c r="F144" s="47" t="s">
        <v>492</v>
      </c>
      <c r="G144" s="47" t="s">
        <v>269</v>
      </c>
      <c r="H144" s="87">
        <v>46084</v>
      </c>
      <c r="I144" s="209">
        <v>46295</v>
      </c>
      <c r="J144" s="84" t="s">
        <v>493</v>
      </c>
      <c r="K144" s="107"/>
      <c r="L144" s="37" t="s">
        <v>201</v>
      </c>
      <c r="M144" s="80">
        <f t="shared" ca="1" si="10"/>
        <v>13</v>
      </c>
      <c r="N144" s="37" t="str">
        <f t="shared" ca="1" si="11"/>
        <v/>
      </c>
      <c r="O144" s="81" t="str">
        <f t="shared" ca="1" si="12"/>
        <v>⏳ URGENTE (20d)</v>
      </c>
      <c r="P144" s="81" t="str">
        <f t="shared" ca="1" si="13"/>
        <v/>
      </c>
      <c r="Q144" s="81" t="str">
        <f t="shared" ca="1" si="14"/>
        <v/>
      </c>
      <c r="R144" s="84" t="s">
        <v>635</v>
      </c>
      <c r="S144" s="88"/>
      <c r="T144" s="88" t="s">
        <v>1523</v>
      </c>
      <c r="U144" s="153">
        <v>143</v>
      </c>
      <c r="V144" s="153"/>
      <c r="W144" s="153"/>
      <c r="X144" s="153"/>
      <c r="Y144" s="136"/>
      <c r="Z144" s="153"/>
      <c r="AA144" s="152"/>
      <c r="AB144" s="8">
        <v>1</v>
      </c>
      <c r="AC144" s="8" t="s">
        <v>1773</v>
      </c>
    </row>
    <row r="145" spans="1:29" ht="100.8" hidden="1">
      <c r="A145" s="74" t="s">
        <v>180</v>
      </c>
      <c r="B145" s="92" t="s">
        <v>486</v>
      </c>
      <c r="C145" s="45" t="s">
        <v>494</v>
      </c>
      <c r="D145" s="108" t="s">
        <v>533</v>
      </c>
      <c r="E145" s="199" t="s">
        <v>188</v>
      </c>
      <c r="F145" s="47" t="s">
        <v>495</v>
      </c>
      <c r="G145" s="47" t="s">
        <v>269</v>
      </c>
      <c r="H145" s="87">
        <v>46084</v>
      </c>
      <c r="I145" s="209">
        <v>46203</v>
      </c>
      <c r="J145" s="111" t="s">
        <v>496</v>
      </c>
      <c r="K145" s="47" t="s">
        <v>1322</v>
      </c>
      <c r="L145" s="37" t="s">
        <v>20</v>
      </c>
      <c r="M145" s="80" t="str">
        <f t="shared" ca="1" si="10"/>
        <v/>
      </c>
      <c r="N145" s="37" t="str">
        <f t="shared" ca="1" si="11"/>
        <v/>
      </c>
      <c r="O145" s="81" t="str">
        <f t="shared" ca="1" si="12"/>
        <v/>
      </c>
      <c r="P145" s="81" t="str">
        <f t="shared" ca="1" si="13"/>
        <v/>
      </c>
      <c r="Q145" s="81" t="str">
        <f t="shared" ca="1" si="14"/>
        <v/>
      </c>
      <c r="R145" s="110" t="s">
        <v>635</v>
      </c>
      <c r="S145" s="88"/>
      <c r="T145" s="81"/>
      <c r="U145" s="153">
        <v>144</v>
      </c>
      <c r="V145" s="153"/>
      <c r="W145" s="153"/>
      <c r="X145" s="153"/>
      <c r="Y145" s="136"/>
      <c r="Z145" s="153"/>
      <c r="AA145" s="152"/>
      <c r="AB145" s="8">
        <v>0.5</v>
      </c>
      <c r="AC145"/>
    </row>
    <row r="146" spans="1:29" ht="100.8" hidden="1">
      <c r="A146" s="74" t="s">
        <v>180</v>
      </c>
      <c r="B146" s="92" t="s">
        <v>486</v>
      </c>
      <c r="C146" s="45" t="s">
        <v>494</v>
      </c>
      <c r="D146" s="108"/>
      <c r="E146" s="199"/>
      <c r="F146" s="47" t="s">
        <v>497</v>
      </c>
      <c r="G146" s="47" t="s">
        <v>269</v>
      </c>
      <c r="H146" s="87">
        <v>46084</v>
      </c>
      <c r="I146" s="209">
        <v>46203</v>
      </c>
      <c r="J146" s="111" t="s">
        <v>496</v>
      </c>
      <c r="K146" s="47" t="s">
        <v>1324</v>
      </c>
      <c r="L146" s="37" t="s">
        <v>20</v>
      </c>
      <c r="M146" s="80" t="str">
        <f t="shared" ca="1" si="10"/>
        <v/>
      </c>
      <c r="N146" s="37" t="str">
        <f t="shared" ca="1" si="11"/>
        <v/>
      </c>
      <c r="O146" s="81" t="str">
        <f t="shared" ca="1" si="12"/>
        <v/>
      </c>
      <c r="P146" s="81" t="str">
        <f t="shared" ca="1" si="13"/>
        <v/>
      </c>
      <c r="Q146" s="81" t="str">
        <f t="shared" ca="1" si="14"/>
        <v/>
      </c>
      <c r="R146" s="84" t="s">
        <v>635</v>
      </c>
      <c r="S146" s="88"/>
      <c r="T146" s="81"/>
      <c r="U146" s="153">
        <v>145</v>
      </c>
      <c r="V146" s="153"/>
      <c r="W146" s="153"/>
      <c r="X146" s="153"/>
      <c r="Y146" s="136"/>
      <c r="Z146" s="153"/>
      <c r="AA146" s="152"/>
      <c r="AB146" s="8">
        <v>0.5</v>
      </c>
      <c r="AC146"/>
    </row>
    <row r="147" spans="1:29" ht="100.8">
      <c r="A147" s="74" t="s">
        <v>180</v>
      </c>
      <c r="B147" s="92" t="s">
        <v>486</v>
      </c>
      <c r="C147" s="45" t="s">
        <v>498</v>
      </c>
      <c r="D147" s="45" t="s">
        <v>499</v>
      </c>
      <c r="E147" s="199" t="s">
        <v>280</v>
      </c>
      <c r="F147" s="47" t="s">
        <v>500</v>
      </c>
      <c r="G147" s="47" t="s">
        <v>269</v>
      </c>
      <c r="H147" s="87">
        <v>46084</v>
      </c>
      <c r="I147" s="209">
        <v>46203</v>
      </c>
      <c r="J147" s="111" t="s">
        <v>501</v>
      </c>
      <c r="K147" s="107"/>
      <c r="L147" s="37" t="s">
        <v>33</v>
      </c>
      <c r="M147" s="80" t="str">
        <f t="shared" ca="1" si="10"/>
        <v/>
      </c>
      <c r="N147" s="37" t="str">
        <f t="shared" ca="1" si="11"/>
        <v/>
      </c>
      <c r="O147" s="81" t="str">
        <f t="shared" ca="1" si="12"/>
        <v/>
      </c>
      <c r="P147" s="81" t="str">
        <f t="shared" ca="1" si="13"/>
        <v/>
      </c>
      <c r="Q147" s="81" t="str">
        <f t="shared" ca="1" si="14"/>
        <v/>
      </c>
      <c r="R147" s="110" t="s">
        <v>635</v>
      </c>
      <c r="S147" s="88"/>
      <c r="T147" s="153" t="s">
        <v>1523</v>
      </c>
      <c r="U147" s="153">
        <v>146</v>
      </c>
      <c r="V147" s="153"/>
      <c r="W147" s="153"/>
      <c r="X147" s="153"/>
      <c r="Y147" s="136"/>
      <c r="Z147" s="153"/>
      <c r="AA147" s="152"/>
      <c r="AB147" s="8">
        <v>1</v>
      </c>
      <c r="AC147" s="8" t="s">
        <v>1773</v>
      </c>
    </row>
    <row r="148" spans="1:29" ht="183">
      <c r="A148" s="45" t="s">
        <v>180</v>
      </c>
      <c r="B148" s="92" t="s">
        <v>925</v>
      </c>
      <c r="C148" s="45" t="s">
        <v>926</v>
      </c>
      <c r="D148" s="200" t="s">
        <v>942</v>
      </c>
      <c r="E148" s="201" t="s">
        <v>254</v>
      </c>
      <c r="F148" s="47" t="s">
        <v>932</v>
      </c>
      <c r="G148" s="47" t="s">
        <v>115</v>
      </c>
      <c r="H148" s="202">
        <v>46191</v>
      </c>
      <c r="I148" s="210">
        <v>46204</v>
      </c>
      <c r="J148" s="84" t="s">
        <v>937</v>
      </c>
      <c r="K148" s="81"/>
      <c r="L148" s="37" t="s">
        <v>33</v>
      </c>
      <c r="M148" s="80" t="str">
        <f t="shared" ca="1" si="10"/>
        <v/>
      </c>
      <c r="N148" s="37" t="str">
        <f t="shared" ca="1" si="11"/>
        <v/>
      </c>
      <c r="O148" s="81" t="str">
        <f t="shared" ca="1" si="12"/>
        <v/>
      </c>
      <c r="P148" s="81" t="str">
        <f t="shared" ca="1" si="13"/>
        <v/>
      </c>
      <c r="Q148" s="81" t="str">
        <f t="shared" ca="1" si="14"/>
        <v/>
      </c>
      <c r="R148" s="84" t="s">
        <v>1019</v>
      </c>
      <c r="S148" s="88"/>
      <c r="T148" s="152" t="s">
        <v>1537</v>
      </c>
      <c r="U148" s="153">
        <v>147</v>
      </c>
      <c r="V148" s="153"/>
      <c r="W148" s="153"/>
      <c r="X148" s="153"/>
      <c r="Y148" s="136"/>
      <c r="Z148" s="153"/>
      <c r="AA148" s="152"/>
      <c r="AB148" s="8">
        <v>1</v>
      </c>
      <c r="AC148" s="8" t="s">
        <v>1801</v>
      </c>
    </row>
    <row r="149" spans="1:29" ht="229.8" hidden="1">
      <c r="A149" s="45" t="s">
        <v>180</v>
      </c>
      <c r="B149" s="92" t="s">
        <v>925</v>
      </c>
      <c r="C149" s="45" t="s">
        <v>945</v>
      </c>
      <c r="D149" s="108" t="s">
        <v>943</v>
      </c>
      <c r="E149" s="201" t="s">
        <v>188</v>
      </c>
      <c r="F149" s="47" t="s">
        <v>884</v>
      </c>
      <c r="G149" s="47" t="s">
        <v>950</v>
      </c>
      <c r="H149" s="39" t="s">
        <v>952</v>
      </c>
      <c r="I149" s="210">
        <v>46161</v>
      </c>
      <c r="J149" s="84" t="s">
        <v>955</v>
      </c>
      <c r="K149" s="83" t="s">
        <v>1026</v>
      </c>
      <c r="L149" s="37" t="s">
        <v>20</v>
      </c>
      <c r="M149" s="80" t="str">
        <f t="shared" ca="1" si="10"/>
        <v/>
      </c>
      <c r="N149" s="37" t="str">
        <f t="shared" ca="1" si="11"/>
        <v/>
      </c>
      <c r="O149" s="81" t="str">
        <f t="shared" ca="1" si="12"/>
        <v/>
      </c>
      <c r="P149" s="81" t="str">
        <f t="shared" ca="1" si="13"/>
        <v/>
      </c>
      <c r="Q149" s="81" t="str">
        <f t="shared" ca="1" si="14"/>
        <v/>
      </c>
      <c r="R149" s="84" t="s">
        <v>1024</v>
      </c>
      <c r="S149" s="88"/>
      <c r="T149" s="152" t="s">
        <v>1537</v>
      </c>
      <c r="U149" s="153">
        <v>148</v>
      </c>
      <c r="V149" s="153"/>
      <c r="W149" s="153"/>
      <c r="X149" s="153"/>
      <c r="Y149" s="136"/>
      <c r="Z149" s="153"/>
      <c r="AA149" s="152"/>
      <c r="AB149" s="8">
        <v>1</v>
      </c>
      <c r="AC149"/>
    </row>
    <row r="150" spans="1:29" ht="321">
      <c r="A150" s="45" t="s">
        <v>180</v>
      </c>
      <c r="B150" s="92" t="s">
        <v>925</v>
      </c>
      <c r="C150" s="45" t="s">
        <v>961</v>
      </c>
      <c r="D150" s="108" t="s">
        <v>959</v>
      </c>
      <c r="E150" s="201" t="s">
        <v>188</v>
      </c>
      <c r="F150" s="200" t="s">
        <v>965</v>
      </c>
      <c r="G150" s="47" t="s">
        <v>190</v>
      </c>
      <c r="H150" s="202">
        <v>46235</v>
      </c>
      <c r="I150" s="210">
        <v>46357</v>
      </c>
      <c r="J150" s="84" t="s">
        <v>969</v>
      </c>
      <c r="K150" s="81"/>
      <c r="L150" s="153" t="s">
        <v>201</v>
      </c>
      <c r="M150" s="80">
        <f t="shared" ca="1" si="10"/>
        <v>75</v>
      </c>
      <c r="N150" s="37" t="str">
        <f t="shared" ca="1" si="11"/>
        <v/>
      </c>
      <c r="O150" s="81" t="str">
        <f t="shared" ca="1" si="12"/>
        <v/>
      </c>
      <c r="P150" s="81" t="str">
        <f t="shared" ca="1" si="13"/>
        <v/>
      </c>
      <c r="Q150" s="81" t="str">
        <f t="shared" ca="1" si="14"/>
        <v/>
      </c>
      <c r="R150" s="84" t="s">
        <v>1022</v>
      </c>
      <c r="S150" s="88"/>
      <c r="T150" s="152" t="s">
        <v>1537</v>
      </c>
      <c r="U150" s="153">
        <v>149</v>
      </c>
      <c r="V150" s="153"/>
      <c r="W150" s="153"/>
      <c r="X150" s="153"/>
      <c r="Y150" s="136"/>
      <c r="Z150" s="153"/>
      <c r="AA150" s="152"/>
      <c r="AB150" s="8">
        <v>1</v>
      </c>
      <c r="AC150" s="8" t="s">
        <v>1825</v>
      </c>
    </row>
    <row r="151" spans="1:29" ht="93">
      <c r="A151" s="45" t="s">
        <v>180</v>
      </c>
      <c r="B151" s="92" t="s">
        <v>925</v>
      </c>
      <c r="C151" s="45" t="s">
        <v>975</v>
      </c>
      <c r="D151" s="108" t="s">
        <v>973</v>
      </c>
      <c r="E151" s="201" t="s">
        <v>188</v>
      </c>
      <c r="F151" s="47" t="s">
        <v>977</v>
      </c>
      <c r="G151" s="47" t="s">
        <v>115</v>
      </c>
      <c r="H151" s="202">
        <v>46191</v>
      </c>
      <c r="I151" s="210">
        <v>46113</v>
      </c>
      <c r="J151" s="84" t="s">
        <v>982</v>
      </c>
      <c r="K151" s="81"/>
      <c r="L151" s="153" t="s">
        <v>33</v>
      </c>
      <c r="M151" s="80" t="str">
        <f t="shared" ca="1" si="10"/>
        <v/>
      </c>
      <c r="N151" s="37" t="str">
        <f t="shared" ca="1" si="11"/>
        <v/>
      </c>
      <c r="O151" s="81" t="str">
        <f t="shared" ca="1" si="12"/>
        <v/>
      </c>
      <c r="P151" s="81" t="str">
        <f t="shared" ca="1" si="13"/>
        <v/>
      </c>
      <c r="Q151" s="81" t="str">
        <f t="shared" ca="1" si="14"/>
        <v/>
      </c>
      <c r="R151" s="84" t="s">
        <v>1019</v>
      </c>
      <c r="S151" s="88"/>
      <c r="T151" s="152" t="s">
        <v>1537</v>
      </c>
      <c r="U151" s="153">
        <v>150</v>
      </c>
      <c r="V151" s="153"/>
      <c r="W151" s="153"/>
      <c r="X151" s="153"/>
      <c r="Y151" s="136"/>
      <c r="Z151" s="153"/>
      <c r="AA151" s="152"/>
      <c r="AB151" s="8">
        <v>1</v>
      </c>
      <c r="AC151" s="8" t="s">
        <v>1801</v>
      </c>
    </row>
    <row r="152" spans="1:29" ht="195.6">
      <c r="A152" s="45" t="s">
        <v>1030</v>
      </c>
      <c r="B152" s="92" t="s">
        <v>1039</v>
      </c>
      <c r="C152" s="45" t="s">
        <v>1033</v>
      </c>
      <c r="D152" s="108" t="s">
        <v>1038</v>
      </c>
      <c r="E152" s="201" t="s">
        <v>254</v>
      </c>
      <c r="F152" s="47" t="s">
        <v>1042</v>
      </c>
      <c r="G152" s="47" t="s">
        <v>148</v>
      </c>
      <c r="H152" s="202">
        <v>46204</v>
      </c>
      <c r="I152" s="210">
        <v>46295</v>
      </c>
      <c r="J152" s="84" t="s">
        <v>1201</v>
      </c>
      <c r="K152" s="81"/>
      <c r="L152" s="37" t="s">
        <v>201</v>
      </c>
      <c r="M152" s="80">
        <f t="shared" ca="1" si="10"/>
        <v>13</v>
      </c>
      <c r="N152" s="37" t="str">
        <f t="shared" ca="1" si="11"/>
        <v/>
      </c>
      <c r="O152" s="81" t="str">
        <f t="shared" ca="1" si="12"/>
        <v>⏳ URGENTE (20d)</v>
      </c>
      <c r="P152" s="81" t="str">
        <f t="shared" ca="1" si="13"/>
        <v/>
      </c>
      <c r="Q152" s="81" t="str">
        <f t="shared" ca="1" si="14"/>
        <v/>
      </c>
      <c r="R152" s="84" t="s">
        <v>1265</v>
      </c>
      <c r="S152" s="88"/>
      <c r="T152" s="152" t="s">
        <v>1560</v>
      </c>
      <c r="U152" s="153">
        <v>151</v>
      </c>
      <c r="V152" s="153"/>
      <c r="W152" s="153"/>
      <c r="X152" s="153"/>
      <c r="Y152" s="136"/>
      <c r="Z152" s="153"/>
      <c r="AA152" s="152"/>
      <c r="AB152" s="8">
        <v>1</v>
      </c>
      <c r="AC152" s="8" t="s">
        <v>1813</v>
      </c>
    </row>
    <row r="153" spans="1:29" ht="93">
      <c r="A153" s="45" t="s">
        <v>1030</v>
      </c>
      <c r="B153" s="92" t="s">
        <v>1039</v>
      </c>
      <c r="C153" s="45" t="s">
        <v>1048</v>
      </c>
      <c r="D153" s="108" t="s">
        <v>1142</v>
      </c>
      <c r="E153" s="201" t="s">
        <v>254</v>
      </c>
      <c r="F153" s="47" t="s">
        <v>1052</v>
      </c>
      <c r="G153" s="47" t="s">
        <v>148</v>
      </c>
      <c r="H153" s="202">
        <v>46204</v>
      </c>
      <c r="I153" s="210">
        <v>46264</v>
      </c>
      <c r="J153" s="84" t="s">
        <v>1202</v>
      </c>
      <c r="K153" s="81"/>
      <c r="L153" s="37" t="s">
        <v>33</v>
      </c>
      <c r="M153" s="80" t="str">
        <f t="shared" ca="1" si="10"/>
        <v/>
      </c>
      <c r="N153" s="37" t="str">
        <f t="shared" ca="1" si="11"/>
        <v/>
      </c>
      <c r="O153" s="81" t="str">
        <f t="shared" ca="1" si="12"/>
        <v/>
      </c>
      <c r="P153" s="81" t="str">
        <f t="shared" ca="1" si="13"/>
        <v/>
      </c>
      <c r="Q153" s="81" t="str">
        <f t="shared" ca="1" si="14"/>
        <v/>
      </c>
      <c r="R153" s="84" t="s">
        <v>1265</v>
      </c>
      <c r="S153" s="88"/>
      <c r="T153" s="152" t="s">
        <v>1560</v>
      </c>
      <c r="U153" s="153">
        <v>152</v>
      </c>
      <c r="V153" s="153"/>
      <c r="W153" s="153"/>
      <c r="X153" s="153"/>
      <c r="Y153" s="136"/>
      <c r="Z153" s="153"/>
      <c r="AA153" s="152"/>
      <c r="AB153" s="8">
        <v>1</v>
      </c>
      <c r="AC153" s="8" t="s">
        <v>1813</v>
      </c>
    </row>
    <row r="154" spans="1:29" ht="184.2">
      <c r="A154" s="45" t="s">
        <v>1030</v>
      </c>
      <c r="B154" s="92" t="s">
        <v>1039</v>
      </c>
      <c r="C154" s="45" t="s">
        <v>1058</v>
      </c>
      <c r="D154" s="108" t="s">
        <v>1144</v>
      </c>
      <c r="E154" s="201" t="s">
        <v>254</v>
      </c>
      <c r="F154" s="47" t="s">
        <v>1062</v>
      </c>
      <c r="G154" s="47" t="s">
        <v>148</v>
      </c>
      <c r="H154" s="202">
        <v>46204</v>
      </c>
      <c r="I154" s="210">
        <v>46264</v>
      </c>
      <c r="J154" s="84" t="s">
        <v>1204</v>
      </c>
      <c r="K154" s="81"/>
      <c r="L154" s="37" t="s">
        <v>33</v>
      </c>
      <c r="M154" s="80" t="str">
        <f t="shared" ca="1" si="10"/>
        <v/>
      </c>
      <c r="N154" s="37" t="str">
        <f t="shared" ca="1" si="11"/>
        <v/>
      </c>
      <c r="O154" s="81" t="str">
        <f t="shared" ca="1" si="12"/>
        <v/>
      </c>
      <c r="P154" s="81" t="str">
        <f t="shared" ca="1" si="13"/>
        <v/>
      </c>
      <c r="Q154" s="81" t="str">
        <f t="shared" ca="1" si="14"/>
        <v/>
      </c>
      <c r="R154" s="84" t="s">
        <v>1265</v>
      </c>
      <c r="S154" s="88"/>
      <c r="T154" s="152" t="s">
        <v>1560</v>
      </c>
      <c r="U154" s="153">
        <v>153</v>
      </c>
      <c r="V154" s="153"/>
      <c r="W154" s="153"/>
      <c r="X154" s="153"/>
      <c r="Y154" s="136"/>
      <c r="Z154" s="153"/>
      <c r="AA154" s="152"/>
      <c r="AB154" s="8">
        <v>1</v>
      </c>
      <c r="AC154" s="8" t="s">
        <v>1813</v>
      </c>
    </row>
    <row r="155" spans="1:29" ht="355.2">
      <c r="A155" s="45" t="s">
        <v>1030</v>
      </c>
      <c r="B155" s="92" t="s">
        <v>1039</v>
      </c>
      <c r="C155" s="45" t="s">
        <v>1076</v>
      </c>
      <c r="D155" s="108" t="s">
        <v>1146</v>
      </c>
      <c r="E155" s="201" t="s">
        <v>254</v>
      </c>
      <c r="F155" s="203" t="s">
        <v>1271</v>
      </c>
      <c r="G155" s="47" t="s">
        <v>1181</v>
      </c>
      <c r="H155" s="202">
        <v>46204</v>
      </c>
      <c r="I155" s="210">
        <v>46264</v>
      </c>
      <c r="J155" s="84" t="s">
        <v>1206</v>
      </c>
      <c r="K155" s="81"/>
      <c r="L155" s="37" t="s">
        <v>33</v>
      </c>
      <c r="M155" s="80" t="str">
        <f t="shared" ca="1" si="10"/>
        <v/>
      </c>
      <c r="N155" s="37" t="str">
        <f t="shared" ca="1" si="11"/>
        <v/>
      </c>
      <c r="O155" s="81" t="str">
        <f t="shared" ca="1" si="12"/>
        <v/>
      </c>
      <c r="P155" s="81" t="str">
        <f t="shared" ca="1" si="13"/>
        <v/>
      </c>
      <c r="Q155" s="81" t="str">
        <f t="shared" ca="1" si="14"/>
        <v/>
      </c>
      <c r="R155" s="84" t="s">
        <v>1267</v>
      </c>
      <c r="S155" s="88"/>
      <c r="T155" s="152" t="s">
        <v>1560</v>
      </c>
      <c r="U155" s="153">
        <v>154</v>
      </c>
      <c r="V155" s="153"/>
      <c r="W155" s="153"/>
      <c r="X155" s="153"/>
      <c r="Y155" s="136"/>
      <c r="Z155" s="153"/>
      <c r="AA155" s="152"/>
      <c r="AB155" s="8">
        <v>1</v>
      </c>
      <c r="AC155" s="21" t="s">
        <v>1844</v>
      </c>
    </row>
    <row r="156" spans="1:29" ht="229.8">
      <c r="A156" s="45" t="s">
        <v>1030</v>
      </c>
      <c r="B156" s="92" t="s">
        <v>1039</v>
      </c>
      <c r="C156" s="45" t="s">
        <v>1078</v>
      </c>
      <c r="D156" s="108" t="s">
        <v>1149</v>
      </c>
      <c r="E156" s="201" t="s">
        <v>254</v>
      </c>
      <c r="F156" s="47" t="s">
        <v>1121</v>
      </c>
      <c r="G156" s="47" t="s">
        <v>148</v>
      </c>
      <c r="H156" s="202">
        <v>46204</v>
      </c>
      <c r="I156" s="210">
        <v>46325</v>
      </c>
      <c r="J156" s="84" t="s">
        <v>1208</v>
      </c>
      <c r="K156" s="81"/>
      <c r="L156" s="37" t="s">
        <v>201</v>
      </c>
      <c r="M156" s="80">
        <f t="shared" ca="1" si="10"/>
        <v>43</v>
      </c>
      <c r="N156" s="37" t="str">
        <f t="shared" ca="1" si="11"/>
        <v/>
      </c>
      <c r="O156" s="81" t="str">
        <f t="shared" ca="1" si="12"/>
        <v/>
      </c>
      <c r="P156" s="81" t="str">
        <f t="shared" ca="1" si="13"/>
        <v/>
      </c>
      <c r="Q156" s="81" t="str">
        <f t="shared" ca="1" si="14"/>
        <v/>
      </c>
      <c r="R156" s="84" t="s">
        <v>1265</v>
      </c>
      <c r="S156" s="88"/>
      <c r="T156" s="152" t="s">
        <v>1560</v>
      </c>
      <c r="U156" s="153">
        <v>155</v>
      </c>
      <c r="V156" s="153"/>
      <c r="W156" s="153"/>
      <c r="X156" s="153"/>
      <c r="Y156" s="136"/>
      <c r="Z156" s="153"/>
      <c r="AA156" s="152"/>
      <c r="AB156" s="8">
        <v>1</v>
      </c>
      <c r="AC156" s="8" t="s">
        <v>1813</v>
      </c>
    </row>
    <row r="157" spans="1:29" ht="275.39999999999998">
      <c r="A157" s="45" t="s">
        <v>1030</v>
      </c>
      <c r="B157" s="92" t="s">
        <v>1039</v>
      </c>
      <c r="C157" s="45" t="s">
        <v>1080</v>
      </c>
      <c r="D157" s="108" t="s">
        <v>1152</v>
      </c>
      <c r="E157" s="201" t="s">
        <v>254</v>
      </c>
      <c r="F157" s="47" t="s">
        <v>1123</v>
      </c>
      <c r="G157" s="47" t="s">
        <v>1181</v>
      </c>
      <c r="H157" s="202">
        <v>46204</v>
      </c>
      <c r="I157" s="210">
        <v>46264</v>
      </c>
      <c r="J157" s="84" t="s">
        <v>1210</v>
      </c>
      <c r="K157" s="81"/>
      <c r="L157" s="37" t="s">
        <v>33</v>
      </c>
      <c r="M157" s="80" t="str">
        <f t="shared" ca="1" si="10"/>
        <v/>
      </c>
      <c r="N157" s="37" t="str">
        <f t="shared" ca="1" si="11"/>
        <v/>
      </c>
      <c r="O157" s="81" t="str">
        <f t="shared" ca="1" si="12"/>
        <v/>
      </c>
      <c r="P157" s="81" t="str">
        <f t="shared" ca="1" si="13"/>
        <v/>
      </c>
      <c r="Q157" s="81" t="str">
        <f t="shared" ca="1" si="14"/>
        <v/>
      </c>
      <c r="R157" s="84" t="s">
        <v>1267</v>
      </c>
      <c r="S157" s="88"/>
      <c r="T157" s="152" t="s">
        <v>1560</v>
      </c>
      <c r="U157" s="153">
        <v>156</v>
      </c>
      <c r="V157" s="153"/>
      <c r="W157" s="153"/>
      <c r="X157" s="153"/>
      <c r="Y157" s="136"/>
      <c r="Z157" s="153"/>
      <c r="AA157" s="152"/>
      <c r="AB157" s="8">
        <v>1</v>
      </c>
      <c r="AC157" s="21" t="s">
        <v>1844</v>
      </c>
    </row>
    <row r="158" spans="1:29" ht="138.6">
      <c r="A158" s="45" t="s">
        <v>1030</v>
      </c>
      <c r="B158" s="92" t="s">
        <v>1039</v>
      </c>
      <c r="C158" s="45" t="s">
        <v>1082</v>
      </c>
      <c r="D158" s="108" t="s">
        <v>1155</v>
      </c>
      <c r="E158" s="201" t="s">
        <v>254</v>
      </c>
      <c r="F158" s="47" t="s">
        <v>1125</v>
      </c>
      <c r="G158" s="47" t="s">
        <v>148</v>
      </c>
      <c r="H158" s="202">
        <v>46204</v>
      </c>
      <c r="I158" s="210">
        <v>46264</v>
      </c>
      <c r="J158" s="84" t="s">
        <v>1212</v>
      </c>
      <c r="K158" s="81"/>
      <c r="L158" s="37" t="s">
        <v>33</v>
      </c>
      <c r="M158" s="80" t="str">
        <f t="shared" ca="1" si="10"/>
        <v/>
      </c>
      <c r="N158" s="37" t="str">
        <f t="shared" ca="1" si="11"/>
        <v/>
      </c>
      <c r="O158" s="81" t="str">
        <f t="shared" ca="1" si="12"/>
        <v/>
      </c>
      <c r="P158" s="81" t="str">
        <f t="shared" ca="1" si="13"/>
        <v/>
      </c>
      <c r="Q158" s="81" t="str">
        <f t="shared" ca="1" si="14"/>
        <v/>
      </c>
      <c r="R158" s="84" t="s">
        <v>1265</v>
      </c>
      <c r="S158" s="88"/>
      <c r="T158" s="152" t="s">
        <v>1560</v>
      </c>
      <c r="U158" s="153">
        <v>157</v>
      </c>
      <c r="V158" s="153"/>
      <c r="W158" s="153"/>
      <c r="X158" s="153"/>
      <c r="Y158" s="136"/>
      <c r="Z158" s="153"/>
      <c r="AA158" s="152"/>
      <c r="AB158" s="8">
        <v>1</v>
      </c>
      <c r="AC158" s="8" t="s">
        <v>1813</v>
      </c>
    </row>
    <row r="159" spans="1:29" ht="81.599999999999994">
      <c r="A159" s="45" t="s">
        <v>1030</v>
      </c>
      <c r="B159" s="92" t="s">
        <v>1039</v>
      </c>
      <c r="C159" s="45" t="s">
        <v>1084</v>
      </c>
      <c r="D159" s="108" t="s">
        <v>1158</v>
      </c>
      <c r="E159" s="201" t="s">
        <v>254</v>
      </c>
      <c r="F159" s="203" t="s">
        <v>1272</v>
      </c>
      <c r="G159" s="47" t="s">
        <v>148</v>
      </c>
      <c r="H159" s="202">
        <v>46204</v>
      </c>
      <c r="I159" s="210">
        <v>46264</v>
      </c>
      <c r="J159" s="84" t="s">
        <v>1214</v>
      </c>
      <c r="K159" s="81"/>
      <c r="L159" s="37" t="s">
        <v>33</v>
      </c>
      <c r="M159" s="80" t="str">
        <f t="shared" ca="1" si="10"/>
        <v/>
      </c>
      <c r="N159" s="37" t="str">
        <f t="shared" ca="1" si="11"/>
        <v/>
      </c>
      <c r="O159" s="81" t="str">
        <f t="shared" ca="1" si="12"/>
        <v/>
      </c>
      <c r="P159" s="81" t="str">
        <f t="shared" ca="1" si="13"/>
        <v/>
      </c>
      <c r="Q159" s="81" t="str">
        <f t="shared" ca="1" si="14"/>
        <v/>
      </c>
      <c r="R159" s="84" t="s">
        <v>1265</v>
      </c>
      <c r="S159" s="88"/>
      <c r="T159" s="152" t="s">
        <v>1560</v>
      </c>
      <c r="U159" s="153">
        <v>158</v>
      </c>
      <c r="V159" s="153"/>
      <c r="W159" s="153"/>
      <c r="X159" s="153"/>
      <c r="Y159" s="136"/>
      <c r="Z159" s="153"/>
      <c r="AA159" s="152"/>
      <c r="AB159" s="8">
        <v>1</v>
      </c>
      <c r="AC159" s="8" t="s">
        <v>1813</v>
      </c>
    </row>
    <row r="160" spans="1:29" ht="138.6">
      <c r="A160" s="45" t="s">
        <v>1030</v>
      </c>
      <c r="B160" s="92" t="s">
        <v>1039</v>
      </c>
      <c r="C160" s="45" t="s">
        <v>1086</v>
      </c>
      <c r="D160" s="108" t="s">
        <v>1161</v>
      </c>
      <c r="E160" s="201" t="s">
        <v>254</v>
      </c>
      <c r="F160" s="47" t="s">
        <v>1130</v>
      </c>
      <c r="G160" s="47" t="s">
        <v>148</v>
      </c>
      <c r="H160" s="202">
        <v>46204</v>
      </c>
      <c r="I160" s="210">
        <v>46264</v>
      </c>
      <c r="J160" s="84" t="s">
        <v>1216</v>
      </c>
      <c r="K160" s="81"/>
      <c r="L160" s="37" t="s">
        <v>33</v>
      </c>
      <c r="M160" s="80" t="str">
        <f t="shared" ca="1" si="10"/>
        <v/>
      </c>
      <c r="N160" s="37" t="str">
        <f t="shared" ca="1" si="11"/>
        <v/>
      </c>
      <c r="O160" s="81" t="str">
        <f t="shared" ca="1" si="12"/>
        <v/>
      </c>
      <c r="P160" s="81" t="str">
        <f t="shared" ca="1" si="13"/>
        <v/>
      </c>
      <c r="Q160" s="81" t="str">
        <f t="shared" ca="1" si="14"/>
        <v/>
      </c>
      <c r="R160" s="84" t="s">
        <v>1265</v>
      </c>
      <c r="S160" s="88"/>
      <c r="T160" s="152" t="s">
        <v>1560</v>
      </c>
      <c r="U160" s="153">
        <v>159</v>
      </c>
      <c r="V160" s="153"/>
      <c r="W160" s="153"/>
      <c r="X160" s="153"/>
      <c r="Y160" s="136"/>
      <c r="Z160" s="153"/>
      <c r="AA160" s="152"/>
      <c r="AB160" s="8">
        <v>1</v>
      </c>
      <c r="AC160" s="8" t="s">
        <v>1813</v>
      </c>
    </row>
    <row r="161" spans="1:29" ht="150">
      <c r="A161" s="45" t="s">
        <v>1030</v>
      </c>
      <c r="B161" s="92" t="s">
        <v>1039</v>
      </c>
      <c r="C161" s="45" t="s">
        <v>1088</v>
      </c>
      <c r="D161" s="108" t="s">
        <v>1164</v>
      </c>
      <c r="E161" s="201" t="s">
        <v>254</v>
      </c>
      <c r="F161" s="47" t="s">
        <v>1132</v>
      </c>
      <c r="G161" s="47" t="s">
        <v>148</v>
      </c>
      <c r="H161" s="202">
        <v>46204</v>
      </c>
      <c r="I161" s="210">
        <v>46325</v>
      </c>
      <c r="J161" s="84" t="s">
        <v>1218</v>
      </c>
      <c r="K161" s="81"/>
      <c r="L161" s="37" t="s">
        <v>201</v>
      </c>
      <c r="M161" s="80">
        <f t="shared" ca="1" si="10"/>
        <v>43</v>
      </c>
      <c r="N161" s="37" t="str">
        <f t="shared" ca="1" si="11"/>
        <v/>
      </c>
      <c r="O161" s="81" t="str">
        <f t="shared" ca="1" si="12"/>
        <v/>
      </c>
      <c r="P161" s="81" t="str">
        <f t="shared" ca="1" si="13"/>
        <v/>
      </c>
      <c r="Q161" s="81" t="str">
        <f t="shared" ca="1" si="14"/>
        <v/>
      </c>
      <c r="R161" s="84" t="s">
        <v>1265</v>
      </c>
      <c r="S161" s="88"/>
      <c r="T161" s="152" t="s">
        <v>1560</v>
      </c>
      <c r="U161" s="153">
        <v>160</v>
      </c>
      <c r="V161" s="153"/>
      <c r="W161" s="153"/>
      <c r="X161" s="153"/>
      <c r="Y161" s="136"/>
      <c r="Z161" s="153"/>
      <c r="AA161" s="152"/>
      <c r="AB161" s="8">
        <v>1</v>
      </c>
      <c r="AC161" s="8" t="s">
        <v>1813</v>
      </c>
    </row>
    <row r="162" spans="1:29" ht="241.2">
      <c r="A162" s="45" t="s">
        <v>1030</v>
      </c>
      <c r="B162" s="92" t="s">
        <v>1039</v>
      </c>
      <c r="C162" s="45" t="s">
        <v>1090</v>
      </c>
      <c r="D162" s="108" t="s">
        <v>1167</v>
      </c>
      <c r="E162" s="201" t="s">
        <v>254</v>
      </c>
      <c r="F162" s="47" t="s">
        <v>1134</v>
      </c>
      <c r="G162" s="47" t="s">
        <v>148</v>
      </c>
      <c r="H162" s="202">
        <v>46204</v>
      </c>
      <c r="I162" s="210">
        <v>46264</v>
      </c>
      <c r="J162" s="84" t="s">
        <v>1220</v>
      </c>
      <c r="K162" s="81"/>
      <c r="L162" s="37" t="s">
        <v>33</v>
      </c>
      <c r="M162" s="80" t="str">
        <f t="shared" ca="1" si="10"/>
        <v/>
      </c>
      <c r="N162" s="37" t="str">
        <f t="shared" ca="1" si="11"/>
        <v/>
      </c>
      <c r="O162" s="81" t="str">
        <f t="shared" ca="1" si="12"/>
        <v/>
      </c>
      <c r="P162" s="81" t="str">
        <f t="shared" ca="1" si="13"/>
        <v/>
      </c>
      <c r="Q162" s="81" t="str">
        <f t="shared" ca="1" si="14"/>
        <v/>
      </c>
      <c r="R162" s="84" t="s">
        <v>1265</v>
      </c>
      <c r="S162" s="88"/>
      <c r="T162" s="152" t="s">
        <v>1560</v>
      </c>
      <c r="U162" s="153">
        <v>161</v>
      </c>
      <c r="V162" s="153"/>
      <c r="W162" s="153"/>
      <c r="X162" s="153"/>
      <c r="Y162" s="136"/>
      <c r="Z162" s="153"/>
      <c r="AA162" s="152"/>
      <c r="AB162" s="8">
        <v>1</v>
      </c>
      <c r="AC162" s="8" t="s">
        <v>1813</v>
      </c>
    </row>
    <row r="163" spans="1:29" ht="138.6">
      <c r="A163" s="45" t="s">
        <v>1030</v>
      </c>
      <c r="B163" s="92" t="s">
        <v>1039</v>
      </c>
      <c r="C163" s="45" t="s">
        <v>1092</v>
      </c>
      <c r="D163" s="108" t="s">
        <v>1170</v>
      </c>
      <c r="E163" s="201" t="s">
        <v>188</v>
      </c>
      <c r="F163" s="47" t="s">
        <v>1136</v>
      </c>
      <c r="G163" s="47" t="s">
        <v>148</v>
      </c>
      <c r="H163" s="202">
        <v>46204</v>
      </c>
      <c r="I163" s="210">
        <v>46325</v>
      </c>
      <c r="J163" s="84" t="s">
        <v>1222</v>
      </c>
      <c r="K163" s="81"/>
      <c r="L163" s="37" t="s">
        <v>201</v>
      </c>
      <c r="M163" s="80">
        <f t="shared" ca="1" si="10"/>
        <v>43</v>
      </c>
      <c r="N163" s="37" t="str">
        <f t="shared" ca="1" si="11"/>
        <v/>
      </c>
      <c r="O163" s="81" t="str">
        <f t="shared" ca="1" si="12"/>
        <v/>
      </c>
      <c r="P163" s="81" t="str">
        <f t="shared" ca="1" si="13"/>
        <v/>
      </c>
      <c r="Q163" s="81" t="str">
        <f t="shared" ca="1" si="14"/>
        <v/>
      </c>
      <c r="R163" s="84" t="s">
        <v>1265</v>
      </c>
      <c r="S163" s="88"/>
      <c r="T163" s="152" t="s">
        <v>1560</v>
      </c>
      <c r="U163" s="153">
        <v>162</v>
      </c>
      <c r="V163" s="153"/>
      <c r="W163" s="153"/>
      <c r="X163" s="153"/>
      <c r="Y163" s="136"/>
      <c r="Z163" s="153"/>
      <c r="AA163" s="152"/>
      <c r="AB163" s="8">
        <v>1</v>
      </c>
      <c r="AC163" s="8" t="s">
        <v>1813</v>
      </c>
    </row>
    <row r="164" spans="1:29" ht="104.4">
      <c r="A164" s="45" t="s">
        <v>1030</v>
      </c>
      <c r="B164" s="92" t="s">
        <v>1039</v>
      </c>
      <c r="C164" s="45" t="s">
        <v>1094</v>
      </c>
      <c r="D164" s="108" t="s">
        <v>1173</v>
      </c>
      <c r="E164" s="201" t="s">
        <v>188</v>
      </c>
      <c r="F164" s="47" t="s">
        <v>1138</v>
      </c>
      <c r="G164" s="47" t="s">
        <v>148</v>
      </c>
      <c r="H164" s="202">
        <v>46204</v>
      </c>
      <c r="I164" s="210">
        <v>46325</v>
      </c>
      <c r="J164" s="84" t="s">
        <v>1224</v>
      </c>
      <c r="K164" s="81"/>
      <c r="L164" s="37" t="s">
        <v>201</v>
      </c>
      <c r="M164" s="80">
        <f t="shared" ca="1" si="10"/>
        <v>43</v>
      </c>
      <c r="N164" s="37" t="str">
        <f t="shared" ca="1" si="11"/>
        <v/>
      </c>
      <c r="O164" s="81" t="str">
        <f t="shared" ca="1" si="12"/>
        <v/>
      </c>
      <c r="P164" s="81" t="str">
        <f t="shared" ca="1" si="13"/>
        <v/>
      </c>
      <c r="Q164" s="81" t="str">
        <f t="shared" ca="1" si="14"/>
        <v/>
      </c>
      <c r="R164" s="84" t="s">
        <v>1265</v>
      </c>
      <c r="S164" s="88"/>
      <c r="T164" s="152" t="s">
        <v>1560</v>
      </c>
      <c r="U164" s="153">
        <v>163</v>
      </c>
      <c r="V164" s="153"/>
      <c r="W164" s="153"/>
      <c r="X164" s="153"/>
      <c r="Y164" s="136"/>
      <c r="Z164" s="153"/>
      <c r="AA164" s="152"/>
      <c r="AB164" s="8">
        <v>1</v>
      </c>
      <c r="AC164" s="8" t="s">
        <v>1813</v>
      </c>
    </row>
    <row r="165" spans="1:29" ht="172.8">
      <c r="A165" s="45" t="s">
        <v>1030</v>
      </c>
      <c r="B165" s="92" t="s">
        <v>1039</v>
      </c>
      <c r="C165" s="45" t="s">
        <v>1096</v>
      </c>
      <c r="D165" s="108" t="s">
        <v>1176</v>
      </c>
      <c r="E165" s="201" t="s">
        <v>254</v>
      </c>
      <c r="F165" s="47" t="s">
        <v>1140</v>
      </c>
      <c r="G165" s="47" t="s">
        <v>148</v>
      </c>
      <c r="H165" s="202">
        <v>46204</v>
      </c>
      <c r="I165" s="210">
        <v>46325</v>
      </c>
      <c r="J165" s="84" t="s">
        <v>1226</v>
      </c>
      <c r="K165" s="81"/>
      <c r="L165" s="37" t="s">
        <v>201</v>
      </c>
      <c r="M165" s="80">
        <f t="shared" ca="1" si="10"/>
        <v>43</v>
      </c>
      <c r="N165" s="37" t="str">
        <f t="shared" ca="1" si="11"/>
        <v/>
      </c>
      <c r="O165" s="81" t="str">
        <f t="shared" ca="1" si="12"/>
        <v/>
      </c>
      <c r="P165" s="81" t="str">
        <f t="shared" ca="1" si="13"/>
        <v/>
      </c>
      <c r="Q165" s="81" t="str">
        <f t="shared" ca="1" si="14"/>
        <v/>
      </c>
      <c r="R165" s="84" t="s">
        <v>1265</v>
      </c>
      <c r="S165" s="88"/>
      <c r="T165" s="152" t="s">
        <v>1560</v>
      </c>
      <c r="U165" s="153">
        <v>164</v>
      </c>
      <c r="V165" s="153"/>
      <c r="W165" s="153"/>
      <c r="X165" s="153"/>
      <c r="Y165" s="136"/>
      <c r="Z165" s="153"/>
      <c r="AA165" s="152"/>
      <c r="AB165" s="8">
        <v>1</v>
      </c>
      <c r="AC165" s="8" t="s">
        <v>1813</v>
      </c>
    </row>
    <row r="166" spans="1:29">
      <c r="D166" s="158"/>
    </row>
  </sheetData>
  <sheetProtection pivotTables="0"/>
  <autoFilter ref="A1:AC165" xr:uid="{583BFC58-7A1F-417E-8D3C-AA30FB2C86FD}">
    <filterColumn colId="11">
      <filters>
        <filter val="Abierta"/>
        <filter val="Vencida"/>
      </filters>
    </filterColumn>
  </autoFilter>
  <hyperlinks>
    <hyperlink ref="J2" r:id="rId1" xr:uid="{529AEC7C-C30C-4D8A-A4E0-D78A8B2E9660}"/>
    <hyperlink ref="J3" r:id="rId2" xr:uid="{E8C091D9-7AE7-4DBF-9F82-B24E39F651E7}"/>
    <hyperlink ref="J4" r:id="rId3" xr:uid="{C9AC1CA0-5018-4233-98FD-164A8C1261CE}"/>
    <hyperlink ref="J5" r:id="rId4" xr:uid="{41E6FF84-3F33-47E4-B66C-8705030EC8E5}"/>
    <hyperlink ref="J7" r:id="rId5" xr:uid="{02527698-1AD8-471C-9CF8-F0DF19ECE6E1}"/>
    <hyperlink ref="J8" r:id="rId6" xr:uid="{3E3E66C7-9143-44BA-98ED-3A43A78DCB45}"/>
    <hyperlink ref="J10" r:id="rId7" xr:uid="{F05315C0-52B4-4BCF-AD2C-06FF3282A690}"/>
    <hyperlink ref="J11" r:id="rId8" xr:uid="{0E409724-B6FF-4E04-BB0E-5669DB35E04A}"/>
    <hyperlink ref="J12" r:id="rId9" xr:uid="{00F4DE4C-980B-4968-AEA4-5010B3280423}"/>
    <hyperlink ref="J13" r:id="rId10" xr:uid="{FB8DFE58-E626-4A9B-A05F-8BA9686E0B90}"/>
    <hyperlink ref="J14" r:id="rId11" xr:uid="{90F294BF-D4C4-43CC-8D98-C492D21A5A50}"/>
    <hyperlink ref="J15" r:id="rId12" xr:uid="{A4E3F48C-C796-4D55-BBAC-899EE123B97B}"/>
    <hyperlink ref="J16" r:id="rId13" xr:uid="{9E89C09B-EC72-4D95-B5D9-AF462443487C}"/>
    <hyperlink ref="J17" r:id="rId14" xr:uid="{C597DF81-5E6D-48E6-9471-13ED1B7B44A3}"/>
    <hyperlink ref="J18" r:id="rId15" xr:uid="{21A14988-753F-4752-B62F-B8C64C7BDC6F}"/>
    <hyperlink ref="J19" r:id="rId16" xr:uid="{26D673C7-5DE3-4154-B67C-A42DDA6DAE39}"/>
    <hyperlink ref="J20" r:id="rId17" xr:uid="{569AC9DA-1CFF-4F86-99AD-AFA5ABF35CF1}"/>
    <hyperlink ref="J21" r:id="rId18" xr:uid="{44985E0B-9DFA-4982-89AB-908409F66785}"/>
    <hyperlink ref="J22" r:id="rId19" xr:uid="{7A391027-F805-4FC0-A58E-EF1F34FEDDC3}"/>
    <hyperlink ref="J23" r:id="rId20" xr:uid="{88EF2A27-E8DC-4E37-8409-817539D7D30C}"/>
    <hyperlink ref="J24" r:id="rId21" xr:uid="{9725218E-4CC1-45C9-A65B-63380189CBA7}"/>
    <hyperlink ref="J25" r:id="rId22" xr:uid="{5A8581EC-31EE-4BFB-B9FC-866AE564CBFD}"/>
    <hyperlink ref="J26" r:id="rId23" xr:uid="{629F7770-249A-465C-B42B-A3D9A738ED28}"/>
    <hyperlink ref="J6" r:id="rId24" xr:uid="{0188AD16-6966-4667-BC99-23562E131010}"/>
    <hyperlink ref="J29" r:id="rId25" xr:uid="{5055F426-488A-41CA-A5A3-B1FD8A700D7D}"/>
    <hyperlink ref="J30" r:id="rId26" xr:uid="{85F7EB5C-D912-4A43-9DBA-595ED6753EFC}"/>
    <hyperlink ref="J32" r:id="rId27" xr:uid="{D0EA8D7F-F87C-476B-9931-EE9E965C920F}"/>
    <hyperlink ref="J33" r:id="rId28" xr:uid="{C311580D-8DFA-4968-91A4-99DA71BE9489}"/>
    <hyperlink ref="J34" r:id="rId29" xr:uid="{9597A14C-DB5B-49C8-9C93-54CD6E4391D8}"/>
    <hyperlink ref="J36" r:id="rId30" xr:uid="{940C8ECC-0C3C-4A43-8A3C-8C81E16A8CA7}"/>
    <hyperlink ref="J37" r:id="rId31" xr:uid="{AF333D6A-8B9E-401E-BFB9-3474EBA9779B}"/>
    <hyperlink ref="J38" r:id="rId32" xr:uid="{0429C29A-6A4F-425A-B7E0-AF0A54E32B2B}"/>
    <hyperlink ref="J39" r:id="rId33" xr:uid="{B2B8033D-F7F8-4AE0-B74E-33DC34B480A8}"/>
    <hyperlink ref="J42" r:id="rId34" xr:uid="{231F2114-BC6E-4740-B277-C569EF5CF6F8}"/>
    <hyperlink ref="J43" r:id="rId35" xr:uid="{B095DED1-F70D-41A7-940F-1365A26D57B3}"/>
    <hyperlink ref="J40" r:id="rId36" xr:uid="{FC4696BD-75EE-469A-8E3C-B60A27850838}"/>
    <hyperlink ref="J41" r:id="rId37" xr:uid="{76A0E26C-A017-4DA0-8405-BA2BE0C72837}"/>
    <hyperlink ref="J45" r:id="rId38" xr:uid="{8E2A60B0-3103-4A23-8CB2-3B9C68B366A1}"/>
    <hyperlink ref="J46" r:id="rId39" xr:uid="{C75BF652-0C6A-45FD-9787-6830112768D7}"/>
    <hyperlink ref="J62" r:id="rId40" xr:uid="{78DAC85C-20E8-47BA-8F9F-70CBF20F8C57}"/>
    <hyperlink ref="J52" r:id="rId41" xr:uid="{6CDA34EF-2322-4772-97AB-6B2420C8F3FD}"/>
    <hyperlink ref="J61" r:id="rId42" xr:uid="{05D28014-5BA6-48E7-A352-BC9EBDDC2CAE}"/>
    <hyperlink ref="J63" r:id="rId43" xr:uid="{7FC8DCE8-1EF4-4441-BF0F-DACB45978A6F}"/>
    <hyperlink ref="J64" r:id="rId44" xr:uid="{8A2081B5-376C-4249-84C6-07A77C13A15F}"/>
    <hyperlink ref="J48" r:id="rId45" xr:uid="{DDF3DA2A-48E2-437F-B351-85D2938C6472}"/>
    <hyperlink ref="J49" r:id="rId46" xr:uid="{50722DDC-5D1A-4B04-8793-74DE2CEDD767}"/>
    <hyperlink ref="J51" r:id="rId47" xr:uid="{1037D05D-D5C2-423A-AEE3-E2F312B540F6}"/>
    <hyperlink ref="J50" r:id="rId48" xr:uid="{42AD0D66-07C6-4A77-B264-F1195EF1BE54}"/>
    <hyperlink ref="J55" r:id="rId49" xr:uid="{DE781D33-50E6-4F00-96B3-E19CEE412B2F}"/>
    <hyperlink ref="J56" r:id="rId50" xr:uid="{CAA56157-6D7C-4958-8922-69D94CF9E977}"/>
    <hyperlink ref="J57" r:id="rId51" xr:uid="{43719621-F4DC-428D-9FB3-C7FD93A9A196}"/>
    <hyperlink ref="J58" r:id="rId52" xr:uid="{B3486B9A-B95D-44F8-AF9C-8FF32843A848}"/>
    <hyperlink ref="J59" r:id="rId53" xr:uid="{AED23CC0-3E66-4A5A-A831-31AB9CA3568D}"/>
    <hyperlink ref="J65" r:id="rId54" xr:uid="{66AD070A-034F-463A-B9D6-7616F4F3C71E}"/>
    <hyperlink ref="J66" r:id="rId55" xr:uid="{5312D8E3-3FD3-4812-BB56-7B9B79B0E165}"/>
    <hyperlink ref="J67" r:id="rId56" xr:uid="{0262558A-3705-4BB2-A4E2-DC5060961134}"/>
    <hyperlink ref="J69" r:id="rId57" xr:uid="{B0B671BA-57CA-4125-8B2F-BE280E56F9CF}"/>
    <hyperlink ref="J70" r:id="rId58" xr:uid="{BB395738-E26A-446E-BF20-4F3905DB3D19}"/>
    <hyperlink ref="J71" r:id="rId59" xr:uid="{0C3A14C8-AA9D-48C9-8656-4BDE3D5887F7}"/>
    <hyperlink ref="J72" r:id="rId60" xr:uid="{17E7440F-80E2-4D77-AA02-0E76FF9FF32F}"/>
    <hyperlink ref="J73" r:id="rId61" xr:uid="{A14C7650-DF5C-4E62-BEC0-5FD9F986FFF3}"/>
    <hyperlink ref="J74" r:id="rId62" xr:uid="{28FF5BF9-A490-41B3-B073-735F6C26EBB3}"/>
    <hyperlink ref="J75" r:id="rId63" xr:uid="{F783A9F8-2CAE-4552-AFC6-896091916E32}"/>
    <hyperlink ref="J76" r:id="rId64" xr:uid="{2B229A02-5C2E-49B3-93F2-89F507417C3F}"/>
    <hyperlink ref="J83" r:id="rId65" xr:uid="{A1F2B77F-EB41-4BE7-8AE5-5EE181F4424D}"/>
    <hyperlink ref="J84" r:id="rId66" xr:uid="{E54F1D7B-A84C-46E3-88D0-8F5974FCEA1F}"/>
    <hyperlink ref="J85" r:id="rId67" xr:uid="{72A71495-5D6C-46C8-BB28-37494766098B}"/>
    <hyperlink ref="J86" r:id="rId68" xr:uid="{D54F21A0-FC82-415D-93AB-A56FBD7177A6}"/>
    <hyperlink ref="J87" r:id="rId69" xr:uid="{81A3155F-E02B-407C-B1A6-FEF1C9315796}"/>
    <hyperlink ref="J88" r:id="rId70" xr:uid="{598FBC9E-4150-4B62-BAA6-40D507F36127}"/>
    <hyperlink ref="J89" r:id="rId71" xr:uid="{A60AE80C-CE87-4E8C-96EB-F7D5D653D462}"/>
    <hyperlink ref="J90" r:id="rId72" xr:uid="{A3DF01B3-B3C5-463E-99E1-5988CB3A89DB}"/>
    <hyperlink ref="J54" r:id="rId73" xr:uid="{F95FD32B-5E35-47DB-99CA-38D84FA6469E}"/>
    <hyperlink ref="J77" r:id="rId74" xr:uid="{44C4DABD-8083-4DF1-A1FA-C0BB1E963EC3}"/>
    <hyperlink ref="J78" r:id="rId75" xr:uid="{DE088648-7156-4856-A707-2B4A39190EFE}"/>
    <hyperlink ref="J79" r:id="rId76" xr:uid="{22829FDD-535E-4BE2-ABF7-1CC6C9429627}"/>
    <hyperlink ref="J91" r:id="rId77" xr:uid="{53D1C7E1-A83D-4993-A4FB-1100F3EA4B89}"/>
    <hyperlink ref="J92" r:id="rId78" xr:uid="{99108E7B-D14F-42C8-B05B-0B4A3407078D}"/>
    <hyperlink ref="J80" r:id="rId79" xr:uid="{E2A6A740-97F8-4514-9B7C-72107E2E831D}"/>
    <hyperlink ref="J81" r:id="rId80" xr:uid="{ECE6776F-9419-4ED3-AE04-586D04F7126D}"/>
    <hyperlink ref="J82" r:id="rId81" xr:uid="{36756F33-C999-41B4-BB50-99A142E7D4AC}"/>
    <hyperlink ref="J93" r:id="rId82" xr:uid="{F1BDA4AE-FFE8-4DE3-B9D8-A24F434DDF30}"/>
    <hyperlink ref="J94" r:id="rId83" xr:uid="{B0D4133E-86E4-4912-B63B-0AAAB4D4CA98}"/>
    <hyperlink ref="J95" r:id="rId84" xr:uid="{CFB2966E-8175-4505-B18D-242C25AC668A}"/>
    <hyperlink ref="J96" r:id="rId85" xr:uid="{8689F4A4-3487-4AF9-9303-AAE9A79997D1}"/>
    <hyperlink ref="J97" r:id="rId86" xr:uid="{A1B5E2D8-19D6-4BDF-86C6-96478B0B8952}"/>
    <hyperlink ref="J98" r:id="rId87" xr:uid="{A21A6E99-B344-43B7-AEE9-F50CE27C782F}"/>
    <hyperlink ref="J99" r:id="rId88" xr:uid="{2998B671-FA5C-432C-BB85-661E72A4B2DA}"/>
    <hyperlink ref="J100" r:id="rId89" xr:uid="{61F2AA3E-B719-4DEC-B642-46261E58D1A9}"/>
    <hyperlink ref="J101" r:id="rId90" xr:uid="{9B9A1574-7995-495E-9689-90DE67B1FF31}"/>
    <hyperlink ref="J102" r:id="rId91" xr:uid="{FEBC3F58-DADE-4B7D-8088-A13AD43EEF27}"/>
    <hyperlink ref="J103" r:id="rId92" xr:uid="{DB02C6D7-022E-4F09-97E8-E0D81223EE13}"/>
    <hyperlink ref="J104" r:id="rId93" xr:uid="{6F0A4AE8-7732-4145-ACA4-41D33A5F86DB}"/>
    <hyperlink ref="J105" r:id="rId94" xr:uid="{B553E7F6-151B-4E81-B6D2-DDF83CFAB65D}"/>
    <hyperlink ref="J107" r:id="rId95" xr:uid="{943A40EE-A39C-4C6B-A94F-173A0AEEDECF}"/>
    <hyperlink ref="J109" r:id="rId96" xr:uid="{00FC5065-E01B-454F-8DC4-5E9709B89654}"/>
    <hyperlink ref="J108" r:id="rId97" xr:uid="{FFD5798B-274F-4066-888C-A76E8A510845}"/>
    <hyperlink ref="J110" r:id="rId98" xr:uid="{12BE6B64-CCC7-4A20-AD07-FA7C67423DAB}"/>
    <hyperlink ref="J112" r:id="rId99" xr:uid="{14532939-210E-43A2-A678-335F7C134826}"/>
    <hyperlink ref="J114" r:id="rId100" xr:uid="{A3B7EDA0-0F13-4033-8ECF-EC9F14034B0B}"/>
    <hyperlink ref="J115" r:id="rId101" xr:uid="{DBD7CCB4-61B4-4E48-B16D-03DF8B52EB32}"/>
    <hyperlink ref="J111" r:id="rId102" xr:uid="{0C03DB83-C43F-45CF-BDC2-C8AEEC76E9DF}"/>
    <hyperlink ref="J113" r:id="rId103" xr:uid="{8E006D80-1879-4C32-823E-FA4C78AF01E6}"/>
    <hyperlink ref="J116" r:id="rId104" xr:uid="{11BD3CE8-0061-4180-8D48-9681DC68B274}"/>
    <hyperlink ref="J117" r:id="rId105" xr:uid="{F8CBA2E0-AE3E-48B3-8900-B0F9CD09B8E8}"/>
    <hyperlink ref="J118" r:id="rId106" xr:uid="{96AE0B7B-D11B-4553-ACE6-2FE153CA0A7E}"/>
    <hyperlink ref="J119" r:id="rId107" xr:uid="{3D94091F-AA38-46BD-BA9A-192B26A9D7A2}"/>
    <hyperlink ref="J120" r:id="rId108" xr:uid="{730671EA-ACCB-494E-A3EC-AADF6A2DBC8F}"/>
    <hyperlink ref="J121:J124" r:id="rId109" display="https://drive.google.com/drive/u/0/folders/1-wTHBAqsEvDtGobro6-Hp7NzPYFVnZTJ" xr:uid="{4506EBC9-1AE4-4C44-A422-FA1601107CCA}"/>
    <hyperlink ref="J125" r:id="rId110" xr:uid="{78C874B0-8B40-4262-9C78-7AC2E0CF11C8}"/>
    <hyperlink ref="J126:J127" r:id="rId111" display="https://drive.google.com/drive/u/0/folders/1U9cTDhrtKysQ5qa8J1fASSnvtIJNxoAN" xr:uid="{66E04D5E-BF4D-477A-B87E-05E0A0CDF65F}"/>
    <hyperlink ref="J129" r:id="rId112" xr:uid="{F48E5E8A-AA21-4C6D-9618-E2DA5E7B260E}"/>
    <hyperlink ref="J130" r:id="rId113" xr:uid="{D967B6C3-6A44-4175-9F41-6A5C8D0F43D0}"/>
    <hyperlink ref="J132" r:id="rId114" xr:uid="{D80210E9-1815-4D58-A340-61BFEC5887D1}"/>
    <hyperlink ref="J133" r:id="rId115" xr:uid="{1854A1EB-0D14-4D45-8FDA-EB39C0C279B5}"/>
    <hyperlink ref="J134" r:id="rId116" xr:uid="{AAC06349-1389-4616-B48C-EC8DDC3777A6}"/>
    <hyperlink ref="J135" r:id="rId117" xr:uid="{4EA17A62-5EEA-4F89-92F2-263EFEDE5D39}"/>
    <hyperlink ref="J136" r:id="rId118" xr:uid="{F1F3C0C0-83C6-4C83-AB06-6C058D74DE75}"/>
    <hyperlink ref="J128" r:id="rId119" xr:uid="{BEE013BF-F21B-4849-B356-FCB9689D2B44}"/>
    <hyperlink ref="J137" r:id="rId120" xr:uid="{9C171BCF-DAF5-490B-8270-035B97C933AC}"/>
    <hyperlink ref="J138" r:id="rId121" xr:uid="{3D074D5F-13AE-4536-ADF9-A282F85D5784}"/>
    <hyperlink ref="J47" r:id="rId122" xr:uid="{0B16BE3B-316A-478C-9EDE-6D6E8EDD8896}"/>
    <hyperlink ref="J60" r:id="rId123" xr:uid="{85E48059-29F3-44E0-A7AE-38955D87F831}"/>
    <hyperlink ref="J140" r:id="rId124" xr:uid="{8A6DE7DE-D6A7-4A1D-9F95-27BB2D6B4556}"/>
    <hyperlink ref="J141" r:id="rId125" xr:uid="{128351F8-101F-4E80-9617-66CBD7A24689}"/>
    <hyperlink ref="J142" r:id="rId126" xr:uid="{00CF99FB-50BF-40D6-92EE-7A9ADC8E1705}"/>
    <hyperlink ref="J143" r:id="rId127" xr:uid="{F116CE5E-1A93-4CAA-8A41-357E8B1FBA84}"/>
    <hyperlink ref="J145" r:id="rId128" xr:uid="{DCD90886-4162-4A8C-8278-52B09B656FC5}"/>
    <hyperlink ref="J146" r:id="rId129" xr:uid="{A104AC97-DD90-4315-A4C2-C6686C46EFCD}"/>
    <hyperlink ref="J144" r:id="rId130" xr:uid="{B323563A-1BF2-4758-B0DB-008F62EC7CE1}"/>
    <hyperlink ref="J147" r:id="rId131" xr:uid="{375B004D-6EEB-4517-8A59-8A6C522D64D9}"/>
    <hyperlink ref="J44" r:id="rId132" xr:uid="{68C35F02-AE1D-45E4-BB1C-4A7690C1B544}"/>
    <hyperlink ref="J131" r:id="rId133" xr:uid="{F2CB57E6-770E-4D43-80B4-E4FC07D637EA}"/>
    <hyperlink ref="J139" r:id="rId134" xr:uid="{BDCCF464-91B0-4955-9E2E-95304D246169}"/>
    <hyperlink ref="J68" r:id="rId135" xr:uid="{00F586D6-8003-442A-BCD6-12D89B3C4A6F}"/>
    <hyperlink ref="J53" r:id="rId136" xr:uid="{EFDD38C2-2ED2-4ED8-82B0-E5B0CE927AE4}"/>
    <hyperlink ref="R51" r:id="rId137" xr:uid="{A9E9BE77-E97D-40A2-8AFE-9C6DB8598DBE}"/>
    <hyperlink ref="R54" r:id="rId138" xr:uid="{EBA756DE-A512-45C1-AEF1-E6C3B3794EE8}"/>
    <hyperlink ref="R59" r:id="rId139" xr:uid="{8F847B11-AD44-4F82-A051-87DD978C1A25}"/>
    <hyperlink ref="R60" r:id="rId140" xr:uid="{A77E245D-B331-4234-BDD5-8284A15DB69D}"/>
    <hyperlink ref="R69" r:id="rId141" xr:uid="{3D318482-09CA-44FD-94C3-492EA6D0DF91}"/>
    <hyperlink ref="R73" r:id="rId142" xr:uid="{0868EB59-8DF2-47D2-AE25-5BF39ED57025}"/>
    <hyperlink ref="R78" r:id="rId143" xr:uid="{2E8F212A-B35E-45DA-B3D9-ED9B9DD9C84A}"/>
    <hyperlink ref="R81" r:id="rId144" xr:uid="{DA75B1E5-ED8E-4E8E-8D6A-D9BB99C1DDBB}"/>
    <hyperlink ref="R93" r:id="rId145" xr:uid="{83827215-A203-4A1B-8FEF-23BA9E27309C}"/>
    <hyperlink ref="R94" r:id="rId146" xr:uid="{36DCC585-AF45-4452-81DF-A3CB21FAEE0E}"/>
    <hyperlink ref="R97" r:id="rId147" xr:uid="{F2B67F41-9A34-48C2-A784-D4674773A489}"/>
    <hyperlink ref="R100" r:id="rId148" xr:uid="{69ACA66C-2034-47E4-835A-1751BD5BE26A}"/>
    <hyperlink ref="R101" r:id="rId149" xr:uid="{D7A76041-B86E-41D9-AE55-FDB227E6E982}"/>
    <hyperlink ref="R102" r:id="rId150" xr:uid="{07F62F6F-F741-4416-A22F-00D2CC1C955E}"/>
    <hyperlink ref="R104" r:id="rId151" xr:uid="{18B266F6-46FF-4BAB-8843-899DE6EAED55}"/>
    <hyperlink ref="R105" r:id="rId152" xr:uid="{91B53F5E-789D-454A-8987-569260F82D96}"/>
    <hyperlink ref="R107" r:id="rId153" display="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xr:uid="{B8BB97C1-97FF-4BC5-8CD5-D2140783B09A}"/>
    <hyperlink ref="R108" r:id="rId154" xr:uid="{C18FD095-FA3A-4DB4-8897-90F6929818BE}"/>
    <hyperlink ref="R109" r:id="rId155" xr:uid="{B0CDEF38-65B4-4295-A03B-33D6D7F444D5}"/>
    <hyperlink ref="R110" r:id="rId156" xr:uid="{02BAC76B-0129-4E8F-AD2B-8C7963446A63}"/>
    <hyperlink ref="R111" r:id="rId157" xr:uid="{15C1C8A5-E429-444E-A1C7-6814918F40CA}"/>
    <hyperlink ref="R112" r:id="rId158" xr:uid="{DD4085E8-A6E3-47BF-BE3F-7797606B877B}"/>
    <hyperlink ref="R113" r:id="rId159" xr:uid="{2CFF17CB-8788-4273-A47C-3E8A481F07E5}"/>
    <hyperlink ref="R114" r:id="rId160" xr:uid="{42F2F1A6-1E4E-4B2D-9AD2-E4315759DE49}"/>
    <hyperlink ref="R115" r:id="rId161" xr:uid="{A9EF2DF0-E313-4650-98EB-4E4399E5A11B}"/>
    <hyperlink ref="R116" r:id="rId162" xr:uid="{8712251B-38C4-42BF-881E-F66AC91A844E}"/>
    <hyperlink ref="R117" r:id="rId163" xr:uid="{46B64C08-0661-4BBF-A384-49944C8B8ED8}"/>
    <hyperlink ref="R118" r:id="rId164" xr:uid="{93F00528-74E0-48F2-A7CA-A59D06D8DEE2}"/>
    <hyperlink ref="R119" r:id="rId165" xr:uid="{F6DCE0B2-37DB-46F0-8FC8-033ABAC4D2EC}"/>
    <hyperlink ref="R120" r:id="rId166" xr:uid="{3312811C-605F-4D9C-9FF7-5035D2F9D8CA}"/>
    <hyperlink ref="R121" r:id="rId167" xr:uid="{536C3FC1-9ACA-4C87-BAED-0C204A010A28}"/>
    <hyperlink ref="R122" r:id="rId168" xr:uid="{D4F3A6A1-38E4-4BA0-AEC5-F739C7F46530}"/>
    <hyperlink ref="R123" r:id="rId169" xr:uid="{BFE560EF-05FE-465D-9F11-409A3F651E34}"/>
    <hyperlink ref="R124" r:id="rId170" xr:uid="{2D7511D8-8EE8-43FA-B7D0-C03339DDBAB0}"/>
    <hyperlink ref="R125" r:id="rId171" xr:uid="{AB01129F-F08B-492E-8E1A-7F2523DEDDDE}"/>
    <hyperlink ref="R126" r:id="rId172" xr:uid="{902E08BC-7E7F-4918-8D42-BE0AD383C9B1}"/>
    <hyperlink ref="R127" r:id="rId173" xr:uid="{F9E57369-230D-42BF-BAC1-3CAC9914EB16}"/>
    <hyperlink ref="R128" r:id="rId174" xr:uid="{5154CAFD-3FA8-48A8-8D0F-844E16ADB2FD}"/>
    <hyperlink ref="R132" r:id="rId175" xr:uid="{FA8DC214-944C-4B2D-B0BE-65F9D869F65F}"/>
    <hyperlink ref="R133" r:id="rId176" xr:uid="{6F9A1DC1-3979-41D0-AFB6-E2A5983A8190}"/>
    <hyperlink ref="R134" r:id="rId177" xr:uid="{C216709C-ACD8-4E96-A724-889E25753447}"/>
    <hyperlink ref="R135" r:id="rId178" xr:uid="{85D14F43-45F0-4C97-9C20-200F14878C00}"/>
    <hyperlink ref="R136" r:id="rId179" xr:uid="{503BB6B9-C24F-447A-B105-9291B1AFEF3F}"/>
    <hyperlink ref="R137" r:id="rId180" xr:uid="{B5FDD5CA-A966-45BA-A5B8-6E25AC4CA11A}"/>
    <hyperlink ref="R138" r:id="rId181" xr:uid="{CAD5EB74-730C-4133-A43F-43DBE9E3D7F7}"/>
    <hyperlink ref="R142" r:id="rId182" xr:uid="{E19B3F53-738F-460C-A195-A2DCBAF38189}"/>
    <hyperlink ref="R143" r:id="rId183" xr:uid="{D15AF0F9-2D6C-422E-8996-C50830E75E07}"/>
    <hyperlink ref="R144" r:id="rId184" xr:uid="{559AE359-1F49-49EA-91FD-86B7FD892C66}"/>
    <hyperlink ref="R145" r:id="rId185" xr:uid="{5442A4E9-3C5D-4C35-A226-FEEFF73465F5}"/>
    <hyperlink ref="R146" r:id="rId186" xr:uid="{0DA011E4-39E3-4B1C-9F2C-91D2B6D71CF4}"/>
    <hyperlink ref="R147" r:id="rId187" xr:uid="{515BA1B3-48DA-4D02-AA4F-E0589D83DB86}"/>
    <hyperlink ref="R80" r:id="rId188" xr:uid="{60BD625C-72B5-45B6-B6FF-F055A7957FD4}"/>
    <hyperlink ref="R96" r:id="rId189" xr:uid="{751733F5-737A-4161-AA77-5C6E5E393D66}"/>
    <hyperlink ref="R103" r:id="rId190" xr:uid="{CCC30354-0A5E-40F9-91A0-00E3E70727C9}"/>
    <hyperlink ref="R42" r:id="rId191" xr:uid="{2CC8A4B1-2005-4346-82E6-0D3A6D5D6FE9}"/>
    <hyperlink ref="R5" r:id="rId192" xr:uid="{2FA66495-84D3-4EA4-AFDF-7EDC380773D7}"/>
    <hyperlink ref="R6" r:id="rId193" xr:uid="{5B493B19-E743-451C-8941-7FF136AFC667}"/>
    <hyperlink ref="R49" r:id="rId194" xr:uid="{F92C916B-8ED0-40E0-B716-2633176FCA1A}"/>
    <hyperlink ref="R47" r:id="rId195" xr:uid="{407BA7CD-16C1-459E-BC92-0E4D9B3B6094}"/>
    <hyperlink ref="R30" r:id="rId196" xr:uid="{AE86B3FE-0EDC-4017-9495-B3C8BEC9FE79}"/>
    <hyperlink ref="R139" r:id="rId197" xr:uid="{23F1E034-082C-4D44-BB44-6D539E8B96EF}"/>
    <hyperlink ref="R53" r:id="rId198" xr:uid="{E9344514-92D7-4971-970E-A9DC84BF8441}"/>
    <hyperlink ref="J148" r:id="rId199" xr:uid="{D98CFB87-D7F0-4FEC-A35D-64456B9AD0F3}"/>
    <hyperlink ref="J149" r:id="rId200" xr:uid="{BFD4534D-AEE3-4A79-91E6-01F3E41B677C}"/>
    <hyperlink ref="J150" r:id="rId201" xr:uid="{ABB21387-E67E-4915-97F0-3599B69012C2}"/>
    <hyperlink ref="J151" r:id="rId202" xr:uid="{60556B49-30EF-4E1E-B51D-2AC27FA5FB41}"/>
    <hyperlink ref="R148" r:id="rId203" xr:uid="{0D32579E-16DF-4E85-A13D-167BD876D3A7}"/>
    <hyperlink ref="R151" r:id="rId204" xr:uid="{62AB1826-110A-4872-9AD2-B920C0F15B6D}"/>
    <hyperlink ref="R150" r:id="rId205" xr:uid="{2E83EE08-DB1A-41C3-8712-7B8135A481EC}"/>
    <hyperlink ref="R149" r:id="rId206" xr:uid="{4316234D-CD50-403B-A861-C2BDFEFEDE73}"/>
    <hyperlink ref="J152" r:id="rId207" xr:uid="{D244C895-0198-4CE0-A69F-6DD3ACA4D15F}"/>
    <hyperlink ref="J153" r:id="rId208" xr:uid="{BAB778A0-3828-4D7B-8969-326B3A947DF7}"/>
    <hyperlink ref="J154" r:id="rId209" xr:uid="{96DE3807-C1B4-4201-B59C-3D941E511D50}"/>
    <hyperlink ref="J155" r:id="rId210" xr:uid="{5C59307C-92E6-4184-855E-AFEF791C1661}"/>
    <hyperlink ref="J156" r:id="rId211" xr:uid="{90FF7C64-1334-4654-9E08-D1500527DB6B}"/>
    <hyperlink ref="J157" r:id="rId212" xr:uid="{C366D1E1-014D-4C03-A16D-99513CCEC617}"/>
    <hyperlink ref="J158" r:id="rId213" xr:uid="{79BB2D01-E564-41CF-A475-010381D06BED}"/>
    <hyperlink ref="J159" r:id="rId214" xr:uid="{A276FB0A-DA31-40B6-A0CC-C93AB0C539EA}"/>
    <hyperlink ref="J160" r:id="rId215" xr:uid="{15329BEA-06AB-470E-9B92-B53C3808EEEF}"/>
    <hyperlink ref="J161" r:id="rId216" xr:uid="{341030B2-F92E-411D-9CBD-E540EDA4891D}"/>
    <hyperlink ref="J162" r:id="rId217" xr:uid="{1BB70717-D01E-405D-82F4-07C45A42D19E}"/>
    <hyperlink ref="J163" r:id="rId218" xr:uid="{347B4E5B-B7E5-4AEA-ACA9-0EF50FBF899A}"/>
    <hyperlink ref="J164" r:id="rId219" xr:uid="{F45EC769-D359-4AE2-9893-A542F5FE50A9}"/>
    <hyperlink ref="J165" r:id="rId220" xr:uid="{D6CB39FD-C254-4703-BB37-59502577ADC7}"/>
    <hyperlink ref="R152" r:id="rId221" xr:uid="{FA8CE372-0F16-4119-B08C-B40ADE0F642E}"/>
    <hyperlink ref="R153:R154" r:id="rId222" display="julio.mosquera@terminaldetransporte.gov.co,marcela.angarita@terminaldetransporte.gov.co" xr:uid="{CDA1C06B-46F3-429C-8C2F-0C5255111B4A}"/>
    <hyperlink ref="R154" r:id="rId223" xr:uid="{3C17AE70-F432-49E9-B0E0-0A3B80371264}"/>
    <hyperlink ref="R155" r:id="rId224" xr:uid="{BE184035-A20A-417C-A704-0C99F8470549}"/>
    <hyperlink ref="R157" r:id="rId225" xr:uid="{BB7A4751-6D88-4810-944E-F06F6A54AF98}"/>
    <hyperlink ref="R156" r:id="rId226" xr:uid="{F230C285-0436-43EA-B6F2-4DB08DEF36FD}"/>
    <hyperlink ref="R158:R165" r:id="rId227" display="julio.mosquera@terminaldetransporte.gov.co,marcela.angarita@terminaldetransporte.gov.co" xr:uid="{6F40F381-75F4-441F-93A9-C6F4F5E87C8A}"/>
    <hyperlink ref="AA105" r:id="rId228" xr:uid="{F93B82B1-0571-449C-A59C-CCB93C790C86}"/>
    <hyperlink ref="AA107" r:id="rId229" xr:uid="{664E8861-9AC4-47A6-B1BD-52C75C2F37E8}"/>
    <hyperlink ref="AA108" r:id="rId230" xr:uid="{F090F3A4-4F87-4D2A-B2F5-5DCBC4EE8C6F}"/>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BD90C0-3BB1-4D69-B097-C4F2E97756E8}">
  <dimension ref="A1:C24"/>
  <sheetViews>
    <sheetView workbookViewId="0">
      <selection activeCell="E16" sqref="E16"/>
    </sheetView>
  </sheetViews>
  <sheetFormatPr baseColWidth="10" defaultRowHeight="14.4"/>
  <cols>
    <col min="1" max="1" width="25.109375" style="8" customWidth="1"/>
    <col min="2" max="2" width="47.109375" customWidth="1"/>
    <col min="3" max="3" width="71.21875" style="189" bestFit="1" customWidth="1"/>
  </cols>
  <sheetData>
    <row r="1" spans="1:3">
      <c r="A1" s="8" t="s">
        <v>1357</v>
      </c>
      <c r="B1" s="8" t="s">
        <v>1358</v>
      </c>
      <c r="C1" s="8" t="s">
        <v>1343</v>
      </c>
    </row>
    <row r="2" spans="1:3">
      <c r="A2" s="8">
        <v>2024</v>
      </c>
      <c r="B2" s="189" t="s">
        <v>1430</v>
      </c>
      <c r="C2" s="190" t="s">
        <v>1431</v>
      </c>
    </row>
    <row r="3" spans="1:3">
      <c r="A3" s="8">
        <v>2024</v>
      </c>
      <c r="B3" s="189" t="s">
        <v>1432</v>
      </c>
      <c r="C3" s="190" t="s">
        <v>1433</v>
      </c>
    </row>
    <row r="4" spans="1:3">
      <c r="A4" s="8">
        <v>2024</v>
      </c>
      <c r="B4" s="20" t="s">
        <v>1435</v>
      </c>
      <c r="C4" s="190" t="s">
        <v>1436</v>
      </c>
    </row>
    <row r="5" spans="1:3">
      <c r="A5" s="8">
        <v>2024</v>
      </c>
      <c r="B5" s="189" t="s">
        <v>1437</v>
      </c>
      <c r="C5" s="190" t="s">
        <v>1438</v>
      </c>
    </row>
    <row r="6" spans="1:3">
      <c r="A6" s="8">
        <v>2024</v>
      </c>
      <c r="B6" s="189" t="s">
        <v>1439</v>
      </c>
      <c r="C6" s="190" t="s">
        <v>1440</v>
      </c>
    </row>
    <row r="7" spans="1:3">
      <c r="A7" s="8">
        <v>2024</v>
      </c>
      <c r="B7" s="189" t="s">
        <v>1378</v>
      </c>
      <c r="C7" s="190" t="s">
        <v>1441</v>
      </c>
    </row>
    <row r="8" spans="1:3">
      <c r="A8" s="8">
        <v>2024</v>
      </c>
      <c r="B8" s="20" t="s">
        <v>1443</v>
      </c>
      <c r="C8" s="190" t="s">
        <v>1444</v>
      </c>
    </row>
    <row r="9" spans="1:3">
      <c r="A9" s="8">
        <v>2024</v>
      </c>
      <c r="B9" s="20" t="s">
        <v>1446</v>
      </c>
      <c r="C9" s="190" t="s">
        <v>1447</v>
      </c>
    </row>
    <row r="10" spans="1:3">
      <c r="A10" s="8">
        <v>2024</v>
      </c>
      <c r="B10" s="189" t="s">
        <v>1363</v>
      </c>
      <c r="C10" s="190" t="s">
        <v>1448</v>
      </c>
    </row>
    <row r="11" spans="1:3">
      <c r="A11" s="8">
        <v>2025</v>
      </c>
      <c r="B11" s="18" t="s">
        <v>1363</v>
      </c>
      <c r="C11" s="190" t="s">
        <v>1364</v>
      </c>
    </row>
    <row r="12" spans="1:3">
      <c r="A12" s="8">
        <v>2025</v>
      </c>
      <c r="B12" s="18" t="s">
        <v>1368</v>
      </c>
      <c r="C12" s="190" t="s">
        <v>1370</v>
      </c>
    </row>
    <row r="13" spans="1:3">
      <c r="A13" s="8">
        <v>2025</v>
      </c>
      <c r="B13" s="18" t="s">
        <v>1375</v>
      </c>
      <c r="C13" s="190" t="s">
        <v>1371</v>
      </c>
    </row>
    <row r="14" spans="1:3">
      <c r="A14" s="8">
        <v>2025</v>
      </c>
      <c r="B14" s="18" t="s">
        <v>1378</v>
      </c>
      <c r="C14" s="190" t="s">
        <v>1376</v>
      </c>
    </row>
    <row r="15" spans="1:3" ht="28.8">
      <c r="A15" s="8">
        <v>2025</v>
      </c>
      <c r="B15" s="18" t="s">
        <v>477</v>
      </c>
      <c r="C15" s="190" t="s">
        <v>1381</v>
      </c>
    </row>
    <row r="16" spans="1:3" ht="28.8">
      <c r="A16" s="8">
        <v>2025</v>
      </c>
      <c r="B16" s="18" t="s">
        <v>1384</v>
      </c>
      <c r="C16" s="190" t="s">
        <v>1386</v>
      </c>
    </row>
    <row r="17" spans="1:3" ht="28.8">
      <c r="A17" s="8">
        <v>2025</v>
      </c>
      <c r="B17" s="18" t="s">
        <v>1388</v>
      </c>
      <c r="C17" s="190" t="s">
        <v>1392</v>
      </c>
    </row>
    <row r="18" spans="1:3" ht="28.8">
      <c r="A18" s="8">
        <v>2025</v>
      </c>
      <c r="B18" s="18" t="s">
        <v>1395</v>
      </c>
      <c r="C18" s="190" t="s">
        <v>1397</v>
      </c>
    </row>
    <row r="19" spans="1:3">
      <c r="A19" s="8">
        <v>2025</v>
      </c>
      <c r="B19" s="18" t="s">
        <v>1399</v>
      </c>
      <c r="C19" s="190" t="s">
        <v>1402</v>
      </c>
    </row>
    <row r="20" spans="1:3">
      <c r="A20" s="8">
        <v>2025</v>
      </c>
      <c r="B20" s="18" t="s">
        <v>1407</v>
      </c>
      <c r="C20" s="190" t="s">
        <v>1404</v>
      </c>
    </row>
    <row r="21" spans="1:3">
      <c r="A21" s="8">
        <v>2025</v>
      </c>
      <c r="B21" s="18" t="s">
        <v>1409</v>
      </c>
      <c r="C21" s="190" t="s">
        <v>1412</v>
      </c>
    </row>
    <row r="22" spans="1:3">
      <c r="A22" s="8">
        <v>2025</v>
      </c>
      <c r="B22" s="18" t="s">
        <v>1416</v>
      </c>
      <c r="C22" s="190" t="s">
        <v>1414</v>
      </c>
    </row>
    <row r="23" spans="1:3">
      <c r="A23" s="8">
        <v>2025</v>
      </c>
      <c r="B23" s="18" t="s">
        <v>1419</v>
      </c>
      <c r="C23" s="190" t="s">
        <v>1422</v>
      </c>
    </row>
    <row r="24" spans="1:3">
      <c r="A24" s="8">
        <v>2025</v>
      </c>
      <c r="B24" s="18" t="s">
        <v>1427</v>
      </c>
      <c r="C24" s="190" t="s">
        <v>1428</v>
      </c>
    </row>
  </sheetData>
  <hyperlinks>
    <hyperlink ref="C11" r:id="rId1" xr:uid="{FD43E7CF-88C0-4381-8C62-2625E1EC8136}"/>
    <hyperlink ref="C12" r:id="rId2" xr:uid="{F38E50D4-D95C-4ED3-9AE3-7EAF26FE715D}"/>
    <hyperlink ref="C13" r:id="rId3" xr:uid="{7DC57ADF-F866-4E8A-9420-B431E961F8B2}"/>
    <hyperlink ref="C14" r:id="rId4" xr:uid="{6D9CF7A6-4C94-48D6-B91E-3F5A031215E3}"/>
    <hyperlink ref="C15" r:id="rId5" xr:uid="{EA637F1F-8959-4F1A-88E7-3058517CE792}"/>
    <hyperlink ref="C16" r:id="rId6" xr:uid="{9DAE40D0-9EB2-4985-B555-2211C616134C}"/>
    <hyperlink ref="C17" r:id="rId7" xr:uid="{9992DB18-6B12-41DF-B2A7-F11DBD0007F1}"/>
    <hyperlink ref="C18" r:id="rId8" xr:uid="{AE3A205A-5419-477F-BA62-14675A694F6D}"/>
    <hyperlink ref="C19" r:id="rId9" xr:uid="{3E794EE8-E9FA-43E2-A718-8C0E0D56168A}"/>
    <hyperlink ref="C20" r:id="rId10" xr:uid="{FD68E3E4-48B5-4D27-8F09-5C4444585770}"/>
    <hyperlink ref="C21" r:id="rId11" xr:uid="{EF56725C-9C4C-4B98-BFE5-7623EFDC5AD7}"/>
    <hyperlink ref="C22" r:id="rId12" xr:uid="{7BB2DF0E-80D7-4823-8553-0142804FF2E1}"/>
    <hyperlink ref="C23" r:id="rId13" xr:uid="{CB1934D0-75A8-4A7C-BBA0-6510256D6E03}"/>
    <hyperlink ref="C24" r:id="rId14" xr:uid="{E19D2D32-D3AB-4235-A38B-F3842EF62A2B}"/>
    <hyperlink ref="C2" r:id="rId15" xr:uid="{BA3036E4-D26E-4800-8884-90765DDAB705}"/>
    <hyperlink ref="C3" r:id="rId16" xr:uid="{4AEB4980-72B2-447C-A400-A2320C475695}"/>
    <hyperlink ref="C4" r:id="rId17" xr:uid="{F1652406-6526-4D23-BABF-51534986AD9D}"/>
    <hyperlink ref="C5" r:id="rId18" xr:uid="{CD2233BB-4474-4D8B-AAC2-57BC61DBB634}"/>
    <hyperlink ref="C6" r:id="rId19" xr:uid="{50CF6610-0CA1-4C78-87ED-2ED1768E3B08}"/>
    <hyperlink ref="C7" r:id="rId20" xr:uid="{9ECC445B-FC36-4DAB-9814-E34D204AF21D}"/>
    <hyperlink ref="C8" r:id="rId21" xr:uid="{268B5EA1-3035-4B8F-8F87-E79DBDE5B843}"/>
    <hyperlink ref="C9" r:id="rId22" xr:uid="{3F67B186-4F78-4054-BC35-6A4434910A27}"/>
    <hyperlink ref="C10" r:id="rId23" xr:uid="{165BED56-0511-4AE2-B9D2-8B2A4CCA47C3}"/>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A0C586-9686-4E93-A78D-97D4D660F23C}">
  <dimension ref="A1:E25"/>
  <sheetViews>
    <sheetView workbookViewId="0">
      <selection activeCell="E19" sqref="E19"/>
    </sheetView>
  </sheetViews>
  <sheetFormatPr baseColWidth="10" defaultRowHeight="14.4"/>
  <cols>
    <col min="2" max="2" width="62.5546875" customWidth="1"/>
    <col min="3" max="3" width="17.77734375" customWidth="1"/>
    <col min="4" max="4" width="17.5546875" style="13" customWidth="1"/>
    <col min="5" max="5" width="14.44140625" style="13" customWidth="1"/>
  </cols>
  <sheetData>
    <row r="1" spans="1:5">
      <c r="A1" s="191" t="s">
        <v>1465</v>
      </c>
      <c r="B1" s="192" t="s">
        <v>1450</v>
      </c>
      <c r="C1" s="192" t="s">
        <v>11</v>
      </c>
      <c r="D1" s="224" t="s">
        <v>1754</v>
      </c>
      <c r="E1" s="224" t="s">
        <v>1752</v>
      </c>
    </row>
    <row r="2" spans="1:5">
      <c r="A2" s="229">
        <v>2026</v>
      </c>
      <c r="B2" s="195" t="s">
        <v>1477</v>
      </c>
      <c r="C2" t="s">
        <v>20</v>
      </c>
      <c r="D2" s="13" t="s">
        <v>660</v>
      </c>
      <c r="E2" s="13" t="s">
        <v>662</v>
      </c>
    </row>
    <row r="3" spans="1:5">
      <c r="A3" s="229"/>
      <c r="B3" s="195" t="s">
        <v>1478</v>
      </c>
      <c r="C3" t="s">
        <v>20</v>
      </c>
      <c r="D3" s="13" t="s">
        <v>660</v>
      </c>
      <c r="E3" s="13" t="s">
        <v>662</v>
      </c>
    </row>
    <row r="4" spans="1:5">
      <c r="A4" s="229"/>
      <c r="B4" s="193" t="s">
        <v>1479</v>
      </c>
      <c r="C4" t="s">
        <v>1466</v>
      </c>
      <c r="D4" s="13" t="s">
        <v>662</v>
      </c>
    </row>
    <row r="5" spans="1:5">
      <c r="A5" s="229"/>
      <c r="B5" s="193" t="s">
        <v>1480</v>
      </c>
      <c r="C5" t="s">
        <v>1466</v>
      </c>
      <c r="D5" s="13" t="s">
        <v>662</v>
      </c>
    </row>
    <row r="6" spans="1:5">
      <c r="A6" s="229"/>
      <c r="B6" s="193" t="s">
        <v>1481</v>
      </c>
      <c r="C6" t="s">
        <v>1466</v>
      </c>
      <c r="D6" s="13" t="s">
        <v>1296</v>
      </c>
    </row>
    <row r="7" spans="1:5">
      <c r="A7" s="229"/>
      <c r="B7" s="193" t="s">
        <v>1483</v>
      </c>
      <c r="C7" t="s">
        <v>1466</v>
      </c>
      <c r="D7" s="13" t="s">
        <v>1293</v>
      </c>
    </row>
    <row r="8" spans="1:5">
      <c r="A8" s="229"/>
      <c r="B8" s="193" t="s">
        <v>1482</v>
      </c>
      <c r="C8" t="s">
        <v>1466</v>
      </c>
      <c r="D8" s="13" t="s">
        <v>1298</v>
      </c>
    </row>
    <row r="9" spans="1:5">
      <c r="A9" s="229"/>
      <c r="B9" s="193" t="s">
        <v>1484</v>
      </c>
      <c r="C9" t="s">
        <v>1466</v>
      </c>
      <c r="D9" s="13" t="s">
        <v>1298</v>
      </c>
    </row>
    <row r="10" spans="1:5">
      <c r="A10" s="229"/>
      <c r="B10" s="194" t="s">
        <v>1485</v>
      </c>
      <c r="C10" t="s">
        <v>1466</v>
      </c>
      <c r="D10" s="13" t="s">
        <v>1300</v>
      </c>
    </row>
    <row r="11" spans="1:5">
      <c r="A11" s="229"/>
      <c r="B11" s="194" t="s">
        <v>1486</v>
      </c>
      <c r="C11" t="s">
        <v>1466</v>
      </c>
      <c r="D11" s="13" t="s">
        <v>1304</v>
      </c>
    </row>
    <row r="12" spans="1:5">
      <c r="A12" s="229"/>
      <c r="B12" s="195" t="s">
        <v>1487</v>
      </c>
      <c r="C12" t="s">
        <v>20</v>
      </c>
      <c r="D12" s="13" t="s">
        <v>662</v>
      </c>
      <c r="E12" s="13" t="s">
        <v>1293</v>
      </c>
    </row>
    <row r="13" spans="1:5">
      <c r="A13" s="229"/>
      <c r="B13" s="195" t="s">
        <v>1488</v>
      </c>
      <c r="C13" t="s">
        <v>20</v>
      </c>
      <c r="D13" s="13" t="s">
        <v>662</v>
      </c>
      <c r="E13" s="13" t="s">
        <v>1293</v>
      </c>
    </row>
    <row r="14" spans="1:5">
      <c r="A14" s="229">
        <v>2025</v>
      </c>
      <c r="B14" s="196" t="s">
        <v>1489</v>
      </c>
      <c r="C14" t="s">
        <v>20</v>
      </c>
    </row>
    <row r="15" spans="1:5">
      <c r="A15" s="229"/>
      <c r="B15" s="196" t="s">
        <v>1490</v>
      </c>
      <c r="C15" t="s">
        <v>20</v>
      </c>
    </row>
    <row r="16" spans="1:5">
      <c r="A16" s="229"/>
      <c r="B16" s="196" t="s">
        <v>1491</v>
      </c>
      <c r="C16" t="s">
        <v>20</v>
      </c>
    </row>
    <row r="17" spans="1:3">
      <c r="A17" s="229"/>
      <c r="B17" s="196" t="s">
        <v>1485</v>
      </c>
      <c r="C17" t="s">
        <v>20</v>
      </c>
    </row>
    <row r="18" spans="1:3">
      <c r="A18" s="229"/>
      <c r="B18" s="196" t="s">
        <v>1481</v>
      </c>
      <c r="C18" t="s">
        <v>20</v>
      </c>
    </row>
    <row r="19" spans="1:3">
      <c r="A19" s="229"/>
      <c r="B19" s="196" t="s">
        <v>1483</v>
      </c>
      <c r="C19" t="s">
        <v>20</v>
      </c>
    </row>
    <row r="20" spans="1:3">
      <c r="A20" s="229"/>
      <c r="B20" s="196" t="s">
        <v>1496</v>
      </c>
      <c r="C20" t="s">
        <v>20</v>
      </c>
    </row>
    <row r="21" spans="1:3">
      <c r="A21" s="229"/>
      <c r="B21" s="193" t="s">
        <v>1484</v>
      </c>
      <c r="C21" t="s">
        <v>1509</v>
      </c>
    </row>
    <row r="22" spans="1:3">
      <c r="A22" s="229"/>
      <c r="B22" s="194" t="s">
        <v>1499</v>
      </c>
      <c r="C22" t="s">
        <v>1509</v>
      </c>
    </row>
    <row r="23" spans="1:3">
      <c r="A23" s="229"/>
      <c r="B23" s="197" t="s">
        <v>1501</v>
      </c>
      <c r="C23" t="s">
        <v>20</v>
      </c>
    </row>
    <row r="24" spans="1:3">
      <c r="A24" s="229"/>
      <c r="B24" s="194" t="s">
        <v>1503</v>
      </c>
      <c r="C24" t="s">
        <v>1509</v>
      </c>
    </row>
    <row r="25" spans="1:3">
      <c r="A25" s="229"/>
      <c r="B25" s="198" t="s">
        <v>1505</v>
      </c>
      <c r="C25" t="s">
        <v>20</v>
      </c>
    </row>
  </sheetData>
  <mergeCells count="2">
    <mergeCell ref="A2:A13"/>
    <mergeCell ref="A14:A25"/>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4215A5-C781-4B89-A171-16B44BF55D90}">
  <sheetPr codeName="Hoja10"/>
  <dimension ref="B2:G34"/>
  <sheetViews>
    <sheetView topLeftCell="A29" workbookViewId="0">
      <selection activeCell="H31" sqref="H31"/>
    </sheetView>
  </sheetViews>
  <sheetFormatPr baseColWidth="10" defaultRowHeight="14.4"/>
  <cols>
    <col min="2" max="2" width="28.109375" customWidth="1"/>
    <col min="3" max="3" width="26.6640625" customWidth="1"/>
    <col min="4" max="4" width="32" customWidth="1"/>
    <col min="5" max="5" width="35.6640625" customWidth="1"/>
    <col min="7" max="7" width="38" customWidth="1"/>
  </cols>
  <sheetData>
    <row r="2" spans="2:7" ht="24">
      <c r="B2" s="72" t="s">
        <v>1</v>
      </c>
      <c r="C2" s="72" t="s">
        <v>2</v>
      </c>
      <c r="D2" s="72" t="s">
        <v>5</v>
      </c>
      <c r="E2" s="72" t="s">
        <v>6</v>
      </c>
      <c r="F2" s="72" t="s">
        <v>8</v>
      </c>
      <c r="G2" s="122" t="s">
        <v>9</v>
      </c>
    </row>
    <row r="3" spans="2:7" ht="150">
      <c r="B3" s="75" t="s">
        <v>14</v>
      </c>
      <c r="C3" s="230" t="s">
        <v>29</v>
      </c>
      <c r="D3" s="74" t="s">
        <v>30</v>
      </c>
      <c r="E3" s="74" t="s">
        <v>269</v>
      </c>
      <c r="F3" s="77">
        <v>46203</v>
      </c>
      <c r="G3" s="82" t="s">
        <v>31</v>
      </c>
    </row>
    <row r="4" spans="2:7" ht="34.200000000000003">
      <c r="B4" s="75" t="s">
        <v>14</v>
      </c>
      <c r="C4" s="231"/>
      <c r="D4" s="74" t="s">
        <v>34</v>
      </c>
      <c r="E4" s="74" t="s">
        <v>269</v>
      </c>
      <c r="F4" s="77">
        <v>46203</v>
      </c>
      <c r="G4" s="82" t="s">
        <v>31</v>
      </c>
    </row>
    <row r="5" spans="2:7" ht="182.4">
      <c r="B5" s="75" t="s">
        <v>112</v>
      </c>
      <c r="C5" s="74" t="s">
        <v>122</v>
      </c>
      <c r="D5" s="74" t="s">
        <v>451</v>
      </c>
      <c r="E5" s="74" t="s">
        <v>118</v>
      </c>
      <c r="F5" s="77">
        <v>46203</v>
      </c>
      <c r="G5" s="82" t="s">
        <v>124</v>
      </c>
    </row>
    <row r="6" spans="2:7" ht="286.2">
      <c r="B6" s="75" t="s">
        <v>181</v>
      </c>
      <c r="C6" s="74" t="s">
        <v>231</v>
      </c>
      <c r="D6" s="74" t="s">
        <v>233</v>
      </c>
      <c r="E6" s="74" t="s">
        <v>210</v>
      </c>
      <c r="F6" s="77">
        <v>46203</v>
      </c>
      <c r="G6" s="82" t="s">
        <v>234</v>
      </c>
    </row>
    <row r="7" spans="2:7" ht="45.6">
      <c r="B7" s="75" t="s">
        <v>181</v>
      </c>
      <c r="C7" s="74" t="s">
        <v>231</v>
      </c>
      <c r="D7" s="74" t="s">
        <v>236</v>
      </c>
      <c r="E7" s="74" t="s">
        <v>210</v>
      </c>
      <c r="F7" s="77">
        <v>46203</v>
      </c>
      <c r="G7" s="85" t="s">
        <v>234</v>
      </c>
    </row>
    <row r="8" spans="2:7" ht="91.2">
      <c r="B8" s="92" t="s">
        <v>399</v>
      </c>
      <c r="C8" s="45" t="s">
        <v>403</v>
      </c>
      <c r="D8" s="47" t="s">
        <v>406</v>
      </c>
      <c r="E8" s="47" t="s">
        <v>179</v>
      </c>
      <c r="F8" s="87">
        <v>46387</v>
      </c>
      <c r="G8" s="95" t="s">
        <v>407</v>
      </c>
    </row>
    <row r="9" spans="2:7" ht="68.400000000000006">
      <c r="B9" s="92" t="s">
        <v>399</v>
      </c>
      <c r="C9" s="45" t="s">
        <v>409</v>
      </c>
      <c r="D9" s="47" t="s">
        <v>410</v>
      </c>
      <c r="E9" s="47" t="s">
        <v>179</v>
      </c>
      <c r="F9" s="87">
        <v>46234</v>
      </c>
      <c r="G9" s="93" t="s">
        <v>407</v>
      </c>
    </row>
    <row r="10" spans="2:7" ht="68.400000000000006">
      <c r="B10" s="92" t="s">
        <v>399</v>
      </c>
      <c r="C10" s="45" t="s">
        <v>411</v>
      </c>
      <c r="D10" s="47" t="s">
        <v>412</v>
      </c>
      <c r="E10" s="47" t="s">
        <v>413</v>
      </c>
      <c r="F10" s="87">
        <v>46234</v>
      </c>
      <c r="G10" s="95" t="s">
        <v>414</v>
      </c>
    </row>
    <row r="11" spans="2:7" ht="45.6">
      <c r="B11" s="92" t="s">
        <v>399</v>
      </c>
      <c r="C11" s="45" t="s">
        <v>411</v>
      </c>
      <c r="D11" s="47" t="s">
        <v>415</v>
      </c>
      <c r="E11" s="47" t="s">
        <v>179</v>
      </c>
      <c r="F11" s="87">
        <v>46234</v>
      </c>
      <c r="G11" s="95" t="s">
        <v>414</v>
      </c>
    </row>
    <row r="12" spans="2:7" ht="57">
      <c r="B12" s="92" t="s">
        <v>419</v>
      </c>
      <c r="C12" s="45" t="s">
        <v>420</v>
      </c>
      <c r="D12" s="47" t="s">
        <v>422</v>
      </c>
      <c r="E12" s="47" t="s">
        <v>17</v>
      </c>
      <c r="F12" s="87">
        <v>46218</v>
      </c>
      <c r="G12" s="145" t="s">
        <v>423</v>
      </c>
    </row>
    <row r="13" spans="2:7" ht="36">
      <c r="B13" s="92" t="s">
        <v>419</v>
      </c>
      <c r="C13" s="45" t="s">
        <v>420</v>
      </c>
      <c r="D13" s="47" t="s">
        <v>424</v>
      </c>
      <c r="E13" s="47" t="s">
        <v>17</v>
      </c>
      <c r="F13" s="87">
        <v>46218</v>
      </c>
      <c r="G13" s="145" t="s">
        <v>423</v>
      </c>
    </row>
    <row r="14" spans="2:7" ht="36">
      <c r="B14" s="92" t="s">
        <v>419</v>
      </c>
      <c r="C14" s="45" t="s">
        <v>420</v>
      </c>
      <c r="D14" s="47" t="s">
        <v>425</v>
      </c>
      <c r="E14" s="47" t="s">
        <v>17</v>
      </c>
      <c r="F14" s="87">
        <v>46218</v>
      </c>
      <c r="G14" s="145" t="s">
        <v>423</v>
      </c>
    </row>
    <row r="15" spans="2:7" ht="36">
      <c r="B15" s="92" t="s">
        <v>419</v>
      </c>
      <c r="C15" s="45" t="s">
        <v>420</v>
      </c>
      <c r="D15" s="47" t="s">
        <v>426</v>
      </c>
      <c r="E15" s="47" t="s">
        <v>17</v>
      </c>
      <c r="F15" s="87">
        <v>46218</v>
      </c>
      <c r="G15" s="145" t="s">
        <v>423</v>
      </c>
    </row>
    <row r="16" spans="2:7" ht="36">
      <c r="B16" s="92" t="s">
        <v>419</v>
      </c>
      <c r="C16" s="45" t="s">
        <v>420</v>
      </c>
      <c r="D16" s="47" t="s">
        <v>427</v>
      </c>
      <c r="E16" s="47" t="s">
        <v>17</v>
      </c>
      <c r="F16" s="87">
        <v>46218</v>
      </c>
      <c r="G16" s="145" t="s">
        <v>423</v>
      </c>
    </row>
    <row r="17" spans="2:7" ht="57">
      <c r="B17" s="92" t="s">
        <v>419</v>
      </c>
      <c r="C17" s="45" t="s">
        <v>420</v>
      </c>
      <c r="D17" s="47" t="s">
        <v>428</v>
      </c>
      <c r="E17" s="47" t="s">
        <v>17</v>
      </c>
      <c r="F17" s="87">
        <v>46218</v>
      </c>
      <c r="G17" s="145" t="s">
        <v>423</v>
      </c>
    </row>
    <row r="18" spans="2:7" ht="36">
      <c r="B18" s="92" t="s">
        <v>419</v>
      </c>
      <c r="C18" s="45" t="s">
        <v>436</v>
      </c>
      <c r="D18" s="47" t="s">
        <v>437</v>
      </c>
      <c r="E18" s="47" t="s">
        <v>115</v>
      </c>
      <c r="F18" s="87">
        <v>46386</v>
      </c>
      <c r="G18" s="145" t="s">
        <v>438</v>
      </c>
    </row>
    <row r="19" spans="2:7" ht="45.6">
      <c r="B19" s="92" t="s">
        <v>419</v>
      </c>
      <c r="C19" s="45" t="s">
        <v>436</v>
      </c>
      <c r="D19" s="47" t="s">
        <v>439</v>
      </c>
      <c r="E19" s="47" t="s">
        <v>115</v>
      </c>
      <c r="F19" s="87">
        <v>46386</v>
      </c>
      <c r="G19" s="145" t="s">
        <v>438</v>
      </c>
    </row>
    <row r="20" spans="2:7" ht="45.6">
      <c r="B20" s="92" t="s">
        <v>419</v>
      </c>
      <c r="C20" s="45" t="s">
        <v>436</v>
      </c>
      <c r="D20" s="47" t="s">
        <v>440</v>
      </c>
      <c r="E20" s="47" t="s">
        <v>115</v>
      </c>
      <c r="F20" s="87">
        <v>46386</v>
      </c>
      <c r="G20" s="145" t="s">
        <v>438</v>
      </c>
    </row>
    <row r="21" spans="2:7" ht="36">
      <c r="B21" s="92" t="s">
        <v>419</v>
      </c>
      <c r="C21" s="45" t="s">
        <v>436</v>
      </c>
      <c r="D21" s="47" t="s">
        <v>441</v>
      </c>
      <c r="E21" s="47" t="s">
        <v>115</v>
      </c>
      <c r="F21" s="87">
        <v>46386</v>
      </c>
      <c r="G21" s="145" t="s">
        <v>438</v>
      </c>
    </row>
    <row r="22" spans="2:7" ht="57">
      <c r="B22" s="92" t="s">
        <v>419</v>
      </c>
      <c r="C22" s="45" t="s">
        <v>436</v>
      </c>
      <c r="D22" s="47" t="s">
        <v>442</v>
      </c>
      <c r="E22" s="47" t="s">
        <v>115</v>
      </c>
      <c r="F22" s="87">
        <v>46386</v>
      </c>
      <c r="G22" s="145" t="s">
        <v>438</v>
      </c>
    </row>
    <row r="23" spans="2:7" ht="24">
      <c r="B23" s="92" t="s">
        <v>461</v>
      </c>
      <c r="C23" s="45" t="s">
        <v>462</v>
      </c>
      <c r="D23" s="47" t="s">
        <v>463</v>
      </c>
      <c r="E23" s="47" t="s">
        <v>148</v>
      </c>
      <c r="F23" s="87">
        <v>46293</v>
      </c>
      <c r="G23" s="85" t="s">
        <v>464</v>
      </c>
    </row>
    <row r="24" spans="2:7" ht="24">
      <c r="B24" s="92" t="s">
        <v>461</v>
      </c>
      <c r="C24" s="45" t="s">
        <v>465</v>
      </c>
      <c r="D24" s="47" t="s">
        <v>466</v>
      </c>
      <c r="E24" s="47" t="s">
        <v>148</v>
      </c>
      <c r="F24" s="87">
        <v>46310</v>
      </c>
      <c r="G24" s="93" t="s">
        <v>467</v>
      </c>
    </row>
    <row r="25" spans="2:7" ht="24">
      <c r="B25" s="92" t="s">
        <v>461</v>
      </c>
      <c r="C25" s="45" t="s">
        <v>465</v>
      </c>
      <c r="D25" s="47" t="s">
        <v>468</v>
      </c>
      <c r="E25" s="47" t="s">
        <v>148</v>
      </c>
      <c r="F25" s="87">
        <v>46310</v>
      </c>
      <c r="G25" s="93" t="s">
        <v>467</v>
      </c>
    </row>
    <row r="26" spans="2:7" ht="24">
      <c r="B26" s="92" t="s">
        <v>461</v>
      </c>
      <c r="C26" s="45" t="s">
        <v>465</v>
      </c>
      <c r="D26" s="47" t="s">
        <v>469</v>
      </c>
      <c r="E26" s="47" t="s">
        <v>148</v>
      </c>
      <c r="F26" s="87">
        <v>46310</v>
      </c>
      <c r="G26" s="93" t="s">
        <v>467</v>
      </c>
    </row>
    <row r="27" spans="2:7" ht="34.200000000000003">
      <c r="B27" s="92" t="s">
        <v>461</v>
      </c>
      <c r="C27" s="45" t="s">
        <v>465</v>
      </c>
      <c r="D27" s="47" t="s">
        <v>470</v>
      </c>
      <c r="E27" s="47" t="s">
        <v>148</v>
      </c>
      <c r="F27" s="87">
        <v>46300</v>
      </c>
      <c r="G27" s="93" t="s">
        <v>467</v>
      </c>
    </row>
    <row r="28" spans="2:7" ht="60">
      <c r="B28" s="75" t="s">
        <v>471</v>
      </c>
      <c r="C28" s="74" t="s">
        <v>476</v>
      </c>
      <c r="D28" s="47" t="s">
        <v>645</v>
      </c>
      <c r="E28" s="74" t="s">
        <v>118</v>
      </c>
      <c r="F28" s="87">
        <v>46295</v>
      </c>
      <c r="G28" s="146" t="s">
        <v>475</v>
      </c>
    </row>
    <row r="29" spans="2:7" ht="36">
      <c r="B29" s="92" t="s">
        <v>486</v>
      </c>
      <c r="C29" s="45" t="s">
        <v>487</v>
      </c>
      <c r="D29" s="47" t="s">
        <v>488</v>
      </c>
      <c r="E29" s="47" t="s">
        <v>269</v>
      </c>
      <c r="F29" s="87">
        <v>46203</v>
      </c>
      <c r="G29" s="95" t="s">
        <v>489</v>
      </c>
    </row>
    <row r="30" spans="2:7" ht="68.400000000000006">
      <c r="B30" s="92" t="s">
        <v>486</v>
      </c>
      <c r="C30" s="45" t="s">
        <v>487</v>
      </c>
      <c r="D30" s="47" t="s">
        <v>490</v>
      </c>
      <c r="E30" s="47" t="s">
        <v>269</v>
      </c>
      <c r="F30" s="87">
        <v>46203</v>
      </c>
      <c r="G30" s="95" t="s">
        <v>489</v>
      </c>
    </row>
    <row r="31" spans="2:7" ht="136.80000000000001">
      <c r="B31" s="92" t="s">
        <v>486</v>
      </c>
      <c r="C31" s="45" t="s">
        <v>491</v>
      </c>
      <c r="D31" s="47" t="s">
        <v>492</v>
      </c>
      <c r="E31" s="47" t="s">
        <v>269</v>
      </c>
      <c r="F31" s="87">
        <v>46295</v>
      </c>
      <c r="G31" s="95" t="s">
        <v>493</v>
      </c>
    </row>
    <row r="32" spans="2:7" ht="45.6">
      <c r="B32" s="92" t="s">
        <v>486</v>
      </c>
      <c r="C32" s="45" t="s">
        <v>494</v>
      </c>
      <c r="D32" s="47" t="s">
        <v>495</v>
      </c>
      <c r="E32" s="47" t="s">
        <v>269</v>
      </c>
      <c r="F32" s="87">
        <v>46203</v>
      </c>
      <c r="G32" s="147" t="s">
        <v>496</v>
      </c>
    </row>
    <row r="33" spans="2:7" ht="45.6">
      <c r="B33" s="92" t="s">
        <v>486</v>
      </c>
      <c r="C33" s="45" t="s">
        <v>494</v>
      </c>
      <c r="D33" s="47" t="s">
        <v>497</v>
      </c>
      <c r="E33" s="47" t="s">
        <v>269</v>
      </c>
      <c r="F33" s="87">
        <v>46203</v>
      </c>
      <c r="G33" s="147" t="s">
        <v>496</v>
      </c>
    </row>
    <row r="34" spans="2:7" ht="79.8">
      <c r="B34" s="92" t="s">
        <v>486</v>
      </c>
      <c r="C34" s="45" t="s">
        <v>498</v>
      </c>
      <c r="D34" s="47" t="s">
        <v>500</v>
      </c>
      <c r="E34" s="47" t="s">
        <v>269</v>
      </c>
      <c r="F34" s="87">
        <v>46203</v>
      </c>
      <c r="G34" s="147" t="s">
        <v>501</v>
      </c>
    </row>
  </sheetData>
  <mergeCells count="1">
    <mergeCell ref="C3:C4"/>
  </mergeCells>
  <hyperlinks>
    <hyperlink ref="G3" r:id="rId1" xr:uid="{EE79F2FF-887C-4E25-8F34-3ADD79D5844A}"/>
    <hyperlink ref="G4" r:id="rId2" xr:uid="{82E3B163-A791-4C58-BCD0-82F449FCEAD5}"/>
    <hyperlink ref="G5" r:id="rId3" xr:uid="{0FC336BF-D3A2-4149-B63F-36DC88DA86D8}"/>
    <hyperlink ref="G6" r:id="rId4" xr:uid="{47F9B703-0A80-4FC5-B1D1-0332FACCBDD0}"/>
    <hyperlink ref="G7" r:id="rId5" xr:uid="{DE8992FB-2E01-42CD-90F6-7A423E742C4A}"/>
    <hyperlink ref="G8" r:id="rId6" xr:uid="{CCE9782C-0F15-4C92-B4A3-1B291A943D84}"/>
    <hyperlink ref="G9" r:id="rId7" xr:uid="{49251188-C5F5-4073-9B16-F597934C32F4}"/>
    <hyperlink ref="G10" r:id="rId8" xr:uid="{0B374E51-149E-45F2-B4A7-9267D668A32C}"/>
    <hyperlink ref="G11" r:id="rId9" xr:uid="{383CBD6F-0FCB-4E25-AB47-A5279E699D8A}"/>
    <hyperlink ref="G12" r:id="rId10" xr:uid="{C945AF35-ABB9-4C05-AA5F-AC8ABC4227D3}"/>
    <hyperlink ref="G14" r:id="rId11" xr:uid="{C1347735-64FB-466A-B026-9C4C828824DB}"/>
    <hyperlink ref="G16" r:id="rId12" xr:uid="{46286EB4-F0B6-4767-8B29-A7151A687222}"/>
    <hyperlink ref="G17" r:id="rId13" xr:uid="{EC7FC746-95E6-437D-B368-729C6E0BB637}"/>
    <hyperlink ref="G13" r:id="rId14" xr:uid="{0E4A1CA4-D10C-4063-AE30-84F988397775}"/>
    <hyperlink ref="G15" r:id="rId15" xr:uid="{09EFE06C-0345-40E1-8E2D-6A0CB92BF09B}"/>
    <hyperlink ref="G18" r:id="rId16" xr:uid="{F52F3BCD-E3E0-4B95-9616-D78B6DD6D157}"/>
    <hyperlink ref="G19:G22" r:id="rId17" display="https://drive.google.com/drive/u/0/folders/1-wTHBAqsEvDtGobro6-Hp7NzPYFVnZTJ" xr:uid="{54AA8C35-B497-4100-A298-6255D40E3092}"/>
    <hyperlink ref="G23" r:id="rId18" xr:uid="{A51B2DDE-3477-4DA9-B0B2-4D091BF4F0FF}"/>
    <hyperlink ref="G24" r:id="rId19" xr:uid="{0B379155-60C6-4E35-87F4-6944A4538861}"/>
    <hyperlink ref="G25" r:id="rId20" xr:uid="{E6BB42B9-974E-418B-9D04-88AEAE062110}"/>
    <hyperlink ref="G26" r:id="rId21" xr:uid="{7900411C-E66E-455F-8BD0-43BB009B557E}"/>
    <hyperlink ref="G27" r:id="rId22" xr:uid="{875168C0-969C-4071-B95D-F3DCED043DD7}"/>
    <hyperlink ref="G28" r:id="rId23" xr:uid="{C1B044CC-0910-49E2-A41D-D0829EB2FC30}"/>
    <hyperlink ref="G29" r:id="rId24" xr:uid="{E5377067-9113-4F0B-B5E4-4559C8F363C4}"/>
    <hyperlink ref="G30" r:id="rId25" xr:uid="{6425DFB0-7427-40DC-8ACD-55DCB4CDC808}"/>
    <hyperlink ref="G32" r:id="rId26" xr:uid="{A438C826-2A7A-4D8D-A4DD-0B989DB6A7F7}"/>
    <hyperlink ref="G33" r:id="rId27" xr:uid="{7CAC36CE-9785-48AF-AFB9-D74A6E5A6C60}"/>
    <hyperlink ref="G31" r:id="rId28" xr:uid="{0D412C20-EDB0-47E9-974D-64E06343C51E}"/>
    <hyperlink ref="G34" r:id="rId29" xr:uid="{9FCB15C6-BF33-46E6-9534-6A256FDE88B5}"/>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C14178-18DB-4B39-9088-09496A4EB718}">
  <sheetPr codeName="Hoja11"/>
  <dimension ref="B2:G15"/>
  <sheetViews>
    <sheetView topLeftCell="A12" workbookViewId="0">
      <selection activeCell="D18" sqref="D18"/>
    </sheetView>
  </sheetViews>
  <sheetFormatPr baseColWidth="10" defaultRowHeight="14.4"/>
  <cols>
    <col min="2" max="2" width="28.109375" customWidth="1"/>
    <col min="3" max="3" width="26.6640625" customWidth="1"/>
    <col min="4" max="4" width="32" customWidth="1"/>
    <col min="5" max="5" width="35.6640625" customWidth="1"/>
    <col min="7" max="7" width="38" customWidth="1"/>
  </cols>
  <sheetData>
    <row r="2" spans="2:7" ht="24">
      <c r="B2" s="72" t="s">
        <v>1</v>
      </c>
      <c r="C2" s="72" t="s">
        <v>2</v>
      </c>
      <c r="D2" s="72" t="s">
        <v>5</v>
      </c>
      <c r="E2" s="72" t="s">
        <v>6</v>
      </c>
      <c r="F2" s="72" t="s">
        <v>8</v>
      </c>
      <c r="G2" s="122" t="s">
        <v>9</v>
      </c>
    </row>
    <row r="3" spans="2:7" ht="137.4">
      <c r="B3" s="92" t="s">
        <v>306</v>
      </c>
      <c r="C3" s="45" t="s">
        <v>313</v>
      </c>
      <c r="D3" s="47" t="s">
        <v>315</v>
      </c>
      <c r="E3" s="74" t="s">
        <v>310</v>
      </c>
      <c r="F3" s="87">
        <v>46129</v>
      </c>
      <c r="G3" s="93" t="s">
        <v>316</v>
      </c>
    </row>
    <row r="4" spans="2:7" ht="48">
      <c r="B4" s="92" t="s">
        <v>306</v>
      </c>
      <c r="C4" s="45" t="s">
        <v>318</v>
      </c>
      <c r="D4" s="47" t="s">
        <v>323</v>
      </c>
      <c r="E4" s="74" t="s">
        <v>310</v>
      </c>
      <c r="F4" s="87">
        <v>46127</v>
      </c>
      <c r="G4" s="93" t="s">
        <v>321</v>
      </c>
    </row>
    <row r="5" spans="2:7" ht="34.200000000000003">
      <c r="B5" s="92" t="s">
        <v>360</v>
      </c>
      <c r="C5" s="45" t="s">
        <v>369</v>
      </c>
      <c r="D5" s="47" t="s">
        <v>370</v>
      </c>
      <c r="E5" s="47" t="s">
        <v>371</v>
      </c>
      <c r="F5" s="87">
        <v>46142</v>
      </c>
      <c r="G5" s="95" t="s">
        <v>372</v>
      </c>
    </row>
    <row r="6" spans="2:7" ht="171">
      <c r="B6" s="92" t="s">
        <v>419</v>
      </c>
      <c r="C6" s="45" t="s">
        <v>429</v>
      </c>
      <c r="D6" s="47" t="s">
        <v>431</v>
      </c>
      <c r="E6" s="47" t="s">
        <v>534</v>
      </c>
      <c r="F6" s="87">
        <v>46142</v>
      </c>
      <c r="G6" s="145" t="s">
        <v>432</v>
      </c>
    </row>
    <row r="7" spans="2:7" ht="36">
      <c r="B7" s="92" t="s">
        <v>419</v>
      </c>
      <c r="C7" s="45" t="s">
        <v>429</v>
      </c>
      <c r="D7" s="47" t="s">
        <v>433</v>
      </c>
      <c r="E7" s="47" t="s">
        <v>534</v>
      </c>
      <c r="F7" s="87">
        <v>46142</v>
      </c>
      <c r="G7" s="145" t="s">
        <v>432</v>
      </c>
    </row>
    <row r="8" spans="2:7" ht="36">
      <c r="B8" s="92" t="s">
        <v>419</v>
      </c>
      <c r="C8" s="45" t="s">
        <v>429</v>
      </c>
      <c r="D8" s="47" t="s">
        <v>434</v>
      </c>
      <c r="E8" s="47" t="s">
        <v>534</v>
      </c>
      <c r="F8" s="87">
        <v>46142</v>
      </c>
      <c r="G8" s="145" t="s">
        <v>432</v>
      </c>
    </row>
    <row r="9" spans="2:7" ht="45.6">
      <c r="B9" s="92" t="s">
        <v>419</v>
      </c>
      <c r="C9" s="45" t="s">
        <v>429</v>
      </c>
      <c r="D9" s="47" t="s">
        <v>435</v>
      </c>
      <c r="E9" s="47" t="s">
        <v>534</v>
      </c>
      <c r="F9" s="87">
        <v>46142</v>
      </c>
      <c r="G9" s="145" t="s">
        <v>432</v>
      </c>
    </row>
    <row r="10" spans="2:7" ht="45.6">
      <c r="B10" s="92" t="s">
        <v>419</v>
      </c>
      <c r="C10" s="45" t="s">
        <v>443</v>
      </c>
      <c r="D10" s="47" t="s">
        <v>444</v>
      </c>
      <c r="E10" s="47" t="s">
        <v>445</v>
      </c>
      <c r="F10" s="87">
        <v>46142</v>
      </c>
      <c r="G10" s="145" t="s">
        <v>446</v>
      </c>
    </row>
    <row r="11" spans="2:7" ht="45.6">
      <c r="B11" s="92" t="s">
        <v>419</v>
      </c>
      <c r="C11" s="45" t="s">
        <v>443</v>
      </c>
      <c r="D11" s="47" t="s">
        <v>447</v>
      </c>
      <c r="E11" s="47" t="s">
        <v>445</v>
      </c>
      <c r="F11" s="87">
        <v>46142</v>
      </c>
      <c r="G11" s="145" t="s">
        <v>446</v>
      </c>
    </row>
    <row r="12" spans="2:7" ht="45.6">
      <c r="B12" s="92" t="s">
        <v>419</v>
      </c>
      <c r="C12" s="45" t="s">
        <v>443</v>
      </c>
      <c r="D12" s="47" t="s">
        <v>448</v>
      </c>
      <c r="E12" s="47" t="s">
        <v>445</v>
      </c>
      <c r="F12" s="87">
        <v>46142</v>
      </c>
      <c r="G12" s="145" t="s">
        <v>446</v>
      </c>
    </row>
    <row r="13" spans="2:7" ht="182.4">
      <c r="B13" s="92" t="s">
        <v>449</v>
      </c>
      <c r="C13" s="45" t="s">
        <v>450</v>
      </c>
      <c r="D13" s="47" t="s">
        <v>451</v>
      </c>
      <c r="E13" s="47" t="s">
        <v>179</v>
      </c>
      <c r="F13" s="87">
        <v>46171</v>
      </c>
      <c r="G13" s="146" t="s">
        <v>452</v>
      </c>
    </row>
    <row r="14" spans="2:7" ht="68.400000000000006">
      <c r="B14" s="92" t="s">
        <v>471</v>
      </c>
      <c r="C14" s="45" t="s">
        <v>450</v>
      </c>
      <c r="D14" s="47" t="s">
        <v>472</v>
      </c>
      <c r="E14" s="74" t="s">
        <v>179</v>
      </c>
      <c r="F14" s="87">
        <v>46171</v>
      </c>
      <c r="G14" s="146" t="s">
        <v>473</v>
      </c>
    </row>
    <row r="15" spans="2:7" ht="91.2">
      <c r="B15" s="75" t="s">
        <v>471</v>
      </c>
      <c r="C15" s="45" t="s">
        <v>450</v>
      </c>
      <c r="D15" s="74" t="s">
        <v>474</v>
      </c>
      <c r="E15" s="74" t="s">
        <v>179</v>
      </c>
      <c r="F15" s="87">
        <v>46171</v>
      </c>
      <c r="G15" s="146" t="s">
        <v>475</v>
      </c>
    </row>
  </sheetData>
  <hyperlinks>
    <hyperlink ref="G3" r:id="rId1" xr:uid="{7FFECFC0-775C-47FD-91B1-A41E623894D2}"/>
    <hyperlink ref="G4" r:id="rId2" xr:uid="{F5AF94F5-D4C7-4DA4-8476-15243BDE0EB0}"/>
    <hyperlink ref="G5" r:id="rId3" xr:uid="{FFF72E26-41D8-4AC2-89A1-EDB9E6FA60E0}"/>
    <hyperlink ref="G6" r:id="rId4" xr:uid="{08FCA426-9041-4CA0-9867-04697F8F253C}"/>
    <hyperlink ref="G7" r:id="rId5" xr:uid="{5B45F52B-0E1A-4339-8D2E-BD2C98B902AD}"/>
    <hyperlink ref="G8" r:id="rId6" xr:uid="{B54F3733-55E7-4E6A-B248-4383E7A45D9A}"/>
    <hyperlink ref="G9" r:id="rId7" xr:uid="{D38D6FE8-B168-472A-A70E-73E1A57BE886}"/>
    <hyperlink ref="G10" r:id="rId8" xr:uid="{1196454D-2673-4FEE-80F8-660A81C450E6}"/>
    <hyperlink ref="G11:G12" r:id="rId9" display="https://drive.google.com/drive/u/0/folders/1U9cTDhrtKysQ5qa8J1fASSnvtIJNxoAN" xr:uid="{E7756F6B-07F9-41DB-B96A-F650DB4A50A1}"/>
    <hyperlink ref="G13" r:id="rId10" xr:uid="{E7D24DB3-3172-4B54-9E5A-A1FA48D3C084}"/>
    <hyperlink ref="G14" r:id="rId11" xr:uid="{E5305148-CC0E-4E90-B797-C68A13AFFD6C}"/>
    <hyperlink ref="G15" r:id="rId12" xr:uid="{486AD1FA-458E-45B7-907F-03ECE163480E}"/>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205011-B939-4681-B688-D0800E532011}">
  <sheetPr codeName="Hoja8">
    <tabColor rgb="FF92D050"/>
  </sheetPr>
  <dimension ref="A1:U6"/>
  <sheetViews>
    <sheetView workbookViewId="0">
      <selection activeCell="C21" sqref="C21"/>
    </sheetView>
  </sheetViews>
  <sheetFormatPr baseColWidth="10" defaultRowHeight="14.4"/>
  <cols>
    <col min="1" max="1" width="34.5546875" bestFit="1" customWidth="1"/>
    <col min="2" max="2" width="47.21875" bestFit="1" customWidth="1"/>
    <col min="3" max="3" width="50.6640625" bestFit="1" customWidth="1"/>
    <col min="4" max="4" width="80.88671875" bestFit="1" customWidth="1"/>
    <col min="5" max="5" width="16.33203125" bestFit="1" customWidth="1"/>
    <col min="6" max="6" width="70.5546875" bestFit="1" customWidth="1"/>
    <col min="7" max="7" width="36.33203125" bestFit="1" customWidth="1"/>
    <col min="8" max="8" width="17.5546875" bestFit="1" customWidth="1"/>
    <col min="9" max="9" width="18" bestFit="1" customWidth="1"/>
    <col min="10" max="10" width="64.77734375" bestFit="1" customWidth="1"/>
    <col min="11" max="11" width="21.77734375" bestFit="1" customWidth="1"/>
    <col min="12" max="12" width="8.88671875" bestFit="1" customWidth="1"/>
    <col min="13" max="13" width="20.109375" bestFit="1" customWidth="1"/>
    <col min="14" max="16" width="14.44140625" bestFit="1" customWidth="1"/>
    <col min="17" max="17" width="13.44140625" bestFit="1" customWidth="1"/>
    <col min="18" max="18" width="80.88671875" bestFit="1" customWidth="1"/>
    <col min="19" max="19" width="24.109375" bestFit="1" customWidth="1"/>
    <col min="20" max="20" width="20.44140625" bestFit="1" customWidth="1"/>
    <col min="21" max="21" width="5" bestFit="1" customWidth="1"/>
  </cols>
  <sheetData>
    <row r="1" spans="1:21">
      <c r="A1" t="s">
        <v>0</v>
      </c>
      <c r="B1" t="s">
        <v>1</v>
      </c>
      <c r="C1" t="s">
        <v>2</v>
      </c>
      <c r="D1" t="s">
        <v>3</v>
      </c>
      <c r="E1" t="s">
        <v>4</v>
      </c>
      <c r="F1" t="s">
        <v>5</v>
      </c>
      <c r="G1" t="s">
        <v>6</v>
      </c>
      <c r="H1" t="s">
        <v>7</v>
      </c>
      <c r="I1" t="s">
        <v>8</v>
      </c>
      <c r="J1" t="s">
        <v>9</v>
      </c>
      <c r="K1" t="s">
        <v>10</v>
      </c>
      <c r="L1" t="s">
        <v>11</v>
      </c>
      <c r="M1" t="s">
        <v>12</v>
      </c>
      <c r="N1" t="s">
        <v>543</v>
      </c>
      <c r="O1" t="s">
        <v>544</v>
      </c>
      <c r="P1" t="s">
        <v>545</v>
      </c>
      <c r="Q1" t="s">
        <v>609</v>
      </c>
      <c r="R1" t="s">
        <v>620</v>
      </c>
      <c r="S1" t="s">
        <v>654</v>
      </c>
      <c r="T1" t="s">
        <v>666</v>
      </c>
      <c r="U1" t="s">
        <v>670</v>
      </c>
    </row>
    <row r="2" spans="1:21">
      <c r="A2" t="s">
        <v>180</v>
      </c>
      <c r="B2" t="s">
        <v>461</v>
      </c>
      <c r="C2" t="s">
        <v>462</v>
      </c>
      <c r="D2" t="s">
        <v>682</v>
      </c>
      <c r="E2" t="s">
        <v>671</v>
      </c>
      <c r="F2" t="s">
        <v>463</v>
      </c>
      <c r="G2" t="s">
        <v>148</v>
      </c>
      <c r="H2" s="120">
        <v>46044</v>
      </c>
      <c r="I2" s="120">
        <v>46293</v>
      </c>
      <c r="J2" t="s">
        <v>464</v>
      </c>
      <c r="K2" t="s">
        <v>671</v>
      </c>
      <c r="L2" t="s">
        <v>201</v>
      </c>
      <c r="M2">
        <v>165</v>
      </c>
      <c r="N2" t="s">
        <v>671</v>
      </c>
      <c r="O2" t="s">
        <v>671</v>
      </c>
      <c r="P2" t="s">
        <v>671</v>
      </c>
      <c r="Q2" t="s">
        <v>671</v>
      </c>
      <c r="R2" t="s">
        <v>652</v>
      </c>
      <c r="S2" t="s">
        <v>671</v>
      </c>
      <c r="T2" t="s">
        <v>669</v>
      </c>
      <c r="U2">
        <v>131</v>
      </c>
    </row>
    <row r="3" spans="1:21">
      <c r="A3" t="s">
        <v>180</v>
      </c>
      <c r="B3" t="s">
        <v>461</v>
      </c>
      <c r="C3" t="s">
        <v>465</v>
      </c>
      <c r="D3" t="s">
        <v>683</v>
      </c>
      <c r="E3" t="s">
        <v>671</v>
      </c>
      <c r="F3" t="s">
        <v>466</v>
      </c>
      <c r="G3" t="s">
        <v>148</v>
      </c>
      <c r="H3" s="120">
        <v>46044</v>
      </c>
      <c r="I3" s="120">
        <v>46310</v>
      </c>
      <c r="J3" t="s">
        <v>467</v>
      </c>
      <c r="K3" t="s">
        <v>671</v>
      </c>
      <c r="L3" t="s">
        <v>201</v>
      </c>
      <c r="M3">
        <v>182</v>
      </c>
      <c r="N3" t="s">
        <v>671</v>
      </c>
      <c r="O3" t="s">
        <v>671</v>
      </c>
      <c r="P3" t="s">
        <v>671</v>
      </c>
      <c r="Q3" t="s">
        <v>671</v>
      </c>
      <c r="R3" t="s">
        <v>652</v>
      </c>
      <c r="S3" t="s">
        <v>671</v>
      </c>
      <c r="T3" t="s">
        <v>669</v>
      </c>
      <c r="U3">
        <v>132</v>
      </c>
    </row>
    <row r="4" spans="1:21">
      <c r="A4" t="s">
        <v>180</v>
      </c>
      <c r="B4" t="s">
        <v>461</v>
      </c>
      <c r="C4" t="s">
        <v>465</v>
      </c>
      <c r="D4" t="s">
        <v>671</v>
      </c>
      <c r="E4" t="s">
        <v>671</v>
      </c>
      <c r="F4" t="s">
        <v>468</v>
      </c>
      <c r="G4" t="s">
        <v>148</v>
      </c>
      <c r="H4" s="120">
        <v>46044</v>
      </c>
      <c r="I4" s="120">
        <v>46310</v>
      </c>
      <c r="J4" t="s">
        <v>467</v>
      </c>
      <c r="K4" t="s">
        <v>671</v>
      </c>
      <c r="L4" t="s">
        <v>201</v>
      </c>
      <c r="M4">
        <v>182</v>
      </c>
      <c r="N4" t="s">
        <v>671</v>
      </c>
      <c r="O4" t="s">
        <v>671</v>
      </c>
      <c r="P4" t="s">
        <v>671</v>
      </c>
      <c r="Q4" t="s">
        <v>671</v>
      </c>
      <c r="R4" t="s">
        <v>652</v>
      </c>
      <c r="S4" t="s">
        <v>671</v>
      </c>
      <c r="T4" t="s">
        <v>669</v>
      </c>
      <c r="U4">
        <v>133</v>
      </c>
    </row>
    <row r="5" spans="1:21">
      <c r="A5" t="s">
        <v>180</v>
      </c>
      <c r="B5" t="s">
        <v>461</v>
      </c>
      <c r="C5" t="s">
        <v>465</v>
      </c>
      <c r="D5" t="s">
        <v>671</v>
      </c>
      <c r="E5" t="s">
        <v>671</v>
      </c>
      <c r="F5" t="s">
        <v>469</v>
      </c>
      <c r="G5" t="s">
        <v>148</v>
      </c>
      <c r="H5" s="120">
        <v>46044</v>
      </c>
      <c r="I5" s="120">
        <v>46310</v>
      </c>
      <c r="J5" t="s">
        <v>467</v>
      </c>
      <c r="K5" t="s">
        <v>671</v>
      </c>
      <c r="L5" t="s">
        <v>201</v>
      </c>
      <c r="M5">
        <v>182</v>
      </c>
      <c r="N5" t="s">
        <v>671</v>
      </c>
      <c r="O5" t="s">
        <v>671</v>
      </c>
      <c r="P5" t="s">
        <v>671</v>
      </c>
      <c r="Q5" t="s">
        <v>671</v>
      </c>
      <c r="R5" t="s">
        <v>652</v>
      </c>
      <c r="S5" t="s">
        <v>671</v>
      </c>
      <c r="T5" t="s">
        <v>669</v>
      </c>
      <c r="U5">
        <v>134</v>
      </c>
    </row>
    <row r="6" spans="1:21">
      <c r="A6" t="s">
        <v>180</v>
      </c>
      <c r="B6" t="s">
        <v>461</v>
      </c>
      <c r="C6" t="s">
        <v>465</v>
      </c>
      <c r="D6" t="s">
        <v>671</v>
      </c>
      <c r="E6" t="s">
        <v>671</v>
      </c>
      <c r="F6" t="s">
        <v>470</v>
      </c>
      <c r="G6" t="s">
        <v>148</v>
      </c>
      <c r="H6" s="120">
        <v>46044</v>
      </c>
      <c r="I6" s="120">
        <v>46300</v>
      </c>
      <c r="J6" t="s">
        <v>467</v>
      </c>
      <c r="K6" t="s">
        <v>671</v>
      </c>
      <c r="L6" t="s">
        <v>201</v>
      </c>
      <c r="M6">
        <v>172</v>
      </c>
      <c r="N6" t="s">
        <v>671</v>
      </c>
      <c r="O6" t="s">
        <v>671</v>
      </c>
      <c r="P6" t="s">
        <v>671</v>
      </c>
      <c r="Q6" t="s">
        <v>671</v>
      </c>
      <c r="R6" t="s">
        <v>652</v>
      </c>
      <c r="S6" t="s">
        <v>671</v>
      </c>
      <c r="T6" t="s">
        <v>669</v>
      </c>
      <c r="U6">
        <v>135</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1AB7FB-FB00-4CEB-AB3F-6EC791145974}">
  <sheetPr codeName="Hoja9">
    <tabColor theme="4" tint="0.39997558519241921"/>
  </sheetPr>
  <dimension ref="A1:U26"/>
  <sheetViews>
    <sheetView topLeftCell="N1" workbookViewId="0">
      <selection activeCell="U18" sqref="U18"/>
    </sheetView>
  </sheetViews>
  <sheetFormatPr baseColWidth="10" defaultRowHeight="14.4"/>
  <cols>
    <col min="1" max="1" width="34.5546875" bestFit="1" customWidth="1"/>
    <col min="2" max="4" width="80.88671875" bestFit="1" customWidth="1"/>
    <col min="5" max="5" width="16.33203125" bestFit="1" customWidth="1"/>
    <col min="6" max="6" width="80.88671875" bestFit="1" customWidth="1"/>
    <col min="7" max="7" width="59.6640625" bestFit="1" customWidth="1"/>
    <col min="8" max="8" width="17.5546875" bestFit="1" customWidth="1"/>
    <col min="9" max="9" width="18" bestFit="1" customWidth="1"/>
    <col min="10" max="10" width="71.33203125" bestFit="1" customWidth="1"/>
    <col min="11" max="11" width="44.77734375" bestFit="1" customWidth="1"/>
    <col min="12" max="12" width="8.88671875" bestFit="1" customWidth="1"/>
    <col min="13" max="13" width="20.109375" bestFit="1" customWidth="1"/>
    <col min="14" max="16" width="14.44140625" bestFit="1" customWidth="1"/>
    <col min="17" max="17" width="16.88671875" bestFit="1" customWidth="1"/>
    <col min="18" max="18" width="80.88671875" bestFit="1" customWidth="1"/>
    <col min="19" max="19" width="24.109375" bestFit="1" customWidth="1"/>
    <col min="20" max="20" width="20.44140625" bestFit="1" customWidth="1"/>
    <col min="21" max="21" width="5" bestFit="1" customWidth="1"/>
  </cols>
  <sheetData>
    <row r="1" spans="1:21">
      <c r="A1" t="s">
        <v>0</v>
      </c>
      <c r="B1" t="s">
        <v>1</v>
      </c>
      <c r="C1" t="s">
        <v>2</v>
      </c>
      <c r="D1" t="s">
        <v>3</v>
      </c>
      <c r="E1" t="s">
        <v>4</v>
      </c>
      <c r="F1" t="s">
        <v>5</v>
      </c>
      <c r="G1" t="s">
        <v>6</v>
      </c>
      <c r="H1" t="s">
        <v>7</v>
      </c>
      <c r="I1" t="s">
        <v>8</v>
      </c>
      <c r="J1" t="s">
        <v>9</v>
      </c>
      <c r="K1" t="s">
        <v>10</v>
      </c>
      <c r="L1" t="s">
        <v>11</v>
      </c>
      <c r="M1" t="s">
        <v>12</v>
      </c>
      <c r="N1" t="s">
        <v>543</v>
      </c>
      <c r="O1" t="s">
        <v>544</v>
      </c>
      <c r="P1" t="s">
        <v>545</v>
      </c>
      <c r="Q1" t="s">
        <v>609</v>
      </c>
      <c r="R1" t="s">
        <v>620</v>
      </c>
      <c r="S1" t="s">
        <v>654</v>
      </c>
      <c r="T1" t="s">
        <v>666</v>
      </c>
      <c r="U1" t="s">
        <v>670</v>
      </c>
    </row>
    <row r="2" spans="1:21" hidden="1">
      <c r="A2" t="s">
        <v>180</v>
      </c>
      <c r="B2" t="s">
        <v>419</v>
      </c>
      <c r="C2" t="s">
        <v>420</v>
      </c>
      <c r="D2" t="s">
        <v>672</v>
      </c>
      <c r="E2" t="s">
        <v>188</v>
      </c>
      <c r="F2" t="s">
        <v>422</v>
      </c>
      <c r="G2" t="s">
        <v>17</v>
      </c>
      <c r="H2" s="120">
        <v>45992</v>
      </c>
      <c r="I2" s="120">
        <v>46218</v>
      </c>
      <c r="J2" t="s">
        <v>423</v>
      </c>
      <c r="K2" t="s">
        <v>671</v>
      </c>
      <c r="L2" t="s">
        <v>201</v>
      </c>
      <c r="M2">
        <v>-11</v>
      </c>
      <c r="N2" t="s">
        <v>671</v>
      </c>
      <c r="O2" t="s">
        <v>671</v>
      </c>
      <c r="P2" t="s">
        <v>671</v>
      </c>
      <c r="Q2" t="s">
        <v>762</v>
      </c>
      <c r="R2" t="s">
        <v>641</v>
      </c>
      <c r="S2" t="s">
        <v>671</v>
      </c>
      <c r="T2" t="s">
        <v>667</v>
      </c>
      <c r="U2">
        <v>109</v>
      </c>
    </row>
    <row r="3" spans="1:21" hidden="1">
      <c r="A3" t="s">
        <v>180</v>
      </c>
      <c r="B3" t="s">
        <v>419</v>
      </c>
      <c r="C3" t="s">
        <v>420</v>
      </c>
      <c r="D3" t="s">
        <v>671</v>
      </c>
      <c r="E3" t="s">
        <v>671</v>
      </c>
      <c r="F3" t="s">
        <v>424</v>
      </c>
      <c r="G3" t="s">
        <v>17</v>
      </c>
      <c r="H3" s="120">
        <v>45992</v>
      </c>
      <c r="I3" s="120">
        <v>46218</v>
      </c>
      <c r="J3" t="s">
        <v>423</v>
      </c>
      <c r="K3" t="s">
        <v>671</v>
      </c>
      <c r="L3" t="s">
        <v>201</v>
      </c>
      <c r="M3">
        <v>-11</v>
      </c>
      <c r="N3" t="s">
        <v>671</v>
      </c>
      <c r="O3" t="s">
        <v>671</v>
      </c>
      <c r="P3" t="s">
        <v>671</v>
      </c>
      <c r="Q3" t="s">
        <v>762</v>
      </c>
      <c r="R3" t="s">
        <v>641</v>
      </c>
      <c r="S3" t="s">
        <v>671</v>
      </c>
      <c r="T3" t="s">
        <v>667</v>
      </c>
      <c r="U3">
        <v>110</v>
      </c>
    </row>
    <row r="4" spans="1:21" hidden="1">
      <c r="A4" t="s">
        <v>180</v>
      </c>
      <c r="B4" t="s">
        <v>419</v>
      </c>
      <c r="C4" t="s">
        <v>420</v>
      </c>
      <c r="D4" t="s">
        <v>671</v>
      </c>
      <c r="E4" t="s">
        <v>671</v>
      </c>
      <c r="F4" t="s">
        <v>425</v>
      </c>
      <c r="G4" t="s">
        <v>17</v>
      </c>
      <c r="H4" s="120">
        <v>45992</v>
      </c>
      <c r="I4" s="120">
        <v>46218</v>
      </c>
      <c r="J4" t="s">
        <v>423</v>
      </c>
      <c r="K4" t="s">
        <v>671</v>
      </c>
      <c r="L4" t="s">
        <v>201</v>
      </c>
      <c r="M4">
        <v>-11</v>
      </c>
      <c r="N4" t="s">
        <v>671</v>
      </c>
      <c r="O4" t="s">
        <v>671</v>
      </c>
      <c r="P4" t="s">
        <v>671</v>
      </c>
      <c r="Q4" t="s">
        <v>762</v>
      </c>
      <c r="R4" t="s">
        <v>641</v>
      </c>
      <c r="S4" t="s">
        <v>671</v>
      </c>
      <c r="T4" t="s">
        <v>667</v>
      </c>
      <c r="U4">
        <v>111</v>
      </c>
    </row>
    <row r="5" spans="1:21" hidden="1">
      <c r="A5" t="s">
        <v>180</v>
      </c>
      <c r="B5" t="s">
        <v>419</v>
      </c>
      <c r="C5" t="s">
        <v>420</v>
      </c>
      <c r="D5" t="s">
        <v>671</v>
      </c>
      <c r="E5" t="s">
        <v>671</v>
      </c>
      <c r="F5" t="s">
        <v>426</v>
      </c>
      <c r="G5" t="s">
        <v>17</v>
      </c>
      <c r="H5" s="120">
        <v>45992</v>
      </c>
      <c r="I5" s="120">
        <v>46218</v>
      </c>
      <c r="J5" t="s">
        <v>423</v>
      </c>
      <c r="K5" t="s">
        <v>671</v>
      </c>
      <c r="L5" t="s">
        <v>201</v>
      </c>
      <c r="M5">
        <v>-11</v>
      </c>
      <c r="N5" t="s">
        <v>671</v>
      </c>
      <c r="O5" t="s">
        <v>671</v>
      </c>
      <c r="P5" t="s">
        <v>671</v>
      </c>
      <c r="Q5" t="s">
        <v>762</v>
      </c>
      <c r="R5" t="s">
        <v>641</v>
      </c>
      <c r="S5" t="s">
        <v>671</v>
      </c>
      <c r="T5" t="s">
        <v>667</v>
      </c>
      <c r="U5">
        <v>112</v>
      </c>
    </row>
    <row r="6" spans="1:21" hidden="1">
      <c r="A6" t="s">
        <v>180</v>
      </c>
      <c r="B6" t="s">
        <v>419</v>
      </c>
      <c r="C6" t="s">
        <v>420</v>
      </c>
      <c r="D6" t="s">
        <v>671</v>
      </c>
      <c r="E6" t="s">
        <v>671</v>
      </c>
      <c r="F6" t="s">
        <v>427</v>
      </c>
      <c r="G6" t="s">
        <v>17</v>
      </c>
      <c r="H6" s="120">
        <v>45992</v>
      </c>
      <c r="I6" s="120">
        <v>46218</v>
      </c>
      <c r="J6" t="s">
        <v>423</v>
      </c>
      <c r="K6" t="s">
        <v>671</v>
      </c>
      <c r="L6" t="s">
        <v>201</v>
      </c>
      <c r="M6">
        <v>-11</v>
      </c>
      <c r="N6" t="s">
        <v>671</v>
      </c>
      <c r="O6" t="s">
        <v>671</v>
      </c>
      <c r="P6" t="s">
        <v>671</v>
      </c>
      <c r="Q6" t="s">
        <v>762</v>
      </c>
      <c r="R6" t="s">
        <v>641</v>
      </c>
      <c r="S6" t="s">
        <v>671</v>
      </c>
      <c r="T6" t="s">
        <v>667</v>
      </c>
      <c r="U6">
        <v>113</v>
      </c>
    </row>
    <row r="7" spans="1:21" hidden="1">
      <c r="A7" t="s">
        <v>180</v>
      </c>
      <c r="B7" t="s">
        <v>419</v>
      </c>
      <c r="C7" t="s">
        <v>420</v>
      </c>
      <c r="D7" t="s">
        <v>671</v>
      </c>
      <c r="E7" t="s">
        <v>671</v>
      </c>
      <c r="F7" t="s">
        <v>428</v>
      </c>
      <c r="G7" t="s">
        <v>17</v>
      </c>
      <c r="H7" s="120">
        <v>45992</v>
      </c>
      <c r="I7" s="120">
        <v>46218</v>
      </c>
      <c r="J7" t="s">
        <v>423</v>
      </c>
      <c r="K7" t="s">
        <v>671</v>
      </c>
      <c r="L7" t="s">
        <v>201</v>
      </c>
      <c r="M7">
        <v>-11</v>
      </c>
      <c r="N7" t="s">
        <v>671</v>
      </c>
      <c r="O7" t="s">
        <v>671</v>
      </c>
      <c r="P7" t="s">
        <v>671</v>
      </c>
      <c r="Q7" t="s">
        <v>762</v>
      </c>
      <c r="R7" t="s">
        <v>641</v>
      </c>
      <c r="S7" t="s">
        <v>671</v>
      </c>
      <c r="T7" t="s">
        <v>667</v>
      </c>
      <c r="U7">
        <v>114</v>
      </c>
    </row>
    <row r="8" spans="1:21" hidden="1">
      <c r="A8" t="s">
        <v>180</v>
      </c>
      <c r="B8" t="s">
        <v>419</v>
      </c>
      <c r="C8" t="s">
        <v>429</v>
      </c>
      <c r="D8" t="s">
        <v>673</v>
      </c>
      <c r="E8" t="s">
        <v>188</v>
      </c>
      <c r="F8" t="s">
        <v>431</v>
      </c>
      <c r="G8" t="s">
        <v>534</v>
      </c>
      <c r="H8" s="120">
        <v>45992</v>
      </c>
      <c r="I8" s="120">
        <v>46142</v>
      </c>
      <c r="J8" t="s">
        <v>432</v>
      </c>
      <c r="K8" t="s">
        <v>671</v>
      </c>
      <c r="L8" t="s">
        <v>33</v>
      </c>
      <c r="N8" t="s">
        <v>671</v>
      </c>
      <c r="O8" t="s">
        <v>671</v>
      </c>
      <c r="P8" t="s">
        <v>671</v>
      </c>
      <c r="Q8" t="s">
        <v>671</v>
      </c>
      <c r="R8" t="s">
        <v>633</v>
      </c>
      <c r="S8" t="s">
        <v>671</v>
      </c>
      <c r="T8" t="s">
        <v>667</v>
      </c>
      <c r="U8">
        <v>115</v>
      </c>
    </row>
    <row r="9" spans="1:21" hidden="1">
      <c r="A9" t="s">
        <v>180</v>
      </c>
      <c r="B9" t="s">
        <v>419</v>
      </c>
      <c r="C9" t="s">
        <v>429</v>
      </c>
      <c r="D9" t="s">
        <v>671</v>
      </c>
      <c r="E9" t="s">
        <v>671</v>
      </c>
      <c r="F9" t="s">
        <v>433</v>
      </c>
      <c r="G9" t="s">
        <v>534</v>
      </c>
      <c r="H9" s="120">
        <v>45992</v>
      </c>
      <c r="I9" s="120">
        <v>46142</v>
      </c>
      <c r="J9" t="s">
        <v>432</v>
      </c>
      <c r="K9" t="s">
        <v>671</v>
      </c>
      <c r="L9" t="s">
        <v>33</v>
      </c>
      <c r="N9" t="s">
        <v>671</v>
      </c>
      <c r="O9" t="s">
        <v>671</v>
      </c>
      <c r="P9" t="s">
        <v>671</v>
      </c>
      <c r="Q9" t="s">
        <v>671</v>
      </c>
      <c r="R9" t="s">
        <v>633</v>
      </c>
      <c r="S9" t="s">
        <v>671</v>
      </c>
      <c r="T9" t="s">
        <v>667</v>
      </c>
      <c r="U9">
        <v>116</v>
      </c>
    </row>
    <row r="10" spans="1:21" hidden="1">
      <c r="A10" t="s">
        <v>180</v>
      </c>
      <c r="B10" t="s">
        <v>419</v>
      </c>
      <c r="C10" t="s">
        <v>429</v>
      </c>
      <c r="D10" t="s">
        <v>671</v>
      </c>
      <c r="E10" t="s">
        <v>671</v>
      </c>
      <c r="F10" t="s">
        <v>434</v>
      </c>
      <c r="G10" t="s">
        <v>534</v>
      </c>
      <c r="H10" s="120">
        <v>45992</v>
      </c>
      <c r="I10" s="120">
        <v>46142</v>
      </c>
      <c r="J10" t="s">
        <v>432</v>
      </c>
      <c r="K10" t="s">
        <v>671</v>
      </c>
      <c r="L10" t="s">
        <v>33</v>
      </c>
      <c r="N10" t="s">
        <v>671</v>
      </c>
      <c r="O10" t="s">
        <v>671</v>
      </c>
      <c r="P10" t="s">
        <v>671</v>
      </c>
      <c r="Q10" t="s">
        <v>671</v>
      </c>
      <c r="R10" t="s">
        <v>633</v>
      </c>
      <c r="S10" t="s">
        <v>671</v>
      </c>
      <c r="T10" t="s">
        <v>667</v>
      </c>
      <c r="U10">
        <v>117</v>
      </c>
    </row>
    <row r="11" spans="1:21" hidden="1">
      <c r="A11" t="s">
        <v>180</v>
      </c>
      <c r="B11" t="s">
        <v>419</v>
      </c>
      <c r="C11" t="s">
        <v>429</v>
      </c>
      <c r="D11" t="s">
        <v>671</v>
      </c>
      <c r="E11" t="s">
        <v>671</v>
      </c>
      <c r="F11" t="s">
        <v>435</v>
      </c>
      <c r="G11" t="s">
        <v>534</v>
      </c>
      <c r="H11" s="120">
        <v>45992</v>
      </c>
      <c r="I11" s="120">
        <v>46142</v>
      </c>
      <c r="J11" t="s">
        <v>432</v>
      </c>
      <c r="K11" t="s">
        <v>671</v>
      </c>
      <c r="L11" t="s">
        <v>33</v>
      </c>
      <c r="N11" t="s">
        <v>671</v>
      </c>
      <c r="O11" t="s">
        <v>671</v>
      </c>
      <c r="P11" t="s">
        <v>671</v>
      </c>
      <c r="Q11" t="s">
        <v>671</v>
      </c>
      <c r="R11" t="s">
        <v>633</v>
      </c>
      <c r="S11" t="s">
        <v>671</v>
      </c>
      <c r="T11" t="s">
        <v>667</v>
      </c>
      <c r="U11">
        <v>118</v>
      </c>
    </row>
    <row r="12" spans="1:21" hidden="1">
      <c r="A12" t="s">
        <v>180</v>
      </c>
      <c r="B12" t="s">
        <v>419</v>
      </c>
      <c r="C12" t="s">
        <v>436</v>
      </c>
      <c r="D12" t="s">
        <v>674</v>
      </c>
      <c r="E12" t="s">
        <v>188</v>
      </c>
      <c r="F12" t="s">
        <v>437</v>
      </c>
      <c r="G12" t="s">
        <v>115</v>
      </c>
      <c r="H12" s="120">
        <v>45996</v>
      </c>
      <c r="I12" s="120">
        <v>46386</v>
      </c>
      <c r="J12" t="s">
        <v>438</v>
      </c>
      <c r="K12" t="s">
        <v>671</v>
      </c>
      <c r="L12" t="s">
        <v>201</v>
      </c>
      <c r="M12">
        <v>157</v>
      </c>
      <c r="N12" t="s">
        <v>671</v>
      </c>
      <c r="O12" t="s">
        <v>671</v>
      </c>
      <c r="P12" t="s">
        <v>671</v>
      </c>
      <c r="Q12" t="s">
        <v>671</v>
      </c>
      <c r="R12" t="s">
        <v>632</v>
      </c>
      <c r="S12" t="s">
        <v>671</v>
      </c>
      <c r="T12" t="s">
        <v>667</v>
      </c>
      <c r="U12">
        <v>119</v>
      </c>
    </row>
    <row r="13" spans="1:21" hidden="1">
      <c r="A13" t="s">
        <v>180</v>
      </c>
      <c r="B13" t="s">
        <v>419</v>
      </c>
      <c r="C13" t="s">
        <v>436</v>
      </c>
      <c r="D13" t="s">
        <v>671</v>
      </c>
      <c r="E13" t="s">
        <v>671</v>
      </c>
      <c r="F13" t="s">
        <v>439</v>
      </c>
      <c r="G13" t="s">
        <v>115</v>
      </c>
      <c r="H13" s="120">
        <v>45996</v>
      </c>
      <c r="I13" s="120">
        <v>46386</v>
      </c>
      <c r="J13" t="s">
        <v>438</v>
      </c>
      <c r="K13" t="s">
        <v>671</v>
      </c>
      <c r="L13" t="s">
        <v>201</v>
      </c>
      <c r="M13">
        <v>157</v>
      </c>
      <c r="N13" t="s">
        <v>671</v>
      </c>
      <c r="O13" t="s">
        <v>671</v>
      </c>
      <c r="P13" t="s">
        <v>671</v>
      </c>
      <c r="Q13" t="s">
        <v>671</v>
      </c>
      <c r="R13" t="s">
        <v>632</v>
      </c>
      <c r="S13" t="s">
        <v>671</v>
      </c>
      <c r="T13" t="s">
        <v>667</v>
      </c>
      <c r="U13">
        <v>120</v>
      </c>
    </row>
    <row r="14" spans="1:21" hidden="1">
      <c r="A14" t="s">
        <v>180</v>
      </c>
      <c r="B14" t="s">
        <v>419</v>
      </c>
      <c r="C14" t="s">
        <v>436</v>
      </c>
      <c r="D14" t="s">
        <v>671</v>
      </c>
      <c r="E14" t="s">
        <v>671</v>
      </c>
      <c r="F14" t="s">
        <v>440</v>
      </c>
      <c r="G14" t="s">
        <v>115</v>
      </c>
      <c r="H14" s="120">
        <v>45996</v>
      </c>
      <c r="I14" s="120">
        <v>46386</v>
      </c>
      <c r="J14" t="s">
        <v>438</v>
      </c>
      <c r="K14" t="s">
        <v>671</v>
      </c>
      <c r="L14" t="s">
        <v>201</v>
      </c>
      <c r="M14">
        <v>157</v>
      </c>
      <c r="N14" t="s">
        <v>671</v>
      </c>
      <c r="O14" t="s">
        <v>671</v>
      </c>
      <c r="P14" t="s">
        <v>671</v>
      </c>
      <c r="Q14" t="s">
        <v>671</v>
      </c>
      <c r="R14" t="s">
        <v>632</v>
      </c>
      <c r="S14" t="s">
        <v>671</v>
      </c>
      <c r="T14" t="s">
        <v>667</v>
      </c>
      <c r="U14">
        <v>121</v>
      </c>
    </row>
    <row r="15" spans="1:21" hidden="1">
      <c r="A15" t="s">
        <v>180</v>
      </c>
      <c r="B15" t="s">
        <v>419</v>
      </c>
      <c r="C15" t="s">
        <v>436</v>
      </c>
      <c r="D15" t="s">
        <v>671</v>
      </c>
      <c r="E15" t="s">
        <v>671</v>
      </c>
      <c r="F15" t="s">
        <v>441</v>
      </c>
      <c r="G15" t="s">
        <v>115</v>
      </c>
      <c r="H15" s="120">
        <v>45996</v>
      </c>
      <c r="I15" s="120">
        <v>46386</v>
      </c>
      <c r="J15" t="s">
        <v>438</v>
      </c>
      <c r="K15" t="s">
        <v>671</v>
      </c>
      <c r="L15" t="s">
        <v>201</v>
      </c>
      <c r="M15">
        <v>157</v>
      </c>
      <c r="N15" t="s">
        <v>671</v>
      </c>
      <c r="O15" t="s">
        <v>671</v>
      </c>
      <c r="P15" t="s">
        <v>671</v>
      </c>
      <c r="Q15" t="s">
        <v>671</v>
      </c>
      <c r="R15" t="s">
        <v>632</v>
      </c>
      <c r="S15" t="s">
        <v>671</v>
      </c>
      <c r="T15" t="s">
        <v>667</v>
      </c>
      <c r="U15">
        <v>122</v>
      </c>
    </row>
    <row r="16" spans="1:21" hidden="1">
      <c r="A16" t="s">
        <v>180</v>
      </c>
      <c r="B16" t="s">
        <v>419</v>
      </c>
      <c r="C16" t="s">
        <v>436</v>
      </c>
      <c r="D16" t="s">
        <v>671</v>
      </c>
      <c r="E16" t="s">
        <v>671</v>
      </c>
      <c r="F16" t="s">
        <v>442</v>
      </c>
      <c r="G16" t="s">
        <v>115</v>
      </c>
      <c r="H16" s="120">
        <v>45996</v>
      </c>
      <c r="I16" s="120">
        <v>46386</v>
      </c>
      <c r="J16" t="s">
        <v>438</v>
      </c>
      <c r="K16" t="s">
        <v>671</v>
      </c>
      <c r="L16" t="s">
        <v>201</v>
      </c>
      <c r="M16">
        <v>157</v>
      </c>
      <c r="N16" t="s">
        <v>671</v>
      </c>
      <c r="O16" t="s">
        <v>671</v>
      </c>
      <c r="P16" t="s">
        <v>671</v>
      </c>
      <c r="Q16" t="s">
        <v>671</v>
      </c>
      <c r="R16" t="s">
        <v>632</v>
      </c>
      <c r="S16" t="s">
        <v>671</v>
      </c>
      <c r="T16" t="s">
        <v>667</v>
      </c>
      <c r="U16">
        <v>123</v>
      </c>
    </row>
    <row r="17" spans="1:21" hidden="1">
      <c r="A17" t="s">
        <v>180</v>
      </c>
      <c r="B17" t="s">
        <v>419</v>
      </c>
      <c r="C17" t="s">
        <v>443</v>
      </c>
      <c r="D17" t="s">
        <v>675</v>
      </c>
      <c r="E17" t="s">
        <v>188</v>
      </c>
      <c r="F17" t="s">
        <v>444</v>
      </c>
      <c r="G17" t="s">
        <v>445</v>
      </c>
      <c r="H17" s="120">
        <v>45992</v>
      </c>
      <c r="I17" s="120">
        <v>46142</v>
      </c>
      <c r="J17" t="s">
        <v>446</v>
      </c>
      <c r="K17" t="s">
        <v>1278</v>
      </c>
      <c r="L17" t="s">
        <v>33</v>
      </c>
      <c r="N17" t="s">
        <v>671</v>
      </c>
      <c r="O17" t="s">
        <v>671</v>
      </c>
      <c r="P17" t="s">
        <v>671</v>
      </c>
      <c r="Q17" t="s">
        <v>671</v>
      </c>
      <c r="R17" t="s">
        <v>642</v>
      </c>
      <c r="S17" t="s">
        <v>671</v>
      </c>
      <c r="T17" t="s">
        <v>667</v>
      </c>
      <c r="U17">
        <v>124</v>
      </c>
    </row>
    <row r="18" spans="1:21" hidden="1">
      <c r="A18" t="s">
        <v>180</v>
      </c>
      <c r="B18" t="s">
        <v>419</v>
      </c>
      <c r="C18" t="s">
        <v>443</v>
      </c>
      <c r="D18" t="s">
        <v>671</v>
      </c>
      <c r="E18" t="s">
        <v>671</v>
      </c>
      <c r="F18" t="s">
        <v>447</v>
      </c>
      <c r="G18" t="s">
        <v>445</v>
      </c>
      <c r="H18" s="120">
        <v>45992</v>
      </c>
      <c r="I18" s="120">
        <v>46142</v>
      </c>
      <c r="J18" t="s">
        <v>446</v>
      </c>
      <c r="K18" t="s">
        <v>671</v>
      </c>
      <c r="L18" t="s">
        <v>33</v>
      </c>
      <c r="N18" t="s">
        <v>671</v>
      </c>
      <c r="O18" t="s">
        <v>671</v>
      </c>
      <c r="P18" t="s">
        <v>671</v>
      </c>
      <c r="Q18" t="s">
        <v>671</v>
      </c>
      <c r="R18" t="s">
        <v>643</v>
      </c>
      <c r="S18" t="s">
        <v>671</v>
      </c>
      <c r="T18" t="s">
        <v>667</v>
      </c>
      <c r="U18">
        <v>125</v>
      </c>
    </row>
    <row r="19" spans="1:21" hidden="1">
      <c r="A19" t="s">
        <v>180</v>
      </c>
      <c r="B19" t="s">
        <v>419</v>
      </c>
      <c r="C19" t="s">
        <v>443</v>
      </c>
      <c r="D19" t="s">
        <v>671</v>
      </c>
      <c r="E19" t="s">
        <v>671</v>
      </c>
      <c r="F19" t="s">
        <v>448</v>
      </c>
      <c r="G19" t="s">
        <v>445</v>
      </c>
      <c r="H19" s="120">
        <v>45992</v>
      </c>
      <c r="I19" s="120">
        <v>46142</v>
      </c>
      <c r="J19" t="s">
        <v>446</v>
      </c>
      <c r="K19" t="s">
        <v>671</v>
      </c>
      <c r="L19" t="s">
        <v>33</v>
      </c>
      <c r="N19" t="s">
        <v>671</v>
      </c>
      <c r="O19" t="s">
        <v>671</v>
      </c>
      <c r="P19" t="s">
        <v>671</v>
      </c>
      <c r="Q19" t="s">
        <v>671</v>
      </c>
      <c r="R19" t="s">
        <v>643</v>
      </c>
      <c r="S19" t="s">
        <v>671</v>
      </c>
      <c r="T19" t="s">
        <v>667</v>
      </c>
      <c r="U19">
        <v>126</v>
      </c>
    </row>
    <row r="20" spans="1:21" hidden="1">
      <c r="A20" t="s">
        <v>180</v>
      </c>
      <c r="B20" t="s">
        <v>449</v>
      </c>
      <c r="C20" t="s">
        <v>450</v>
      </c>
      <c r="D20" t="s">
        <v>676</v>
      </c>
      <c r="E20" t="s">
        <v>254</v>
      </c>
      <c r="F20" t="s">
        <v>451</v>
      </c>
      <c r="G20" t="s">
        <v>179</v>
      </c>
      <c r="H20" s="120">
        <v>46051</v>
      </c>
      <c r="I20" s="120">
        <v>46171</v>
      </c>
      <c r="J20" t="s">
        <v>452</v>
      </c>
      <c r="K20" t="s">
        <v>671</v>
      </c>
      <c r="L20" t="s">
        <v>33</v>
      </c>
      <c r="N20" t="s">
        <v>671</v>
      </c>
      <c r="O20" t="s">
        <v>671</v>
      </c>
      <c r="P20" t="s">
        <v>671</v>
      </c>
      <c r="Q20" t="s">
        <v>671</v>
      </c>
      <c r="R20" t="s">
        <v>644</v>
      </c>
      <c r="S20" t="s">
        <v>671</v>
      </c>
      <c r="T20" t="s">
        <v>667</v>
      </c>
      <c r="U20">
        <v>127</v>
      </c>
    </row>
    <row r="21" spans="1:21" hidden="1">
      <c r="A21" t="s">
        <v>180</v>
      </c>
      <c r="B21" t="s">
        <v>471</v>
      </c>
      <c r="C21" t="s">
        <v>450</v>
      </c>
      <c r="D21" t="s">
        <v>677</v>
      </c>
      <c r="E21" t="s">
        <v>188</v>
      </c>
      <c r="F21" t="s">
        <v>472</v>
      </c>
      <c r="G21" t="s">
        <v>179</v>
      </c>
      <c r="H21" s="120">
        <v>46051</v>
      </c>
      <c r="I21" s="120">
        <v>46171</v>
      </c>
      <c r="J21" t="s">
        <v>473</v>
      </c>
      <c r="K21" t="s">
        <v>671</v>
      </c>
      <c r="L21" t="s">
        <v>33</v>
      </c>
      <c r="N21" t="s">
        <v>671</v>
      </c>
      <c r="O21" t="s">
        <v>671</v>
      </c>
      <c r="P21" t="s">
        <v>671</v>
      </c>
      <c r="Q21" t="s">
        <v>671</v>
      </c>
      <c r="R21" t="s">
        <v>644</v>
      </c>
      <c r="S21" t="s">
        <v>671</v>
      </c>
      <c r="T21" t="s">
        <v>667</v>
      </c>
      <c r="U21">
        <v>136</v>
      </c>
    </row>
    <row r="22" spans="1:21" hidden="1">
      <c r="A22" t="s">
        <v>180</v>
      </c>
      <c r="B22" t="s">
        <v>471</v>
      </c>
      <c r="C22" t="s">
        <v>450</v>
      </c>
      <c r="D22" t="s">
        <v>671</v>
      </c>
      <c r="E22" t="s">
        <v>671</v>
      </c>
      <c r="F22" t="s">
        <v>474</v>
      </c>
      <c r="G22" t="s">
        <v>179</v>
      </c>
      <c r="H22" s="120">
        <v>46051</v>
      </c>
      <c r="I22" s="120">
        <v>46171</v>
      </c>
      <c r="J22" t="s">
        <v>475</v>
      </c>
      <c r="K22" t="s">
        <v>671</v>
      </c>
      <c r="L22" t="s">
        <v>33</v>
      </c>
      <c r="N22" t="s">
        <v>671</v>
      </c>
      <c r="O22" t="s">
        <v>671</v>
      </c>
      <c r="P22" t="s">
        <v>671</v>
      </c>
      <c r="Q22" t="s">
        <v>671</v>
      </c>
      <c r="R22" t="s">
        <v>644</v>
      </c>
      <c r="S22" t="s">
        <v>671</v>
      </c>
      <c r="T22" t="s">
        <v>667</v>
      </c>
      <c r="U22">
        <v>137</v>
      </c>
    </row>
    <row r="23" spans="1:21" hidden="1">
      <c r="A23" t="s">
        <v>180</v>
      </c>
      <c r="B23" t="s">
        <v>471</v>
      </c>
      <c r="C23" t="s">
        <v>476</v>
      </c>
      <c r="D23" t="s">
        <v>678</v>
      </c>
      <c r="E23" t="s">
        <v>188</v>
      </c>
      <c r="F23" t="s">
        <v>645</v>
      </c>
      <c r="G23" t="s">
        <v>118</v>
      </c>
      <c r="H23" s="120">
        <v>46108</v>
      </c>
      <c r="I23" s="120">
        <v>46295</v>
      </c>
      <c r="J23" t="s">
        <v>475</v>
      </c>
      <c r="K23" t="s">
        <v>671</v>
      </c>
      <c r="L23" t="s">
        <v>201</v>
      </c>
      <c r="M23">
        <v>66</v>
      </c>
      <c r="N23" t="s">
        <v>671</v>
      </c>
      <c r="O23" t="s">
        <v>671</v>
      </c>
      <c r="P23" t="s">
        <v>671</v>
      </c>
      <c r="Q23" t="s">
        <v>671</v>
      </c>
      <c r="R23" t="s">
        <v>647</v>
      </c>
      <c r="S23" t="s">
        <v>671</v>
      </c>
      <c r="T23" t="s">
        <v>667</v>
      </c>
      <c r="U23">
        <v>138</v>
      </c>
    </row>
    <row r="24" spans="1:21" ht="144" hidden="1">
      <c r="A24" t="s">
        <v>180</v>
      </c>
      <c r="B24" t="s">
        <v>925</v>
      </c>
      <c r="C24" s="18" t="s">
        <v>926</v>
      </c>
      <c r="D24" s="18" t="s">
        <v>930</v>
      </c>
      <c r="E24" t="s">
        <v>254</v>
      </c>
      <c r="F24" t="s">
        <v>932</v>
      </c>
      <c r="G24" t="s">
        <v>115</v>
      </c>
      <c r="H24" s="120">
        <v>46191</v>
      </c>
      <c r="I24" s="120">
        <v>46204</v>
      </c>
      <c r="J24" t="s">
        <v>937</v>
      </c>
      <c r="K24" t="s">
        <v>671</v>
      </c>
      <c r="L24" t="s">
        <v>201</v>
      </c>
      <c r="M24">
        <v>-25</v>
      </c>
      <c r="N24" t="s">
        <v>671</v>
      </c>
      <c r="O24" t="s">
        <v>671</v>
      </c>
      <c r="P24" t="s">
        <v>671</v>
      </c>
      <c r="Q24" t="s">
        <v>762</v>
      </c>
      <c r="R24" t="s">
        <v>1019</v>
      </c>
      <c r="S24" t="s">
        <v>671</v>
      </c>
      <c r="T24" t="s">
        <v>667</v>
      </c>
      <c r="U24">
        <v>147</v>
      </c>
    </row>
    <row r="25" spans="1:21" hidden="1">
      <c r="A25" t="s">
        <v>180</v>
      </c>
      <c r="B25" t="s">
        <v>925</v>
      </c>
      <c r="C25" t="s">
        <v>961</v>
      </c>
      <c r="D25" t="s">
        <v>960</v>
      </c>
      <c r="E25" t="s">
        <v>188</v>
      </c>
      <c r="F25" t="s">
        <v>965</v>
      </c>
      <c r="G25" t="s">
        <v>190</v>
      </c>
      <c r="H25" s="120">
        <v>46235</v>
      </c>
      <c r="I25" s="120">
        <v>46357</v>
      </c>
      <c r="J25" t="s">
        <v>969</v>
      </c>
      <c r="K25" t="s">
        <v>671</v>
      </c>
      <c r="L25" t="s">
        <v>201</v>
      </c>
      <c r="M25">
        <v>128</v>
      </c>
      <c r="N25" t="s">
        <v>671</v>
      </c>
      <c r="O25" t="s">
        <v>671</v>
      </c>
      <c r="P25" t="s">
        <v>671</v>
      </c>
      <c r="Q25" t="s">
        <v>671</v>
      </c>
      <c r="R25" t="s">
        <v>1022</v>
      </c>
      <c r="S25" t="s">
        <v>671</v>
      </c>
      <c r="T25" t="s">
        <v>667</v>
      </c>
      <c r="U25">
        <v>149</v>
      </c>
    </row>
    <row r="26" spans="1:21" hidden="1">
      <c r="A26" t="s">
        <v>180</v>
      </c>
      <c r="B26" t="s">
        <v>925</v>
      </c>
      <c r="C26" t="s">
        <v>975</v>
      </c>
      <c r="D26" t="s">
        <v>974</v>
      </c>
      <c r="E26" t="s">
        <v>188</v>
      </c>
      <c r="F26" t="s">
        <v>977</v>
      </c>
      <c r="G26" t="s">
        <v>115</v>
      </c>
      <c r="H26" s="120">
        <v>46191</v>
      </c>
      <c r="I26" s="120">
        <v>46113</v>
      </c>
      <c r="J26" t="s">
        <v>982</v>
      </c>
      <c r="K26" t="s">
        <v>671</v>
      </c>
      <c r="L26" t="s">
        <v>33</v>
      </c>
      <c r="N26" t="s">
        <v>671</v>
      </c>
      <c r="O26" t="s">
        <v>671</v>
      </c>
      <c r="P26" t="s">
        <v>671</v>
      </c>
      <c r="Q26" t="s">
        <v>671</v>
      </c>
      <c r="R26" t="s">
        <v>1019</v>
      </c>
      <c r="S26" t="s">
        <v>671</v>
      </c>
      <c r="T26" t="s">
        <v>667</v>
      </c>
      <c r="U26">
        <v>150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522849C-5FF6-49CC-8A5A-9AC375C303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14</vt:i4>
      </vt:variant>
      <vt:variant>
        <vt:lpstr>Rangos con nombre</vt:lpstr>
      </vt:variant>
      <vt:variant>
        <vt:i4>4</vt:i4>
      </vt:variant>
    </vt:vector>
  </HeadingPairs>
  <TitlesOfParts>
    <vt:vector size="18" baseType="lpstr">
      <vt:lpstr>Tablero</vt:lpstr>
      <vt:lpstr>Log_cambios</vt:lpstr>
      <vt:lpstr>Detalle</vt:lpstr>
      <vt:lpstr>Informe_Planes_de_Acción</vt:lpstr>
      <vt:lpstr>Compromisos 1 trimestre</vt:lpstr>
      <vt:lpstr>Calculos</vt:lpstr>
      <vt:lpstr>Resumen</vt:lpstr>
      <vt:lpstr>Base de datos</vt:lpstr>
      <vt:lpstr>Informes PDF</vt:lpstr>
      <vt:lpstr>Programa Anual de Auditoría</vt:lpstr>
      <vt:lpstr>Hoja1</vt:lpstr>
      <vt:lpstr>Hoja2</vt:lpstr>
      <vt:lpstr>CONSULTA_EDUARDO</vt:lpstr>
      <vt:lpstr>CONSULTA_FELIPE</vt:lpstr>
      <vt:lpstr>Tablero!Área_de_impresión</vt:lpstr>
      <vt:lpstr>Tabla_Responsables</vt:lpstr>
      <vt:lpstr>TablaAuditoria</vt:lpstr>
      <vt:lpstr>TablaResponsables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Diego Raul Vasquez</dc:creator>
  <cp:lastModifiedBy>diego vasquez osorio</cp:lastModifiedBy>
  <cp:lastPrinted>2026-07-27T00:25:39Z</cp:lastPrinted>
  <dcterms:created xsi:type="dcterms:W3CDTF">2026-03-24T22:11:27Z</dcterms:created>
  <dcterms:modified xsi:type="dcterms:W3CDTF">2026-09-17T16:20:23Z</dcterms:modified>
</cp:coreProperties>
</file>