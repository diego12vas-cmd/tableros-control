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588" documentId="8_{B94AFFE1-3DFB-409E-960F-FF1A97CB5BC7}" xr6:coauthVersionLast="47" xr6:coauthVersionMax="47" xr10:uidLastSave="{DC1CCFAB-8241-45F6-B096-228417DCE320}"/>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9" r:id="rId15"/>
    <pivotCache cacheId="10" r:id="rId16"/>
    <pivotCache cacheId="11"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<sst xmlns="http://schemas.openxmlformats.org/spreadsheetml/2006/main" count="7616" uniqueCount="1900">
  <si>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</si>
  <si>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</si>
  <si>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</si>
  <si>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</si>
  <si>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</si>
  <si>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</si>
  <si>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</si>
  <si>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</si>
  <si>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</si>
  <si>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</si>
  <si>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</si>
  <si>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</si>
  <si>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</si>
  <si>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</si>
  <si>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</si>
  <si>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</si>
  <si>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</si>
  <si>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</si>
  <si>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</si>
  <si>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</si>
  <si>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</si>
  <si>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</si>
  <si>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</si>
  <si>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</si>
  <si>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</si>
  <si>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</si>
  <si>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</si>
  <si>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</si>
  <si>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</si>
  <si>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</si>
  <si>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</si>
  <si>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</si>
  <si>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</si>
  <si>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</si>
  <si>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</si>
  <si>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</si>
  <si>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</si>
  <si>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</si>
  <si>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</si>
  <si>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</si>
  <si>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</si>
  <si>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</si>
  <si>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</si>
  <si>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</si>
  <si>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</si>
  <si>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</si>
  <si>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</si>
  <si>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</si>
  <si>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</si>
  <si>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</si>
  <si>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</si>
  <si>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</si>
  <si>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</si>
  <si>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</si>
  <si>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</si>
  <si>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</si>
  <si>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</si>
  <si>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</si>
  <si>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</si>
  <si>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</si>
  <si>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</si>
  <si>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</si>
  <si>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</si>
  <si>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</si>
  <si>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</si>
  <si>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</si>
  <si>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</si>
  <si>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</si>
  <si>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</si>
  <si>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</si>
  <si>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</si>
  <si>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</si>
  <si>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</si>
  <si>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</si>
  <si>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</si>
  <si>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</si>
  <si>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</si>
  <si>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</si>
  <si>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</si>
  <si>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</si>
  <si>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</si>
  <si>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</si>
  <si>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</si>
  <si>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</si>
  <si>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</si>
  <si>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</si>
  <si>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</si>
  <si>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</si>
  <si>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</si>
  <si>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</si>
  <si>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</si>
  <si>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</si>
  <si>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</si>
  <si>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</si>
  <si>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</si>
  <si>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</si>
  <si>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</si>
  <si>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</si>
  <si>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</si>
  <si>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</si>
  <si>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</si>
  <si>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</si>
  <si>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</si>
  <si>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</si>
  <si>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</si>
  <si>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</si>
  <si>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</si>
  <si>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</si>
  <si>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</si>
  <si>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</si>
  <si>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</si>
  <si>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</si>
  <si>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</si>
  <si>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</si>
  <si>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</si>
  <si>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</si>
  <si>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</si>
  <si>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</si>
  <si>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</si>
  <si>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</si>
  <si>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</si>
  <si>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</si>
  <si>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</si>
  <si>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</si>
  <si>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</si>
  <si>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</si>
  <si>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</si>
  <si>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</si>
  <si>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</si>
  <si>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</si>
  <si>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</si>
  <si>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</si>
  <si>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</si>
  <si>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</si>
  <si>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</si>
  <si>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</si>
  <si>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</si>
  <si>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</si>
  <si>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</si>
  <si>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</si>
  <si>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</si>
  <si>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</si>
  <si>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</si>
  <si>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</si>
  <si>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</si>
  <si>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</si>
  <si>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</si>
  <si>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</si>
  <si>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</si>
  <si>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</si>
  <si>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</si>
  <si>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</si>
  <si>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</si>
  <si>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</si>
  <si>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</si>
  <si>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</si>
  <si>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</si>
  <si>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</si>
  <si>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</si>
  <si>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</si>
  <si>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</si>
  <si>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</si>
  <si>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</si>
  <si>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</si>
  <si>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</si>
  <si>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</si>
  <si>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</si>
  <si>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</si>
  <si>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</si>
  <si>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</si>
  <si>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</si>
  <si>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</si>
  <si>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</si>
  <si>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</si>
  <si>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</si>
  <si>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</si>
  <si>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</si>
  <si>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</si>
  <si>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</si>
  <si>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</si>
  <si>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</si>
  <si>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</si>
  <si>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</si>
  <si>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</si>
  <si>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</si>
  <si>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</si>
  <si>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</si>
  <si>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</si>
  <si>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</si>
  <si>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</si>
  <si>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</si>
  <si>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</si>
  <si>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</si>
  <si>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</si>
  <si>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</si>
  <si>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</si>
  <si>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</si>
  <si>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</si>
  <si>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</si>
  <si>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</si>
  <si>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</si>
  <si>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</si>
  <si>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</si>
  <si>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</si>
  <si>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</si>
  <si>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</si>
  <si>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</si>
  <si>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</si>
  <si>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</si>
  <si>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</si>
  <si>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</si>
  <si>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</si>
  <si>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</si>
  <si>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</si>
  <si>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</si>
  <si>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</si>
  <si>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</si>
  <si>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</si>
  <si>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</si>
  <si>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</si>
  <si>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</si>
  <si>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</si>
  <si>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</si>
  <si>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</si>
  <si>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</si>
  <si>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</si>
  <si>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</si>
  <si>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</si>
  <si>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</si>
  <si>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</si>
  <si>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</si>
  <si>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</si>
  <si>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</si>
  <si>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</si>
  <si>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</si>
  <si>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</si>
  <si>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</si>
  <si>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</si>
  <si>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</si>
  <si>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</si>
  <si>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</si>
  <si>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</si>
  <si>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</si>
  <si>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</si>
  <si>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</si>
  <si>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</si>
  <si>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</si>
  <si>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</si>
  <si>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</si>
  <si>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</si>
  <si>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</si>
  <si>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</si>
  <si>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</si>
  <si>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</si>
  <si>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</si>
  <si>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</si>
  <si>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</si>
  <si>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</si>
  <si>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</si>
  <si>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</si>
  <si>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</si>
  <si>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</si>
  <si>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</si>
  <si>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</si>
  <si>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</si>
  <si>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</si>
  <si>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</si>
  <si>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</si>
  <si>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</si>
  <si>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</si>
  <si>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</si>
  <si>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</si>
  <si>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</si>
  <si>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</si>
  <si>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</si>
  <si>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</si>
  <si>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</si>
  <si>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</si>
  <si>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</si>
  <si>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</si>
  <si>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</si>
  <si>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</si>
  <si>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</si>
  <si>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</si>
  <si>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</si>
  <si>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</si>
  <si>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</si>
  <si>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</si>
  <si>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</si>
  <si>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</si>
  <si>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</si>
  <si>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</si>
  <si>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</si>
  <si>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</si>
  <si>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</si>
  <si>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</si>
  <si>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</si>
  <si>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</si>
  <si>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</si>
  <si>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</si>
  <si>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</si>
  <si>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</si>
  <si>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</si>
  <si>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</si>
  <si>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</si>
  <si>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</si>
  <si>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</si>
  <si>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</si>
  <si>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</si>
  <si>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</si>
  <si>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</si>
  <si>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</si>
  <si>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</si>
  <si>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</si>
  <si>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</si>
  <si>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</si>
  <si>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</si>
  <si>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</si>
  <si>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</si>
  <si>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</si>
  <si>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</si>
  <si>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</si>
  <si>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</si>
  <si>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</si>
  <si>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</si>
  <si>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</si>
  <si>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</si>
  <si>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</si>
  <si>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</si>
  <si>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</si>
  <si>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</si>
  <si>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</si>
  <si>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</si>
  <si>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</si>
  <si>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</si>
  <si>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</si>
  <si>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</si>
  <si>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</si>
  <si>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</si>
  <si>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</si>
  <si>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</si>
  <si>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</si>
  <si>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</si>
  <si>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</si>
  <si>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</si>
  <si>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</si>
  <si>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</si>
  <si>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</si>
  <si>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</si>
  <si>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</si>
  <si>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</si>
  <si>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</si>
  <si>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</si>
  <si>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</si>
  <si>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</si>
  <si>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</si>
  <si>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</si>
  <si>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</si>
  <si>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</si>
  <si>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</si>
  <si>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</si>
  <si>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</si>
  <si>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</si>
  <si>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</si>
  <si>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</si>
  <si>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</si>
  <si>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</si>
  <si>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</si>
  <si>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</si>
  <si>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</si>
  <si>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</si>
  <si>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</si>
  <si>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</si>
  <si>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</si>
  <si>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</si>
  <si>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</si>
  <si>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</si>
  <si>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</si>
  <si>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</si>
  <si>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</si>
  <si>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</si>
  <si>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</si>
  <si>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</si>
  <si>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</si>
  <si>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</si>
  <si>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</si>
  <si>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</si>
  <si>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</si>
  <si>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</si>
  <si>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</si>
  <si>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</si>
  <si>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</si>
  <si>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</si>
  <si>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</si>
  <si>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</si>
  <si>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</si>
  <si>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</si>
  <si>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</si>
  <si>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</si>
  <si>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</si>
  <si>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</si>
  <si>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</si>
  <si>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</si>
  <si>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</si>
  <si>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</si>
  <si>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</si>
  <si>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</si>
  <si>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</si>
  <si>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</si>
  <si>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</si>
  <si>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</si>
  <si>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</si>
  <si>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</si>
  <si>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</si>
  <si>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</si>
  <si>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</si>
  <si>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</si>
  <si>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</si>
  <si>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</si>
  <si>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</si>
  <si>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</si>
  <si>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</si>
  <si>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</si>
  <si>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</si>
  <si>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</si>
  <si>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</si>
  <si>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</si>
  <si>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</si>
  <si>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</si>
  <si>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</si>
  <si>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</si>
  <si>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</si>
  <si>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</si>
  <si>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</si>
  <si>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</si>
  <si>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</si>
  <si>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</si>
  <si>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</si>
  <si>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</si>
  <si>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</si>
  <si>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</si>
  <si>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</si>
  <si>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</si>
  <si>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</si>
  <si>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</si>
  <si>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</si>
  <si>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</si>
  <si>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</si>
  <si>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</si>
  <si>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</si>
  <si>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</si>
  <si>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</si>
  <si>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</si>
  <si>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</si>
  <si>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</si>
  <si>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</si>
  <si>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</si>
  <si>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</si>
  <si>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</si>
  <si>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</si>
  <si>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</si>
  <si>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</si>
  <si>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</si>
  <si>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</si>
  <si>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</si>
  <si>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</si>
  <si>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</si>
  <si>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</si>
  <si>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</si>
  <si>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</si>
  <si>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</si>
  <si>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</si>
  <si>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</si>
  <si>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</si>
  <si>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</si>
  <si>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</si>
  <si>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</si>
  <si>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</si>
  <si>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</si>
  <si>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</si>
  <si>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</si>
  <si>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</si>
  <si>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</si>
  <si>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</si>
  <si>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</si>
  <si>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</si>
  <si>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</si>
  <si>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</si>
  <si>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</si>
  <si>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</si>
  <si>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</si>
  <si>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</si>
  <si>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</si>
  <si>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</si>
  <si>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</si>
  <si>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</si>
  <si>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</si>
  <si>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</si>
  <si>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</si>
  <si>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</si>
  <si>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</si>
  <si>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</si>
  <si>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</si>
  <si>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</si>
  <si>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</si>
  <si>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</si>
  <si>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</si>
  <si>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</si>
  <si>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</si>
  <si>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</si>
  <si>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</si>
  <si>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</si>
  <si>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</si>
  <si>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</si>
  <si>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</si>
  <si>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</si>
  <si>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</si>
  <si>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</si>
  <si>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</si>
  <si>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</si>
  <si>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</si>
  <si>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</si>
  <si>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</si>
  <si>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</si>
  <si>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</si>
  <si>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</si>
  <si>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</si>
  <si>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</si>
  <si>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</si>
  <si>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</si>
  <si>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</si>
  <si>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</si>
  <si>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</si>
  <si>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</si>
  <si>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</si>
  <si>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</si>
  <si>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</si>
  <si>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</si>
  <si>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</si>
  <si>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</si>
  <si>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</si>
  <si>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</si>
  <si>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</si>
  <si>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</si>
  <si>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</si>
  <si>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</si>
  <si>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</si>
  <si>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</si>
  <si>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</si>
  <si>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</si>
  <si>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</si>
  <si>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</si>
  <si>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</si>
  <si>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</si>
  <si>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</si>
  <si>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</si>
  <si>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</si>
  <si>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</si>
  <si>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</si>
  <si>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</si>
  <si>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</si>
  <si>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</si>
  <si>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</si>
  <si>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</si>
  <si>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</si>
  <si>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</si>
  <si>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</si>
  <si>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</si>
  <si>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</si>
  <si>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</si>
  <si>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</si>
  <si>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</si>
  <si>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</si>
  <si>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</si>
  <si>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</si>
  <si>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</si>
  <si>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</si>
  <si>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</si>
  <si>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</si>
  <si>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</si>
  <si>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</si>
  <si>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</si>
  <si>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</si>
  <si>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</si>
  <si>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</si>
  <si>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</si>
  <si>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</si>
  <si>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</si>
  <si>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</si>
  <si>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</si>
  <si>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</si>
  <si>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</si>
  <si>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</si>
  <si>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</si>
  <si>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</si>
  <si>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</si>
  <si>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</si>
  <si>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</si>
  <si>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</si>
  <si>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</si>
  <si>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</si>
  <si>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</si>
  <si>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</si>
  <si>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</si>
  <si>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</si>
  <si>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</si>
  <si>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</si>
  <si>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</si>
  <si>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</si>
  <si>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</si>
  <si>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</si>
  <si>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</si>
  <si>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</si>
  <si>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</si>
  <si>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</si>
  <si>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</si>
  <si>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</si>
  <si>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</si>
  <si>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</si>
  <si>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</si>
  <si>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</si>
  <si>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</si>
  <si>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</si>
  <si>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</si>
  <si>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</si>
  <si>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</si>
  <si>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</si>
  <si>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</si>
  <si>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</si>
  <si>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</si>
  <si>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</si>
  <si>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</si>
  <si>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</si>
  <si>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</si>
  <si>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</si>
  <si>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</si>
  <si>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</si>
  <si>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</si>
  <si>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</si>
  <si>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</si>
  <si>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</si>
  <si>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</si>
  <si>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</si>
  <si>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</si>
  <si>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</si>
  <si>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</si>
  <si>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</si>
  <si>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</si>
  <si>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</si>
  <si>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</si>
  <si>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</si>
  <si>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</si>
  <si>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</si>
  <si>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</si>
  <si>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</si>
  <si>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</si>
  <si>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</si>
  <si>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</si>
  <si>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</si>
  <si>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</si>
  <si>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</si>
  <si>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</si>
  <si>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</si>
  <si>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</si>
  <si>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</si>
  <si>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</si>
  <si>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</si>
  <si>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</si>
  <si>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</si>
  <si>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</si>
  <si>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</si>
  <si>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</si>
  <si>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</si>
  <si>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</si>
  <si>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</si>
  <si>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</si>
  <si>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</si>
  <si>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</si>
  <si>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</si>
  <si>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</si>
  <si>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</si>
  <si>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</si>
  <si>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</si>
  <si>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</si>
  <si>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</si>
  <si>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</si>
  <si>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</si>
  <si>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</si>
  <si>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</si>
  <si>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</si>
  <si>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</si>
  <si>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</si>
  <si>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</si>
  <si>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</si>
  <si>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</si>
  <si>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</si>
  <si>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</si>
  <si>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</si>
  <si>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</si>
  <si>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</si>
  <si>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</si>
  <si>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</si>
  <si>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</si>
  <si>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</si>
  <si>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</si>
  <si>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</si>
  <si>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</si>
  <si>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</si>
  <si>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</si>
  <si>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</si>
  <si>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</si>
  <si>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</si>
  <si>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</si>
  <si>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</si>
  <si>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</si>
  <si>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</si>
  <si>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</si>
  <si>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</si>
  <si>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</si>
  <si>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</si>
  <si>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</si>
  <si>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</si>
  <si>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</si>
  <si>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</si>
  <si>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</si>
  <si>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</si>
  <si>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</si>
  <si>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</si>
  <si>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</si>
  <si>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</si>
  <si>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</si>
  <si>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</si>
  <si>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</si>
  <si>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</si>
  <si>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</si>
  <si>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</si>
  <si>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</si>
  <si>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</si>
  <si>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</si>
  <si>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</si>
  <si>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</si>
  <si>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</si>
  <si>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</si>
  <si>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</si>
  <si>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</si>
  <si>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</si>
  <si>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</si>
  <si>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</si>
  <si>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</si>
  <si>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</si>
  <si>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</si>
  <si>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</si>
  <si>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</si>
  <si>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</si>
  <si>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</si>
  <si>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</si>
  <si>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</si>
  <si>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</si>
  <si>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</si>
  <si>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</si>
  <si>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</si>
  <si>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</si>
  <si>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</si>
  <si>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</si>
  <si>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</si>
  <si>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</si>
  <si>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</si>
  <si>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</si>
  <si>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</si>
  <si>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</si>
  <si>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</si>
  <si>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</si>
  <si>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</si>
  <si>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</si>
  <si>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</si>
  <si>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</si>
  <si>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</si>
  <si>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</si>
  <si>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</si>
  <si>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</si>
  <si>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</si>
  <si>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</si>
  <si>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</si>
  <si>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</si>
  <si>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</si>
  <si>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</si>
  <si>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</si>
  <si>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</si>
  <si>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</si>
  <si>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</si>
  <si>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</si>
  <si>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</si>
  <si>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</si>
  <si>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</si>
  <si>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</si>
  <si>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</si>
  <si>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</si>
  <si>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</si>
  <si>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</si>
  <si>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</si>
  <si>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</si>
  <si>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</si>
  <si>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</si>
  <si>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</si>
  <si>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</si>
  <si>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</si>
  <si>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</si>
  <si>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</si>
  <si>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</si>
  <si>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</si>
  <si>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</si>
  <si>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</si>
  <si>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</si>
  <si>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</si>
  <si>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</si>
  <si>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</si>
  <si>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</si>
  <si>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</si>
  <si>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</si>
  <si>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</si>
  <si>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</si>
  <si>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</si>
  <si>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</si>
  <si>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</si>
  <si>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</si>
  <si>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</si>
  <si>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</si>
  <si>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</si>
  <si>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</si>
  <si>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</si>
  <si>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</si>
  <si>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</si>
  <si>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</si>
  <si>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</si>
  <si>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</si>
  <si>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</si>
  <si>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</si>
  <si>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</si>
  <si>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</si>
  <si>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</si>
  <si>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</si>
  <si>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</si>
  <si>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</si>
  <si>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</si>
  <si>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</si>
  <si>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</si>
  <si>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</si>
  <si>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</si>
  <si>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</si>
  <si>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</si>
  <si>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</si>
  <si>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</si>
  <si>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</si>
  <si>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</si>
  <si>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</si>
  <si>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</si>
  <si>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</si>
  <si>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</si>
  <si>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</si>
  <si>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</si>
  <si>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</si>
  <si>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</si>
  <si>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</si>
  <si>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</si>
  <si>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</si>
  <si>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</si>
  <si>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</si>
  <si>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</si>
  <si>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</si>
  <si>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</si>
  <si>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</si>
  <si>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</si>
  <si>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</si>
  <si>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</si>
  <si>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</si>
  <si>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</si>
  <si>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</si>
  <si>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</si>
  <si>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</si>
  <si>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</si>
  <si>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</si>
  <si>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</si>
  <si>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</si>
  <si>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</si>
  <si>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</si>
  <si>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</si>
  <si>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</si>
  <si>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</si>
  <si>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</si>
  <si>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</si>
  <si>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</si>
  <si>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</si>
  <si>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</si>
  <si>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</si>
  <si>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</si>
  <si>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</si>
  <si>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</si>
  <si>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</si>
  <si>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</si>
  <si>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</si>
  <si>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</si>
  <si>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</si>
  <si>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</si>
  <si>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</si>
  <si>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</si>
  <si>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</si>
  <si>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</si>
  <si>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</si>
  <si>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</si>
  <si>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</si>
  <si>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</si>
  <si>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</si>
  <si>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</si>
  <si>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</si>
  <si>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</si>
  <si>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</si>
  <si>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</si>
  <si>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</si>
  <si>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</si>
  <si>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</si>
  <si>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</si>
  <si>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</si>
  <si>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</si>
  <si>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</si>
  <si>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</si>
  <si>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</si>
  <si>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</si>
  <si>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</si>
  <si>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</si>
  <si>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</si>
  <si>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</si>
  <si>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</si>
  <si>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</si>
  <si>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</si>
  <si>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</si>
  <si>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</si>
  <si>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</si>
  <si>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</si>
  <si>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</si>
  <si>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</si>
  <si>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</si>
  <si>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</si>
  <si>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</si>
  <si>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</si>
  <si>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</si>
  <si>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</si>
  <si>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</si>
  <si>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</si>
  <si>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</si>
  <si>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</si>
  <si>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</si>
  <si>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</si>
  <si>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</si>
  <si>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</si>
  <si>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</si>
  <si>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</si>
  <si>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</si>
  <si>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</si>
  <si>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</si>
  <si>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</si>
  <si>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</si>
  <si>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</si>
  <si>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</si>
  <si>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</si>
  <si>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</si>
  <si>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</si>
  <si>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</si>
  <si>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</si>
  <si>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</si>
  <si>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</si>
  <si>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</si>
  <si>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</si>
  <si>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</si>
  <si>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</si>
  <si>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</si>
  <si>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</si>
  <si>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</si>
  <si>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</si>
  <si>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</si>
  <si>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</si>
  <si>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</si>
  <si>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</si>
  <si>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</si>
  <si>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</si>
  <si>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</si>
  <si>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</si>
  <si>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</si>
  <si>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</si>
  <si>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</si>
  <si>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</si>
  <si>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</si>
  <si>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</si>
  <si>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</si>
  <si>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</si>
  <si>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</si>
  <si>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</si>
  <si>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</si>
  <si>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</si>
  <si>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</si>
  <si>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</si>
  <si>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</si>
  <si>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</si>
  <si>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</si>
  <si>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</si>
  <si>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</si>
  <si>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</si>
  <si>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</si>
  <si>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</si>
  <si>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</si>
  <si>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</si>
  <si>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</si>
  <si>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</si>
  <si>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</si>
  <si>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</si>
  <si>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</si>
  <si>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</si>
  <si>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</si>
  <si>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</si>
  <si>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</si>
  <si>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</si>
  <si>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</si>
  <si>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</si>
  <si>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</si>
  <si>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</si>
  <si>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</si>
  <si>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</si>
  <si>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</si>
  <si>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</si>
  <si>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</si>
  <si>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</si>
  <si>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</si>
  <si>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</si>
  <si>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</si>
  <si>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</si>
  <si>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</si>
  <si>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</si>
  <si>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</si>
  <si>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</si>
  <si>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</si>
  <si>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</si>
  <si>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</si>
  <si>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</si>
  <si>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</si>
  <si>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</si>
  <si>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</si>
  <si>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</si>
  <si>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</si>
  <si>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</si>
  <si>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</si>
  <si>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</si>
  <si>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</si>
  <si>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</si>
  <si>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</si>
  <si>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</si>
  <si>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</si>
  <si>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</si>
  <si>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</si>
  <si>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</si>
  <si>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</si>
  <si>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</si>
  <si>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</si>
  <si>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</si>
  <si>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</si>
  <si>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</si>
  <si>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</si>
  <si>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</si>
  <si>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</si>
  <si>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</si>
  <si>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</si>
  <si>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</si>
  <si>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</si>
  <si>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</si>
  <si>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</si>
  <si>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</si>
  <si>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</si>
  <si>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</si>
  <si>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</si>
  <si>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</si>
  <si>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</si>
  <si>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</si>
  <si>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</si>
  <si>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</si>
  <si>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</si>
  <si>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</si>
  <si>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</si>
  <si>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</si>
  <si>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</si>
  <si>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</si>
  <si>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</si>
  <si>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</si>
  <si>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</si>
  <si>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</si>
  <si>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</si>
  <si>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</si>
  <si>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</si>
  <si>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</si>
  <si>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</si>
  <si>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</si>
  <si>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</si>
  <si>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</si>
  <si>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</si>
  <si>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</si>
  <si>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</si>
  <si>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</si>
  <si>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</si>
  <si>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</si>
  <si>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</si>
  <si>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</si>
  <si>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</si>
  <si>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</si>
  <si>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</si>
  <si>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</si>
  <si>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</si>
  <si>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</si>
  <si>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</si>
  <si>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</si>
  <si>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</si>
  <si>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</si>
  <si>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</si>
  <si>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</si>
  <si>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</si>
  <si>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</si>
  <si>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</si>
  <si>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</si>
  <si>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</si>
  <si>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</si>
  <si>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</si>
  <si>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</si>
  <si>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</si>
  <si>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</si>
  <si>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</si>
  <si>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</si>
  <si>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</si>
  <si>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</si>
  <si>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</si>
  <si>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</si>
  <si>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</si>
  <si>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</si>
  <si>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</si>
  <si>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</si>
  <si>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</si>
  <si>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</si>
  <si>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</si>
  <si>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</si>
  <si>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</si>
  <si>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</si>
  <si>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</si>
  <si>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</si>
  <si>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</si>
  <si>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</si>
  <si>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</si>
  <si>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</si>
  <si>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</si>
  <si>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</si>
  <si>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</si>
  <si>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</si>
  <si>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</si>
  <si>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</si>
  <si>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</si>
  <si>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</si>
  <si>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</si>
  <si>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</si>
  <si>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</si>
  <si>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</si>
  <si>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</si>
  <si>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</si>
  <si>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</si>
  <si>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</si>
  <si>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</si>
  <si>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</si>
  <si>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</si>
  <si>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</si>
  <si>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</si>
  <si>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</si>
  <si>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</si>
  <si>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</si>
  <si>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</si>
  <si>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</si>
  <si>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</si>
  <si>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</si>
  <si>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</si>
  <si>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</si>
  <si>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</si>
  <si>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</si>
  <si>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</si>
  <si>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</si>
  <si>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</si>
  <si>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</si>
  <si>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</si>
  <si>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</si>
  <si>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</si>
  <si>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</si>
  <si>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</si>
  <si>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</si>
  <si>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</si>
  <si>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</si>
  <si>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</si>
  <si>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</si>
  <si>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</si>
  <si>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</si>
  <si>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</si>
  <si>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</si>
  <si>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</si>
  <si>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</si>
  <si>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</si>
  <si>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</si>
  <si>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</si>
  <si>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</si>
  <si>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</si>
  <si>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</si>
  <si>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</si>
  <si>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</si>
  <si>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</si>
  <si>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</si>
  <si>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</si>
  <si>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</si>
  <si>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</si>
  <si>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</si>
  <si>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</si>
  <si>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</si>
  <si>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</si>
  <si>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</si>
  <si>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</si>
  <si>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</si>
  <si>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</si>
  <si>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</si>
  <si>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</si>
  <si>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</si>
  <si>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</si>
  <si>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</si>
  <si>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</si>
  <si>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</si>
  <si>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</si>
  <si>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</si>
  <si>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</si>
  <si>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</si>
  <si>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</si>
  <si>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</si>
  <si>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</si>
  <si>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</si>
  <si>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</si>
  <si>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</si>
  <si>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</si>
  <si>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</si>
  <si>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</si>
  <si>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</si>
  <si>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</si>
  <si>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</si>
  <si>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</si>
  <si>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</si>
  <si>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</si>
  <si>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</si>
  <si>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</si>
  <si>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</si>
  <si>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</si>
  <si>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</si>
  <si>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</si>
  <si>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</si>
  <si>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</si>
  <si>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</si>
  <si>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</si>
  <si>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</si>
  <si>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</si>
  <si>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</si>
  <si>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</si>
  <si>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</si>
  <si>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</si>
  <si>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</si>
  <si>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</si>
  <si>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</si>
  <si>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</si>
  <si>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</si>
  <si>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</si>
  <si>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</si>
  <si>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</si>
  <si>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</si>
  <si>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</si>
  <si>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</si>
  <si>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</si>
  <si>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</si>
  <si>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</si>
  <si>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</si>
  <si>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</si>
  <si>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</si>
  <si>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</si>
  <si>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</si>
  <si>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</si>
  <si>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</si>
  <si>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</si>
  <si>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</si>
  <si>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</si>
  <si>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</si>
  <si>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</si>
  <si>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</si>
  <si>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</si>
  <si>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</si>
  <si>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</si>
  <si>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</si>
  <si>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</si>
  <si>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</si>
  <si>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</si>
  <si>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</si>
  <si>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</si>
  <si>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</si>
  <si>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</si>
  <si>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</si>
  <si>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</si>
  <si>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</si>
  <si>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</si>
  <si>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</si>
  <si>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</si>
  <si>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</si>
  <si>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</si>
  <si>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</si>
  <si>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</si>
  <si>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</si>
  <si>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</si>
  <si>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</si>
  <si>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</si>
  <si>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</si>
  <si>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</si>
  <si>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</si>
  <si>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</si>
  <si>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</si>
  <si>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</si>
  <si>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</si>
  <si>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</si>
  <si>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</si>
  <si>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</si>
  <si>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</si>
  <si>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</si>
  <si>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</si>
  <si>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</si>
  <si>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</si>
  <si>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</si>
  <si>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</si>
  <si>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</si>
  <si>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</si>
  <si>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</si>
  <si>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</si>
  <si>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</si>
  <si>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</si>
  <si>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</si>
  <si>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</si>
  <si>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</si>
  <si>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</si>
  <si>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</si>
  <si>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</si>
  <si>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</si>
  <si>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</si>
  <si>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</si>
  <si>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</si>
  <si>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</si>
  <si>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</si>
  <si>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</si>
  <si>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</si>
  <si>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</si>
  <si>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</si>
  <si>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</si>
  <si>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</si>
  <si>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</si>
  <si>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</si>
  <si>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</si>
  <si>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</si>
  <si>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</si>
  <si>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</si>
  <si>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</si>
  <si>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</si>
  <si>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</si>
  <si>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</si>
  <si>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</si>
  <si>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</si>
  <si>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</si>
  <si>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</si>
  <si>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</si>
  <si>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</si>
  <si>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</si>
  <si>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</si>
  <si>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</si>
  <si>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</si>
  <si>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</si>
  <si>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</si>
  <si>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</si>
  <si>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</si>
  <si>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</si>
  <si>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</si>
  <si>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</si>
  <si>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</si>
  <si>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</si>
  <si>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</si>
  <si>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</si>
  <si>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</si>
  <si>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</si>
  <si>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</si>
  <si>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</si>
  <si>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</si>
  <si>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</si>
  <si>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</si>
  <si>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</si>
  <si>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</si>
  <si>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</si>
  <si>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</si>
  <si>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</si>
  <si>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</si>
  <si>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</si>
  <si>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</si>
  <si>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</si>
  <si>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</si>
  <si>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</si>
  <si>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</si>
  <si>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</si>
  <si>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</si>
  <si>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</si>
  <si>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</si>
  <si>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</si>
  <si>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</si>
  <si>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</si>
  <si>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</si>
  <si>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</si>
  <si>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</si>
  <si>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</si>
  <si>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</si>
  <si>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</si>
  <si>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</si>
  <si>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</si>
  <si>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</si>
  <si>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</si>
  <si>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</si>
  <si>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</si>
  <si>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</si>
  <si>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</si>
  <si>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</si>
  <si>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</si>
  <si>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</si>
  <si>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</si>
  <si>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</si>
  <si>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</si>
  <si>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</si>
  <si>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</si>
  <si>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</si>
  <si>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</si>
  <si>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</si>
  <si>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</si>
  <si>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</si>
  <si>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</si>
  <si>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</si>
  <si>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</si>
  <si>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</si>
  <si>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</si>
  <si>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</si>
  <si>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</si>
  <si>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</si>
  <si>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</si>
  <si>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</si>
  <si>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</si>
  <si>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</si>
  <si>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</si>
  <si>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</si>
  <si>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</si>
  <si>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</si>
  <si>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</si>
  <si>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</si>
  <si>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</si>
  <si>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</si>
  <si>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</si>
  <si>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</si>
  <si>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</si>
  <si>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</si>
  <si>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</si>
  <si>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</si>
  <si>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</si>
  <si>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</si>
  <si>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</si>
  <si>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</si>
  <si>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</si>
  <si>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</si>
  <si>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</si>
  <si>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</si>
  <si>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</si>
  <si>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</si>
  <si>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</si>
  <si>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</si>
  <si>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</si>
  <si>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</si>
  <si>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</si>
  <si>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</si>
  <si>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</si>
  <si>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</si>
  <si>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</si>
  <si>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</si>
  <si>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</si>
  <si>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</si>
  <si>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</si>
  <si>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</si>
  <si>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</si>
  <si>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</si>
  <si>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</si>
  <si>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</si>
  <si>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</si>
  <si>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</si>
  <si>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</si>
  <si>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</si>
  <si>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</si>
  <si>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</si>
  <si>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</si>
  <si>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</si>
  <si>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</si>
  <si>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</si>
  <si>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</si>
  <si>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</si>
  <si>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</si>
  <si>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</si>
  <si>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</si>
  <si>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</si>
  <si>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</si>
  <si>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</si>
  <si>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</si>
  <si>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</si>
  <si>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</si>
  <si>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</si>
  <si>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</si>
  <si>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</si>
  <si>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</si>
  <si>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</si>
  <si>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</si>
  <si>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</si>
  <si>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</si>
  <si>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</si>
  <si>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</si>
  <si>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</si>
  <si>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</si>
  <si>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</si>
  <si>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</si>
  <si>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</si>
  <si>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</si>
  <si>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</si>
  <si>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</si>
  <si>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</si>
  <si>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</si>
  <si>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</si>
  <si>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</si>
  <si>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</si>
  <si>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</si>
  <si>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</si>
  <si>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</si>
  <si>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</si>
  <si>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</si>
  <si>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</si>
  <si>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</si>
  <si>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</si>
  <si>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</si>
  <si>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</si>
  <si>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</si>
  <si>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</si>
  <si>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</si>
  <si>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</si>
  <si>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</si>
  <si>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</si>
  <si>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</si>
  <si>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</si>
  <si>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</si>
  <si>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</si>
  <si>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</si>
  <si>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</si>
  <si>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</si>
  <si>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</si>
  <si>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</si>
  <si>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</si>
  <si>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</si>
  <si>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</si>
  <si>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</si>
  <si>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</si>
  <si>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</si>
  <si>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</si>
  <si>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</si>
  <si>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</si>
  <si>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</si>
  <si>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</si>
  <si>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</si>
  <si>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</si>
  <si>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</si>
  <si>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</si>
  <si>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</si>
  <si>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</si>
  <si>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</si>
  <si>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</si>
  <si>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</si>
  <si>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</si>
  <si>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</si>
  <si>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</si>
  <si>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</si>
  <si>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</si>
  <si>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</si>
  <si>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</si>
  <si>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</si>
  <si>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</si>
  <si>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</si>
  <si>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</si>
  <si>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</si>
  <si>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</si>
  <si>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</si>
  <si>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</si>
  <si>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</si>
  <si>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</si>
  <si>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</si>
  <si>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</si>
  <si>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</si>
  <si>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</si>
  <si>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</si>
  <si>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</si>
  <si>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</si>
  <si>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</si>
  <si>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</si>
  <si>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</si>
  <si>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</si>
  <si>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</si>
  <si>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</si>
  <si>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</si>
  <si>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</si>
  <si>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</si>
  <si>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</si>
  <si>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</si>
  <si>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</si>
  <si>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</si>
  <si>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</si>
  <si>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</si>
  <si>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</si>
  <si>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</si>
  <si>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</si>
  <si>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</si>
  <si>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</si>
  <si>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</si>
  <si>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</si>
  <si>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</si>
  <si>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</si>
  <si>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</si>
  <si>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</si>
  <si>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</si>
  <si>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</si>
  <si>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</si>
  <si>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</si>
  <si>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</si>
  <si>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</si>
  <si>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</si>
  <si>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</si>
  <si>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</si>
  <si>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</si>
  <si>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</si>
  <si>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</si>
  <si>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</si>
  <si>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</si>
  <si>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</si>
  <si>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</si>
  <si>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</si>
  <si>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</si>
  <si>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</si>
  <si>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</si>
  <si>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</si>
  <si>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</si>
  <si>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</si>
  <si>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</si>
  <si>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</si>
  <si>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</si>
  <si>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</si>
  <si>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</si>
  <si>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</si>
  <si>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</si>
  <si>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</si>
  <si>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</si>
  <si>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</si>
  <si>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</si>
  <si>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</si>
  <si>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</si>
  <si>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</si>
  <si>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</si>
  <si>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</si>
  <si>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</si>
  <si>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</si>
  <si>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</si>
  <si>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</si>
  <si>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</si>
  <si>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</si>
  <si>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</si>
  <si>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</si>
  <si>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</si>
  <si>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</si>
  <si>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</si>
  <si>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</si>
  <si>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</si>
  <si>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</si>
  <si>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</si>
  <si>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</si>
  <si>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</si>
  <si>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</si>
  <si>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</si>
  <si>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</si>
  <si>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</si>
  <si>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</si>
  <si>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</si>
  <si>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</si>
  <si>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</si>
  <si>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</si>
  <si>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</si>
  <si>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</si>
  <si>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</si>
  <si>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</si>
  <si>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</si>
  <si>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</si>
  <si>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</si>
  <si>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</si>
  <si>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</si>
  <si>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</si>
  <si>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</si>
  <si>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</si>
  <si>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</si>
  <si>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</si>
  <si>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</si>
  <si>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</si>
  <si>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</si>
  <si>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</si>
  <si>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</si>
  <si>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</si>
  <si>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</si>
  <si>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</si>
  <si>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</si>
  <si>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</si>
  <si>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</si>
  <si>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</si>
  <si>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</si>
  <si>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</si>
  <si>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</si>
  <si>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</si>
  <si>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</si>
  <si>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</si>
  <si>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</si>
  <si>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</si>
  <si>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</si>
  <si>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</si>
  <si>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</si>
  <si>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</si>
  <si>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</si>
  <si>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</si>
  <si>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</si>
  <si>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</si>
  <si>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</si>
  <si>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</si>
  <si>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</si>
  <si>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</si>
  <si>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</si>
  <si>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</si>
  <si>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</si>
  <si>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</si>
  <si>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</si>
  <si>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</si>
  <si>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</si>
  <si>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</si>
  <si>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</si>
  <si>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</si>
  <si>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</si>
  <si>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</si>
  <si>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</si>
  <si>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</si>
  <si>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</si>
  <si>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</si>
  <si>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</si>
  <si>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</si>
  <si>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</si>
  <si>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</si>
  <si>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</si>
  <si>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</si>
  <si>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</si>
  <si>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</si>
  <si>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</si>
  <si>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</si>
  <si>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</si>
  <si>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</si>
  <si>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</si>
  <si>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</si>
  <si>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</si>
  <si>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</si>
  <si>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</si>
  <si>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</si>
  <si>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</si>
  <si>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</si>
  <si>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</si>
  <si>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</si>
  <si>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</si>
  <si>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</si>
  <si>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</si>
  <si>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</si>
  <si>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</si>
  <si>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</si>
  <si>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</si>
  <si>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</si>
  <si>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</si>
  <si>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</si>
  <si>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</si>
  <si>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</si>
  <si>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</si>
  <si>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</si>
  <si>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</si>
  <si>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</si>
  <si>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</si>
  <si>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</si>
  <si>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</si>
  <si>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</si>
  <si>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</si>
  <si>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</si>
  <si>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</si>
  <si>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</si>
  <si>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</si>
  <si>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</si>
  <si>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</si>
  <si>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</si>
  <si>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</si>
  <si>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</si>
  <si>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</si>
  <si>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</si>
  <si>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</si>
  <si>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</si>
  <si>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</si>
  <si>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</si>
  <si>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</si>
  <si>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</si>
  <si>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</si>
  <si>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</si>
  <si>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</si>
  <si>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</si>
  <si>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</si>
  <si>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</si>
  <si>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</si>
  <si>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</si>
  <si>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</si>
  <si>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</si>
  <si>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</si>
  <si>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</si>
  <si>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</si>
  <si>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</si>
  <si>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</si>
  <si>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</si>
  <si>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</si>
  <si>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</si>
  <si>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</si>
  <si>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</si>
  <si>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</si>
  <si>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</si>
  <si>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</si>
  <si>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</si>
  <si>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</si>
  <si>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</si>
  <si>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</si>
  <si>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</si>
  <si>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</si>
  <si>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</si>
  <si>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</si>
  <si>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</si>
  <si>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</si>
  <si>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</si>
  <si>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</si>
  <si>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</si>
  <si>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</si>
  <si>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</si>
  <si>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</si>
  <si>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</si>
  <si>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</si>
  <si>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</si>
  <si>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</si>
  <si>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</si>
  <si>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</si>
  <si>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</si>
  <si>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</si>
  <si>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</si>
  <si>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</si>
  <si>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</si>
  <si>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</si>
  <si>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</si>
  <si>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</si>
  <si>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</si>
  <si>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</si>
  <si>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</si>
  <si>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</si>
  <si>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</si>
  <si>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</si>
  <si>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</si>
  <si>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</si>
  <si>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</si>
  <si>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</si>
  <si>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</si>
  <si>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</si>
  <si>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</si>
  <si>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</si>
  <si>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</si>
  <si>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</si>
  <si>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</si>
  <si>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</si>
  <si>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</si>
  <si>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</si>
  <si>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</si>
  <si>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</si>
  <si>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Última fecha de Actualización: 09/10/2026 10:14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</si>
</sst>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0">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14" fontId="5" fillId="29" borderId="4" xfId="0" applyNumberFormat="1" applyFont="1" applyFill="1" applyBorder="1" applyAlignment="1">
      <alignment horizontal="center"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3</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11"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0"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9"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9"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1899</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99"/>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79.2">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24.4">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79.2">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66">
      <c r="B141" s="56">
        <v>46178</v>
      </c>
      <c r="C141" s="69">
        <v>46178.506724537037</v>
      </c>
      <c r="D141" s="55" t="s">
        <v>684</v>
      </c>
      <c r="E141" s="55" t="s">
        <v>860</v>
      </c>
      <c r="G141" s="128" t="s">
        <v>859</v>
      </c>
    </row>
    <row r="142" spans="2:7" ht="105.6">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105.6">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105.6">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64">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32">
      <c r="B321" s="56">
        <v>46210</v>
      </c>
      <c r="C321" s="69">
        <v>46210.540902777779</v>
      </c>
      <c r="D321" s="55" t="s">
        <v>684</v>
      </c>
      <c r="E321" s="55" t="s">
        <v>1124</v>
      </c>
      <c r="F321" s="128" t="s">
        <v>1110</v>
      </c>
      <c r="G321" s="129" t="s">
        <v>1123</v>
      </c>
    </row>
    <row r="322" spans="2:7" ht="184.8">
      <c r="B322" s="56">
        <v>46210</v>
      </c>
      <c r="C322" s="69">
        <v>46210.540949074071</v>
      </c>
      <c r="D322" s="55" t="s">
        <v>684</v>
      </c>
      <c r="E322" s="55" t="s">
        <v>1126</v>
      </c>
      <c r="F322" s="128" t="s">
        <v>1111</v>
      </c>
      <c r="G322" s="129" t="s">
        <v>1125</v>
      </c>
    </row>
    <row r="323" spans="2:7" ht="145.19999999999999">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69.6">
      <c r="B335" s="56">
        <v>46210</v>
      </c>
      <c r="C335" s="69">
        <v>46210.542187500003</v>
      </c>
      <c r="D335" s="55" t="s">
        <v>684</v>
      </c>
      <c r="E335" s="55" t="s">
        <v>1156</v>
      </c>
      <c r="F335" s="128" t="s">
        <v>1101</v>
      </c>
      <c r="G335" s="128" t="s">
        <v>1157</v>
      </c>
    </row>
    <row r="336" spans="2:7" ht="211.2">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37.6">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79.2">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18.8">
      <c r="B484" s="56">
        <v>46244</v>
      </c>
      <c r="C484" s="69">
        <v>46244.617962962962</v>
      </c>
      <c r="D484" s="55" t="s">
        <v>684</v>
      </c>
      <c r="E484" s="55" t="s">
        <v>864</v>
      </c>
      <c r="F484" s="128" t="s">
        <v>861</v>
      </c>
      <c r="G484" s="128" t="s">
        <v>1334</v>
      </c>
    </row>
    <row r="485" spans="2:7" ht="118.8">
      <c r="B485" s="56">
        <v>46244</v>
      </c>
      <c r="C485" s="69">
        <v>46244.618032407408</v>
      </c>
      <c r="D485" s="55" t="s">
        <v>684</v>
      </c>
      <c r="E485" s="55" t="s">
        <v>860</v>
      </c>
      <c r="F485" s="128" t="s">
        <v>861</v>
      </c>
      <c r="G485" s="128" t="s">
        <v>1334</v>
      </c>
    </row>
    <row r="486" spans="2:7" ht="118.8">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9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105.6">
      <c r="B711" s="56">
        <v>46280</v>
      </c>
      <c r="C711" s="69">
        <v>46280.490798611114</v>
      </c>
      <c r="D711" s="55" t="s">
        <v>684</v>
      </c>
      <c r="E711" s="55" t="s">
        <v>1580</v>
      </c>
      <c r="G711" s="128" t="s">
        <v>1579</v>
      </c>
    </row>
    <row r="712" spans="2:7" ht="105.6">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18.8">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102.6">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102.6">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79.8">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79.8">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25.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102.6">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205.2">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93.8">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205.2">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68.400000000000006">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45.6">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68.400000000000006">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68.400000000000006">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68.400000000000006">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3" t="s">
        <v>585</v>
      </c>
      <c r="V9" s="243"/>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4" t="s">
        <v>585</v>
      </c>
      <c r="L24" s="244"/>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45" t="s">
        <v>573</v>
      </c>
      <c r="D39" s="61" t="s">
        <v>573</v>
      </c>
      <c r="E39" s="61" t="s">
        <v>574</v>
      </c>
      <c r="F39" s="63" t="s">
        <v>575</v>
      </c>
      <c r="G39" s="63" t="s">
        <v>576</v>
      </c>
      <c r="H39" s="35"/>
      <c r="I39" s="63" t="s">
        <v>587</v>
      </c>
    </row>
    <row r="40" spans="3:36" ht="12">
      <c r="C40" s="246"/>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4" t="s">
        <v>585</v>
      </c>
      <c r="AC63" s="244"/>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45" t="s">
        <v>573</v>
      </c>
      <c r="AB78" s="43"/>
      <c r="AC78" s="7"/>
      <c r="AD78" s="43"/>
      <c r="AE78" s="43"/>
      <c r="AF78" s="43"/>
      <c r="AG78" s="43"/>
      <c r="AH78" s="43"/>
      <c r="AI78" s="43"/>
      <c r="AJ78" s="43"/>
    </row>
    <row r="79" spans="20:52">
      <c r="T79" s="246"/>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4" t="s">
        <v>585</v>
      </c>
      <c r="AS99" s="244"/>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45"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6"/>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3</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3</v>
      </c>
      <c r="G42" s="10">
        <f>COUNTIFS('Base de datos'!$B:$B, $B42, 'Base de datos'!$G:$G, $C42, 'Base de datos'!$L:$L, "Finalizada")</f>
        <v>1</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J1" zoomScale="90" zoomScaleNormal="90" workbookViewId="0">
      <pane ySplit="1" topLeftCell="A133" activePane="bottomLeft" state="frozen"/>
      <selection pane="bottomLeft" activeCell="P133" sqref="P133"/>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hidden="1">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hidden="1">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hidden="1">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hidden="1" customHeight="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hidden="1">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hidden="1">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hidden="1">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hidden="1">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hidden="1">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hidden="1">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hidden="1">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hidden="1">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hidden="1">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hidden="1">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hidden="1">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hidden="1">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48.19999999999999" hidden="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91.2" hidden="1">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hidden="1">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hidden="1">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91.2" hidden="1">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hidden="1">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hidden="1">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hidden="1">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hidden="1">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hidden="1">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hidden="1">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28" hidden="1">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hidden="1"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hidden="1">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hidden="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hidden="1">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hidden="1">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hidden="1">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hidden="1">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hidden="1">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hidden="1">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hidden="1">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hidden="1">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hidden="1">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hidden="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hidden="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hidden="1">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hidden="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hidden="1">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hidden="1">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hidden="1">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hidden="1">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hidden="1">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hidden="1"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hidden="1">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hidden="1">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hidden="1">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hidden="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hidden="1">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25.4" hidden="1">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14.6" hidden="1">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hidden="1">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hidden="1">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hidden="1">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hidden="1">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hidden="1">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hidden="1">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hidden="1">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hidden="1">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hidden="1">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hidden="1">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hidden="1">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hidden="1">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hidden="1">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hidden="1">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hidden="1">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79.8" hidden="1">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68.400000000000006" hidden="1">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hidden="1">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hidden="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hidden="1">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hidden="1">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hidden="1">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hidden="1">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hidden="1">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hidden="1">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hidden="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hidden="1">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hidden="1">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hidden="1">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hidden="1">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hidden="1">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hidden="1">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hidden="1">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hidden="1">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hidden="1">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hidden="1">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hidden="1">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hidden="1">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hidden="1">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hidden="1">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hidden="1">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hidden="1">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hidden="1">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hidden="1">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hidden="1">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hidden="1">
      <c r="A104" s="74" t="s">
        <v>180</v>
      </c>
      <c r="B104" s="92" t="s">
        <v>399</v>
      </c>
      <c r="C104" s="45" t="s">
        <v>403</v>
      </c>
      <c r="D104" s="45"/>
      <c r="E104" s="198"/>
      <c r="F104" s="47" t="s">
        <v>406</v>
      </c>
      <c r="G104" s="47" t="s">
        <v>179</v>
      </c>
      <c r="H104" s="87">
        <v>46020</v>
      </c>
      <c r="I104" s="208">
        <v>46387</v>
      </c>
      <c r="J104" s="84" t="s">
        <v>407</v>
      </c>
      <c r="K104" s="106"/>
      <c r="L104" s="37" t="s">
        <v>201</v>
      </c>
      <c r="M104" s="80">
        <f t="shared" ca="1" si="5"/>
        <v>83</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hidden="1">
      <c r="A105" s="74" t="s">
        <v>180</v>
      </c>
      <c r="B105" s="92" t="s">
        <v>399</v>
      </c>
      <c r="C105" s="45" t="s">
        <v>409</v>
      </c>
      <c r="D105" s="45" t="s">
        <v>518</v>
      </c>
      <c r="E105" s="198" t="s">
        <v>188</v>
      </c>
      <c r="F105" s="47" t="s">
        <v>410</v>
      </c>
      <c r="G105" s="47" t="s">
        <v>179</v>
      </c>
      <c r="H105" s="87">
        <v>46020</v>
      </c>
      <c r="I105" s="208">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row>
    <row r="106" spans="1:29" ht="72" hidden="1">
      <c r="A106" s="225" t="s">
        <v>180</v>
      </c>
      <c r="B106" s="226" t="s">
        <v>399</v>
      </c>
      <c r="C106" s="227" t="s">
        <v>409</v>
      </c>
      <c r="D106" s="227"/>
      <c r="E106" s="228"/>
      <c r="F106" s="229"/>
      <c r="G106" s="230" t="s">
        <v>118</v>
      </c>
      <c r="H106" s="231"/>
      <c r="I106" s="231"/>
      <c r="J106" s="232"/>
      <c r="K106" s="233" t="s">
        <v>168</v>
      </c>
      <c r="L106" s="234" t="s">
        <v>171</v>
      </c>
      <c r="M106" s="235" t="str">
        <f t="shared" ca="1" si="5"/>
        <v/>
      </c>
      <c r="N106" s="234" t="str">
        <f t="shared" ca="1" si="6"/>
        <v/>
      </c>
      <c r="O106" s="236" t="str">
        <f t="shared" ca="1" si="7"/>
        <v/>
      </c>
      <c r="P106" s="236" t="str">
        <f t="shared" ca="1" si="8"/>
        <v/>
      </c>
      <c r="Q106" s="236" t="str">
        <f t="shared" ca="1" si="9"/>
        <v/>
      </c>
      <c r="R106" s="237" t="s">
        <v>647</v>
      </c>
      <c r="S106" s="238"/>
      <c r="T106" s="239" t="s">
        <v>1523</v>
      </c>
      <c r="U106" s="239">
        <v>105</v>
      </c>
      <c r="V106" s="239"/>
      <c r="W106" s="239"/>
      <c r="X106" s="239"/>
      <c r="Y106" s="240"/>
      <c r="Z106" s="239"/>
      <c r="AA106" s="241"/>
      <c r="AB106" s="242">
        <v>0.5</v>
      </c>
      <c r="AC106" s="242" t="s">
        <v>1775</v>
      </c>
    </row>
    <row r="107" spans="1:29" ht="201.6" hidden="1">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hidden="1">
      <c r="A108" s="74" t="s">
        <v>180</v>
      </c>
      <c r="B108" s="92" t="s">
        <v>399</v>
      </c>
      <c r="C108" s="45" t="s">
        <v>411</v>
      </c>
      <c r="D108" s="45"/>
      <c r="E108" s="198"/>
      <c r="F108" s="47" t="s">
        <v>415</v>
      </c>
      <c r="G108" s="47" t="s">
        <v>179</v>
      </c>
      <c r="H108" s="87">
        <v>46020</v>
      </c>
      <c r="I108" s="208">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row>
    <row r="109" spans="1:29" ht="72" hidden="1">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hidden="1">
      <c r="A110" s="74" t="s">
        <v>180</v>
      </c>
      <c r="B110" s="92" t="s">
        <v>419</v>
      </c>
      <c r="C110" s="45" t="s">
        <v>420</v>
      </c>
      <c r="D110" s="45" t="s">
        <v>421</v>
      </c>
      <c r="E110" s="198" t="s">
        <v>188</v>
      </c>
      <c r="F110" s="47" t="s">
        <v>422</v>
      </c>
      <c r="G110" s="47" t="s">
        <v>17</v>
      </c>
      <c r="H110" s="87">
        <v>45992</v>
      </c>
      <c r="I110" s="208">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4">
        <v>46302</v>
      </c>
      <c r="T110" s="152" t="s">
        <v>1537</v>
      </c>
      <c r="U110" s="152">
        <v>109</v>
      </c>
      <c r="V110" s="152"/>
      <c r="W110" s="152"/>
      <c r="X110" s="152"/>
      <c r="Y110" s="135"/>
      <c r="Z110" s="152"/>
      <c r="AA110" s="151"/>
      <c r="AB110" s="8">
        <v>0.16</v>
      </c>
      <c r="AC110" s="8" t="s">
        <v>1783</v>
      </c>
    </row>
    <row r="111" spans="1:29" ht="72" hidden="1">
      <c r="A111" s="74" t="s">
        <v>180</v>
      </c>
      <c r="B111" s="92" t="s">
        <v>419</v>
      </c>
      <c r="C111" s="45" t="s">
        <v>420</v>
      </c>
      <c r="D111" s="108"/>
      <c r="E111" s="198"/>
      <c r="F111" s="47" t="s">
        <v>424</v>
      </c>
      <c r="G111" s="47" t="s">
        <v>17</v>
      </c>
      <c r="H111" s="87">
        <v>45992</v>
      </c>
      <c r="I111" s="208">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4">
        <v>46302</v>
      </c>
      <c r="T111" s="152" t="s">
        <v>1537</v>
      </c>
      <c r="U111" s="152">
        <v>110</v>
      </c>
      <c r="V111" s="152"/>
      <c r="W111" s="152"/>
      <c r="X111" s="152"/>
      <c r="Y111" s="135"/>
      <c r="Z111" s="152"/>
      <c r="AA111" s="151"/>
      <c r="AB111" s="8">
        <v>0.16</v>
      </c>
      <c r="AC111" s="8" t="s">
        <v>1783</v>
      </c>
    </row>
    <row r="112" spans="1:29" ht="72" hidden="1">
      <c r="A112" s="74" t="s">
        <v>180</v>
      </c>
      <c r="B112" s="92" t="s">
        <v>419</v>
      </c>
      <c r="C112" s="45" t="s">
        <v>420</v>
      </c>
      <c r="D112" s="108"/>
      <c r="E112" s="198"/>
      <c r="F112" s="47" t="s">
        <v>425</v>
      </c>
      <c r="G112" s="47" t="s">
        <v>17</v>
      </c>
      <c r="H112" s="87">
        <v>45992</v>
      </c>
      <c r="I112" s="208">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4">
        <v>46302</v>
      </c>
      <c r="T112" s="152" t="s">
        <v>1537</v>
      </c>
      <c r="U112" s="152">
        <v>111</v>
      </c>
      <c r="V112" s="152"/>
      <c r="W112" s="152"/>
      <c r="X112" s="152"/>
      <c r="Y112" s="135"/>
      <c r="Z112" s="152"/>
      <c r="AA112" s="151"/>
      <c r="AB112" s="8">
        <v>0.16</v>
      </c>
      <c r="AC112" s="8" t="s">
        <v>1783</v>
      </c>
    </row>
    <row r="113" spans="1:29" ht="72" hidden="1">
      <c r="A113" s="74" t="s">
        <v>180</v>
      </c>
      <c r="B113" s="92" t="s">
        <v>419</v>
      </c>
      <c r="C113" s="45" t="s">
        <v>420</v>
      </c>
      <c r="D113" s="108"/>
      <c r="E113" s="198"/>
      <c r="F113" s="47" t="s">
        <v>426</v>
      </c>
      <c r="G113" s="47" t="s">
        <v>17</v>
      </c>
      <c r="H113" s="87">
        <v>45992</v>
      </c>
      <c r="I113" s="208">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4">
        <v>46302</v>
      </c>
      <c r="T113" s="152" t="s">
        <v>1537</v>
      </c>
      <c r="U113" s="152">
        <v>112</v>
      </c>
      <c r="V113" s="152"/>
      <c r="W113" s="152"/>
      <c r="X113" s="152"/>
      <c r="Y113" s="135"/>
      <c r="Z113" s="152"/>
      <c r="AA113" s="151"/>
      <c r="AB113" s="8">
        <v>0.16</v>
      </c>
      <c r="AC113" s="8" t="s">
        <v>1783</v>
      </c>
    </row>
    <row r="114" spans="1:29" ht="72" hidden="1">
      <c r="A114" s="74" t="s">
        <v>180</v>
      </c>
      <c r="B114" s="92" t="s">
        <v>419</v>
      </c>
      <c r="C114" s="45" t="s">
        <v>420</v>
      </c>
      <c r="D114" s="108"/>
      <c r="E114" s="198"/>
      <c r="F114" s="47" t="s">
        <v>427</v>
      </c>
      <c r="G114" s="47" t="s">
        <v>17</v>
      </c>
      <c r="H114" s="87">
        <v>45992</v>
      </c>
      <c r="I114" s="208">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4">
        <v>46302</v>
      </c>
      <c r="T114" s="152" t="s">
        <v>1537</v>
      </c>
      <c r="U114" s="152">
        <v>113</v>
      </c>
      <c r="V114" s="152"/>
      <c r="W114" s="152"/>
      <c r="X114" s="152"/>
      <c r="Y114" s="135"/>
      <c r="Z114" s="152"/>
      <c r="AA114" s="151"/>
      <c r="AB114" s="8">
        <v>0.16</v>
      </c>
      <c r="AC114" s="8" t="s">
        <v>1783</v>
      </c>
    </row>
    <row r="115" spans="1:29" ht="72" hidden="1">
      <c r="A115" s="74" t="s">
        <v>180</v>
      </c>
      <c r="B115" s="92" t="s">
        <v>419</v>
      </c>
      <c r="C115" s="45" t="s">
        <v>420</v>
      </c>
      <c r="D115" s="108"/>
      <c r="E115" s="198"/>
      <c r="F115" s="47" t="s">
        <v>428</v>
      </c>
      <c r="G115" s="47" t="s">
        <v>17</v>
      </c>
      <c r="H115" s="87">
        <v>45992</v>
      </c>
      <c r="I115" s="208">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4">
        <v>46302</v>
      </c>
      <c r="T115" s="152" t="s">
        <v>1537</v>
      </c>
      <c r="U115" s="152">
        <v>114</v>
      </c>
      <c r="V115" s="152"/>
      <c r="W115" s="152"/>
      <c r="X115" s="152"/>
      <c r="Y115" s="135"/>
      <c r="Z115" s="152"/>
      <c r="AA115" s="151"/>
      <c r="AB115" s="8">
        <v>0.2</v>
      </c>
      <c r="AC115" s="8" t="s">
        <v>1783</v>
      </c>
    </row>
    <row r="116" spans="1:29" ht="142.19999999999999" hidden="1" customHeight="1">
      <c r="A116" s="74" t="s">
        <v>180</v>
      </c>
      <c r="B116" s="92" t="s">
        <v>419</v>
      </c>
      <c r="C116" s="45" t="s">
        <v>429</v>
      </c>
      <c r="D116" s="45" t="s">
        <v>430</v>
      </c>
      <c r="E116" s="198" t="s">
        <v>188</v>
      </c>
      <c r="F116" s="47" t="s">
        <v>431</v>
      </c>
      <c r="G116" s="47" t="s">
        <v>1882</v>
      </c>
      <c r="H116" s="87">
        <v>45992</v>
      </c>
      <c r="I116" s="208">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hidden="1">
      <c r="A117" s="74" t="s">
        <v>180</v>
      </c>
      <c r="B117" s="92" t="s">
        <v>419</v>
      </c>
      <c r="C117" s="45" t="s">
        <v>429</v>
      </c>
      <c r="D117" s="108"/>
      <c r="E117" s="198"/>
      <c r="F117" s="47" t="s">
        <v>433</v>
      </c>
      <c r="G117" s="47" t="s">
        <v>1882</v>
      </c>
      <c r="H117" s="87">
        <v>45992</v>
      </c>
      <c r="I117" s="208">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hidden="1">
      <c r="A118" s="74" t="s">
        <v>180</v>
      </c>
      <c r="B118" s="92" t="s">
        <v>419</v>
      </c>
      <c r="C118" s="45" t="s">
        <v>429</v>
      </c>
      <c r="D118" s="108"/>
      <c r="E118" s="198"/>
      <c r="F118" s="47" t="s">
        <v>434</v>
      </c>
      <c r="G118" s="47" t="s">
        <v>1882</v>
      </c>
      <c r="H118" s="87">
        <v>45992</v>
      </c>
      <c r="I118" s="208">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hidden="1">
      <c r="A119" s="74" t="s">
        <v>180</v>
      </c>
      <c r="B119" s="92" t="s">
        <v>419</v>
      </c>
      <c r="C119" s="45" t="s">
        <v>429</v>
      </c>
      <c r="D119" s="108"/>
      <c r="E119" s="198"/>
      <c r="F119" s="47" t="s">
        <v>435</v>
      </c>
      <c r="G119" s="47" t="s">
        <v>1882</v>
      </c>
      <c r="H119" s="87">
        <v>45992</v>
      </c>
      <c r="I119" s="208">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hidden="1">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82</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hidden="1">
      <c r="A121" s="74" t="s">
        <v>180</v>
      </c>
      <c r="B121" s="92" t="s">
        <v>419</v>
      </c>
      <c r="C121" s="45" t="s">
        <v>436</v>
      </c>
      <c r="D121" s="108"/>
      <c r="E121" s="198"/>
      <c r="F121" s="47" t="s">
        <v>439</v>
      </c>
      <c r="G121" s="47" t="s">
        <v>115</v>
      </c>
      <c r="H121" s="87">
        <v>45996</v>
      </c>
      <c r="I121" s="208">
        <v>46386</v>
      </c>
      <c r="J121" s="118" t="s">
        <v>438</v>
      </c>
      <c r="K121" s="108"/>
      <c r="L121" s="37" t="s">
        <v>201</v>
      </c>
      <c r="M121" s="80">
        <f t="shared" ca="1" si="5"/>
        <v>82</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hidden="1">
      <c r="A122" s="74" t="s">
        <v>180</v>
      </c>
      <c r="B122" s="92" t="s">
        <v>419</v>
      </c>
      <c r="C122" s="45" t="s">
        <v>436</v>
      </c>
      <c r="D122" s="108"/>
      <c r="E122" s="198"/>
      <c r="F122" s="47" t="s">
        <v>440</v>
      </c>
      <c r="G122" s="47" t="s">
        <v>115</v>
      </c>
      <c r="H122" s="87">
        <v>45996</v>
      </c>
      <c r="I122" s="208">
        <v>46386</v>
      </c>
      <c r="J122" s="118" t="s">
        <v>438</v>
      </c>
      <c r="K122" s="108"/>
      <c r="L122" s="37" t="s">
        <v>201</v>
      </c>
      <c r="M122" s="80">
        <f t="shared" ca="1" si="5"/>
        <v>82</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hidden="1">
      <c r="A123" s="74" t="s">
        <v>180</v>
      </c>
      <c r="B123" s="92" t="s">
        <v>419</v>
      </c>
      <c r="C123" s="45" t="s">
        <v>436</v>
      </c>
      <c r="D123" s="108"/>
      <c r="E123" s="198"/>
      <c r="F123" s="47" t="s">
        <v>441</v>
      </c>
      <c r="G123" s="47" t="s">
        <v>115</v>
      </c>
      <c r="H123" s="87">
        <v>45996</v>
      </c>
      <c r="I123" s="208">
        <v>46386</v>
      </c>
      <c r="J123" s="118" t="s">
        <v>438</v>
      </c>
      <c r="K123" s="108"/>
      <c r="L123" s="37" t="s">
        <v>201</v>
      </c>
      <c r="M123" s="80">
        <f t="shared" ca="1" si="5"/>
        <v>82</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hidden="1">
      <c r="A124" s="74" t="s">
        <v>180</v>
      </c>
      <c r="B124" s="92" t="s">
        <v>419</v>
      </c>
      <c r="C124" s="45" t="s">
        <v>436</v>
      </c>
      <c r="D124" s="108"/>
      <c r="E124" s="198"/>
      <c r="F124" s="47" t="s">
        <v>442</v>
      </c>
      <c r="G124" s="47" t="s">
        <v>115</v>
      </c>
      <c r="H124" s="87">
        <v>45996</v>
      </c>
      <c r="I124" s="208">
        <v>46386</v>
      </c>
      <c r="J124" s="118" t="s">
        <v>438</v>
      </c>
      <c r="K124" s="108"/>
      <c r="L124" s="37" t="s">
        <v>201</v>
      </c>
      <c r="M124" s="80">
        <f t="shared" ca="1" si="5"/>
        <v>82</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hidden="1">
      <c r="A125" s="74" t="s">
        <v>180</v>
      </c>
      <c r="B125" s="92" t="s">
        <v>419</v>
      </c>
      <c r="C125" s="45" t="s">
        <v>443</v>
      </c>
      <c r="D125" s="45" t="s">
        <v>522</v>
      </c>
      <c r="E125" s="198" t="s">
        <v>188</v>
      </c>
      <c r="F125" s="47" t="s">
        <v>444</v>
      </c>
      <c r="G125" s="47" t="s">
        <v>1887</v>
      </c>
      <c r="H125" s="87">
        <v>45992</v>
      </c>
      <c r="I125" s="208">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hidden="1">
      <c r="A126" s="74" t="s">
        <v>180</v>
      </c>
      <c r="B126" s="92" t="s">
        <v>419</v>
      </c>
      <c r="C126" s="45" t="s">
        <v>443</v>
      </c>
      <c r="D126" s="108"/>
      <c r="E126" s="198"/>
      <c r="F126" s="47" t="s">
        <v>447</v>
      </c>
      <c r="G126" s="47" t="s">
        <v>1887</v>
      </c>
      <c r="H126" s="87">
        <v>45992</v>
      </c>
      <c r="I126" s="208">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hidden="1">
      <c r="A127" s="74" t="s">
        <v>180</v>
      </c>
      <c r="B127" s="92" t="s">
        <v>419</v>
      </c>
      <c r="C127" s="45" t="s">
        <v>443</v>
      </c>
      <c r="D127" s="108"/>
      <c r="E127" s="198"/>
      <c r="F127" s="47" t="s">
        <v>448</v>
      </c>
      <c r="G127" s="47" t="s">
        <v>1887</v>
      </c>
      <c r="H127" s="87">
        <v>45992</v>
      </c>
      <c r="I127" s="208">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hidden="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hidden="1">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hidden="1">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hidden="1">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hidden="1">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6</v>
      </c>
      <c r="N133" s="37" t="str">
        <f t="shared" ca="1" si="11"/>
        <v>🚨 CRÍTICO (10d)</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87">
        <v>46044</v>
      </c>
      <c r="I134" s="208">
        <v>46310</v>
      </c>
      <c r="J134" s="97" t="s">
        <v>467</v>
      </c>
      <c r="K134" s="108"/>
      <c r="L134" s="37" t="s">
        <v>201</v>
      </c>
      <c r="M134" s="80">
        <f t="shared" ca="1" si="10"/>
        <v>6</v>
      </c>
      <c r="N134" s="37" t="str">
        <f t="shared" ca="1" si="11"/>
        <v>🚨 CRÍTICO (10d)</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87">
        <v>46044</v>
      </c>
      <c r="I135" s="208">
        <v>46310</v>
      </c>
      <c r="J135" s="97" t="s">
        <v>467</v>
      </c>
      <c r="K135" s="108"/>
      <c r="L135" s="37" t="s">
        <v>201</v>
      </c>
      <c r="M135" s="80">
        <f t="shared" ca="1" si="10"/>
        <v>6</v>
      </c>
      <c r="N135" s="37" t="str">
        <f t="shared" ca="1" si="11"/>
        <v>🚨 CRÍTICO (10d)</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hidden="1">
      <c r="A136" s="74" t="s">
        <v>180</v>
      </c>
      <c r="B136" s="92" t="s">
        <v>461</v>
      </c>
      <c r="C136" s="45" t="s">
        <v>465</v>
      </c>
      <c r="D136" s="108"/>
      <c r="E136" s="198"/>
      <c r="F136" s="47" t="s">
        <v>470</v>
      </c>
      <c r="G136" s="47" t="s">
        <v>148</v>
      </c>
      <c r="H136" s="87">
        <v>46044</v>
      </c>
      <c r="I136" s="208">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hidden="1">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hidden="1">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hidden="1">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hidden="1">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hidden="1">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hidden="1">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hidden="1">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14" hidden="1">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hidden="1">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hidden="1">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hidden="1">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hidden="1">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hidden="1">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43.8" hidden="1">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53</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104.4" hidden="1">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hidden="1">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hidden="1">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hidden="1">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hidden="1">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hidden="1">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21</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hidden="1">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hidden="1">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hidden="1">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hidden="1">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hidden="1">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21</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52.6" hidden="1">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hidden="1">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21</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hidden="1">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21</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hidden="1">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21</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filterColumn colId="13">
      <customFilters>
        <customFilter operator="notEqual" val=" "/>
      </custom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47">
        <v>2026</v>
      </c>
      <c r="B2" s="194" t="s">
        <v>1477</v>
      </c>
      <c r="C2" t="s">
        <v>20</v>
      </c>
      <c r="D2" s="13" t="s">
        <v>660</v>
      </c>
      <c r="E2" s="13" t="s">
        <v>662</v>
      </c>
    </row>
    <row r="3" spans="1:5">
      <c r="A3" s="247"/>
      <c r="B3" s="194" t="s">
        <v>1478</v>
      </c>
      <c r="C3" t="s">
        <v>20</v>
      </c>
      <c r="D3" s="13" t="s">
        <v>660</v>
      </c>
      <c r="E3" s="13" t="s">
        <v>662</v>
      </c>
    </row>
    <row r="4" spans="1:5">
      <c r="A4" s="247"/>
      <c r="B4" s="192" t="s">
        <v>1479</v>
      </c>
      <c r="C4" t="s">
        <v>1466</v>
      </c>
      <c r="D4" s="13" t="s">
        <v>662</v>
      </c>
    </row>
    <row r="5" spans="1:5">
      <c r="A5" s="247"/>
      <c r="B5" s="192" t="s">
        <v>1480</v>
      </c>
      <c r="C5" t="s">
        <v>1466</v>
      </c>
      <c r="D5" s="13" t="s">
        <v>662</v>
      </c>
    </row>
    <row r="6" spans="1:5">
      <c r="A6" s="247"/>
      <c r="B6" s="192" t="s">
        <v>1481</v>
      </c>
      <c r="C6" t="s">
        <v>1466</v>
      </c>
      <c r="D6" s="13" t="s">
        <v>1296</v>
      </c>
    </row>
    <row r="7" spans="1:5">
      <c r="A7" s="247"/>
      <c r="B7" s="192" t="s">
        <v>1483</v>
      </c>
      <c r="C7" t="s">
        <v>1466</v>
      </c>
      <c r="D7" s="13" t="s">
        <v>1293</v>
      </c>
    </row>
    <row r="8" spans="1:5">
      <c r="A8" s="247"/>
      <c r="B8" s="192" t="s">
        <v>1482</v>
      </c>
      <c r="C8" t="s">
        <v>1466</v>
      </c>
      <c r="D8" s="13" t="s">
        <v>1298</v>
      </c>
    </row>
    <row r="9" spans="1:5">
      <c r="A9" s="247"/>
      <c r="B9" s="192" t="s">
        <v>1484</v>
      </c>
      <c r="C9" t="s">
        <v>1466</v>
      </c>
      <c r="D9" s="13" t="s">
        <v>1298</v>
      </c>
    </row>
    <row r="10" spans="1:5">
      <c r="A10" s="247"/>
      <c r="B10" s="193" t="s">
        <v>1485</v>
      </c>
      <c r="C10" t="s">
        <v>1466</v>
      </c>
      <c r="D10" s="13" t="s">
        <v>1300</v>
      </c>
    </row>
    <row r="11" spans="1:5">
      <c r="A11" s="247"/>
      <c r="B11" s="193" t="s">
        <v>1486</v>
      </c>
      <c r="C11" t="s">
        <v>1466</v>
      </c>
      <c r="D11" s="13" t="s">
        <v>1304</v>
      </c>
    </row>
    <row r="12" spans="1:5">
      <c r="A12" s="247"/>
      <c r="B12" s="194" t="s">
        <v>1487</v>
      </c>
      <c r="C12" t="s">
        <v>20</v>
      </c>
      <c r="D12" s="13" t="s">
        <v>662</v>
      </c>
      <c r="E12" s="13" t="s">
        <v>1293</v>
      </c>
    </row>
    <row r="13" spans="1:5">
      <c r="A13" s="247"/>
      <c r="B13" s="194" t="s">
        <v>1488</v>
      </c>
      <c r="C13" t="s">
        <v>20</v>
      </c>
      <c r="D13" s="13" t="s">
        <v>662</v>
      </c>
      <c r="E13" s="13" t="s">
        <v>1293</v>
      </c>
    </row>
    <row r="14" spans="1:5">
      <c r="A14" s="247">
        <v>2025</v>
      </c>
      <c r="B14" s="195" t="s">
        <v>1489</v>
      </c>
      <c r="C14" t="s">
        <v>20</v>
      </c>
    </row>
    <row r="15" spans="1:5">
      <c r="A15" s="247"/>
      <c r="B15" s="195" t="s">
        <v>1490</v>
      </c>
      <c r="C15" t="s">
        <v>20</v>
      </c>
    </row>
    <row r="16" spans="1:5">
      <c r="A16" s="247"/>
      <c r="B16" s="195" t="s">
        <v>1491</v>
      </c>
      <c r="C16" t="s">
        <v>20</v>
      </c>
    </row>
    <row r="17" spans="1:3">
      <c r="A17" s="247"/>
      <c r="B17" s="195" t="s">
        <v>1485</v>
      </c>
      <c r="C17" t="s">
        <v>20</v>
      </c>
    </row>
    <row r="18" spans="1:3">
      <c r="A18" s="247"/>
      <c r="B18" s="195" t="s">
        <v>1481</v>
      </c>
      <c r="C18" t="s">
        <v>20</v>
      </c>
    </row>
    <row r="19" spans="1:3">
      <c r="A19" s="247"/>
      <c r="B19" s="195" t="s">
        <v>1483</v>
      </c>
      <c r="C19" t="s">
        <v>20</v>
      </c>
    </row>
    <row r="20" spans="1:3">
      <c r="A20" s="247"/>
      <c r="B20" s="195" t="s">
        <v>1496</v>
      </c>
      <c r="C20" t="s">
        <v>20</v>
      </c>
    </row>
    <row r="21" spans="1:3">
      <c r="A21" s="247"/>
      <c r="B21" s="192" t="s">
        <v>1484</v>
      </c>
      <c r="C21" t="s">
        <v>1509</v>
      </c>
    </row>
    <row r="22" spans="1:3">
      <c r="A22" s="247"/>
      <c r="B22" s="193" t="s">
        <v>1499</v>
      </c>
      <c r="C22" t="s">
        <v>1509</v>
      </c>
    </row>
    <row r="23" spans="1:3">
      <c r="A23" s="247"/>
      <c r="B23" s="196" t="s">
        <v>1501</v>
      </c>
      <c r="C23" t="s">
        <v>20</v>
      </c>
    </row>
    <row r="24" spans="1:3">
      <c r="A24" s="247"/>
      <c r="B24" s="193" t="s">
        <v>1503</v>
      </c>
      <c r="C24" t="s">
        <v>1509</v>
      </c>
    </row>
    <row r="25" spans="1:3">
      <c r="A25" s="247"/>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48" t="s">
        <v>29</v>
      </c>
      <c r="D3" s="74" t="s">
        <v>30</v>
      </c>
      <c r="E3" s="74" t="s">
        <v>269</v>
      </c>
      <c r="F3" s="77">
        <v>46203</v>
      </c>
      <c r="G3" s="82" t="s">
        <v>31</v>
      </c>
    </row>
    <row r="4" spans="2:7" ht="34.200000000000003">
      <c r="B4" s="75" t="s">
        <v>14</v>
      </c>
      <c r="C4" s="249"/>
      <c r="D4" s="74" t="s">
        <v>34</v>
      </c>
      <c r="E4" s="74" t="s">
        <v>269</v>
      </c>
      <c r="F4" s="77">
        <v>46203</v>
      </c>
      <c r="G4" s="82" t="s">
        <v>31</v>
      </c>
    </row>
    <row r="5" spans="2:7" ht="193.8">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48.19999999999999">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82.4">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93.8">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2026-10-09T15:15:37Z</dcterms:modified>
</cp:coreProperties>
</file>