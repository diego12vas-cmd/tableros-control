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986" documentId="8_{B94AFFE1-3DFB-409E-960F-FF1A97CB5BC7}" xr6:coauthVersionLast="47" xr6:coauthVersionMax="47" xr10:uidLastSave="{27ED51B8-D3FF-47C3-8D83-14CA3BFD18EF}"/>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<sst xmlns="http://schemas.openxmlformats.org/spreadsheetml/2006/main" count="7401" uniqueCount="1858">
  <si>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</si>
  <si>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</si>
  <si>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</si>
  <si>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</si>
  <si>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</si>
  <si>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</si>
  <si>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</si>
  <si>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</si>
  <si>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</si>
  <si>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</si>
  <si>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</si>
  <si>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</si>
  <si>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</si>
  <si>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</si>
  <si>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</si>
  <si>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</si>
  <si>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</si>
  <si>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</si>
  <si>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</si>
  <si>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</si>
  <si>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</si>
  <si>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</si>
  <si>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</si>
  <si>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</si>
  <si>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</si>
  <si>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</si>
  <si>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</si>
  <si>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</si>
  <si>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</si>
  <si>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</si>
  <si>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</si>
  <si>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</si>
  <si>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</si>
  <si>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</si>
  <si>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</si>
  <si>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</si>
  <si>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</si>
  <si>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</si>
  <si>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</si>
  <si>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</si>
  <si>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</si>
  <si>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</si>
  <si>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</si>
  <si>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</si>
  <si>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</si>
  <si>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</si>
  <si>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</si>
  <si>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</si>
  <si>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</si>
  <si>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</si>
  <si>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</si>
  <si>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</si>
  <si>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</si>
  <si>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</si>
  <si>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</si>
  <si>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</si>
  <si>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</si>
  <si>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</si>
  <si>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</si>
  <si>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</si>
  <si>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</si>
  <si>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</si>
  <si>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</si>
  <si>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</si>
  <si>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</si>
  <si>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</si>
  <si>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</si>
  <si>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</si>
  <si>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</si>
  <si>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</si>
  <si>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</si>
  <si>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</si>
  <si>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</si>
  <si>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</si>
  <si>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</si>
  <si>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</si>
  <si>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</si>
  <si>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</si>
  <si>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</si>
  <si>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</si>
  <si>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</si>
  <si>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</si>
  <si>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</si>
  <si>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</si>
  <si>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</si>
  <si>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</si>
  <si>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</si>
  <si>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</si>
  <si>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</si>
  <si>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</si>
  <si>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</si>
  <si>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</si>
  <si>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</si>
  <si>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</si>
  <si>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</si>
  <si>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</si>
  <si>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</si>
  <si>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</si>
  <si>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</si>
  <si>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</si>
  <si>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</si>
  <si>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</si>
  <si>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</si>
  <si>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</si>
  <si>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</si>
  <si>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</si>
  <si>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</si>
  <si>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</si>
  <si>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</si>
  <si>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</si>
  <si>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</si>
  <si>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</si>
  <si>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</si>
  <si>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</si>
  <si>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</si>
  <si>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</si>
  <si>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</si>
  <si>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</si>
  <si>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</si>
  <si>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</si>
  <si>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</si>
  <si>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</si>
  <si>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</si>
  <si>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</si>
  <si>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</si>
  <si>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</si>
  <si>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</si>
  <si>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</si>
  <si>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</si>
  <si>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</si>
  <si>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</si>
  <si>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</si>
  <si>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</si>
  <si>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</si>
  <si>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</si>
  <si>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</si>
  <si>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</si>
  <si>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</si>
  <si>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</si>
  <si>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</si>
  <si>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</si>
  <si>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</si>
  <si>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</si>
  <si>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</si>
  <si>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</si>
  <si>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</si>
  <si>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</si>
  <si>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</si>
  <si>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</si>
  <si>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</si>
  <si>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</si>
  <si>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</si>
  <si>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</si>
  <si>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</si>
  <si>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</si>
  <si>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</si>
  <si>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</si>
  <si>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</si>
  <si>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</si>
  <si>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</si>
  <si>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</si>
  <si>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</si>
  <si>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</si>
  <si>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</si>
  <si>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</si>
  <si>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</si>
  <si>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</si>
  <si>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</si>
  <si>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</si>
  <si>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</si>
  <si>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</si>
  <si>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</si>
  <si>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</si>
  <si>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</si>
  <si>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</si>
  <si>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</si>
  <si>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</si>
  <si>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</si>
  <si>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</si>
  <si>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</si>
  <si>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</si>
  <si>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</si>
  <si>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</si>
  <si>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</si>
  <si>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</si>
  <si>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</si>
  <si>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</si>
  <si>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</si>
  <si>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</si>
  <si>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</si>
  <si>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</si>
  <si>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</si>
  <si>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</si>
  <si>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</si>
  <si>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</si>
  <si>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</si>
  <si>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</si>
  <si>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</si>
  <si>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</si>
  <si>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</si>
  <si>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</si>
  <si>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</si>
  <si>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</si>
  <si>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</si>
  <si>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</si>
  <si>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</si>
  <si>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</si>
  <si>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</si>
  <si>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</si>
  <si>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</si>
  <si>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</si>
  <si>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</si>
  <si>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</si>
  <si>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</si>
  <si>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</si>
  <si>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</si>
  <si>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</si>
  <si>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</si>
  <si>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</si>
  <si>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</si>
  <si>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</si>
  <si>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</si>
  <si>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</si>
  <si>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</si>
  <si>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</si>
  <si>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</si>
  <si>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</si>
  <si>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</si>
  <si>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</si>
  <si>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</si>
  <si>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</si>
  <si>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</si>
  <si>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</si>
  <si>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</si>
  <si>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</si>
  <si>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</si>
  <si>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</si>
  <si>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</si>
  <si>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</si>
  <si>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</si>
  <si>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</si>
  <si>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</si>
  <si>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</si>
  <si>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</si>
  <si>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</si>
  <si>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</si>
  <si>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</si>
  <si>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</si>
  <si>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</si>
  <si>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</si>
  <si>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</si>
  <si>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</si>
  <si>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</si>
  <si>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</si>
  <si>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</si>
  <si>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</si>
  <si>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</si>
  <si>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</si>
  <si>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</si>
  <si>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</si>
  <si>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</si>
  <si>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</si>
  <si>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</si>
  <si>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</si>
  <si>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</si>
  <si>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</si>
  <si>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</si>
  <si>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</si>
  <si>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</si>
  <si>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</si>
  <si>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</si>
  <si>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</si>
  <si>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</si>
  <si>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</si>
  <si>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</si>
  <si>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</si>
  <si>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</si>
  <si>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</si>
  <si>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</si>
  <si>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</si>
  <si>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</si>
  <si>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</si>
  <si>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</si>
  <si>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</si>
  <si>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</si>
  <si>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</si>
  <si>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</si>
  <si>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</si>
  <si>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</si>
  <si>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</si>
  <si>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</si>
  <si>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</si>
  <si>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</si>
  <si>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</si>
  <si>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</si>
  <si>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</si>
  <si>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</si>
  <si>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</si>
  <si>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</si>
  <si>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</si>
  <si>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</si>
  <si>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</si>
  <si>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</si>
  <si>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</si>
  <si>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</si>
  <si>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</si>
  <si>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</si>
  <si>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</si>
  <si>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</si>
  <si>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</si>
  <si>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</si>
  <si>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</si>
  <si>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</si>
  <si>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</si>
  <si>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</si>
  <si>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</si>
  <si>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</si>
  <si>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</si>
  <si>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</si>
  <si>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</si>
  <si>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</si>
  <si>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</si>
  <si>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</si>
  <si>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</si>
  <si>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</si>
  <si>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</si>
  <si>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</si>
  <si>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</si>
  <si>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</si>
  <si>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</si>
  <si>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</si>
  <si>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</si>
  <si>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</si>
  <si>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</si>
  <si>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</si>
  <si>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</si>
  <si>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</si>
  <si>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</si>
  <si>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</si>
  <si>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</si>
  <si>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</si>
  <si>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</si>
  <si>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</si>
  <si>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</si>
  <si>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</si>
  <si>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</si>
  <si>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</si>
  <si>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</si>
  <si>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</si>
  <si>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</si>
  <si>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</si>
  <si>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</si>
  <si>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</si>
  <si>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</si>
  <si>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</si>
  <si>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</si>
  <si>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</si>
  <si>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</si>
  <si>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</si>
  <si>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</si>
  <si>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</si>
  <si>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</si>
  <si>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</si>
  <si>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</si>
  <si>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</si>
  <si>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</si>
  <si>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</si>
  <si>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</si>
  <si>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</si>
  <si>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</si>
  <si>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</si>
  <si>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</si>
  <si>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</si>
  <si>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</si>
  <si>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</si>
  <si>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</si>
  <si>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</si>
  <si>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</si>
  <si>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</si>
  <si>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</si>
  <si>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</si>
  <si>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</si>
  <si>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</si>
  <si>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</si>
  <si>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</si>
  <si>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</si>
  <si>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</si>
  <si>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</si>
  <si>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</si>
  <si>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</si>
  <si>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</si>
  <si>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</si>
  <si>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</si>
  <si>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</si>
  <si>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</si>
  <si>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</si>
  <si>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</si>
  <si>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</si>
  <si>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</si>
  <si>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</si>
  <si>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</si>
  <si>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</si>
  <si>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</si>
  <si>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</si>
  <si>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</si>
  <si>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</si>
  <si>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</si>
  <si>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</si>
  <si>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</si>
  <si>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</si>
  <si>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</si>
  <si>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</si>
  <si>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</si>
  <si>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</si>
  <si>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</si>
  <si>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</si>
  <si>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</si>
  <si>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</si>
  <si>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</si>
  <si>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</si>
  <si>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</si>
  <si>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</si>
  <si>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</si>
  <si>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</si>
  <si>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</si>
  <si>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</si>
  <si>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</si>
  <si>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</si>
  <si>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</si>
  <si>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</si>
  <si>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</si>
  <si>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</si>
  <si>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</si>
  <si>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</si>
  <si>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</si>
  <si>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</si>
  <si>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</si>
  <si>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</si>
  <si>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</si>
  <si>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</si>
  <si>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</si>
  <si>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</si>
  <si>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</si>
  <si>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</si>
  <si>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</si>
  <si>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</si>
  <si>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</si>
  <si>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</si>
  <si>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</si>
  <si>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</si>
  <si>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</si>
  <si>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</si>
  <si>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</si>
  <si>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</si>
  <si>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</si>
  <si>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</si>
  <si>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</si>
  <si>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</si>
  <si>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</si>
  <si>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</si>
  <si>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</si>
  <si>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</si>
  <si>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</si>
  <si>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</si>
  <si>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</si>
  <si>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</si>
  <si>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</si>
  <si>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</si>
  <si>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</si>
  <si>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</si>
  <si>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</si>
  <si>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</si>
  <si>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</si>
  <si>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</si>
  <si>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</si>
  <si>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</si>
  <si>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</si>
  <si>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</si>
  <si>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</si>
  <si>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</si>
  <si>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</si>
  <si>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</si>
  <si>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</si>
  <si>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</si>
  <si>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</si>
  <si>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</si>
  <si>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</si>
  <si>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</si>
  <si>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</si>
  <si>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</si>
  <si>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</si>
  <si>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</si>
  <si>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</si>
  <si>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</si>
  <si>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</si>
  <si>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</si>
  <si>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</si>
  <si>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</si>
  <si>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</si>
  <si>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</si>
  <si>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</si>
  <si>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</si>
  <si>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</si>
  <si>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</si>
  <si>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</si>
  <si>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</si>
  <si>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</si>
  <si>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</si>
  <si>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</si>
  <si>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</si>
  <si>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</si>
  <si>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</si>
  <si>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</si>
  <si>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</si>
  <si>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</si>
  <si>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</si>
  <si>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</si>
  <si>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</si>
  <si>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</si>
  <si>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</si>
  <si>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</si>
  <si>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</si>
  <si>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</si>
  <si>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</si>
  <si>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</si>
  <si>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</si>
  <si>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</si>
  <si>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</si>
  <si>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</si>
  <si>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</si>
  <si>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</si>
  <si>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</si>
  <si>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</si>
  <si>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</si>
  <si>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</si>
  <si>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</si>
  <si>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</si>
  <si>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</si>
  <si>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</si>
  <si>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</si>
  <si>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</si>
  <si>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</si>
  <si>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</si>
  <si>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</si>
  <si>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</si>
  <si>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</si>
  <si>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</si>
  <si>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</si>
  <si>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</si>
  <si>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</si>
  <si>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</si>
  <si>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</si>
  <si>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</si>
  <si>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</si>
  <si>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</si>
  <si>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</si>
  <si>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</si>
  <si>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</si>
  <si>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</si>
  <si>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</si>
  <si>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</si>
  <si>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</si>
  <si>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</si>
  <si>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</si>
  <si>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</si>
  <si>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</si>
  <si>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</si>
  <si>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</si>
  <si>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</si>
  <si>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</si>
  <si>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</si>
  <si>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</si>
  <si>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</si>
  <si>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</si>
  <si>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</si>
  <si>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</si>
  <si>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</si>
  <si>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</si>
  <si>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</si>
  <si>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</si>
  <si>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</si>
  <si>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</si>
  <si>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</si>
  <si>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</si>
  <si>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</si>
  <si>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</si>
  <si>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</si>
  <si>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</si>
  <si>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</si>
  <si>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</si>
  <si>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</si>
  <si>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</si>
  <si>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</si>
  <si>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</si>
  <si>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</si>
  <si>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</si>
  <si>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</si>
  <si>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</si>
  <si>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</si>
  <si>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</si>
  <si>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</si>
  <si>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</si>
  <si>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</si>
  <si>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</si>
  <si>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</si>
  <si>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</si>
  <si>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</si>
  <si>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</si>
  <si>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</si>
  <si>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</si>
  <si>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</si>
  <si>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</si>
  <si>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</si>
  <si>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</si>
  <si>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</si>
  <si>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</si>
  <si>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</si>
  <si>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</si>
  <si>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</si>
  <si>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</si>
  <si>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</si>
  <si>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</si>
  <si>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</si>
  <si>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</si>
  <si>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</si>
  <si>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</si>
  <si>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</si>
  <si>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</si>
  <si>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</si>
  <si>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</si>
  <si>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</si>
  <si>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</si>
  <si>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</si>
  <si>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</si>
  <si>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</si>
  <si>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</si>
  <si>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</si>
  <si>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</si>
  <si>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</si>
  <si>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</si>
  <si>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</si>
  <si>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</si>
  <si>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</si>
  <si>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</si>
  <si>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</si>
  <si>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</si>
  <si>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</si>
  <si>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</si>
  <si>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</si>
  <si>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</si>
  <si>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</si>
  <si>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</si>
  <si>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</si>
  <si>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</si>
  <si>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</si>
  <si>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</si>
  <si>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</si>
  <si>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</si>
  <si>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</si>
  <si>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</si>
  <si>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</si>
  <si>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</si>
  <si>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</si>
  <si>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</si>
  <si>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</si>
  <si>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</si>
  <si>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</si>
  <si>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</si>
  <si>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</si>
  <si>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</si>
  <si>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</si>
  <si>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</si>
  <si>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</si>
  <si>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</si>
  <si>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</si>
  <si>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</si>
  <si>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</si>
  <si>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</si>
  <si>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</si>
  <si>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</si>
  <si>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</si>
  <si>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</si>
  <si>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</si>
  <si>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</si>
  <si>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</si>
  <si>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</si>
  <si>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</si>
  <si>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</si>
  <si>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</si>
  <si>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</si>
  <si>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</si>
  <si>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</si>
  <si>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</si>
  <si>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</si>
  <si>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</si>
  <si>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</si>
  <si>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</si>
  <si>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</si>
  <si>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</si>
  <si>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</si>
  <si>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</si>
  <si>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</si>
  <si>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</si>
  <si>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</si>
  <si>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</si>
  <si>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</si>
  <si>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</si>
  <si>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</si>
  <si>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</si>
  <si>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</si>
  <si>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</si>
  <si>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</si>
  <si>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</si>
  <si>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</si>
  <si>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</si>
  <si>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</si>
  <si>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</si>
  <si>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</si>
  <si>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</si>
  <si>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</si>
  <si>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</si>
  <si>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</si>
  <si>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</si>
  <si>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</si>
  <si>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</si>
  <si>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</si>
  <si>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</si>
  <si>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</si>
  <si>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</si>
  <si>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</si>
  <si>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</si>
  <si>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</si>
  <si>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</si>
  <si>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</si>
  <si>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</si>
  <si>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</si>
  <si>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</si>
  <si>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</si>
  <si>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</si>
  <si>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</si>
  <si>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</si>
  <si>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</si>
  <si>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</si>
  <si>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</si>
  <si>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</si>
  <si>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</si>
  <si>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</si>
  <si>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</si>
  <si>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</si>
  <si>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</si>
  <si>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</si>
  <si>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</si>
  <si>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</si>
  <si>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</si>
  <si>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</si>
  <si>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</si>
  <si>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</si>
  <si>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</si>
  <si>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</si>
  <si>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</si>
  <si>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</si>
  <si>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</si>
  <si>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</si>
  <si>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</si>
  <si>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</si>
  <si>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</si>
  <si>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</si>
  <si>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</si>
  <si>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</si>
  <si>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</si>
  <si>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</si>
  <si>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</si>
  <si>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</si>
  <si>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</si>
  <si>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</si>
  <si>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</si>
  <si>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</si>
  <si>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</si>
  <si>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</si>
  <si>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</si>
  <si>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</si>
  <si>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</si>
  <si>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</si>
  <si>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</si>
  <si>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</si>
  <si>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</si>
  <si>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</si>
  <si>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</si>
  <si>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</si>
  <si>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</si>
  <si>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</si>
  <si>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</si>
  <si>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</si>
  <si>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</si>
  <si>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</si>
  <si>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</si>
  <si>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</si>
  <si>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</si>
  <si>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</si>
  <si>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</si>
  <si>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</si>
  <si>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</si>
  <si>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</si>
  <si>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</si>
  <si>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</si>
  <si>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</si>
  <si>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</si>
  <si>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</si>
  <si>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</si>
  <si>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</si>
  <si>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</si>
  <si>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</si>
  <si>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</si>
  <si>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</si>
  <si>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</si>
  <si>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</si>
  <si>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</si>
  <si>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</si>
  <si>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</si>
  <si>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</si>
  <si>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</si>
  <si>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</si>
  <si>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</si>
  <si>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</si>
  <si>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</si>
  <si>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</si>
  <si>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</si>
  <si>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</si>
  <si>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</si>
  <si>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</si>
  <si>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</si>
  <si>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</si>
  <si>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</si>
  <si>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</si>
  <si>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</si>
  <si>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</si>
  <si>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</si>
  <si>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</si>
  <si>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</si>
  <si>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</si>
  <si>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</si>
  <si>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</si>
  <si>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</si>
  <si>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</si>
  <si>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</si>
  <si>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</si>
  <si>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</si>
  <si>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</si>
  <si>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</si>
  <si>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</si>
  <si>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</si>
  <si>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</si>
  <si>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</si>
  <si>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</si>
  <si>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</si>
  <si>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</si>
  <si>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</si>
  <si>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</si>
  <si>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</si>
  <si>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</si>
  <si>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</si>
  <si>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</si>
  <si>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</si>
  <si>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</si>
  <si>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</si>
  <si>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</si>
  <si>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</si>
  <si>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</si>
  <si>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</si>
  <si>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</si>
  <si>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</si>
  <si>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</si>
  <si>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</si>
  <si>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</si>
  <si>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</si>
  <si>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</si>
  <si>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</si>
  <si>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</si>
  <si>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</si>
  <si>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</si>
  <si>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</si>
  <si>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</si>
  <si>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</si>
  <si>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</si>
  <si>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</si>
  <si>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</si>
  <si>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</si>
  <si>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</si>
  <si>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</si>
  <si>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</si>
  <si>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</si>
  <si>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</si>
  <si>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</si>
  <si>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</si>
  <si>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</si>
  <si>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</si>
  <si>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</si>
  <si>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</si>
  <si>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</si>
  <si>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</si>
  <si>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</si>
  <si>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</si>
  <si>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</si>
  <si>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</si>
  <si>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</si>
  <si>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</si>
  <si>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</si>
  <si>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</si>
  <si>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</si>
  <si>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</si>
  <si>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</si>
  <si>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</si>
  <si>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</si>
  <si>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</si>
  <si>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</si>
  <si>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</si>
  <si>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</si>
  <si>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</si>
  <si>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</si>
  <si>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</si>
  <si>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</si>
  <si>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</si>
  <si>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</si>
  <si>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</si>
  <si>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</si>
  <si>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</si>
  <si>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</si>
  <si>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</si>
  <si>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</si>
  <si>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</si>
  <si>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</si>
  <si>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</si>
  <si>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</si>
  <si>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</si>
  <si>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</si>
  <si>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</si>
  <si>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</si>
  <si>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</si>
  <si>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</si>
  <si>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</si>
  <si>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</si>
  <si>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</si>
  <si>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</si>
  <si>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</si>
  <si>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</si>
  <si>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</si>
  <si>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</si>
  <si>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</si>
  <si>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</si>
  <si>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</si>
  <si>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</si>
  <si>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</si>
  <si>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</si>
  <si>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</si>
  <si>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</si>
  <si>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</si>
  <si>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</si>
  <si>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</si>
  <si>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</si>
  <si>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</si>
  <si>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</si>
  <si>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</si>
  <si>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</si>
  <si>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</si>
  <si>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</si>
  <si>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</si>
  <si>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</si>
  <si>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</si>
  <si>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</si>
  <si>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</si>
  <si>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</si>
  <si>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</si>
  <si>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</si>
  <si>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</si>
  <si>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</si>
  <si>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</si>
  <si>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</si>
  <si>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</si>
  <si>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</si>
  <si>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</si>
  <si>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</si>
  <si>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</si>
  <si>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</si>
  <si>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</si>
  <si>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</si>
  <si>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</si>
  <si>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</si>
  <si>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</si>
  <si>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</si>
  <si>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</si>
  <si>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</si>
  <si>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</si>
  <si>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</si>
  <si>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</si>
  <si>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</si>
  <si>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</si>
  <si>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</si>
  <si>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</si>
  <si>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</si>
  <si>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</si>
  <si>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</si>
  <si>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</si>
  <si>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</si>
  <si>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</si>
  <si>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</si>
  <si>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</si>
  <si>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</si>
  <si>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</si>
  <si>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</si>
  <si>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</si>
  <si>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</si>
  <si>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</si>
  <si>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</si>
  <si>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</si>
  <si>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</si>
  <si>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</si>
  <si>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</si>
  <si>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</si>
  <si>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</si>
  <si>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</si>
  <si>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</si>
  <si>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</si>
  <si>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</si>
  <si>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</si>
  <si>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</si>
  <si>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</si>
  <si>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</si>
  <si>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</si>
  <si>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</si>
  <si>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</si>
  <si>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</si>
  <si>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</si>
  <si>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</si>
  <si>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</si>
  <si>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</si>
  <si>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</si>
  <si>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</si>
  <si>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</si>
  <si>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</si>
  <si>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</si>
  <si>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</si>
  <si>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</si>
  <si>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</si>
  <si>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</si>
  <si>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</si>
  <si>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</si>
  <si>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</si>
  <si>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</si>
  <si>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</si>
  <si>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</si>
  <si>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</si>
  <si>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</si>
  <si>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</si>
  <si>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</si>
  <si>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</si>
  <si>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</si>
  <si>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</si>
  <si>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</si>
  <si>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</si>
  <si>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</si>
  <si>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</si>
  <si>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</si>
  <si>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</si>
  <si>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</si>
  <si>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</si>
  <si>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</si>
  <si>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</si>
  <si>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</si>
  <si>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</si>
  <si>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</si>
  <si>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</si>
  <si>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</si>
  <si>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</si>
  <si>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</si>
  <si>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</si>
  <si>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</si>
  <si>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</si>
  <si>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</si>
  <si>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</si>
  <si>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</si>
  <si>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</si>
  <si>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</si>
  <si>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</si>
  <si>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</si>
  <si>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</si>
  <si>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</si>
  <si>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</si>
  <si>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</si>
  <si>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</si>
  <si>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</si>
  <si>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</si>
  <si>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</si>
  <si>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</si>
  <si>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</si>
  <si>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</si>
  <si>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</si>
  <si>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</si>
  <si>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</si>
  <si>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</si>
  <si>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</si>
  <si>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</si>
  <si>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</si>
  <si>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</si>
  <si>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</si>
  <si>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</si>
  <si>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</si>
  <si>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</si>
  <si>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</si>
  <si>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</si>
  <si>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</si>
  <si>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</si>
  <si>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</si>
  <si>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</si>
  <si>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</si>
  <si>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</si>
  <si>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</si>
  <si>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</si>
  <si>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</si>
  <si>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</si>
  <si>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</si>
  <si>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</si>
  <si>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</si>
  <si>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</si>
  <si>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</si>
  <si>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</si>
  <si>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</si>
  <si>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</si>
  <si>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</si>
  <si>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</si>
  <si>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</si>
  <si>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</si>
  <si>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</si>
  <si>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</si>
  <si>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</si>
  <si>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</si>
  <si>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</si>
  <si>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</si>
  <si>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</si>
  <si>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</si>
  <si>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</si>
  <si>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</si>
  <si>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</si>
  <si>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</si>
  <si>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</si>
  <si>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</si>
  <si>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</si>
  <si>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</si>
  <si>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</si>
  <si>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</si>
  <si>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</si>
  <si>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</si>
  <si>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</si>
  <si>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</si>
  <si>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</si>
  <si>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</si>
  <si>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</si>
  <si>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</si>
  <si>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</si>
  <si>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</si>
  <si>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</si>
  <si>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</si>
  <si>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</si>
  <si>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</si>
  <si>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</si>
  <si>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</si>
  <si>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</si>
  <si>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</si>
  <si>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</si>
  <si>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</si>
  <si>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</si>
  <si>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</si>
  <si>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</si>
  <si>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</si>
  <si>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</si>
  <si>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</si>
  <si>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</si>
  <si>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</si>
  <si>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</si>
  <si>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</si>
  <si>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</si>
  <si>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</si>
  <si>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</si>
  <si>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</si>
  <si>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</si>
  <si>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</si>
  <si>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</si>
  <si>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</si>
  <si>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</si>
  <si>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</si>
  <si>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</si>
  <si>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</si>
  <si>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</si>
  <si>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</si>
  <si>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</si>
  <si>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</si>
  <si>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</si>
  <si>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</si>
  <si>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</si>
  <si>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</si>
  <si>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</si>
  <si>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</si>
  <si>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</si>
  <si>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</si>
  <si>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</si>
  <si>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</si>
  <si>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</si>
  <si>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</si>
  <si>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</si>
  <si>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</si>
  <si>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</si>
  <si>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</si>
  <si>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</si>
  <si>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</si>
  <si>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</si>
  <si>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</si>
  <si>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</si>
  <si>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</si>
  <si>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</si>
  <si>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</si>
  <si>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</si>
  <si>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</si>
  <si>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</si>
  <si>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</si>
  <si>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</si>
  <si>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</si>
  <si>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</si>
  <si>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</si>
  <si>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</si>
  <si>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</si>
  <si>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</si>
  <si>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</si>
  <si>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</si>
  <si>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</si>
  <si>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</si>
  <si>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</si>
  <si>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</si>
  <si>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</si>
  <si>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</si>
  <si>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</si>
  <si>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</si>
  <si>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</si>
  <si>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</si>
  <si>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</si>
  <si>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</si>
  <si>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</si>
  <si>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</si>
  <si>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</si>
  <si>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</si>
  <si>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</si>
  <si>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</si>
  <si>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</si>
  <si>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</si>
  <si>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</si>
  <si>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</si>
  <si>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</si>
  <si>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</si>
  <si>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</si>
  <si>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</si>
  <si>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</si>
  <si>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</si>
  <si>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</si>
  <si>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</si>
  <si>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</si>
  <si>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</si>
  <si>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</si>
  <si>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</si>
  <si>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</si>
  <si>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</si>
  <si>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</si>
  <si>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</si>
  <si>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</si>
  <si>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</si>
  <si>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</si>
  <si>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</si>
  <si>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</si>
  <si>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</si>
  <si>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</si>
  <si>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</si>
  <si>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</si>
  <si>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</si>
  <si>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</si>
  <si>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</si>
  <si>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</si>
  <si>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</si>
  <si>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</si>
  <si>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</si>
  <si>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</si>
  <si>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</si>
  <si>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</si>
  <si>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</si>
  <si>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</si>
  <si>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</si>
  <si>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</si>
  <si>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</si>
  <si>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</si>
  <si>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</si>
  <si>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</si>
  <si>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</si>
  <si>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</si>
  <si>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</si>
  <si>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</si>
  <si>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</si>
  <si>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</si>
  <si>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</si>
  <si>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</si>
  <si>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</si>
  <si>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</si>
  <si>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</si>
  <si>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</si>
  <si>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</si>
  <si>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</si>
  <si>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</si>
  <si>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</si>
  <si>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</si>
  <si>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</si>
  <si>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</si>
  <si>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</si>
  <si>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</si>
  <si>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</si>
  <si>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</si>
  <si>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</si>
  <si>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</si>
  <si>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</si>
  <si>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</si>
  <si>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</si>
  <si>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</si>
  <si>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</si>
  <si>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</si>
  <si>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</si>
  <si>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</si>
  <si>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</si>
  <si>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</si>
  <si>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</si>
  <si>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</si>
  <si>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</si>
  <si>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</si>
  <si>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</si>
  <si>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</si>
  <si>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</si>
  <si>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</si>
  <si>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</si>
  <si>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</si>
  <si>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</si>
  <si>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</si>
  <si>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</si>
  <si>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</si>
  <si>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</si>
  <si>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</si>
  <si>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</si>
  <si>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</si>
  <si>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</si>
  <si>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</si>
  <si>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</si>
  <si>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</si>
  <si>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</si>
  <si>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</si>
  <si>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</si>
  <si>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</si>
  <si>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</si>
  <si>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</si>
  <si>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</si>
  <si>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</si>
  <si>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</si>
  <si>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</si>
  <si>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</si>
  <si>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</si>
  <si>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</si>
  <si>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</si>
  <si>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</si>
  <si>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</si>
  <si>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</si>
  <si>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</si>
  <si>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</si>
  <si>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</si>
  <si>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</si>
  <si>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</si>
  <si>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</si>
  <si>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</si>
  <si>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</si>
  <si>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</si>
  <si>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</si>
  <si>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</si>
  <si>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</si>
  <si>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</si>
  <si>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</si>
  <si>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</si>
  <si>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</si>
  <si>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</si>
  <si>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</si>
  <si>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</si>
  <si>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</si>
  <si>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</si>
  <si>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</si>
  <si>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</si>
  <si>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</si>
  <si>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</si>
  <si>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</si>
  <si>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</si>
  <si>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</si>
  <si>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</si>
  <si>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</si>
  <si>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</si>
  <si>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</si>
  <si>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</si>
  <si>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</si>
  <si>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</si>
  <si>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</si>
  <si>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</si>
  <si>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</si>
  <si>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</si>
  <si>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</si>
  <si>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</si>
  <si>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</si>
  <si>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</si>
  <si>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</si>
  <si>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</si>
  <si>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</si>
  <si>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</si>
  <si>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</si>
  <si>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</si>
  <si>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</si>
  <si>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</si>
  <si>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</si>
  <si>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</si>
  <si>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</si>
  <si>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</si>
  <si>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</si>
  <si>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</si>
  <si>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</si>
  <si>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</si>
  <si>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</si>
  <si>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</si>
  <si>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</si>
  <si>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</si>
  <si>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</si>
  <si>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</si>
  <si>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</si>
  <si>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</si>
  <si>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</si>
  <si>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</si>
  <si>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</si>
  <si>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</si>
  <si>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</si>
  <si>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</si>
  <si>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</si>
  <si>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</si>
  <si>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</si>
  <si>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</si>
  <si>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</si>
  <si>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</si>
  <si>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</si>
  <si>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</si>
  <si>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</si>
  <si>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</si>
  <si>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</si>
  <si>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</si>
  <si>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</si>
  <si>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</si>
  <si>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</si>
  <si>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</si>
  <si>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</si>
  <si>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</si>
  <si>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</si>
  <si>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</si>
  <si>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</si>
  <si>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</si>
  <si>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</si>
  <si>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</si>
  <si>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</si>
  <si>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</si>
  <si>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</si>
  <si>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</si>
  <si>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</si>
  <si>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</si>
  <si>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</si>
  <si>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</si>
  <si>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</si>
  <si>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</si>
  <si>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</si>
  <si>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</si>
  <si>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</si>
  <si>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</si>
  <si>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</si>
  <si>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</si>
  <si>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</si>
  <si>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</si>
  <si>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</si>
  <si>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</si>
  <si>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</si>
  <si>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</si>
  <si>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</si>
  <si>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</si>
  <si>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</si>
  <si>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</si>
  <si>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</si>
  <si>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</si>
  <si>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</si>
  <si>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</si>
  <si>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</si>
  <si>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</si>
  <si>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</si>
  <si>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</si>
  <si>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</si>
  <si>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</si>
  <si>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</si>
  <si>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</si>
  <si>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</si>
  <si>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</si>
  <si>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</si>
  <si>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</si>
  <si>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</si>
  <si>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</si>
  <si>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</si>
  <si>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</si>
  <si>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</si>
  <si>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</si>
  <si>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</si>
  <si>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</si>
  <si>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</si>
  <si>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</si>
  <si>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</si>
  <si>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</si>
  <si>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</si>
  <si>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</si>
  <si>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</si>
  <si>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</si>
  <si>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</si>
  <si>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</si>
  <si>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</si>
  <si>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</si>
  <si>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</si>
  <si>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</si>
  <si>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</si>
  <si>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</si>
  <si>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</si>
  <si>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</si>
  <si>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</si>
  <si>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</si>
  <si>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</si>
  <si>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</si>
  <si>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</si>
  <si>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</si>
  <si>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</si>
  <si>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</si>
  <si>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</si>
  <si>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</si>
  <si>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</si>
  <si>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</si>
  <si>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</si>
  <si>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</si>
  <si>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</si>
  <si>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</si>
  <si>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</si>
  <si>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</si>
  <si>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</si>
  <si>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</si>
  <si>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</si>
  <si>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</si>
  <si>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</si>
  <si>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</si>
  <si>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</si>
  <si>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</si>
  <si>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</si>
  <si>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</si>
  <si>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</si>
  <si>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</si>
  <si>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</si>
  <si>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</si>
  <si>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</si>
  <si>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</si>
  <si>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</si>
  <si>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</si>
  <si>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</si>
  <si>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</si>
  <si>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</si>
  <si>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</si>
  <si>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</si>
  <si>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</si>
  <si>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</si>
  <si>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</si>
  <si>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</si>
  <si>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</si>
  <si>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</si>
  <si>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</si>
  <si>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</si>
  <si>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</si>
  <si>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</si>
  <si>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</si>
  <si>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</si>
  <si>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</si>
  <si>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</si>
  <si>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</si>
  <si>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</si>
  <si>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</si>
  <si>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</si>
  <si>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</si>
  <si>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</si>
  <si>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</si>
  <si>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</si>
  <si>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</si>
  <si>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</si>
  <si>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</si>
  <si>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</si>
  <si>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</si>
  <si>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</si>
  <si>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</si>
  <si>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</si>
  <si>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</si>
  <si>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</si>
  <si>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</si>
  <si>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</si>
  <si>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</si>
  <si>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</si>
  <si>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</si>
  <si>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</si>
  <si>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</si>
  <si>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</si>
  <si>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</si>
  <si>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</si>
  <si>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</si>
  <si>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</si>
  <si>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</si>
  <si>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</si>
  <si>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</si>
  <si>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</si>
  <si>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</si>
  <si>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</si>
  <si>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</si>
  <si>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</si>
  <si>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</si>
  <si>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</si>
  <si>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</si>
  <si>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</si>
  <si>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</si>
  <si>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</si>
  <si>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</si>
  <si>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</si>
  <si>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</si>
  <si>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</si>
  <si>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</si>
  <si>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</si>
  <si>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</si>
  <si>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</si>
  <si>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</si>
  <si>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</si>
  <si>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</si>
  <si>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</si>
  <si>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</si>
  <si>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</si>
  <si>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</si>
  <si>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</si>
  <si>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</si>
  <si>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</si>
  <si>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</si>
  <si>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</si>
  <si>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</si>
  <si>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</si>
  <si>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</si>
  <si>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</si>
  <si>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</si>
  <si>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</si>
  <si>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</si>
  <si>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</si>
  <si>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</si>
  <si>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</si>
  <si>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</si>
  <si>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</si>
  <si>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</si>
  <si>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</si>
  <si>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</si>
  <si>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</si>
  <si>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</si>
  <si>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</si>
  <si>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</si>
  <si>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</si>
  <si>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</si>
  <si>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</si>
  <si>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</si>
  <si>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</si>
  <si>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</si>
  <si>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</si>
  <si>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</si>
  <si>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</si>
  <si>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</si>
  <si>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</si>
  <si>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</si>
  <si>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</si>
  <si>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</si>
  <si>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</si>
  <si>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</si>
  <si>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</si>
  <si>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</si>
  <si>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</si>
  <si>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</si>
  <si>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</si>
  <si>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</si>
  <si>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</si>
  <si>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</si>
  <si>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</si>
  <si>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</si>
  <si>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</si>
  <si>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</si>
  <si>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</si>
  <si>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</si>
  <si>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</si>
  <si>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</si>
  <si>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</si>
  <si>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</si>
  <si>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</si>
  <si>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</si>
  <si>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</si>
  <si>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</si>
  <si>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</si>
  <si>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</si>
  <si>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</si>
  <si>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</si>
  <si>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</si>
  <si>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</si>
  <si>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</si>
  <si>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</si>
  <si>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</si>
  <si>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</si>
  <si>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</si>
  <si>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</si>
  <si>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</si>
  <si>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</si>
  <si>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</si>
  <si>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</si>
  <si>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</si>
  <si>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</si>
  <si>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</si>
  <si>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</si>
  <si>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</si>
  <si>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</si>
  <si>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</si>
  <si>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</si>
  <si>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</si>
  <si>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</si>
  <si>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</si>
  <si>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</si>
  <si>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</si>
  <si>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</si>
  <si>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</si>
  <si>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</si>
  <si>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</si>
  <si>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</si>
  <si>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</si>
  <si>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</si>
  <si>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</si>
  <si>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</si>
  <si>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</si>
  <si>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</si>
  <si>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</si>
  <si>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</si>
  <si>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</si>
  <si>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</si>
  <si>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</si>
  <si>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</si>
  <si>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</si>
  <si>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</si>
  <si>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</si>
  <si>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</si>
  <si>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</si>
  <si>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</si>
  <si>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</si>
  <si>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</si>
  <si>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</si>
  <si>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</si>
  <si>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</si>
  <si>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</si>
  <si>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</si>
  <si>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</si>
  <si>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</si>
  <si>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</si>
  <si>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</si>
  <si>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</si>
  <si>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</si>
  <si>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</si>
  <si>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</si>
  <si>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</si>
  <si>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</si>
  <si>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</si>
  <si>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</si>
  <si>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</si>
  <si>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</si>
  <si>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</si>
  <si>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</si>
  <si>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</si>
  <si>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</si>
  <si>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</si>
  <si>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</si>
  <si>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</si>
  <si>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</si>
  <si>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</si>
  <si>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</si>
  <si>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</si>
  <si>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</si>
  <si>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</si>
  <si>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</si>
  <si>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</si>
  <si>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</si>
  <si>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</si>
  <si>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</si>
  <si>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</si>
  <si>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</si>
  <si>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</si>
  <si>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</si>
  <si>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</si>
  <si>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</si>
  <si>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</si>
  <si>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</si>
  <si>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</si>
  <si>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</si>
  <si>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</si>
  <si>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</si>
  <si>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</si>
  <si>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</si>
  <si>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</si>
  <si>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</si>
  <si>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</si>
  <si>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</si>
  <si>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</si>
  <si>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</si>
  <si>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</si>
  <si>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</si>
  <si>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</si>
  <si>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</si>
  <si>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</si>
  <si>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</si>
  <si>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</si>
  <si>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</si>
  <si>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</si>
  <si>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</si>
  <si>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</si>
  <si>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</si>
  <si>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</si>
  <si>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</si>
  <si>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</si>
  <si>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</si>
  <si>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</si>
  <si>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</si>
  <si>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</si>
  <si>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</si>
  <si>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</si>
  <si>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</si>
  <si>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</si>
  <si>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</si>
  <si>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</si>
  <si>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</si>
  <si>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</si>
  <si>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</si>
  <si>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</si>
  <si>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</si>
  <si>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</si>
  <si>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</si>
  <si>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</si>
  <si>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Última fecha de Actualización: 30/09/2026 11:23</t>
  </si>
  <si>
    <t>$L$132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</si>
</sst>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1856</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44"/>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1857</v>
      </c>
      <c r="F1144" s="128" t="s">
        <v>201</v>
      </c>
      <c r="G1144"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2</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1</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4</v>
      </c>
      <c r="G42" s="10">
        <f>COUNTIFS('Base de datos'!$B:$B, $B42, 'Base de datos'!$G:$G, $C42, 'Base de datos'!$L:$L, "Finalizada")</f>
        <v>0</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3</v>
      </c>
      <c r="O42" s="29">
        <f ca="1">COUNTIFS('Base de datos'!$B:$B, $B42, 'Base de datos'!$G:$G, $C42, 'Base de datos'!$N:$N, "*30d*")</f>
        <v>0</v>
      </c>
      <c r="P42" s="52">
        <f ca="1">COUNTIFS('Base de datos'!$B:$B, $B42, 'Base de datos'!$G:$G, $C42, 'Base de datos'!$Q:$Q, "*5d*")</f>
        <v>1</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1</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1</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1</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F1" zoomScale="90" zoomScaleNormal="90" workbookViewId="0">
      <pane ySplit="1" topLeftCell="A105" activePane="bottomLeft" state="frozen"/>
      <selection pane="bottomLeft" activeCell="N107" sqref="N10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15.2" hidden="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hidden="1">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199</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203</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239</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275</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502</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hidden="1">
      <c r="A74" s="74" t="s">
        <v>180</v>
      </c>
      <c r="B74" s="92" t="s">
        <v>251</v>
      </c>
      <c r="C74" s="45" t="s">
        <v>294</v>
      </c>
      <c r="D74" s="45" t="s">
        <v>295</v>
      </c>
      <c r="E74" s="198" t="s">
        <v>280</v>
      </c>
      <c r="F74" s="47" t="s">
        <v>296</v>
      </c>
      <c r="G74" s="47" t="s">
        <v>275</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371</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371</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hidden="1">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hidden="1">
      <c r="A104" s="74" t="s">
        <v>180</v>
      </c>
      <c r="B104" s="92" t="s">
        <v>399</v>
      </c>
      <c r="C104" s="45" t="s">
        <v>403</v>
      </c>
      <c r="D104" s="45"/>
      <c r="E104" s="198"/>
      <c r="F104" s="47" t="s">
        <v>406</v>
      </c>
      <c r="G104" s="47" t="s">
        <v>179</v>
      </c>
      <c r="H104" s="87">
        <v>46020</v>
      </c>
      <c r="I104" s="208">
        <v>46387</v>
      </c>
      <c r="J104" s="84" t="s">
        <v>407</v>
      </c>
      <c r="K104" s="106"/>
      <c r="L104" s="37" t="s">
        <v>201</v>
      </c>
      <c r="M104" s="80">
        <f t="shared" ca="1" si="5"/>
        <v>92</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97" t="s">
        <v>407</v>
      </c>
      <c r="K105" s="180" t="s">
        <v>1334</v>
      </c>
      <c r="L105" s="37" t="s">
        <v>201</v>
      </c>
      <c r="M105" s="80">
        <f t="shared" ca="1" si="5"/>
        <v>0</v>
      </c>
      <c r="N105" s="37" t="str">
        <f t="shared" ca="1" si="6"/>
        <v/>
      </c>
      <c r="O105" s="81" t="str">
        <f t="shared" ca="1" si="7"/>
        <v/>
      </c>
      <c r="P105" s="81" t="str">
        <f t="shared" ca="1" si="8"/>
        <v/>
      </c>
      <c r="Q105" s="81" t="str">
        <f t="shared" ca="1" si="9"/>
        <v>⚠️ INMINENTE (5d)</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74" t="s">
        <v>180</v>
      </c>
      <c r="B106" s="92" t="s">
        <v>399</v>
      </c>
      <c r="C106" s="45" t="s">
        <v>409</v>
      </c>
      <c r="D106" s="45"/>
      <c r="E106" s="198"/>
      <c r="F106" s="107"/>
      <c r="G106" s="47" t="s">
        <v>118</v>
      </c>
      <c r="H106" s="87"/>
      <c r="I106" s="208"/>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2" t="s">
        <v>1523</v>
      </c>
      <c r="U106" s="152">
        <v>105</v>
      </c>
      <c r="V106" s="152"/>
      <c r="W106" s="152"/>
      <c r="X106" s="152"/>
      <c r="Y106" s="135"/>
      <c r="Z106" s="152"/>
      <c r="AA106" s="151"/>
      <c r="AB106" s="8">
        <v>0.5</v>
      </c>
      <c r="AC106" s="8" t="s">
        <v>1775</v>
      </c>
    </row>
    <row r="107" spans="1:29" ht="201.6">
      <c r="A107" s="74" t="s">
        <v>180</v>
      </c>
      <c r="B107" s="92" t="s">
        <v>399</v>
      </c>
      <c r="C107" s="45" t="s">
        <v>411</v>
      </c>
      <c r="D107" s="45" t="s">
        <v>519</v>
      </c>
      <c r="E107" s="198" t="s">
        <v>188</v>
      </c>
      <c r="F107" s="47" t="s">
        <v>412</v>
      </c>
      <c r="G107" s="47" t="s">
        <v>413</v>
      </c>
      <c r="H107" s="87">
        <v>46020</v>
      </c>
      <c r="I107" s="208">
        <v>46295</v>
      </c>
      <c r="J107" s="84" t="s">
        <v>414</v>
      </c>
      <c r="K107" s="143" t="s">
        <v>1334</v>
      </c>
      <c r="L107" s="37" t="s">
        <v>201</v>
      </c>
      <c r="M107" s="80">
        <f t="shared" ca="1" si="5"/>
        <v>0</v>
      </c>
      <c r="N107" s="37" t="str">
        <f t="shared" ca="1" si="6"/>
        <v/>
      </c>
      <c r="O107" s="81" t="str">
        <f t="shared" ca="1" si="7"/>
        <v/>
      </c>
      <c r="P107" s="81" t="str">
        <f t="shared" ca="1" si="8"/>
        <v/>
      </c>
      <c r="Q107" s="81" t="str">
        <f t="shared" ca="1" si="9"/>
        <v>⚠️ INMINENTE (5d)</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9.8">
      <c r="A108" s="74" t="s">
        <v>180</v>
      </c>
      <c r="B108" s="92" t="s">
        <v>399</v>
      </c>
      <c r="C108" s="45" t="s">
        <v>411</v>
      </c>
      <c r="D108" s="45"/>
      <c r="E108" s="198"/>
      <c r="F108" s="47" t="s">
        <v>415</v>
      </c>
      <c r="G108" s="47" t="s">
        <v>179</v>
      </c>
      <c r="H108" s="87">
        <v>46020</v>
      </c>
      <c r="I108" s="208">
        <v>46295</v>
      </c>
      <c r="J108" s="84" t="s">
        <v>414</v>
      </c>
      <c r="K108" s="143" t="s">
        <v>1334</v>
      </c>
      <c r="L108" s="37" t="s">
        <v>201</v>
      </c>
      <c r="M108" s="80">
        <f t="shared" ca="1" si="5"/>
        <v>0</v>
      </c>
      <c r="N108" s="37" t="str">
        <f t="shared" ca="1" si="6"/>
        <v/>
      </c>
      <c r="O108" s="81" t="str">
        <f t="shared" ca="1" si="7"/>
        <v/>
      </c>
      <c r="P108" s="81" t="str">
        <f t="shared" ca="1" si="8"/>
        <v/>
      </c>
      <c r="Q108" s="81" t="str">
        <f t="shared" ca="1" si="9"/>
        <v>⚠️ INMINENTE (5d)</v>
      </c>
      <c r="R108" s="84" t="s">
        <v>644</v>
      </c>
      <c r="S108" s="88"/>
      <c r="T108" s="152" t="s">
        <v>1523</v>
      </c>
      <c r="U108" s="152">
        <v>107</v>
      </c>
      <c r="V108" s="186">
        <v>20265000026423</v>
      </c>
      <c r="W108" s="88">
        <v>46233</v>
      </c>
      <c r="X108" s="152" t="s">
        <v>589</v>
      </c>
      <c r="Y108" s="83" t="s">
        <v>1351</v>
      </c>
      <c r="Z108" s="152" t="s">
        <v>1353</v>
      </c>
      <c r="AA108" s="187" t="s">
        <v>1355</v>
      </c>
      <c r="AB108" s="8">
        <v>0.5</v>
      </c>
      <c r="AC108" s="8" t="s">
        <v>1785</v>
      </c>
    </row>
    <row r="109" spans="1:29" ht="72" hidden="1">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108"/>
      <c r="L110" s="37" t="s">
        <v>33</v>
      </c>
      <c r="M110" s="80" t="str">
        <f t="shared" ca="1" si="5"/>
        <v/>
      </c>
      <c r="N110" s="37" t="str">
        <f t="shared" ca="1" si="6"/>
        <v/>
      </c>
      <c r="O110" s="81" t="str">
        <f t="shared" ca="1" si="7"/>
        <v/>
      </c>
      <c r="P110" s="81" t="str">
        <f t="shared" ca="1" si="8"/>
        <v/>
      </c>
      <c r="Q110" s="81" t="str">
        <f t="shared" ca="1" si="9"/>
        <v/>
      </c>
      <c r="R110" s="116" t="s">
        <v>641</v>
      </c>
      <c r="S110" s="204"/>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108"/>
      <c r="L111" s="37" t="s">
        <v>33</v>
      </c>
      <c r="M111" s="80" t="str">
        <f t="shared" ca="1" si="5"/>
        <v/>
      </c>
      <c r="N111" s="37" t="str">
        <f t="shared" ca="1" si="6"/>
        <v/>
      </c>
      <c r="O111" s="81" t="str">
        <f t="shared" ca="1" si="7"/>
        <v/>
      </c>
      <c r="P111" s="81" t="str">
        <f t="shared" ca="1" si="8"/>
        <v/>
      </c>
      <c r="Q111" s="81" t="str">
        <f t="shared" ca="1" si="9"/>
        <v/>
      </c>
      <c r="R111" s="116" t="s">
        <v>641</v>
      </c>
      <c r="S111" s="204"/>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108"/>
      <c r="L112" s="37" t="s">
        <v>33</v>
      </c>
      <c r="M112" s="80" t="str">
        <f t="shared" ca="1" si="5"/>
        <v/>
      </c>
      <c r="N112" s="37" t="str">
        <f t="shared" ca="1" si="6"/>
        <v/>
      </c>
      <c r="O112" s="81" t="str">
        <f t="shared" ca="1" si="7"/>
        <v/>
      </c>
      <c r="P112" s="81" t="str">
        <f t="shared" ca="1" si="8"/>
        <v/>
      </c>
      <c r="Q112" s="81" t="str">
        <f t="shared" ca="1" si="9"/>
        <v/>
      </c>
      <c r="R112" s="116" t="s">
        <v>641</v>
      </c>
      <c r="S112" s="204"/>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108"/>
      <c r="L113" s="37" t="s">
        <v>33</v>
      </c>
      <c r="M113" s="80" t="str">
        <f t="shared" ca="1" si="5"/>
        <v/>
      </c>
      <c r="N113" s="37" t="str">
        <f t="shared" ca="1" si="6"/>
        <v/>
      </c>
      <c r="O113" s="81" t="str">
        <f t="shared" ca="1" si="7"/>
        <v/>
      </c>
      <c r="P113" s="81" t="str">
        <f t="shared" ca="1" si="8"/>
        <v/>
      </c>
      <c r="Q113" s="81" t="str">
        <f t="shared" ca="1" si="9"/>
        <v/>
      </c>
      <c r="R113" s="116" t="s">
        <v>641</v>
      </c>
      <c r="S113" s="204"/>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108"/>
      <c r="L114" s="37" t="s">
        <v>33</v>
      </c>
      <c r="M114" s="80" t="str">
        <f t="shared" ca="1" si="5"/>
        <v/>
      </c>
      <c r="N114" s="37" t="str">
        <f t="shared" ca="1" si="6"/>
        <v/>
      </c>
      <c r="O114" s="81" t="str">
        <f t="shared" ca="1" si="7"/>
        <v/>
      </c>
      <c r="P114" s="81" t="str">
        <f t="shared" ca="1" si="8"/>
        <v/>
      </c>
      <c r="Q114" s="81" t="str">
        <f t="shared" ca="1" si="9"/>
        <v/>
      </c>
      <c r="R114" s="116" t="s">
        <v>641</v>
      </c>
      <c r="S114" s="204"/>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108"/>
      <c r="L115" s="37" t="s">
        <v>33</v>
      </c>
      <c r="M115" s="80" t="str">
        <f t="shared" ca="1" si="5"/>
        <v/>
      </c>
      <c r="N115" s="37" t="str">
        <f t="shared" ca="1" si="6"/>
        <v/>
      </c>
      <c r="O115" s="81" t="str">
        <f t="shared" ca="1" si="7"/>
        <v/>
      </c>
      <c r="P115" s="81" t="str">
        <f t="shared" ca="1" si="8"/>
        <v/>
      </c>
      <c r="Q115" s="81" t="str">
        <f t="shared" ca="1" si="9"/>
        <v/>
      </c>
      <c r="R115" s="116" t="s">
        <v>641</v>
      </c>
      <c r="S115" s="204"/>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534</v>
      </c>
      <c r="H116" s="87">
        <v>45992</v>
      </c>
      <c r="I116" s="208">
        <v>46142</v>
      </c>
      <c r="J116" s="118" t="s">
        <v>432</v>
      </c>
      <c r="K116" s="108"/>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534</v>
      </c>
      <c r="H117" s="87">
        <v>45992</v>
      </c>
      <c r="I117" s="208">
        <v>46142</v>
      </c>
      <c r="J117" s="118" t="s">
        <v>432</v>
      </c>
      <c r="K117" s="108"/>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534</v>
      </c>
      <c r="H118" s="87">
        <v>45992</v>
      </c>
      <c r="I118" s="208">
        <v>46142</v>
      </c>
      <c r="J118" s="118" t="s">
        <v>432</v>
      </c>
      <c r="K118" s="108"/>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534</v>
      </c>
      <c r="H119" s="87">
        <v>45992</v>
      </c>
      <c r="I119" s="208">
        <v>46142</v>
      </c>
      <c r="J119" s="118" t="s">
        <v>432</v>
      </c>
      <c r="K119" s="108"/>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91</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91</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91</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91</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91</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445</v>
      </c>
      <c r="H125" s="87">
        <v>45992</v>
      </c>
      <c r="I125" s="208">
        <v>46142</v>
      </c>
      <c r="J125" s="118" t="s">
        <v>446</v>
      </c>
      <c r="K125" s="108"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445</v>
      </c>
      <c r="H126" s="87">
        <v>45992</v>
      </c>
      <c r="I126" s="208">
        <v>46142</v>
      </c>
      <c r="J126" s="118" t="s">
        <v>446</v>
      </c>
      <c r="K126" s="108"/>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445</v>
      </c>
      <c r="H127" s="87">
        <v>45992</v>
      </c>
      <c r="I127" s="208">
        <v>46142</v>
      </c>
      <c r="J127" s="118" t="s">
        <v>446</v>
      </c>
      <c r="K127" s="108"/>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hidden="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hidden="1">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15</v>
      </c>
      <c r="N133" s="37" t="str">
        <f t="shared" ca="1" si="11"/>
        <v/>
      </c>
      <c r="O133" s="81" t="str">
        <f t="shared" ca="1" si="12"/>
        <v>⏳ URGENTE (20d)</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hidden="1">
      <c r="A134" s="74" t="s">
        <v>180</v>
      </c>
      <c r="B134" s="92" t="s">
        <v>461</v>
      </c>
      <c r="C134" s="45" t="s">
        <v>465</v>
      </c>
      <c r="D134" s="108"/>
      <c r="E134" s="198"/>
      <c r="F134" s="47" t="s">
        <v>468</v>
      </c>
      <c r="G134" s="47" t="s">
        <v>148</v>
      </c>
      <c r="H134" s="87">
        <v>46044</v>
      </c>
      <c r="I134" s="208">
        <v>46310</v>
      </c>
      <c r="J134" s="97" t="s">
        <v>467</v>
      </c>
      <c r="K134" s="108"/>
      <c r="L134" s="37" t="s">
        <v>201</v>
      </c>
      <c r="M134" s="80">
        <f t="shared" ca="1" si="10"/>
        <v>15</v>
      </c>
      <c r="N134" s="37" t="str">
        <f t="shared" ca="1" si="11"/>
        <v/>
      </c>
      <c r="O134" s="81" t="str">
        <f t="shared" ca="1" si="12"/>
        <v>⏳ URGENTE (20d)</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hidden="1">
      <c r="A135" s="74" t="s">
        <v>180</v>
      </c>
      <c r="B135" s="92" t="s">
        <v>461</v>
      </c>
      <c r="C135" s="45" t="s">
        <v>465</v>
      </c>
      <c r="D135" s="108"/>
      <c r="E135" s="198"/>
      <c r="F135" s="47" t="s">
        <v>469</v>
      </c>
      <c r="G135" s="47" t="s">
        <v>148</v>
      </c>
      <c r="H135" s="87">
        <v>46044</v>
      </c>
      <c r="I135" s="208">
        <v>46310</v>
      </c>
      <c r="J135" s="97" t="s">
        <v>467</v>
      </c>
      <c r="K135" s="108"/>
      <c r="L135" s="37" t="s">
        <v>201</v>
      </c>
      <c r="M135" s="80">
        <f t="shared" ca="1" si="10"/>
        <v>15</v>
      </c>
      <c r="N135" s="37" t="str">
        <f t="shared" ca="1" si="11"/>
        <v/>
      </c>
      <c r="O135" s="81" t="str">
        <f t="shared" ca="1" si="12"/>
        <v>⏳ URGENTE (20d)</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97" t="s">
        <v>467</v>
      </c>
      <c r="K136" s="108"/>
      <c r="L136" s="37" t="s">
        <v>201</v>
      </c>
      <c r="M136" s="80">
        <f t="shared" ca="1" si="10"/>
        <v>5</v>
      </c>
      <c r="N136" s="37" t="str">
        <f t="shared" ca="1" si="11"/>
        <v/>
      </c>
      <c r="O136" s="81" t="str">
        <f t="shared" ca="1" si="12"/>
        <v/>
      </c>
      <c r="P136" s="81" t="str">
        <f t="shared" ca="1" si="13"/>
        <v/>
      </c>
      <c r="Q136" s="81" t="str">
        <f t="shared" ca="1" si="14"/>
        <v>⚠️ INMINENTE (5d)</v>
      </c>
      <c r="R136" s="84" t="s">
        <v>652</v>
      </c>
      <c r="S136" s="88"/>
      <c r="T136" s="152" t="s">
        <v>1560</v>
      </c>
      <c r="U136" s="152">
        <v>135</v>
      </c>
      <c r="V136" s="152"/>
      <c r="W136" s="152"/>
      <c r="X136" s="152"/>
      <c r="Y136" s="135"/>
      <c r="Z136" s="152"/>
      <c r="AA136" s="151"/>
      <c r="AB136" s="8">
        <v>0.25</v>
      </c>
      <c r="AC136" s="8" t="s">
        <v>1813</v>
      </c>
    </row>
    <row r="137" spans="1:29" ht="229.8" hidden="1">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hidden="1">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116" t="s">
        <v>475</v>
      </c>
      <c r="K139" s="101"/>
      <c r="L139" s="79" t="s">
        <v>201</v>
      </c>
      <c r="M139" s="80">
        <f t="shared" ca="1" si="10"/>
        <v>0</v>
      </c>
      <c r="N139" s="37" t="str">
        <f t="shared" ca="1" si="11"/>
        <v/>
      </c>
      <c r="O139" s="81" t="str">
        <f t="shared" ca="1" si="12"/>
        <v/>
      </c>
      <c r="P139" s="81" t="str">
        <f t="shared" ca="1" si="13"/>
        <v/>
      </c>
      <c r="Q139" s="81" t="str">
        <f t="shared" ca="1" si="14"/>
        <v>⚠️ INMINENTE (5d)</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87">
        <v>46084</v>
      </c>
      <c r="I144" s="208">
        <v>46295</v>
      </c>
      <c r="J144" s="84" t="s">
        <v>493</v>
      </c>
      <c r="K144" s="107"/>
      <c r="L144" s="37" t="s">
        <v>201</v>
      </c>
      <c r="M144" s="80">
        <f t="shared" ca="1" si="10"/>
        <v>0</v>
      </c>
      <c r="N144" s="37" t="str">
        <f t="shared" ca="1" si="11"/>
        <v/>
      </c>
      <c r="O144" s="81" t="str">
        <f t="shared" ca="1" si="12"/>
        <v/>
      </c>
      <c r="P144" s="81" t="str">
        <f t="shared" ca="1" si="13"/>
        <v/>
      </c>
      <c r="Q144" s="81" t="str">
        <f t="shared" ca="1" si="14"/>
        <v>⚠️ INMINENTE (5d)</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hidden="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62</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201</v>
      </c>
      <c r="M152" s="80">
        <f t="shared" ca="1" si="10"/>
        <v>0</v>
      </c>
      <c r="N152" s="37" t="str">
        <f t="shared" ca="1" si="11"/>
        <v/>
      </c>
      <c r="O152" s="81" t="str">
        <f t="shared" ca="1" si="12"/>
        <v/>
      </c>
      <c r="P152" s="81" t="str">
        <f t="shared" ca="1" si="13"/>
        <v/>
      </c>
      <c r="Q152" s="81" t="str">
        <f t="shared" ca="1" si="14"/>
        <v>⚠️ INMINENTE (5d)</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1181</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30</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1181</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30</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41.2"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30</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30</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30</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8">
      <filters>
        <dateGroupItem year="2026" month="9" dateTimeGrouping="month"/>
      </filters>
    </filterColumn>
    <filterColumn colId="11">
      <filters>
        <filter val="Abiert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2026-09-30T16:23:52Z</dcterms:modified>
</cp:coreProperties>
</file>