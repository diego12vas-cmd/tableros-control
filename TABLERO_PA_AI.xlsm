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376" documentId="8_{B94AFFE1-3DFB-409E-960F-FF1A97CB5BC7}" xr6:coauthVersionLast="47" xr6:coauthVersionMax="47" xr10:uidLastSave="{5A97D222-A8D4-4476-935A-240E9D5F7C1D}"/>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<sst xmlns="http://schemas.openxmlformats.org/spreadsheetml/2006/main" count="7553" uniqueCount="1895">
  <si>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</si>
  <si>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</si>
  <si>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</si>
  <si>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</si>
  <si>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</si>
  <si>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</si>
  <si>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</si>
  <si>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</si>
  <si>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</si>
  <si>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</si>
  <si>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</si>
  <si>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</si>
  <si>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</si>
  <si>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</si>
  <si>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</si>
  <si>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</si>
  <si>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</si>
  <si>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</si>
  <si>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</si>
  <si>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</si>
  <si>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</si>
  <si>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</si>
  <si>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</si>
  <si>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</si>
  <si>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</si>
  <si>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</si>
  <si>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</si>
  <si>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</si>
  <si>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</si>
  <si>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</si>
  <si>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</si>
  <si>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</si>
  <si>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</si>
  <si>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</si>
  <si>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</si>
  <si>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</si>
  <si>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</si>
  <si>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</si>
  <si>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</si>
  <si>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</si>
  <si>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</si>
  <si>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</si>
  <si>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</si>
  <si>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</si>
  <si>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</si>
  <si>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</si>
  <si>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</si>
  <si>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</si>
  <si>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</si>
  <si>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</si>
  <si>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</si>
  <si>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</si>
  <si>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</si>
  <si>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</si>
  <si>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</si>
  <si>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</si>
  <si>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</si>
  <si>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</si>
  <si>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</si>
  <si>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</si>
  <si>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</si>
  <si>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</si>
  <si>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</si>
  <si>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</si>
  <si>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</si>
  <si>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</si>
  <si>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</si>
  <si>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</si>
  <si>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</si>
  <si>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</si>
  <si>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</si>
  <si>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</si>
  <si>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</si>
  <si>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</si>
  <si>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</si>
  <si>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</si>
  <si>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</si>
  <si>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</si>
  <si>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</si>
  <si>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</si>
  <si>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</si>
  <si>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</si>
  <si>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</si>
  <si>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</si>
  <si>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</si>
  <si>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</si>
  <si>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</si>
  <si>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</si>
  <si>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</si>
  <si>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</si>
  <si>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</si>
  <si>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</si>
  <si>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</si>
  <si>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</si>
  <si>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</si>
  <si>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</si>
  <si>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</si>
  <si>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</si>
  <si>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</si>
  <si>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</si>
  <si>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</si>
  <si>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</si>
  <si>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</si>
  <si>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</si>
  <si>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</si>
  <si>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</si>
  <si>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</si>
  <si>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</si>
  <si>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</si>
  <si>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</si>
  <si>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</si>
  <si>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</si>
  <si>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</si>
  <si>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</si>
  <si>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</si>
  <si>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</si>
  <si>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</si>
  <si>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</si>
  <si>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</si>
  <si>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</si>
  <si>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</si>
  <si>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</si>
  <si>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</si>
  <si>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</si>
  <si>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</si>
  <si>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</si>
  <si>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</si>
  <si>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</si>
  <si>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</si>
  <si>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</si>
  <si>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</si>
  <si>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</si>
  <si>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</si>
  <si>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</si>
  <si>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</si>
  <si>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</si>
  <si>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</si>
  <si>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</si>
  <si>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</si>
  <si>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</si>
  <si>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</si>
  <si>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</si>
  <si>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</si>
  <si>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</si>
  <si>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</si>
  <si>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</si>
  <si>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</si>
  <si>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</si>
  <si>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</si>
  <si>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</si>
  <si>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</si>
  <si>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</si>
  <si>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</si>
  <si>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</si>
  <si>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</si>
  <si>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</si>
  <si>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</si>
  <si>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</si>
  <si>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</si>
  <si>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</si>
  <si>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</si>
  <si>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</si>
  <si>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</si>
  <si>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</si>
  <si>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</si>
  <si>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</si>
  <si>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</si>
  <si>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</si>
  <si>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</si>
  <si>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</si>
  <si>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</si>
  <si>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</si>
  <si>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</si>
  <si>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</si>
  <si>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</si>
  <si>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</si>
  <si>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</si>
  <si>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</si>
  <si>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</si>
  <si>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</si>
  <si>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</si>
  <si>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</si>
  <si>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</si>
  <si>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</si>
  <si>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</si>
  <si>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</si>
  <si>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</si>
  <si>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</si>
  <si>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</si>
  <si>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</si>
  <si>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</si>
  <si>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</si>
  <si>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</si>
  <si>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</si>
  <si>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</si>
  <si>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</si>
  <si>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</si>
  <si>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</si>
  <si>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</si>
  <si>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</si>
  <si>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</si>
  <si>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</si>
  <si>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</si>
  <si>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</si>
  <si>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</si>
  <si>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</si>
  <si>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</si>
  <si>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</si>
  <si>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</si>
  <si>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</si>
  <si>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</si>
  <si>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</si>
  <si>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</si>
  <si>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</si>
  <si>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</si>
  <si>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</si>
  <si>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</si>
  <si>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</si>
  <si>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</si>
  <si>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</si>
  <si>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</si>
  <si>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</si>
  <si>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</si>
  <si>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</si>
  <si>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</si>
  <si>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</si>
  <si>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</si>
  <si>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</si>
  <si>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</si>
  <si>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</si>
  <si>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</si>
  <si>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</si>
  <si>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</si>
  <si>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</si>
  <si>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</si>
  <si>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</si>
  <si>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</si>
  <si>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</si>
  <si>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</si>
  <si>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</si>
  <si>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</si>
  <si>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</si>
  <si>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</si>
  <si>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</si>
  <si>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</si>
  <si>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</si>
  <si>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</si>
  <si>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</si>
  <si>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</si>
  <si>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</si>
  <si>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</si>
  <si>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</si>
  <si>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</si>
  <si>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</si>
  <si>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</si>
  <si>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</si>
  <si>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</si>
  <si>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</si>
  <si>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</si>
  <si>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</si>
  <si>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</si>
  <si>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</si>
  <si>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</si>
  <si>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</si>
  <si>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</si>
  <si>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</si>
  <si>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</si>
  <si>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</si>
  <si>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</si>
  <si>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</si>
  <si>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</si>
  <si>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</si>
  <si>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</si>
  <si>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</si>
  <si>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</si>
  <si>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</si>
  <si>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</si>
  <si>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</si>
  <si>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</si>
  <si>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</si>
  <si>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</si>
  <si>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</si>
  <si>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</si>
  <si>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</si>
  <si>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</si>
  <si>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</si>
  <si>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</si>
  <si>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</si>
  <si>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</si>
  <si>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</si>
  <si>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</si>
  <si>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</si>
  <si>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</si>
  <si>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</si>
  <si>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</si>
  <si>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</si>
  <si>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</si>
  <si>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</si>
  <si>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</si>
  <si>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</si>
  <si>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</si>
  <si>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</si>
  <si>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</si>
  <si>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</si>
  <si>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</si>
  <si>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</si>
  <si>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</si>
  <si>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</si>
  <si>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</si>
  <si>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</si>
  <si>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</si>
  <si>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</si>
  <si>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</si>
  <si>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</si>
  <si>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</si>
  <si>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</si>
  <si>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</si>
  <si>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</si>
  <si>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</si>
  <si>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</si>
  <si>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</si>
  <si>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</si>
  <si>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</si>
  <si>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</si>
  <si>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</si>
  <si>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</si>
  <si>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</si>
  <si>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</si>
  <si>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</si>
  <si>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</si>
  <si>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</si>
  <si>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</si>
  <si>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</si>
  <si>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</si>
  <si>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</si>
  <si>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</si>
  <si>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</si>
  <si>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</si>
  <si>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</si>
  <si>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</si>
  <si>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</si>
  <si>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</si>
  <si>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</si>
  <si>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</si>
  <si>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</si>
  <si>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</si>
  <si>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</si>
  <si>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</si>
  <si>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</si>
  <si>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</si>
  <si>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</si>
  <si>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</si>
  <si>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</si>
  <si>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</si>
  <si>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</si>
  <si>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</si>
  <si>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</si>
  <si>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</si>
  <si>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</si>
  <si>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</si>
  <si>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</si>
  <si>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</si>
  <si>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</si>
  <si>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</si>
  <si>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</si>
  <si>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</si>
  <si>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</si>
  <si>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</si>
  <si>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</si>
  <si>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</si>
  <si>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</si>
  <si>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</si>
  <si>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</si>
  <si>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</si>
  <si>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</si>
  <si>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</si>
  <si>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</si>
  <si>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</si>
  <si>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</si>
  <si>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</si>
  <si>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</si>
  <si>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</si>
  <si>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</si>
  <si>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</si>
  <si>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</si>
  <si>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</si>
  <si>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</si>
  <si>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</si>
  <si>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</si>
  <si>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</si>
  <si>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</si>
  <si>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</si>
  <si>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</si>
  <si>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</si>
  <si>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</si>
  <si>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</si>
  <si>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</si>
  <si>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</si>
  <si>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</si>
  <si>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</si>
  <si>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</si>
  <si>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</si>
  <si>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</si>
  <si>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</si>
  <si>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</si>
  <si>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</si>
  <si>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</si>
  <si>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</si>
  <si>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</si>
  <si>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</si>
  <si>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</si>
  <si>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</si>
  <si>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</si>
  <si>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</si>
  <si>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</si>
  <si>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</si>
  <si>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</si>
  <si>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</si>
  <si>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</si>
  <si>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</si>
  <si>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</si>
  <si>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</si>
  <si>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</si>
  <si>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</si>
  <si>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</si>
  <si>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</si>
  <si>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</si>
  <si>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</si>
  <si>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</si>
  <si>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</si>
  <si>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</si>
  <si>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</si>
  <si>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</si>
  <si>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</si>
  <si>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</si>
  <si>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</si>
  <si>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</si>
  <si>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</si>
  <si>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</si>
  <si>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</si>
  <si>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</si>
  <si>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</si>
  <si>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</si>
  <si>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</si>
  <si>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</si>
  <si>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</si>
  <si>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</si>
  <si>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</si>
  <si>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</si>
  <si>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</si>
  <si>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</si>
  <si>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</si>
  <si>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</si>
  <si>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</si>
  <si>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</si>
  <si>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</si>
  <si>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</si>
  <si>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</si>
  <si>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</si>
  <si>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</si>
  <si>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</si>
  <si>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</si>
  <si>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</si>
  <si>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</si>
  <si>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</si>
  <si>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</si>
  <si>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</si>
  <si>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</si>
  <si>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</si>
  <si>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</si>
  <si>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</si>
  <si>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</si>
  <si>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</si>
  <si>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</si>
  <si>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</si>
  <si>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</si>
  <si>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</si>
  <si>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</si>
  <si>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</si>
  <si>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</si>
  <si>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</si>
  <si>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</si>
  <si>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</si>
  <si>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</si>
  <si>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</si>
  <si>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</si>
  <si>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</si>
  <si>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</si>
  <si>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</si>
  <si>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</si>
  <si>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</si>
  <si>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</si>
  <si>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</si>
  <si>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</si>
  <si>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</si>
  <si>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</si>
  <si>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</si>
  <si>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</si>
  <si>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</si>
  <si>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</si>
  <si>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</si>
  <si>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</si>
  <si>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</si>
  <si>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</si>
  <si>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</si>
  <si>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</si>
  <si>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</si>
  <si>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</si>
  <si>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</si>
  <si>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</si>
  <si>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</si>
  <si>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</si>
  <si>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</si>
  <si>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</si>
  <si>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</si>
  <si>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</si>
  <si>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</si>
  <si>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</si>
  <si>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</si>
  <si>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</si>
  <si>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</si>
  <si>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</si>
  <si>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</si>
  <si>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</si>
  <si>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</si>
  <si>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</si>
  <si>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</si>
  <si>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</si>
  <si>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</si>
  <si>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</si>
  <si>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</si>
  <si>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</si>
  <si>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</si>
  <si>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</si>
  <si>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</si>
  <si>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</si>
  <si>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</si>
  <si>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</si>
  <si>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</si>
  <si>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</si>
  <si>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</si>
  <si>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</si>
  <si>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</si>
  <si>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</si>
  <si>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</si>
  <si>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</si>
  <si>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</si>
  <si>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</si>
  <si>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</si>
  <si>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</si>
  <si>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</si>
  <si>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</si>
  <si>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</si>
  <si>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</si>
  <si>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</si>
  <si>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</si>
  <si>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</si>
  <si>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</si>
  <si>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</si>
  <si>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</si>
  <si>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</si>
  <si>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</si>
  <si>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</si>
  <si>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</si>
  <si>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</si>
  <si>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</si>
  <si>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</si>
  <si>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</si>
  <si>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</si>
  <si>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</si>
  <si>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</si>
  <si>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</si>
  <si>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</si>
  <si>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</si>
  <si>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</si>
  <si>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</si>
  <si>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</si>
  <si>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</si>
  <si>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</si>
  <si>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</si>
  <si>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</si>
  <si>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</si>
  <si>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</si>
  <si>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</si>
  <si>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</si>
  <si>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</si>
  <si>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</si>
  <si>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</si>
  <si>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</si>
  <si>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</si>
  <si>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</si>
  <si>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</si>
  <si>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</si>
  <si>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</si>
  <si>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</si>
  <si>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</si>
  <si>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</si>
  <si>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</si>
  <si>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</si>
  <si>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</si>
  <si>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</si>
  <si>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</si>
  <si>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</si>
  <si>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</si>
  <si>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</si>
  <si>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</si>
  <si>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</si>
  <si>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</si>
  <si>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</si>
  <si>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</si>
  <si>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</si>
  <si>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</si>
  <si>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</si>
  <si>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</si>
  <si>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</si>
  <si>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</si>
  <si>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</si>
  <si>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</si>
  <si>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</si>
  <si>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</si>
  <si>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</si>
  <si>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</si>
  <si>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</si>
  <si>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</si>
  <si>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</si>
  <si>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</si>
  <si>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</si>
  <si>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</si>
  <si>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</si>
  <si>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</si>
  <si>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</si>
  <si>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</si>
  <si>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</si>
  <si>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</si>
  <si>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</si>
  <si>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</si>
  <si>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</si>
  <si>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</si>
  <si>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</si>
  <si>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</si>
  <si>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</si>
  <si>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</si>
  <si>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</si>
  <si>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</si>
  <si>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</si>
  <si>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</si>
  <si>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</si>
  <si>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</si>
  <si>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</si>
  <si>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</si>
  <si>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</si>
  <si>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</si>
  <si>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</si>
  <si>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</si>
  <si>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</si>
  <si>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</si>
  <si>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</si>
  <si>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</si>
  <si>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</si>
  <si>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</si>
  <si>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</si>
  <si>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</si>
  <si>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</si>
  <si>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</si>
  <si>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</si>
  <si>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</si>
  <si>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</si>
  <si>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</si>
  <si>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</si>
  <si>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</si>
  <si>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</si>
  <si>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</si>
  <si>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</si>
  <si>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</si>
  <si>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</si>
  <si>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</si>
  <si>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</si>
  <si>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</si>
  <si>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</si>
  <si>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</si>
  <si>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</si>
  <si>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</si>
  <si>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</si>
  <si>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</si>
  <si>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</si>
  <si>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</si>
  <si>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</si>
  <si>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</si>
  <si>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</si>
  <si>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</si>
  <si>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</si>
  <si>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</si>
  <si>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</si>
  <si>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</si>
  <si>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</si>
  <si>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</si>
  <si>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</si>
  <si>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</si>
  <si>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</si>
  <si>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</si>
  <si>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</si>
  <si>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</si>
  <si>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</si>
  <si>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</si>
  <si>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</si>
  <si>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</si>
  <si>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</si>
  <si>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</si>
  <si>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</si>
  <si>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</si>
  <si>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</si>
  <si>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</si>
  <si>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</si>
  <si>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</si>
  <si>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</si>
  <si>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</si>
  <si>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</si>
  <si>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</si>
  <si>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</si>
  <si>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</si>
  <si>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</si>
  <si>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</si>
  <si>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</si>
  <si>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</si>
  <si>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</si>
  <si>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</si>
  <si>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</si>
  <si>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</si>
  <si>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</si>
  <si>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</si>
  <si>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</si>
  <si>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</si>
  <si>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</si>
  <si>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</si>
  <si>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</si>
  <si>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</si>
  <si>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</si>
  <si>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</si>
  <si>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</si>
  <si>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</si>
  <si>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</si>
  <si>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</si>
  <si>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</si>
  <si>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</si>
  <si>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</si>
  <si>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</si>
  <si>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</si>
  <si>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</si>
  <si>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</si>
  <si>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</si>
  <si>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</si>
  <si>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</si>
  <si>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</si>
  <si>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</si>
  <si>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</si>
  <si>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</si>
  <si>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</si>
  <si>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</si>
  <si>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</si>
  <si>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</si>
  <si>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</si>
  <si>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</si>
  <si>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</si>
  <si>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</si>
  <si>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</si>
  <si>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</si>
  <si>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</si>
  <si>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</si>
  <si>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</si>
  <si>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</si>
  <si>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</si>
  <si>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</si>
  <si>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</si>
  <si>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</si>
  <si>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</si>
  <si>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</si>
  <si>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</si>
  <si>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</si>
  <si>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</si>
  <si>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</si>
  <si>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</si>
  <si>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</si>
  <si>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</si>
  <si>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</si>
  <si>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</si>
  <si>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</si>
  <si>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</si>
  <si>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</si>
  <si>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</si>
  <si>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</si>
  <si>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</si>
  <si>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</si>
  <si>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</si>
  <si>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</si>
  <si>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</si>
  <si>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</si>
  <si>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</si>
  <si>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</si>
  <si>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</si>
  <si>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</si>
  <si>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</si>
  <si>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</si>
  <si>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</si>
  <si>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</si>
  <si>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</si>
  <si>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</si>
  <si>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</si>
  <si>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</si>
  <si>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</si>
  <si>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</si>
  <si>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</si>
  <si>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</si>
  <si>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</si>
  <si>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</si>
  <si>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</si>
  <si>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</si>
  <si>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</si>
  <si>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</si>
  <si>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</si>
  <si>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</si>
  <si>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</si>
  <si>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</si>
  <si>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</si>
  <si>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</si>
  <si>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</si>
  <si>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</si>
  <si>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</si>
  <si>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</si>
  <si>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</si>
  <si>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</si>
  <si>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</si>
  <si>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</si>
  <si>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</si>
  <si>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</si>
  <si>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</si>
  <si>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</si>
  <si>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</si>
  <si>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</si>
  <si>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</si>
  <si>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</si>
  <si>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</si>
  <si>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</si>
  <si>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</si>
  <si>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</si>
  <si>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</si>
  <si>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</si>
  <si>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</si>
  <si>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</si>
  <si>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</si>
  <si>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</si>
  <si>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</si>
  <si>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</si>
  <si>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</si>
  <si>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</si>
  <si>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</si>
  <si>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</si>
  <si>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</si>
  <si>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</si>
  <si>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</si>
  <si>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</si>
  <si>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</si>
  <si>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</si>
  <si>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</si>
  <si>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</si>
  <si>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</si>
  <si>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</si>
  <si>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</si>
  <si>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</si>
  <si>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</si>
  <si>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</si>
  <si>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</si>
  <si>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</si>
  <si>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</si>
  <si>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</si>
  <si>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</si>
  <si>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</si>
  <si>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</si>
  <si>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</si>
  <si>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</si>
  <si>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</si>
  <si>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</si>
  <si>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</si>
  <si>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</si>
  <si>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</si>
  <si>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</si>
  <si>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</si>
  <si>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</si>
  <si>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</si>
  <si>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</si>
  <si>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</si>
  <si>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</si>
  <si>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</si>
  <si>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</si>
  <si>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</si>
  <si>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</si>
  <si>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</si>
  <si>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</si>
  <si>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</si>
  <si>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</si>
  <si>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</si>
  <si>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</si>
  <si>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</si>
  <si>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</si>
  <si>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</si>
  <si>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</si>
  <si>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</si>
  <si>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</si>
  <si>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</si>
  <si>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</si>
  <si>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</si>
  <si>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</si>
  <si>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</si>
  <si>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</si>
  <si>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</si>
  <si>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</si>
  <si>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</si>
  <si>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</si>
  <si>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</si>
  <si>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</si>
  <si>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</si>
  <si>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</si>
  <si>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</si>
  <si>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</si>
  <si>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</si>
  <si>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</si>
  <si>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</si>
  <si>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</si>
  <si>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</si>
  <si>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</si>
  <si>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</si>
  <si>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</si>
  <si>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</si>
  <si>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</si>
  <si>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</si>
  <si>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</si>
  <si>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</si>
  <si>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</si>
  <si>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</si>
  <si>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</si>
  <si>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</si>
  <si>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</si>
  <si>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</si>
  <si>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</si>
  <si>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</si>
  <si>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</si>
  <si>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</si>
  <si>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</si>
  <si>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</si>
  <si>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</si>
  <si>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</si>
  <si>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</si>
  <si>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</si>
  <si>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</si>
  <si>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</si>
  <si>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</si>
  <si>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</si>
  <si>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</si>
  <si>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</si>
  <si>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</si>
  <si>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</si>
  <si>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</si>
  <si>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</si>
  <si>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</si>
  <si>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</si>
  <si>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</si>
  <si>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</si>
  <si>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</si>
  <si>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</si>
  <si>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</si>
  <si>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</si>
  <si>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</si>
  <si>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</si>
  <si>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</si>
  <si>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</si>
  <si>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</si>
  <si>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</si>
  <si>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</si>
  <si>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</si>
  <si>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</si>
  <si>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</si>
  <si>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</si>
  <si>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</si>
  <si>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</si>
  <si>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</si>
  <si>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</si>
  <si>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</si>
  <si>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</si>
  <si>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</si>
  <si>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</si>
  <si>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</si>
  <si>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</si>
  <si>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</si>
  <si>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</si>
  <si>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</si>
  <si>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</si>
  <si>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</si>
  <si>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</si>
  <si>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</si>
  <si>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</si>
  <si>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</si>
  <si>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</si>
  <si>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</si>
  <si>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</si>
  <si>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</si>
  <si>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</si>
  <si>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</si>
  <si>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</si>
  <si>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</si>
  <si>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</si>
  <si>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</si>
  <si>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</si>
  <si>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</si>
  <si>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</si>
  <si>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</si>
  <si>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</si>
  <si>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</si>
  <si>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</si>
  <si>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</si>
  <si>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</si>
  <si>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</si>
  <si>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</si>
  <si>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</si>
  <si>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</si>
  <si>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</si>
  <si>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</si>
  <si>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</si>
  <si>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</si>
  <si>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</si>
  <si>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</si>
  <si>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</si>
  <si>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</si>
  <si>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</si>
  <si>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</si>
  <si>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</si>
  <si>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</si>
  <si>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</si>
  <si>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</si>
  <si>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</si>
  <si>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</si>
  <si>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</si>
  <si>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</si>
  <si>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</si>
  <si>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</si>
  <si>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</si>
  <si>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</si>
  <si>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</si>
  <si>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</si>
  <si>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</si>
  <si>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</si>
  <si>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</si>
  <si>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</si>
  <si>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</si>
  <si>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</si>
  <si>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</si>
  <si>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</si>
  <si>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</si>
  <si>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</si>
  <si>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</si>
  <si>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</si>
  <si>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</si>
  <si>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</si>
  <si>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</si>
  <si>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</si>
  <si>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</si>
  <si>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</si>
  <si>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</si>
  <si>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</si>
  <si>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</si>
  <si>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</si>
  <si>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</si>
  <si>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</si>
  <si>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</si>
  <si>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</si>
  <si>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</si>
  <si>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</si>
  <si>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</si>
  <si>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</si>
  <si>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</si>
  <si>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</si>
  <si>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</si>
  <si>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</si>
  <si>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</si>
  <si>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</si>
  <si>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</si>
  <si>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</si>
  <si>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</si>
  <si>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</si>
  <si>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</si>
  <si>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</si>
  <si>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</si>
  <si>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</si>
  <si>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</si>
  <si>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</si>
  <si>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</si>
  <si>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</si>
  <si>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</si>
  <si>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</si>
  <si>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</si>
  <si>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</si>
  <si>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</si>
  <si>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</si>
  <si>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</si>
  <si>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</si>
  <si>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</si>
  <si>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</si>
  <si>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</si>
  <si>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</si>
  <si>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</si>
  <si>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</si>
  <si>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</si>
  <si>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</si>
  <si>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</si>
  <si>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</si>
  <si>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</si>
  <si>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</si>
  <si>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</si>
  <si>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</si>
  <si>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</si>
  <si>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</si>
  <si>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</si>
  <si>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</si>
  <si>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</si>
  <si>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</si>
  <si>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</si>
  <si>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</si>
  <si>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</si>
  <si>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</si>
  <si>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</si>
  <si>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</si>
  <si>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</si>
  <si>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</si>
  <si>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</si>
  <si>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</si>
  <si>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</si>
  <si>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</si>
  <si>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</si>
  <si>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</si>
  <si>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</si>
  <si>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</si>
  <si>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</si>
  <si>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</si>
  <si>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</si>
  <si>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</si>
  <si>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</si>
  <si>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</si>
  <si>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</si>
  <si>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</si>
  <si>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</si>
  <si>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</si>
  <si>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</si>
  <si>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</si>
  <si>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</si>
  <si>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</si>
  <si>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</si>
  <si>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</si>
  <si>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</si>
  <si>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</si>
  <si>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</si>
  <si>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</si>
  <si>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</si>
  <si>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</si>
  <si>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</si>
  <si>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</si>
  <si>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</si>
  <si>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</si>
  <si>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</si>
  <si>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</si>
  <si>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</si>
  <si>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</si>
  <si>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</si>
  <si>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</si>
  <si>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</si>
  <si>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</si>
  <si>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</si>
  <si>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</si>
  <si>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</si>
  <si>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</si>
  <si>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</si>
  <si>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</si>
  <si>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</si>
  <si>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</si>
  <si>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</si>
  <si>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</si>
  <si>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</si>
  <si>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</si>
  <si>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</si>
  <si>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</si>
  <si>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</si>
  <si>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</si>
  <si>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</si>
  <si>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</si>
  <si>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</si>
  <si>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</si>
  <si>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</si>
  <si>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</si>
  <si>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</si>
  <si>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</si>
  <si>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</si>
  <si>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</si>
  <si>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</si>
  <si>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</si>
  <si>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</si>
  <si>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</si>
  <si>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</si>
  <si>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</si>
  <si>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</si>
  <si>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</si>
  <si>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</si>
  <si>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</si>
  <si>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</si>
  <si>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</si>
  <si>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</si>
  <si>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</si>
  <si>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</si>
  <si>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</si>
  <si>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</si>
  <si>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</si>
  <si>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</si>
  <si>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</si>
  <si>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</si>
  <si>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</si>
  <si>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</si>
  <si>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</si>
  <si>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</si>
  <si>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</si>
  <si>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</si>
  <si>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</si>
  <si>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</si>
  <si>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</si>
  <si>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</si>
  <si>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</si>
  <si>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</si>
  <si>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</si>
  <si>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</si>
  <si>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</si>
  <si>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</si>
  <si>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</si>
  <si>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</si>
  <si>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</si>
  <si>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</si>
  <si>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</si>
  <si>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</si>
  <si>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</si>
  <si>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</si>
  <si>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</si>
  <si>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</si>
  <si>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</si>
  <si>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</si>
  <si>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</si>
  <si>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</si>
  <si>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</si>
  <si>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</si>
  <si>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</si>
  <si>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</si>
  <si>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</si>
  <si>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</si>
  <si>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</si>
  <si>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</si>
  <si>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</si>
  <si>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</si>
  <si>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</si>
  <si>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</si>
  <si>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</si>
  <si>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</si>
  <si>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</si>
  <si>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</si>
  <si>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</si>
  <si>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</si>
  <si>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</si>
  <si>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</si>
  <si>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</si>
  <si>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</si>
  <si>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</si>
  <si>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</si>
  <si>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</si>
  <si>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</si>
  <si>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</si>
  <si>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</si>
  <si>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</si>
  <si>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</si>
  <si>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</si>
  <si>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</si>
  <si>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</si>
  <si>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</si>
  <si>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</si>
  <si>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</si>
  <si>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</si>
  <si>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</si>
  <si>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</si>
  <si>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</si>
  <si>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</si>
  <si>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</si>
  <si>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</si>
  <si>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</si>
  <si>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</si>
  <si>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</si>
  <si>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</si>
  <si>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</si>
  <si>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</si>
  <si>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</si>
  <si>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</si>
  <si>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</si>
  <si>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</si>
  <si>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</si>
  <si>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</si>
  <si>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</si>
  <si>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</si>
  <si>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</si>
  <si>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</si>
  <si>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</si>
  <si>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</si>
  <si>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</si>
  <si>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</si>
  <si>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</si>
  <si>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</si>
  <si>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</si>
  <si>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</si>
  <si>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</si>
  <si>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</si>
  <si>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</si>
  <si>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</si>
  <si>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</si>
  <si>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</si>
  <si>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</si>
  <si>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</si>
  <si>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</si>
  <si>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</si>
  <si>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</si>
  <si>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</si>
  <si>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</si>
  <si>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</si>
  <si>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</si>
  <si>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</si>
  <si>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</si>
  <si>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</si>
  <si>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</si>
  <si>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</si>
  <si>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</si>
  <si>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</si>
  <si>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</si>
  <si>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</si>
  <si>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</si>
  <si>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</si>
  <si>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</si>
  <si>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</si>
  <si>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</si>
  <si>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</si>
  <si>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</si>
  <si>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</si>
  <si>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</si>
  <si>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</si>
  <si>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</si>
  <si>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</si>
  <si>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</si>
  <si>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</si>
  <si>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</si>
  <si>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</si>
  <si>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</si>
  <si>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</si>
  <si>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</si>
  <si>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</si>
  <si>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</si>
  <si>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</si>
  <si>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</si>
  <si>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</si>
  <si>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</si>
  <si>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</si>
  <si>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</si>
  <si>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</si>
  <si>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</si>
  <si>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</si>
  <si>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</si>
  <si>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</si>
  <si>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</si>
  <si>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</si>
  <si>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</si>
  <si>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</si>
  <si>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</si>
  <si>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</si>
  <si>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</si>
  <si>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</si>
  <si>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</si>
  <si>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</si>
  <si>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</si>
  <si>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</si>
  <si>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</si>
  <si>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</si>
  <si>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</si>
  <si>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</si>
  <si>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</si>
  <si>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</si>
  <si>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</si>
  <si>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</si>
  <si>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</si>
  <si>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</si>
  <si>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</si>
  <si>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</si>
  <si>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</si>
  <si>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</si>
  <si>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</si>
  <si>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</si>
  <si>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</si>
  <si>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</si>
  <si>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</si>
  <si>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</si>
  <si>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</si>
  <si>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</si>
  <si>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</si>
  <si>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</si>
  <si>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</si>
  <si>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</si>
  <si>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</si>
  <si>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</si>
  <si>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</si>
  <si>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</si>
  <si>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</si>
  <si>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</si>
  <si>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</si>
  <si>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</si>
  <si>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</si>
  <si>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</si>
  <si>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</si>
  <si>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</si>
  <si>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</si>
  <si>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</si>
  <si>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</si>
  <si>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</si>
  <si>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</si>
  <si>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</si>
  <si>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</si>
  <si>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</si>
  <si>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</si>
  <si>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</si>
  <si>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</si>
  <si>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</si>
  <si>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</si>
  <si>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</si>
  <si>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</si>
  <si>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</si>
  <si>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</si>
  <si>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</si>
  <si>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</si>
  <si>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</si>
  <si>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</si>
  <si>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</si>
  <si>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</si>
  <si>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</si>
  <si>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</si>
  <si>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</si>
  <si>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</si>
  <si>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</si>
  <si>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</si>
  <si>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</si>
  <si>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</si>
  <si>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</si>
  <si>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</si>
  <si>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</si>
  <si>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</si>
  <si>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</si>
  <si>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</si>
  <si>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</si>
  <si>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</si>
  <si>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</si>
  <si>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</si>
  <si>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</si>
  <si>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</si>
  <si>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</si>
  <si>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</si>
  <si>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</si>
  <si>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</si>
  <si>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</si>
  <si>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</si>
  <si>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</si>
  <si>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</si>
  <si>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</si>
  <si>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</si>
  <si>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</si>
  <si>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</si>
  <si>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</si>
  <si>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</si>
  <si>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</si>
  <si>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</si>
  <si>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</si>
  <si>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</si>
  <si>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</si>
  <si>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</si>
  <si>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</si>
  <si>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</si>
  <si>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</si>
  <si>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</si>
  <si>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</si>
  <si>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</si>
  <si>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</si>
  <si>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</si>
  <si>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</si>
  <si>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</si>
  <si>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</si>
  <si>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</si>
  <si>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</si>
  <si>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</si>
  <si>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</si>
  <si>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</si>
  <si>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</si>
  <si>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</si>
  <si>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</si>
  <si>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</si>
  <si>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</si>
  <si>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</si>
  <si>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</si>
  <si>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</si>
  <si>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</si>
  <si>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</si>
  <si>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</si>
  <si>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</si>
  <si>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</si>
  <si>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</si>
  <si>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</si>
  <si>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</si>
  <si>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</si>
  <si>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</si>
  <si>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</si>
  <si>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</si>
  <si>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</si>
  <si>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</si>
  <si>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</si>
  <si>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</si>
  <si>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</si>
  <si>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</si>
  <si>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</si>
  <si>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</si>
  <si>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</si>
  <si>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</si>
  <si>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</si>
  <si>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</si>
  <si>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</si>
  <si>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</si>
  <si>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</si>
  <si>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</si>
  <si>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</si>
  <si>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</si>
  <si>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</si>
  <si>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</si>
  <si>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</si>
  <si>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</si>
  <si>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</si>
  <si>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</si>
  <si>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</si>
  <si>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</si>
  <si>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</si>
  <si>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</si>
  <si>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</si>
  <si>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</si>
  <si>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</si>
  <si>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</si>
  <si>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</si>
  <si>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</si>
  <si>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</si>
  <si>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</si>
  <si>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</si>
  <si>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</si>
  <si>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</si>
  <si>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</si>
  <si>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</si>
  <si>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</si>
  <si>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</si>
  <si>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</si>
  <si>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</si>
  <si>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</si>
  <si>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</si>
  <si>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</si>
  <si>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</si>
  <si>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</si>
  <si>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</si>
  <si>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</si>
  <si>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</si>
  <si>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</si>
  <si>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</si>
  <si>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</si>
  <si>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</si>
  <si>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</si>
  <si>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</si>
  <si>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</si>
  <si>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</si>
  <si>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</si>
  <si>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</si>
  <si>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</si>
  <si>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</si>
  <si>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</si>
  <si>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</si>
  <si>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</si>
  <si>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</si>
  <si>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</si>
  <si>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</si>
  <si>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</si>
  <si>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</si>
  <si>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</si>
  <si>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</si>
  <si>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</si>
  <si>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</si>
  <si>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</si>
  <si>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</si>
  <si>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</si>
  <si>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</si>
  <si>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</si>
  <si>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</si>
  <si>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</si>
  <si>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</si>
  <si>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</si>
  <si>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</si>
  <si>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</si>
  <si>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</si>
  <si>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</si>
  <si>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</si>
  <si>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</si>
  <si>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</si>
  <si>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</si>
  <si>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</si>
  <si>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</si>
  <si>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</si>
  <si>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</si>
  <si>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</si>
  <si>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</si>
  <si>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</si>
  <si>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</si>
  <si>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</si>
  <si>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</si>
  <si>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</si>
  <si>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</si>
  <si>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</si>
  <si>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</si>
  <si>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</si>
  <si>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</si>
  <si>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</si>
  <si>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</si>
  <si>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</si>
  <si>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</si>
  <si>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</si>
  <si>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</si>
  <si>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</si>
  <si>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</si>
  <si>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</si>
  <si>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</si>
  <si>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</si>
  <si>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</si>
  <si>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</si>
  <si>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</si>
  <si>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</si>
  <si>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</si>
  <si>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</si>
  <si>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</si>
  <si>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</si>
  <si>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</si>
  <si>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</si>
  <si>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</si>
  <si>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</si>
  <si>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</si>
  <si>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</si>
  <si>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</si>
  <si>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</si>
  <si>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</si>
  <si>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</si>
  <si>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</si>
  <si>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</si>
  <si>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</si>
  <si>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</si>
  <si>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</si>
  <si>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</si>
  <si>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</si>
  <si>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</si>
  <si>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</si>
  <si>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</si>
  <si>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</si>
  <si>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</si>
  <si>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</si>
  <si>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</si>
  <si>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</si>
  <si>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</si>
  <si>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</si>
  <si>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</si>
  <si>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</si>
  <si>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</si>
  <si>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</si>
  <si>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</si>
  <si>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</si>
  <si>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</si>
  <si>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</si>
  <si>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</si>
  <si>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</si>
  <si>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</si>
  <si>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</si>
  <si>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</si>
  <si>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</si>
  <si>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</si>
  <si>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</si>
  <si>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</si>
  <si>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</si>
  <si>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</si>
  <si>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</si>
  <si>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</si>
  <si>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</si>
  <si>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</si>
  <si>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</si>
  <si>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</si>
  <si>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</si>
  <si>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</si>
  <si>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</si>
  <si>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</si>
  <si>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</si>
  <si>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</si>
  <si>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</si>
  <si>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</si>
  <si>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</si>
  <si>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</si>
  <si>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</si>
  <si>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</si>
  <si>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</si>
  <si>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</si>
  <si>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</si>
  <si>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</si>
  <si>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</si>
  <si>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</si>
  <si>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</si>
  <si>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</si>
  <si>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</si>
  <si>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</si>
  <si>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</si>
  <si>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</si>
  <si>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</si>
  <si>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</si>
  <si>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</si>
  <si>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</si>
  <si>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</si>
  <si>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</si>
  <si>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</si>
  <si>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</si>
  <si>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</si>
  <si>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</si>
  <si>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</si>
  <si>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</si>
  <si>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</si>
  <si>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</si>
  <si>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</si>
  <si>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</si>
  <si>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</si>
  <si>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</si>
  <si>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</si>
  <si>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</si>
  <si>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</si>
  <si>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</si>
  <si>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</si>
  <si>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</si>
  <si>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</si>
  <si>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</si>
  <si>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</si>
  <si>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</si>
  <si>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</si>
  <si>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</si>
  <si>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</si>
  <si>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</si>
  <si>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</si>
  <si>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</si>
  <si>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</si>
  <si>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</si>
  <si>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</si>
  <si>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</si>
  <si>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</si>
  <si>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</si>
  <si>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</si>
  <si>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</si>
  <si>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</si>
  <si>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</si>
  <si>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</si>
  <si>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</si>
  <si>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</si>
  <si>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</si>
  <si>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</si>
  <si>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</si>
  <si>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</si>
  <si>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</si>
  <si>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</si>
  <si>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</si>
  <si>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</si>
  <si>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</si>
  <si>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</si>
  <si>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</si>
  <si>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</si>
  <si>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</si>
  <si>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</si>
  <si>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</si>
  <si>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</si>
  <si>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</si>
  <si>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</si>
  <si>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</si>
  <si>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</si>
  <si>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</si>
  <si>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</si>
  <si>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</si>
  <si>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</si>
  <si>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</si>
  <si>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</si>
  <si>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</si>
  <si>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</si>
  <si>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</si>
  <si>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</si>
  <si>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</si>
  <si>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</si>
  <si>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</si>
  <si>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</si>
  <si>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</si>
  <si>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</si>
  <si>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</si>
  <si>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</si>
  <si>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</si>
  <si>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</si>
  <si>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</si>
  <si>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</si>
  <si>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</si>
  <si>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</si>
  <si>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</si>
  <si>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</si>
  <si>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</si>
  <si>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</si>
  <si>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</si>
  <si>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</si>
  <si>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</si>
  <si>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</si>
  <si>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</si>
  <si>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</si>
  <si>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</si>
  <si>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</si>
  <si>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</si>
  <si>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</si>
  <si>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</si>
  <si>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</si>
  <si>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</si>
  <si>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</si>
  <si>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</si>
  <si>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</si>
  <si>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</si>
  <si>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</si>
  <si>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</si>
  <si>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</si>
  <si>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</si>
  <si>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</si>
  <si>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</si>
  <si>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</si>
  <si>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</si>
  <si>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</si>
  <si>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</si>
  <si>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</si>
  <si>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</si>
  <si>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</si>
  <si>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</si>
  <si>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</si>
  <si>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</si>
  <si>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</si>
  <si>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</si>
  <si>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</si>
  <si>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</si>
  <si>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</si>
  <si>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</si>
  <si>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</si>
  <si>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</si>
  <si>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</si>
  <si>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</si>
  <si>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</si>
  <si>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</si>
  <si>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</si>
  <si>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</si>
  <si>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</si>
  <si>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</si>
  <si>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</si>
  <si>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</si>
  <si>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</si>
  <si>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</si>
  <si>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</si>
  <si>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</si>
  <si>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</si>
  <si>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</si>
  <si>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</si>
  <si>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</si>
  <si>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</si>
  <si>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</si>
  <si>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</si>
  <si>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</si>
  <si>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</si>
  <si>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</si>
  <si>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</si>
  <si>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</si>
  <si>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</si>
  <si>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</si>
  <si>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</si>
  <si>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</si>
  <si>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Última fecha de Actualización: 06/10/2026 12:07</t>
  </si>
  <si>
    <t>$L$136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</si>
</sst>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3</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1893</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83"/>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1894</v>
      </c>
      <c r="F1183" s="128" t="s">
        <v>201</v>
      </c>
      <c r="G1183" s="128" t="s">
        <v>20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3</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2</v>
      </c>
      <c r="H31" s="10">
        <f>COUNTIFS('Base de datos'!$B:$B, $B31, 'Base de datos'!$G:$G, $C31, 'Base de datos'!$L:$L, "Vencida")</f>
        <v>2</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3</v>
      </c>
      <c r="G42" s="10">
        <f>COUNTIFS('Base de datos'!$B:$B, $B42, 'Base de datos'!$G:$G, $C42, 'Base de datos'!$L:$L, "Finalizada")</f>
        <v>1</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H1" zoomScale="90" zoomScaleNormal="90" workbookViewId="0">
      <pane ySplit="1" topLeftCell="A104" activePane="bottomLeft" state="frozen"/>
      <selection pane="bottomLeft" activeCell="P106" sqref="P106"/>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15.2">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57">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08">
        <v>46387</v>
      </c>
      <c r="J104" s="84" t="s">
        <v>407</v>
      </c>
      <c r="K104" s="106"/>
      <c r="L104" s="37" t="s">
        <v>201</v>
      </c>
      <c r="M104" s="80">
        <f t="shared" ca="1" si="5"/>
        <v>86</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33</v>
      </c>
      <c r="M105" s="80" t="str">
        <f t="shared" ca="1" si="5"/>
        <v/>
      </c>
      <c r="N105" s="37" t="str">
        <f t="shared" ca="1" si="6"/>
        <v/>
      </c>
      <c r="O105" s="81" t="str">
        <f t="shared" ca="1" si="7"/>
        <v/>
      </c>
      <c r="P105" s="81" t="str">
        <f t="shared" ca="1" si="8"/>
        <v/>
      </c>
      <c r="Q105" s="81" t="str">
        <f t="shared" ca="1" si="9"/>
        <v/>
      </c>
      <c r="R105" s="84" t="s">
        <v>644</v>
      </c>
      <c r="S105" s="88"/>
      <c r="T105" s="152" t="s">
        <v>1523</v>
      </c>
      <c r="U105" s="152">
        <v>104</v>
      </c>
      <c r="V105" s="186">
        <v>20265000026423</v>
      </c>
      <c r="W105" s="88">
        <v>46233</v>
      </c>
      <c r="X105" s="152" t="s">
        <v>589</v>
      </c>
      <c r="Y105" s="83" t="s">
        <v>1351</v>
      </c>
      <c r="Z105" s="152" t="s">
        <v>1353</v>
      </c>
      <c r="AA105" s="187" t="s">
        <v>1355</v>
      </c>
      <c r="AB105" s="8">
        <v>0.5</v>
      </c>
      <c r="AC105" s="8" t="s">
        <v>1785</v>
      </c>
    </row>
    <row r="106" spans="1:29" ht="72">
      <c r="A106" s="74" t="s">
        <v>180</v>
      </c>
      <c r="B106" s="92" t="s">
        <v>399</v>
      </c>
      <c r="C106" s="45" t="s">
        <v>409</v>
      </c>
      <c r="D106" s="45"/>
      <c r="E106" s="198"/>
      <c r="F106" s="107"/>
      <c r="G106" s="47" t="s">
        <v>118</v>
      </c>
      <c r="H106" s="87"/>
      <c r="I106" s="208"/>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2" t="s">
        <v>1523</v>
      </c>
      <c r="U106" s="152">
        <v>105</v>
      </c>
      <c r="V106" s="152"/>
      <c r="W106" s="152"/>
      <c r="X106" s="152"/>
      <c r="Y106" s="135"/>
      <c r="Z106" s="152"/>
      <c r="AA106" s="151"/>
      <c r="AB106" s="8">
        <v>0.5</v>
      </c>
      <c r="AC106" s="8" t="s">
        <v>1775</v>
      </c>
    </row>
    <row r="107" spans="1:29" ht="201.6">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87">
        <v>46020</v>
      </c>
      <c r="I108" s="208">
        <v>46295</v>
      </c>
      <c r="J108" s="84" t="s">
        <v>414</v>
      </c>
      <c r="K108" s="143" t="s">
        <v>1891</v>
      </c>
      <c r="L108" s="37" t="s">
        <v>33</v>
      </c>
      <c r="M108" s="80" t="str">
        <f t="shared" ca="1" si="5"/>
        <v/>
      </c>
      <c r="N108" s="37" t="str">
        <f t="shared" ca="1" si="6"/>
        <v/>
      </c>
      <c r="O108" s="81" t="str">
        <f t="shared" ca="1" si="7"/>
        <v/>
      </c>
      <c r="P108" s="81" t="str">
        <f t="shared" ca="1" si="8"/>
        <v/>
      </c>
      <c r="Q108" s="81" t="str">
        <f t="shared" ca="1" si="9"/>
        <v/>
      </c>
      <c r="R108" s="84" t="s">
        <v>644</v>
      </c>
      <c r="S108" s="88"/>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87">
        <v>45992</v>
      </c>
      <c r="I110" s="208">
        <v>46218</v>
      </c>
      <c r="J110" s="118" t="s">
        <v>423</v>
      </c>
      <c r="K110" s="108"/>
      <c r="L110" s="37" t="s">
        <v>33</v>
      </c>
      <c r="M110" s="80" t="str">
        <f t="shared" ca="1" si="5"/>
        <v/>
      </c>
      <c r="N110" s="37" t="str">
        <f t="shared" ca="1" si="6"/>
        <v/>
      </c>
      <c r="O110" s="81" t="str">
        <f t="shared" ca="1" si="7"/>
        <v/>
      </c>
      <c r="P110" s="81" t="str">
        <f t="shared" ca="1" si="8"/>
        <v/>
      </c>
      <c r="Q110" s="81" t="str">
        <f t="shared" ca="1" si="9"/>
        <v/>
      </c>
      <c r="R110" s="116" t="s">
        <v>641</v>
      </c>
      <c r="S110" s="204"/>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87">
        <v>45992</v>
      </c>
      <c r="I111" s="208">
        <v>46218</v>
      </c>
      <c r="J111" s="118" t="s">
        <v>423</v>
      </c>
      <c r="K111" s="108"/>
      <c r="L111" s="37" t="s">
        <v>33</v>
      </c>
      <c r="M111" s="80" t="str">
        <f t="shared" ca="1" si="5"/>
        <v/>
      </c>
      <c r="N111" s="37" t="str">
        <f t="shared" ca="1" si="6"/>
        <v/>
      </c>
      <c r="O111" s="81" t="str">
        <f t="shared" ca="1" si="7"/>
        <v/>
      </c>
      <c r="P111" s="81" t="str">
        <f t="shared" ca="1" si="8"/>
        <v/>
      </c>
      <c r="Q111" s="81" t="str">
        <f t="shared" ca="1" si="9"/>
        <v/>
      </c>
      <c r="R111" s="116" t="s">
        <v>641</v>
      </c>
      <c r="S111" s="204"/>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87">
        <v>45992</v>
      </c>
      <c r="I112" s="208">
        <v>46218</v>
      </c>
      <c r="J112" s="118" t="s">
        <v>423</v>
      </c>
      <c r="K112" s="108"/>
      <c r="L112" s="37" t="s">
        <v>33</v>
      </c>
      <c r="M112" s="80" t="str">
        <f t="shared" ca="1" si="5"/>
        <v/>
      </c>
      <c r="N112" s="37" t="str">
        <f t="shared" ca="1" si="6"/>
        <v/>
      </c>
      <c r="O112" s="81" t="str">
        <f t="shared" ca="1" si="7"/>
        <v/>
      </c>
      <c r="P112" s="81" t="str">
        <f t="shared" ca="1" si="8"/>
        <v/>
      </c>
      <c r="Q112" s="81" t="str">
        <f t="shared" ca="1" si="9"/>
        <v/>
      </c>
      <c r="R112" s="116" t="s">
        <v>641</v>
      </c>
      <c r="S112" s="204"/>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87">
        <v>45992</v>
      </c>
      <c r="I113" s="208">
        <v>46218</v>
      </c>
      <c r="J113" s="118" t="s">
        <v>423</v>
      </c>
      <c r="K113" s="108"/>
      <c r="L113" s="37" t="s">
        <v>33</v>
      </c>
      <c r="M113" s="80" t="str">
        <f t="shared" ca="1" si="5"/>
        <v/>
      </c>
      <c r="N113" s="37" t="str">
        <f t="shared" ca="1" si="6"/>
        <v/>
      </c>
      <c r="O113" s="81" t="str">
        <f t="shared" ca="1" si="7"/>
        <v/>
      </c>
      <c r="P113" s="81" t="str">
        <f t="shared" ca="1" si="8"/>
        <v/>
      </c>
      <c r="Q113" s="81" t="str">
        <f t="shared" ca="1" si="9"/>
        <v/>
      </c>
      <c r="R113" s="116" t="s">
        <v>641</v>
      </c>
      <c r="S113" s="204"/>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87">
        <v>45992</v>
      </c>
      <c r="I114" s="208">
        <v>46218</v>
      </c>
      <c r="J114" s="118" t="s">
        <v>423</v>
      </c>
      <c r="K114" s="108"/>
      <c r="L114" s="37" t="s">
        <v>33</v>
      </c>
      <c r="M114" s="80" t="str">
        <f t="shared" ca="1" si="5"/>
        <v/>
      </c>
      <c r="N114" s="37" t="str">
        <f t="shared" ca="1" si="6"/>
        <v/>
      </c>
      <c r="O114" s="81" t="str">
        <f t="shared" ca="1" si="7"/>
        <v/>
      </c>
      <c r="P114" s="81" t="str">
        <f t="shared" ca="1" si="8"/>
        <v/>
      </c>
      <c r="Q114" s="81" t="str">
        <f t="shared" ca="1" si="9"/>
        <v/>
      </c>
      <c r="R114" s="116" t="s">
        <v>641</v>
      </c>
      <c r="S114" s="204"/>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87">
        <v>45992</v>
      </c>
      <c r="I115" s="208">
        <v>46218</v>
      </c>
      <c r="J115" s="118" t="s">
        <v>423</v>
      </c>
      <c r="K115" s="108"/>
      <c r="L115" s="37" t="s">
        <v>33</v>
      </c>
      <c r="M115" s="80" t="str">
        <f t="shared" ca="1" si="5"/>
        <v/>
      </c>
      <c r="N115" s="37" t="str">
        <f t="shared" ca="1" si="6"/>
        <v/>
      </c>
      <c r="O115" s="81" t="str">
        <f t="shared" ca="1" si="7"/>
        <v/>
      </c>
      <c r="P115" s="81" t="str">
        <f t="shared" ca="1" si="8"/>
        <v/>
      </c>
      <c r="Q115" s="81" t="str">
        <f t="shared" ca="1" si="9"/>
        <v/>
      </c>
      <c r="R115" s="116" t="s">
        <v>641</v>
      </c>
      <c r="S115" s="204"/>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87">
        <v>45992</v>
      </c>
      <c r="I116" s="208">
        <v>46142</v>
      </c>
      <c r="J116" s="118" t="s">
        <v>432</v>
      </c>
      <c r="K116" s="108"/>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87">
        <v>45992</v>
      </c>
      <c r="I117" s="208">
        <v>46142</v>
      </c>
      <c r="J117" s="118" t="s">
        <v>432</v>
      </c>
      <c r="K117" s="108"/>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87">
        <v>45992</v>
      </c>
      <c r="I118" s="208">
        <v>46142</v>
      </c>
      <c r="J118" s="118" t="s">
        <v>432</v>
      </c>
      <c r="K118" s="108"/>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87">
        <v>45992</v>
      </c>
      <c r="I119" s="208">
        <v>46142</v>
      </c>
      <c r="J119" s="118" t="s">
        <v>432</v>
      </c>
      <c r="K119" s="108"/>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85</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87">
        <v>45996</v>
      </c>
      <c r="I121" s="208">
        <v>46386</v>
      </c>
      <c r="J121" s="118" t="s">
        <v>438</v>
      </c>
      <c r="K121" s="108"/>
      <c r="L121" s="37" t="s">
        <v>201</v>
      </c>
      <c r="M121" s="80">
        <f t="shared" ca="1" si="5"/>
        <v>85</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87">
        <v>45996</v>
      </c>
      <c r="I122" s="208">
        <v>46386</v>
      </c>
      <c r="J122" s="118" t="s">
        <v>438</v>
      </c>
      <c r="K122" s="108"/>
      <c r="L122" s="37" t="s">
        <v>201</v>
      </c>
      <c r="M122" s="80">
        <f t="shared" ca="1" si="5"/>
        <v>85</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87">
        <v>45996</v>
      </c>
      <c r="I123" s="208">
        <v>46386</v>
      </c>
      <c r="J123" s="118" t="s">
        <v>438</v>
      </c>
      <c r="K123" s="108"/>
      <c r="L123" s="37" t="s">
        <v>201</v>
      </c>
      <c r="M123" s="80">
        <f t="shared" ca="1" si="5"/>
        <v>85</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87">
        <v>45996</v>
      </c>
      <c r="I124" s="208">
        <v>46386</v>
      </c>
      <c r="J124" s="118" t="s">
        <v>438</v>
      </c>
      <c r="K124" s="108"/>
      <c r="L124" s="37" t="s">
        <v>201</v>
      </c>
      <c r="M124" s="80">
        <f t="shared" ca="1" si="5"/>
        <v>85</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87">
        <v>45992</v>
      </c>
      <c r="I125" s="208">
        <v>46142</v>
      </c>
      <c r="J125" s="118" t="s">
        <v>446</v>
      </c>
      <c r="K125" s="108"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87">
        <v>45992</v>
      </c>
      <c r="I126" s="208">
        <v>46142</v>
      </c>
      <c r="J126" s="118" t="s">
        <v>446</v>
      </c>
      <c r="K126" s="108"/>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87">
        <v>45992</v>
      </c>
      <c r="I127" s="208">
        <v>46142</v>
      </c>
      <c r="J127" s="118" t="s">
        <v>446</v>
      </c>
      <c r="K127" s="108"/>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9</v>
      </c>
      <c r="N133" s="37" t="str">
        <f t="shared" ca="1" si="11"/>
        <v>🚨 CRÍTICO (10d)</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08">
        <v>46310</v>
      </c>
      <c r="J134" s="97" t="s">
        <v>467</v>
      </c>
      <c r="K134" s="108"/>
      <c r="L134" s="37" t="s">
        <v>201</v>
      </c>
      <c r="M134" s="80">
        <f t="shared" ca="1" si="10"/>
        <v>9</v>
      </c>
      <c r="N134" s="37" t="str">
        <f t="shared" ca="1" si="11"/>
        <v>🚨 CRÍTICO (10d)</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08">
        <v>46310</v>
      </c>
      <c r="J135" s="97" t="s">
        <v>467</v>
      </c>
      <c r="K135" s="108"/>
      <c r="L135" s="37" t="s">
        <v>201</v>
      </c>
      <c r="M135" s="80">
        <f t="shared" ca="1" si="10"/>
        <v>9</v>
      </c>
      <c r="N135" s="37" t="str">
        <f t="shared" ca="1" si="11"/>
        <v>🚨 CRÍTICO (10d)</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87">
        <v>46044</v>
      </c>
      <c r="I136" s="208">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14">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43.8">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56</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104.4">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24</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24</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52.6">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24</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24</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24</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29">
        <v>2026</v>
      </c>
      <c r="B2" s="194" t="s">
        <v>1477</v>
      </c>
      <c r="C2" t="s">
        <v>20</v>
      </c>
      <c r="D2" s="13" t="s">
        <v>660</v>
      </c>
      <c r="E2" s="13" t="s">
        <v>662</v>
      </c>
    </row>
    <row r="3" spans="1:5">
      <c r="A3" s="229"/>
      <c r="B3" s="194" t="s">
        <v>1478</v>
      </c>
      <c r="C3" t="s">
        <v>20</v>
      </c>
      <c r="D3" s="13" t="s">
        <v>660</v>
      </c>
      <c r="E3" s="13" t="s">
        <v>662</v>
      </c>
    </row>
    <row r="4" spans="1:5">
      <c r="A4" s="229"/>
      <c r="B4" s="192" t="s">
        <v>1479</v>
      </c>
      <c r="C4" t="s">
        <v>1466</v>
      </c>
      <c r="D4" s="13" t="s">
        <v>662</v>
      </c>
    </row>
    <row r="5" spans="1:5">
      <c r="A5" s="229"/>
      <c r="B5" s="192" t="s">
        <v>1480</v>
      </c>
      <c r="C5" t="s">
        <v>1466</v>
      </c>
      <c r="D5" s="13" t="s">
        <v>662</v>
      </c>
    </row>
    <row r="6" spans="1:5">
      <c r="A6" s="229"/>
      <c r="B6" s="192" t="s">
        <v>1481</v>
      </c>
      <c r="C6" t="s">
        <v>1466</v>
      </c>
      <c r="D6" s="13" t="s">
        <v>1296</v>
      </c>
    </row>
    <row r="7" spans="1:5">
      <c r="A7" s="229"/>
      <c r="B7" s="192" t="s">
        <v>1483</v>
      </c>
      <c r="C7" t="s">
        <v>1466</v>
      </c>
      <c r="D7" s="13" t="s">
        <v>1293</v>
      </c>
    </row>
    <row r="8" spans="1:5">
      <c r="A8" s="229"/>
      <c r="B8" s="192" t="s">
        <v>1482</v>
      </c>
      <c r="C8" t="s">
        <v>1466</v>
      </c>
      <c r="D8" s="13" t="s">
        <v>1298</v>
      </c>
    </row>
    <row r="9" spans="1:5">
      <c r="A9" s="229"/>
      <c r="B9" s="192" t="s">
        <v>1484</v>
      </c>
      <c r="C9" t="s">
        <v>1466</v>
      </c>
      <c r="D9" s="13" t="s">
        <v>1298</v>
      </c>
    </row>
    <row r="10" spans="1:5">
      <c r="A10" s="229"/>
      <c r="B10" s="193" t="s">
        <v>1485</v>
      </c>
      <c r="C10" t="s">
        <v>1466</v>
      </c>
      <c r="D10" s="13" t="s">
        <v>1300</v>
      </c>
    </row>
    <row r="11" spans="1:5">
      <c r="A11" s="229"/>
      <c r="B11" s="193" t="s">
        <v>1486</v>
      </c>
      <c r="C11" t="s">
        <v>1466</v>
      </c>
      <c r="D11" s="13" t="s">
        <v>1304</v>
      </c>
    </row>
    <row r="12" spans="1:5">
      <c r="A12" s="229"/>
      <c r="B12" s="194" t="s">
        <v>1487</v>
      </c>
      <c r="C12" t="s">
        <v>20</v>
      </c>
      <c r="D12" s="13" t="s">
        <v>662</v>
      </c>
      <c r="E12" s="13" t="s">
        <v>1293</v>
      </c>
    </row>
    <row r="13" spans="1:5">
      <c r="A13" s="229"/>
      <c r="B13" s="194" t="s">
        <v>1488</v>
      </c>
      <c r="C13" t="s">
        <v>20</v>
      </c>
      <c r="D13" s="13" t="s">
        <v>662</v>
      </c>
      <c r="E13" s="13" t="s">
        <v>1293</v>
      </c>
    </row>
    <row r="14" spans="1:5">
      <c r="A14" s="229">
        <v>2025</v>
      </c>
      <c r="B14" s="195" t="s">
        <v>1489</v>
      </c>
      <c r="C14" t="s">
        <v>20</v>
      </c>
    </row>
    <row r="15" spans="1:5">
      <c r="A15" s="229"/>
      <c r="B15" s="195" t="s">
        <v>1490</v>
      </c>
      <c r="C15" t="s">
        <v>20</v>
      </c>
    </row>
    <row r="16" spans="1:5">
      <c r="A16" s="229"/>
      <c r="B16" s="195" t="s">
        <v>1491</v>
      </c>
      <c r="C16" t="s">
        <v>20</v>
      </c>
    </row>
    <row r="17" spans="1:3">
      <c r="A17" s="229"/>
      <c r="B17" s="195" t="s">
        <v>1485</v>
      </c>
      <c r="C17" t="s">
        <v>20</v>
      </c>
    </row>
    <row r="18" spans="1:3">
      <c r="A18" s="229"/>
      <c r="B18" s="195" t="s">
        <v>1481</v>
      </c>
      <c r="C18" t="s">
        <v>20</v>
      </c>
    </row>
    <row r="19" spans="1:3">
      <c r="A19" s="229"/>
      <c r="B19" s="195" t="s">
        <v>1483</v>
      </c>
      <c r="C19" t="s">
        <v>20</v>
      </c>
    </row>
    <row r="20" spans="1:3">
      <c r="A20" s="229"/>
      <c r="B20" s="195" t="s">
        <v>1496</v>
      </c>
      <c r="C20" t="s">
        <v>20</v>
      </c>
    </row>
    <row r="21" spans="1:3">
      <c r="A21" s="229"/>
      <c r="B21" s="192" t="s">
        <v>1484</v>
      </c>
      <c r="C21" t="s">
        <v>1509</v>
      </c>
    </row>
    <row r="22" spans="1:3">
      <c r="A22" s="229"/>
      <c r="B22" s="193" t="s">
        <v>1499</v>
      </c>
      <c r="C22" t="s">
        <v>1509</v>
      </c>
    </row>
    <row r="23" spans="1:3">
      <c r="A23" s="229"/>
      <c r="B23" s="196" t="s">
        <v>1501</v>
      </c>
      <c r="C23" t="s">
        <v>20</v>
      </c>
    </row>
    <row r="24" spans="1:3">
      <c r="A24" s="229"/>
      <c r="B24" s="193" t="s">
        <v>1503</v>
      </c>
      <c r="C24" t="s">
        <v>1509</v>
      </c>
    </row>
    <row r="25" spans="1:3">
      <c r="A25" s="22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2026-10-06T17:07:34Z</dcterms:modified>
</cp:coreProperties>
</file>