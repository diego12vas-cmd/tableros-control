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053" documentId="8_{B94AFFE1-3DFB-409E-960F-FF1A97CB5BC7}" xr6:coauthVersionLast="47" xr6:coauthVersionMax="47" xr10:uidLastSave="{C4048803-DE59-41CD-8FE3-C0C450A99F11}"/>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<sst xmlns="http://schemas.openxmlformats.org/spreadsheetml/2006/main" count="7425" uniqueCount="1860">
  <si>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</si>
  <si>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</si>
  <si>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</si>
  <si>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</si>
  <si>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</si>
  <si>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</si>
  <si>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</si>
  <si>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</si>
  <si>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</si>
  <si>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</si>
  <si>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</si>
  <si>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</si>
  <si>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</si>
  <si>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</si>
  <si>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</si>
  <si>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</si>
  <si>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</si>
  <si>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</si>
  <si>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</si>
  <si>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</si>
  <si>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</si>
  <si>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</si>
  <si>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</si>
  <si>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</si>
  <si>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</si>
  <si>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</si>
  <si>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</si>
  <si>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</si>
  <si>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</si>
  <si>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</si>
  <si>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</si>
  <si>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</si>
  <si>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</si>
  <si>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</si>
  <si>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</si>
  <si>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</si>
  <si>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</si>
  <si>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</si>
  <si>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</si>
  <si>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</si>
  <si>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</si>
  <si>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</si>
  <si>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</si>
  <si>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</si>
  <si>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</si>
  <si>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</si>
  <si>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</si>
  <si>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</si>
  <si>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</si>
  <si>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</si>
  <si>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</si>
  <si>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</si>
  <si>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</si>
  <si>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</si>
  <si>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</si>
  <si>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</si>
  <si>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</si>
  <si>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</si>
  <si>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</si>
  <si>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</si>
  <si>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</si>
  <si>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</si>
  <si>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</si>
  <si>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</si>
  <si>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</si>
  <si>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</si>
  <si>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</si>
  <si>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</si>
  <si>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</si>
  <si>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</si>
  <si>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</si>
  <si>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</si>
  <si>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</si>
  <si>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</si>
  <si>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</si>
  <si>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</si>
  <si>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</si>
  <si>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</si>
  <si>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</si>
  <si>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</si>
  <si>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</si>
  <si>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</si>
  <si>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</si>
  <si>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</si>
  <si>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</si>
  <si>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</si>
  <si>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</si>
  <si>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</si>
  <si>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</si>
  <si>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</si>
  <si>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</si>
  <si>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</si>
  <si>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</si>
  <si>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</si>
  <si>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</si>
  <si>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</si>
  <si>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</si>
  <si>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</si>
  <si>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</si>
  <si>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</si>
  <si>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</si>
  <si>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</si>
  <si>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</si>
  <si>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</si>
  <si>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</si>
  <si>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</si>
  <si>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</si>
  <si>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</si>
  <si>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</si>
  <si>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</si>
  <si>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</si>
  <si>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</si>
  <si>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</si>
  <si>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</si>
  <si>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</si>
  <si>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</si>
  <si>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</si>
  <si>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</si>
  <si>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</si>
  <si>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</si>
  <si>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</si>
  <si>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</si>
  <si>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</si>
  <si>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</si>
  <si>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</si>
  <si>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</si>
  <si>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</si>
  <si>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</si>
  <si>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</si>
  <si>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</si>
  <si>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</si>
  <si>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</si>
  <si>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</si>
  <si>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</si>
  <si>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</si>
  <si>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</si>
  <si>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</si>
  <si>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</si>
  <si>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</si>
  <si>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</si>
  <si>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</si>
  <si>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</si>
  <si>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</si>
  <si>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</si>
  <si>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</si>
  <si>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</si>
  <si>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</si>
  <si>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</si>
  <si>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</si>
  <si>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</si>
  <si>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</si>
  <si>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</si>
  <si>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</si>
  <si>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</si>
  <si>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</si>
  <si>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</si>
  <si>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</si>
  <si>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</si>
  <si>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</si>
  <si>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</si>
  <si>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</si>
  <si>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</si>
  <si>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</si>
  <si>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</si>
  <si>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</si>
  <si>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</si>
  <si>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</si>
  <si>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</si>
  <si>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</si>
  <si>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</si>
  <si>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</si>
  <si>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</si>
  <si>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</si>
  <si>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</si>
  <si>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</si>
  <si>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</si>
  <si>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</si>
  <si>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</si>
  <si>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</si>
  <si>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</si>
  <si>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</si>
  <si>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</si>
  <si>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</si>
  <si>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</si>
  <si>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</si>
  <si>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</si>
  <si>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</si>
  <si>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</si>
  <si>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</si>
  <si>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</si>
  <si>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</si>
  <si>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</si>
  <si>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</si>
  <si>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</si>
  <si>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</si>
  <si>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</si>
  <si>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</si>
  <si>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</si>
  <si>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</si>
  <si>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</si>
  <si>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</si>
  <si>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</si>
  <si>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</si>
  <si>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</si>
  <si>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</si>
  <si>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</si>
  <si>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</si>
  <si>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</si>
  <si>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</si>
  <si>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</si>
  <si>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</si>
  <si>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</si>
  <si>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</si>
  <si>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</si>
  <si>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</si>
  <si>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</si>
  <si>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</si>
  <si>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</si>
  <si>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</si>
  <si>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</si>
  <si>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</si>
  <si>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</si>
  <si>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</si>
  <si>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</si>
  <si>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</si>
  <si>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</si>
  <si>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</si>
  <si>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</si>
  <si>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</si>
  <si>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</si>
  <si>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</si>
  <si>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</si>
  <si>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</si>
  <si>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</si>
  <si>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</si>
  <si>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</si>
  <si>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</si>
  <si>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</si>
  <si>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</si>
  <si>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</si>
  <si>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</si>
  <si>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</si>
  <si>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</si>
  <si>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</si>
  <si>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</si>
  <si>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</si>
  <si>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</si>
  <si>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</si>
  <si>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</si>
  <si>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</si>
  <si>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</si>
  <si>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</si>
  <si>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</si>
  <si>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</si>
  <si>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</si>
  <si>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</si>
  <si>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</si>
  <si>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</si>
  <si>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</si>
  <si>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</si>
  <si>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</si>
  <si>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</si>
  <si>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</si>
  <si>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</si>
  <si>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</si>
  <si>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</si>
  <si>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</si>
  <si>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</si>
  <si>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</si>
  <si>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</si>
  <si>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</si>
  <si>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</si>
  <si>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</si>
  <si>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</si>
  <si>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</si>
  <si>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</si>
  <si>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</si>
  <si>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</si>
  <si>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</si>
  <si>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</si>
  <si>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</si>
  <si>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</si>
  <si>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</si>
  <si>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</si>
  <si>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</si>
  <si>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</si>
  <si>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</si>
  <si>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</si>
  <si>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</si>
  <si>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</si>
  <si>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</si>
  <si>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</si>
  <si>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</si>
  <si>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</si>
  <si>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</si>
  <si>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</si>
  <si>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</si>
  <si>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</si>
  <si>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</si>
  <si>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</si>
  <si>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</si>
  <si>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</si>
  <si>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</si>
  <si>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</si>
  <si>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</si>
  <si>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</si>
  <si>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</si>
  <si>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</si>
  <si>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</si>
  <si>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</si>
  <si>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</si>
  <si>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</si>
  <si>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</si>
  <si>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</si>
  <si>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</si>
  <si>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</si>
  <si>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</si>
  <si>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</si>
  <si>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</si>
  <si>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</si>
  <si>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</si>
  <si>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</si>
  <si>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</si>
  <si>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</si>
  <si>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</si>
  <si>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</si>
  <si>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</si>
  <si>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</si>
  <si>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</si>
  <si>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</si>
  <si>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</si>
  <si>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</si>
  <si>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</si>
  <si>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</si>
  <si>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</si>
  <si>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</si>
  <si>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</si>
  <si>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</si>
  <si>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</si>
  <si>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</si>
  <si>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</si>
  <si>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</si>
  <si>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</si>
  <si>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</si>
  <si>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</si>
  <si>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</si>
  <si>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</si>
  <si>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</si>
  <si>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</si>
  <si>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</si>
  <si>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</si>
  <si>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</si>
  <si>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</si>
  <si>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</si>
  <si>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</si>
  <si>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</si>
  <si>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</si>
  <si>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</si>
  <si>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</si>
  <si>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</si>
  <si>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</si>
  <si>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</si>
  <si>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</si>
  <si>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</si>
  <si>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</si>
  <si>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</si>
  <si>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</si>
  <si>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</si>
  <si>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</si>
  <si>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</si>
  <si>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</si>
  <si>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</si>
  <si>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</si>
  <si>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</si>
  <si>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</si>
  <si>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</si>
  <si>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</si>
  <si>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</si>
  <si>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</si>
  <si>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</si>
  <si>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</si>
  <si>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</si>
  <si>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</si>
  <si>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</si>
  <si>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</si>
  <si>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</si>
  <si>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</si>
  <si>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</si>
  <si>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</si>
  <si>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</si>
  <si>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</si>
  <si>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</si>
  <si>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</si>
  <si>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</si>
  <si>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</si>
  <si>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</si>
  <si>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</si>
  <si>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</si>
  <si>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</si>
  <si>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</si>
  <si>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</si>
  <si>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</si>
  <si>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</si>
  <si>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</si>
  <si>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</si>
  <si>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</si>
  <si>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</si>
  <si>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</si>
  <si>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</si>
  <si>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</si>
  <si>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</si>
  <si>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</si>
  <si>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</si>
  <si>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</si>
  <si>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</si>
  <si>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</si>
  <si>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</si>
  <si>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</si>
  <si>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</si>
  <si>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</si>
  <si>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</si>
  <si>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</si>
  <si>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</si>
  <si>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</si>
  <si>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</si>
  <si>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</si>
  <si>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</si>
  <si>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</si>
  <si>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</si>
  <si>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</si>
  <si>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</si>
  <si>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</si>
  <si>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</si>
  <si>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</si>
  <si>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</si>
  <si>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</si>
  <si>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</si>
  <si>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</si>
  <si>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</si>
  <si>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</si>
  <si>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</si>
  <si>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</si>
  <si>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</si>
  <si>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</si>
  <si>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</si>
  <si>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</si>
  <si>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</si>
  <si>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</si>
  <si>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</si>
  <si>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</si>
  <si>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</si>
  <si>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</si>
  <si>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</si>
  <si>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</si>
  <si>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</si>
  <si>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</si>
  <si>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</si>
  <si>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</si>
  <si>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</si>
  <si>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</si>
  <si>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</si>
  <si>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</si>
  <si>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</si>
  <si>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</si>
  <si>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</si>
  <si>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</si>
  <si>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</si>
  <si>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</si>
  <si>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</si>
  <si>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</si>
  <si>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</si>
  <si>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</si>
  <si>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</si>
  <si>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</si>
  <si>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</si>
  <si>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</si>
  <si>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</si>
  <si>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</si>
  <si>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</si>
  <si>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</si>
  <si>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</si>
  <si>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</si>
  <si>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</si>
  <si>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</si>
  <si>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</si>
  <si>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</si>
  <si>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</si>
  <si>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</si>
  <si>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</si>
  <si>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</si>
  <si>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</si>
  <si>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</si>
  <si>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</si>
  <si>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</si>
  <si>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</si>
  <si>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</si>
  <si>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</si>
  <si>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</si>
  <si>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</si>
  <si>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</si>
  <si>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</si>
  <si>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</si>
  <si>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</si>
  <si>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</si>
  <si>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</si>
  <si>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</si>
  <si>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</si>
  <si>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</si>
  <si>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</si>
  <si>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</si>
  <si>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</si>
  <si>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</si>
  <si>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</si>
  <si>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</si>
  <si>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</si>
  <si>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</si>
  <si>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</si>
  <si>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</si>
  <si>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</si>
  <si>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</si>
  <si>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</si>
  <si>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</si>
  <si>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</si>
  <si>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</si>
  <si>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</si>
  <si>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</si>
  <si>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</si>
  <si>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</si>
  <si>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</si>
  <si>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</si>
  <si>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</si>
  <si>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</si>
  <si>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</si>
  <si>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</si>
  <si>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</si>
  <si>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</si>
  <si>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</si>
  <si>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</si>
  <si>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</si>
  <si>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</si>
  <si>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</si>
  <si>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</si>
  <si>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</si>
  <si>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</si>
  <si>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</si>
  <si>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</si>
  <si>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</si>
  <si>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</si>
  <si>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</si>
  <si>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</si>
  <si>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</si>
  <si>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</si>
  <si>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</si>
  <si>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</si>
  <si>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</si>
  <si>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</si>
  <si>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</si>
  <si>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</si>
  <si>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</si>
  <si>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</si>
  <si>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</si>
  <si>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</si>
  <si>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</si>
  <si>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</si>
  <si>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</si>
  <si>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</si>
  <si>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</si>
  <si>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</si>
  <si>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</si>
  <si>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</si>
  <si>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</si>
  <si>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</si>
  <si>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</si>
  <si>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</si>
  <si>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</si>
  <si>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</si>
  <si>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</si>
  <si>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</si>
  <si>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</si>
  <si>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</si>
  <si>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</si>
  <si>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</si>
  <si>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</si>
  <si>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</si>
  <si>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</si>
  <si>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</si>
  <si>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</si>
  <si>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</si>
  <si>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</si>
  <si>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</si>
  <si>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</si>
  <si>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</si>
  <si>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</si>
  <si>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</si>
  <si>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</si>
  <si>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</si>
  <si>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</si>
  <si>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</si>
  <si>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</si>
  <si>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</si>
  <si>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</si>
  <si>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</si>
  <si>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</si>
  <si>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</si>
  <si>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</si>
  <si>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</si>
  <si>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</si>
  <si>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</si>
  <si>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</si>
  <si>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</si>
  <si>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</si>
  <si>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</si>
  <si>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</si>
  <si>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</si>
  <si>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</si>
  <si>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</si>
  <si>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</si>
  <si>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</si>
  <si>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</si>
  <si>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</si>
  <si>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</si>
  <si>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</si>
  <si>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</si>
  <si>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</si>
  <si>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</si>
  <si>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</si>
  <si>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</si>
  <si>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</si>
  <si>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</si>
  <si>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</si>
  <si>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</si>
  <si>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</si>
  <si>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</si>
  <si>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</si>
  <si>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</si>
  <si>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</si>
  <si>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</si>
  <si>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</si>
  <si>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</si>
  <si>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</si>
  <si>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</si>
  <si>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</si>
  <si>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</si>
  <si>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</si>
  <si>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</si>
  <si>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</si>
  <si>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</si>
  <si>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</si>
  <si>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</si>
  <si>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</si>
  <si>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</si>
  <si>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</si>
  <si>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</si>
  <si>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</si>
  <si>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</si>
  <si>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</si>
  <si>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</si>
  <si>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</si>
  <si>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</si>
  <si>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</si>
  <si>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</si>
  <si>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</si>
  <si>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</si>
  <si>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</si>
  <si>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</si>
  <si>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</si>
  <si>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</si>
  <si>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</si>
  <si>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</si>
  <si>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</si>
  <si>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</si>
  <si>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</si>
  <si>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</si>
  <si>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</si>
  <si>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</si>
  <si>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</si>
  <si>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</si>
  <si>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</si>
  <si>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</si>
  <si>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</si>
  <si>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</si>
  <si>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</si>
  <si>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</si>
  <si>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</si>
  <si>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</si>
  <si>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</si>
  <si>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</si>
  <si>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</si>
  <si>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</si>
  <si>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</si>
  <si>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</si>
  <si>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</si>
  <si>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</si>
  <si>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</si>
  <si>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</si>
  <si>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</si>
  <si>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</si>
  <si>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</si>
  <si>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</si>
  <si>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</si>
  <si>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</si>
  <si>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</si>
  <si>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</si>
  <si>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</si>
  <si>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</si>
  <si>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</si>
  <si>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</si>
  <si>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</si>
  <si>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</si>
  <si>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</si>
  <si>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</si>
  <si>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</si>
  <si>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</si>
  <si>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</si>
  <si>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</si>
  <si>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</si>
  <si>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</si>
  <si>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</si>
  <si>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</si>
  <si>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</si>
  <si>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</si>
  <si>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</si>
  <si>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</si>
  <si>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</si>
  <si>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</si>
  <si>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</si>
  <si>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</si>
  <si>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</si>
  <si>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</si>
  <si>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</si>
  <si>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</si>
  <si>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</si>
  <si>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</si>
  <si>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</si>
  <si>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</si>
  <si>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</si>
  <si>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</si>
  <si>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</si>
  <si>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</si>
  <si>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</si>
  <si>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</si>
  <si>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</si>
  <si>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</si>
  <si>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</si>
  <si>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</si>
  <si>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</si>
  <si>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</si>
  <si>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</si>
  <si>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</si>
  <si>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</si>
  <si>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</si>
  <si>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</si>
  <si>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</si>
  <si>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</si>
  <si>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</si>
  <si>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</si>
  <si>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</si>
  <si>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</si>
  <si>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</si>
  <si>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</si>
  <si>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</si>
  <si>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</si>
  <si>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</si>
  <si>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</si>
  <si>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</si>
  <si>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</si>
  <si>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</si>
  <si>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</si>
  <si>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</si>
  <si>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</si>
  <si>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</si>
  <si>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</si>
  <si>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</si>
  <si>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</si>
  <si>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</si>
  <si>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</si>
  <si>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</si>
  <si>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</si>
  <si>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</si>
  <si>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</si>
  <si>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</si>
  <si>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</si>
  <si>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</si>
  <si>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</si>
  <si>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</si>
  <si>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</si>
  <si>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</si>
  <si>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</si>
  <si>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</si>
  <si>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</si>
  <si>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</si>
  <si>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</si>
  <si>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</si>
  <si>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</si>
  <si>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</si>
  <si>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</si>
  <si>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</si>
  <si>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</si>
  <si>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</si>
  <si>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</si>
  <si>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</si>
  <si>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</si>
  <si>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</si>
  <si>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</si>
  <si>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</si>
  <si>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</si>
  <si>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</si>
  <si>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</si>
  <si>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</si>
  <si>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</si>
  <si>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</si>
  <si>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</si>
  <si>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</si>
  <si>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</si>
  <si>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</si>
  <si>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</si>
  <si>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</si>
  <si>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</si>
  <si>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</si>
  <si>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</si>
  <si>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</si>
  <si>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</si>
  <si>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</si>
  <si>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</si>
  <si>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</si>
  <si>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</si>
  <si>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</si>
  <si>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</si>
  <si>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</si>
  <si>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</si>
  <si>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</si>
  <si>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</si>
  <si>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</si>
  <si>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</si>
  <si>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</si>
  <si>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</si>
  <si>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</si>
  <si>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</si>
  <si>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</si>
  <si>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</si>
  <si>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</si>
  <si>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</si>
  <si>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</si>
  <si>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</si>
  <si>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</si>
  <si>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</si>
  <si>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</si>
  <si>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</si>
  <si>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</si>
  <si>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</si>
  <si>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</si>
  <si>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</si>
  <si>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</si>
  <si>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</si>
  <si>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</si>
  <si>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</si>
  <si>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</si>
  <si>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</si>
  <si>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</si>
  <si>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</si>
  <si>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</si>
  <si>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</si>
  <si>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</si>
  <si>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</si>
  <si>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</si>
  <si>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</si>
  <si>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</si>
  <si>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</si>
  <si>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</si>
  <si>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</si>
  <si>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</si>
  <si>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</si>
  <si>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</si>
  <si>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</si>
  <si>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</si>
  <si>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</si>
  <si>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</si>
  <si>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</si>
  <si>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</si>
  <si>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</si>
  <si>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</si>
  <si>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</si>
  <si>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</si>
  <si>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</si>
  <si>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</si>
  <si>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</si>
  <si>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</si>
  <si>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</si>
  <si>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</si>
  <si>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</si>
  <si>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</si>
  <si>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</si>
  <si>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</si>
  <si>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</si>
  <si>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</si>
  <si>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</si>
  <si>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</si>
  <si>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</si>
  <si>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</si>
  <si>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</si>
  <si>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</si>
  <si>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</si>
  <si>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</si>
  <si>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</si>
  <si>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</si>
  <si>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</si>
  <si>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</si>
  <si>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</si>
  <si>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</si>
  <si>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</si>
  <si>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</si>
  <si>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</si>
  <si>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</si>
  <si>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</si>
  <si>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</si>
  <si>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</si>
  <si>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</si>
  <si>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</si>
  <si>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</si>
  <si>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</si>
  <si>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</si>
  <si>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</si>
  <si>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</si>
  <si>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</si>
  <si>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</si>
  <si>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</si>
  <si>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</si>
  <si>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</si>
  <si>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</si>
  <si>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</si>
  <si>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</si>
  <si>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</si>
  <si>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</si>
  <si>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</si>
  <si>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</si>
  <si>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</si>
  <si>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</si>
  <si>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</si>
  <si>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</si>
  <si>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</si>
  <si>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</si>
  <si>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</si>
  <si>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</si>
  <si>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</si>
  <si>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</si>
  <si>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</si>
  <si>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</si>
  <si>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</si>
  <si>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</si>
  <si>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</si>
  <si>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</si>
  <si>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</si>
  <si>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</si>
  <si>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</si>
  <si>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</si>
  <si>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</si>
  <si>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</si>
  <si>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</si>
  <si>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</si>
  <si>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</si>
  <si>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</si>
  <si>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</si>
  <si>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</si>
  <si>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</si>
  <si>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</si>
  <si>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</si>
  <si>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</si>
  <si>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</si>
  <si>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</si>
  <si>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</si>
  <si>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</si>
  <si>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</si>
  <si>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</si>
  <si>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</si>
  <si>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</si>
  <si>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</si>
  <si>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</si>
  <si>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</si>
  <si>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</si>
  <si>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</si>
  <si>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</si>
  <si>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</si>
  <si>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</si>
  <si>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</si>
  <si>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</si>
  <si>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</si>
  <si>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</si>
  <si>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</si>
  <si>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</si>
  <si>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</si>
  <si>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</si>
  <si>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</si>
  <si>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</si>
  <si>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</si>
  <si>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</si>
  <si>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</si>
  <si>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</si>
  <si>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</si>
  <si>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</si>
  <si>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</si>
  <si>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</si>
  <si>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</si>
  <si>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</si>
  <si>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</si>
  <si>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</si>
  <si>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</si>
  <si>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</si>
  <si>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</si>
  <si>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</si>
  <si>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</si>
  <si>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</si>
  <si>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</si>
  <si>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</si>
  <si>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</si>
  <si>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</si>
  <si>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</si>
  <si>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</si>
  <si>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</si>
  <si>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</si>
  <si>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</si>
  <si>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</si>
  <si>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</si>
  <si>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</si>
  <si>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</si>
  <si>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</si>
  <si>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</si>
  <si>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</si>
  <si>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</si>
  <si>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</si>
  <si>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</si>
  <si>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</si>
  <si>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</si>
  <si>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</si>
  <si>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</si>
  <si>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</si>
  <si>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</si>
  <si>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</si>
  <si>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</si>
  <si>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</si>
  <si>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</si>
  <si>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</si>
  <si>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</si>
  <si>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</si>
  <si>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</si>
  <si>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</si>
  <si>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</si>
  <si>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</si>
  <si>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</si>
  <si>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</si>
  <si>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</si>
  <si>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</si>
  <si>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</si>
  <si>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</si>
  <si>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</si>
  <si>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</si>
  <si>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</si>
  <si>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</si>
  <si>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</si>
  <si>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</si>
  <si>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</si>
  <si>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</si>
  <si>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</si>
  <si>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</si>
  <si>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</si>
  <si>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</si>
  <si>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</si>
  <si>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</si>
  <si>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</si>
  <si>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</si>
  <si>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</si>
  <si>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</si>
  <si>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</si>
  <si>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</si>
  <si>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</si>
  <si>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</si>
  <si>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</si>
  <si>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</si>
  <si>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</si>
  <si>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</si>
  <si>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</si>
  <si>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</si>
  <si>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</si>
  <si>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</si>
  <si>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</si>
  <si>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</si>
  <si>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</si>
  <si>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</si>
  <si>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</si>
  <si>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</si>
  <si>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</si>
  <si>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</si>
  <si>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</si>
  <si>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</si>
  <si>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</si>
  <si>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</si>
  <si>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</si>
  <si>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</si>
  <si>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</si>
  <si>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</si>
  <si>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</si>
  <si>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</si>
  <si>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</si>
  <si>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</si>
  <si>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</si>
  <si>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</si>
  <si>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</si>
  <si>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</si>
  <si>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</si>
  <si>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</si>
  <si>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</si>
  <si>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</si>
  <si>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</si>
  <si>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</si>
  <si>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</si>
  <si>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</si>
  <si>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</si>
  <si>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</si>
  <si>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</si>
  <si>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</si>
  <si>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</si>
  <si>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</si>
  <si>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</si>
  <si>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</si>
  <si>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</si>
  <si>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</si>
  <si>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</si>
  <si>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</si>
  <si>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</si>
  <si>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</si>
  <si>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</si>
  <si>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</si>
  <si>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</si>
  <si>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</si>
  <si>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</si>
  <si>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</si>
  <si>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</si>
  <si>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</si>
  <si>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</si>
  <si>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</si>
  <si>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</si>
  <si>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</si>
  <si>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</si>
  <si>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</si>
  <si>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</si>
  <si>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</si>
  <si>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</si>
  <si>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</si>
  <si>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</si>
  <si>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</si>
  <si>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</si>
  <si>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</si>
  <si>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</si>
  <si>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</si>
  <si>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</si>
  <si>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</si>
  <si>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</si>
  <si>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</si>
  <si>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</si>
  <si>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</si>
  <si>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</si>
  <si>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</si>
  <si>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</si>
  <si>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</si>
  <si>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</si>
  <si>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</si>
  <si>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</si>
  <si>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</si>
  <si>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</si>
  <si>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</si>
  <si>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</si>
  <si>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</si>
  <si>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</si>
  <si>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</si>
  <si>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</si>
  <si>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</si>
  <si>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</si>
  <si>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</si>
  <si>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</si>
  <si>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</si>
  <si>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</si>
  <si>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</si>
  <si>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</si>
  <si>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</si>
  <si>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</si>
  <si>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</si>
  <si>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</si>
  <si>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</si>
  <si>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</si>
  <si>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</si>
  <si>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</si>
  <si>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</si>
  <si>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</si>
  <si>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</si>
  <si>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</si>
  <si>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</si>
  <si>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</si>
  <si>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</si>
  <si>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</si>
  <si>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</si>
  <si>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</si>
  <si>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</si>
  <si>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</si>
  <si>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</si>
  <si>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</si>
  <si>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</si>
  <si>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</si>
  <si>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</si>
  <si>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</si>
  <si>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</si>
  <si>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</si>
  <si>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</si>
  <si>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</si>
  <si>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</si>
  <si>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</si>
  <si>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</si>
  <si>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</si>
  <si>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</si>
  <si>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</si>
  <si>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</si>
  <si>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</si>
  <si>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</si>
  <si>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</si>
  <si>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</si>
  <si>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</si>
  <si>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</si>
  <si>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</si>
  <si>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</si>
  <si>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</si>
  <si>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</si>
  <si>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</si>
  <si>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</si>
  <si>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</si>
  <si>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</si>
  <si>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</si>
  <si>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</si>
  <si>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</si>
  <si>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</si>
  <si>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</si>
  <si>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</si>
  <si>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</si>
  <si>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</si>
  <si>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</si>
  <si>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</si>
  <si>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</si>
  <si>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</si>
  <si>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</si>
  <si>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</si>
  <si>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</si>
  <si>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</si>
  <si>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</si>
  <si>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</si>
  <si>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</si>
  <si>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</si>
  <si>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</si>
  <si>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</si>
  <si>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</si>
  <si>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</si>
  <si>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</si>
  <si>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</si>
  <si>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</si>
  <si>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</si>
  <si>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</si>
  <si>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</si>
  <si>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</si>
  <si>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</si>
  <si>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</si>
  <si>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</si>
  <si>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</si>
  <si>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</si>
  <si>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</si>
  <si>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</si>
  <si>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</si>
  <si>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</si>
  <si>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</si>
  <si>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</si>
  <si>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</si>
  <si>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</si>
  <si>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</si>
  <si>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</si>
  <si>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</si>
  <si>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</si>
  <si>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</si>
  <si>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</si>
  <si>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</si>
  <si>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</si>
  <si>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</si>
  <si>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</si>
  <si>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</si>
  <si>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</si>
  <si>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</si>
  <si>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</si>
  <si>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</si>
  <si>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</si>
  <si>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</si>
  <si>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</si>
  <si>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</si>
  <si>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</si>
  <si>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</si>
  <si>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</si>
  <si>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</si>
  <si>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</si>
  <si>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</si>
  <si>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</si>
  <si>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</si>
  <si>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</si>
  <si>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</si>
  <si>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</si>
  <si>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</si>
  <si>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</si>
  <si>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</si>
  <si>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</si>
  <si>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</si>
  <si>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</si>
  <si>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</si>
  <si>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</si>
  <si>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</si>
  <si>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</si>
  <si>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</si>
  <si>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</si>
  <si>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</si>
  <si>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</si>
  <si>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</si>
  <si>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</si>
  <si>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</si>
  <si>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</si>
  <si>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</si>
  <si>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</si>
  <si>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</si>
  <si>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</si>
  <si>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</si>
  <si>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</si>
  <si>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</si>
  <si>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</si>
  <si>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</si>
  <si>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</si>
  <si>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</si>
  <si>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</si>
  <si>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</si>
  <si>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</si>
  <si>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</si>
  <si>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</si>
  <si>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</si>
  <si>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</si>
  <si>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</si>
  <si>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</si>
  <si>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</si>
  <si>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</si>
  <si>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</si>
  <si>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</si>
  <si>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</si>
  <si>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</si>
  <si>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</si>
  <si>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</si>
  <si>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</si>
  <si>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</si>
  <si>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</si>
  <si>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</si>
  <si>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</si>
  <si>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</si>
  <si>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</si>
  <si>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</si>
  <si>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</si>
  <si>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</si>
  <si>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</si>
  <si>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</si>
  <si>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</si>
  <si>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</si>
  <si>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</si>
  <si>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</si>
  <si>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</si>
  <si>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</si>
  <si>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</si>
  <si>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</si>
  <si>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</si>
  <si>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</si>
  <si>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</si>
  <si>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</si>
  <si>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</si>
  <si>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</si>
  <si>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</si>
  <si>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</si>
  <si>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</si>
  <si>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</si>
  <si>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</si>
  <si>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</si>
  <si>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</si>
  <si>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</si>
  <si>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</si>
  <si>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</si>
  <si>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</si>
  <si>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</si>
  <si>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</si>
  <si>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</si>
  <si>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</si>
  <si>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</si>
  <si>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</si>
  <si>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</si>
  <si>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</si>
  <si>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</si>
  <si>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</si>
  <si>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</si>
  <si>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</si>
  <si>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</si>
  <si>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</si>
  <si>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</si>
  <si>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</si>
  <si>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</si>
  <si>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</si>
  <si>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</si>
  <si>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</si>
  <si>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</si>
  <si>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</si>
  <si>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</si>
  <si>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</si>
  <si>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</si>
  <si>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</si>
  <si>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</si>
  <si>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</si>
  <si>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</si>
  <si>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</si>
  <si>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</si>
  <si>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</si>
  <si>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</si>
  <si>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</si>
  <si>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</si>
  <si>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</si>
  <si>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</si>
  <si>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</si>
  <si>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</si>
  <si>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</si>
  <si>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</si>
  <si>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</si>
  <si>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</si>
  <si>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</si>
  <si>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</si>
  <si>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</si>
  <si>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</si>
  <si>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</si>
  <si>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</si>
  <si>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</si>
  <si>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</si>
  <si>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</si>
  <si>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</si>
  <si>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</si>
  <si>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</si>
  <si>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</si>
  <si>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</si>
  <si>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</si>
  <si>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</si>
  <si>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</si>
  <si>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</si>
  <si>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</si>
  <si>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</si>
  <si>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</si>
  <si>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</si>
  <si>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</si>
  <si>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</si>
  <si>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</si>
  <si>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</si>
  <si>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</si>
  <si>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</si>
  <si>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</si>
  <si>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</si>
  <si>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</si>
  <si>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</si>
  <si>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</si>
  <si>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</si>
  <si>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</si>
  <si>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</si>
  <si>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</si>
  <si>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</si>
  <si>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</si>
  <si>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</si>
  <si>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</si>
  <si>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</si>
  <si>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</si>
  <si>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</si>
  <si>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</si>
  <si>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</si>
  <si>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</si>
  <si>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</si>
  <si>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</si>
  <si>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</si>
  <si>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</si>
  <si>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</si>
  <si>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</si>
  <si>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</si>
  <si>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</si>
  <si>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</si>
  <si>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</si>
  <si>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</si>
  <si>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</si>
  <si>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</si>
  <si>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</si>
  <si>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</si>
  <si>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</si>
  <si>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</si>
  <si>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</si>
  <si>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</si>
  <si>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</si>
  <si>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</si>
  <si>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</si>
  <si>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</si>
  <si>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</si>
  <si>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</si>
  <si>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</si>
  <si>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</si>
  <si>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</si>
  <si>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</si>
  <si>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</si>
  <si>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</si>
  <si>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</si>
  <si>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</si>
  <si>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</si>
  <si>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</si>
  <si>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</si>
  <si>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</si>
  <si>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</si>
  <si>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</si>
  <si>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</si>
  <si>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</si>
  <si>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</si>
  <si>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</si>
  <si>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</si>
  <si>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</si>
  <si>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</si>
  <si>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</si>
  <si>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</si>
  <si>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</si>
  <si>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</si>
  <si>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</si>
  <si>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</si>
  <si>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</si>
  <si>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</si>
  <si>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</si>
  <si>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</si>
  <si>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</si>
  <si>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</si>
  <si>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</si>
  <si>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</si>
  <si>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</si>
  <si>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</si>
  <si>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</si>
  <si>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</si>
  <si>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</si>
  <si>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</si>
  <si>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</si>
  <si>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</si>
  <si>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</si>
  <si>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</si>
  <si>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</si>
  <si>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</si>
  <si>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</si>
  <si>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</si>
  <si>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</si>
  <si>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</si>
  <si>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</si>
  <si>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</si>
  <si>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</si>
  <si>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</si>
  <si>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</si>
  <si>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</si>
  <si>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</si>
  <si>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</si>
  <si>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</si>
  <si>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</si>
  <si>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</si>
  <si>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</si>
  <si>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</si>
  <si>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</si>
  <si>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</si>
  <si>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</si>
  <si>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</si>
  <si>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</si>
  <si>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</si>
  <si>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</si>
  <si>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</si>
  <si>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</si>
  <si>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</si>
  <si>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</si>
  <si>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</si>
  <si>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</si>
  <si>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</si>
  <si>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</si>
  <si>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</si>
  <si>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</si>
  <si>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</si>
  <si>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</si>
  <si>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</si>
  <si>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</si>
  <si>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</si>
  <si>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</si>
  <si>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</si>
  <si>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</si>
  <si>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</si>
  <si>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</si>
  <si>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</si>
  <si>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</si>
  <si>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</si>
  <si>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</si>
  <si>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</si>
  <si>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</si>
  <si>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</si>
  <si>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</si>
  <si>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</si>
  <si>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</si>
  <si>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</si>
  <si>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</si>
  <si>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</si>
  <si>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</si>
  <si>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</si>
  <si>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</si>
  <si>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</si>
  <si>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</si>
  <si>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</si>
  <si>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</si>
  <si>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</si>
  <si>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</si>
  <si>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</si>
  <si>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</si>
  <si>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</si>
  <si>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</si>
  <si>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</si>
  <si>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</si>
  <si>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</si>
  <si>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</si>
  <si>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</si>
  <si>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</si>
  <si>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</si>
  <si>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</si>
  <si>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</si>
  <si>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</si>
  <si>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</si>
  <si>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</si>
  <si>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</si>
  <si>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</si>
  <si>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</si>
  <si>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</si>
  <si>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</si>
  <si>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</si>
  <si>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</si>
  <si>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</si>
  <si>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</si>
  <si>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</si>
  <si>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</si>
  <si>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</si>
  <si>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</si>
  <si>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</si>
  <si>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</si>
  <si>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</si>
  <si>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</si>
  <si>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</si>
  <si>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</si>
  <si>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</si>
  <si>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</si>
  <si>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</si>
  <si>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</si>
  <si>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</si>
  <si>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</si>
  <si>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</si>
  <si>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</si>
  <si>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</si>
  <si>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</si>
  <si>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</si>
  <si>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</si>
  <si>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</si>
  <si>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</si>
  <si>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</si>
  <si>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</si>
  <si>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</si>
  <si>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</si>
  <si>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</si>
  <si>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</si>
  <si>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</si>
  <si>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</si>
  <si>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</si>
  <si>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</si>
  <si>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</si>
  <si>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</si>
  <si>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</si>
  <si>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</si>
  <si>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</si>
  <si>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</si>
  <si>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</si>
  <si>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</si>
  <si>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</si>
  <si>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</si>
  <si>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</si>
  <si>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</si>
  <si>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</si>
  <si>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</si>
  <si>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</si>
  <si>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</si>
  <si>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</si>
  <si>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</si>
  <si>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</si>
  <si>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</si>
  <si>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</si>
  <si>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</si>
  <si>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</si>
  <si>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</si>
  <si>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</si>
  <si>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</si>
  <si>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</si>
  <si>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</si>
  <si>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</si>
  <si>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</si>
  <si>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</si>
  <si>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</si>
  <si>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</si>
  <si>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</si>
  <si>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</si>
  <si>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</si>
  <si>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</si>
  <si>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</si>
  <si>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</si>
  <si>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</si>
  <si>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</si>
  <si>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</si>
  <si>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</si>
  <si>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</si>
  <si>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</si>
  <si>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</si>
  <si>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</si>
  <si>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</si>
  <si>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</si>
  <si>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</si>
  <si>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</si>
  <si>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</si>
  <si>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</si>
  <si>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</si>
  <si>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</si>
  <si>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</si>
  <si>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</si>
  <si>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</si>
  <si>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</si>
  <si>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</si>
  <si>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</si>
  <si>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</si>
  <si>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</si>
  <si>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</si>
  <si>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</si>
  <si>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</si>
  <si>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</si>
  <si>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</si>
  <si>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</si>
  <si>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</si>
  <si>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</si>
  <si>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</si>
  <si>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</si>
  <si>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</si>
  <si>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</si>
  <si>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</si>
  <si>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</si>
  <si>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</si>
  <si>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</si>
  <si>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</si>
  <si>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</si>
  <si>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</si>
  <si>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</si>
  <si>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</si>
  <si>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</si>
  <si>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</si>
  <si>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</si>
  <si>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</si>
  <si>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</si>
  <si>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</si>
  <si>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</si>
  <si>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</si>
  <si>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</si>
  <si>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</si>
  <si>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</si>
  <si>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</si>
  <si>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</si>
  <si>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</si>
  <si>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</si>
  <si>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</si>
  <si>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</si>
  <si>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</si>
  <si>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</si>
  <si>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</si>
  <si>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</si>
  <si>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</si>
  <si>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</si>
  <si>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</si>
  <si>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</si>
  <si>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</si>
  <si>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</si>
  <si>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</si>
  <si>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</si>
  <si>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</si>
  <si>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</si>
  <si>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</si>
  <si>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</si>
  <si>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</si>
  <si>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</si>
  <si>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</si>
  <si>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</si>
  <si>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</si>
  <si>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</si>
  <si>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</si>
  <si>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</si>
  <si>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</si>
  <si>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</si>
  <si>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</si>
  <si>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</si>
  <si>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</si>
  <si>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</si>
  <si>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</si>
  <si>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</si>
  <si>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</si>
  <si>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</si>
  <si>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</si>
  <si>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</si>
  <si>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</si>
  <si>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</si>
  <si>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</si>
  <si>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</si>
  <si>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</si>
  <si>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</si>
  <si>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</si>
  <si>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</si>
  <si>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</si>
  <si>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</si>
  <si>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</si>
  <si>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</si>
  <si>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</si>
  <si>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</si>
  <si>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</si>
  <si>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</si>
  <si>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</si>
  <si>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</si>
  <si>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</si>
  <si>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</si>
  <si>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</si>
  <si>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</si>
  <si>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</si>
  <si>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</si>
  <si>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</si>
  <si>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</si>
  <si>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</si>
  <si>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</si>
  <si>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</si>
  <si>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</si>
  <si>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</si>
  <si>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</si>
  <si>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</si>
  <si>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</si>
  <si>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</si>
  <si>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</si>
  <si>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</si>
  <si>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</si>
  <si>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</si>
  <si>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</si>
  <si>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</si>
  <si>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</si>
  <si>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</si>
  <si>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Última fecha de Actualización: 30/09/2026 21:29</t>
  </si>
  <si>
    <t>$L$139</t>
  </si>
  <si>
    <t>$L$144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</si>
</sst>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29">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32">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1857</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50"/>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66">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11.2">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66">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52.8">
      <c r="B141" s="56">
        <v>46178</v>
      </c>
      <c r="C141" s="69">
        <v>46178.506724537037</v>
      </c>
      <c r="D141" s="55" t="s">
        <v>684</v>
      </c>
      <c r="E141" s="55" t="s">
        <v>860</v>
      </c>
      <c r="G141" s="128" t="s">
        <v>859</v>
      </c>
    </row>
    <row r="142" spans="2:7" ht="92.4">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92.4">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92.4">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50.8">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18.8">
      <c r="B321" s="56">
        <v>46210</v>
      </c>
      <c r="C321" s="69">
        <v>46210.540902777779</v>
      </c>
      <c r="D321" s="55" t="s">
        <v>684</v>
      </c>
      <c r="E321" s="55" t="s">
        <v>1124</v>
      </c>
      <c r="F321" s="128" t="s">
        <v>1110</v>
      </c>
      <c r="G321" s="129" t="s">
        <v>1123</v>
      </c>
    </row>
    <row r="322" spans="2:7" ht="171.6">
      <c r="B322" s="56">
        <v>46210</v>
      </c>
      <c r="C322" s="69">
        <v>46210.540949074071</v>
      </c>
      <c r="D322" s="55" t="s">
        <v>684</v>
      </c>
      <c r="E322" s="55" t="s">
        <v>1126</v>
      </c>
      <c r="F322" s="128" t="s">
        <v>1111</v>
      </c>
      <c r="G322" s="129" t="s">
        <v>1125</v>
      </c>
    </row>
    <row r="323" spans="2:7" ht="132">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56.4">
      <c r="B335" s="56">
        <v>46210</v>
      </c>
      <c r="C335" s="69">
        <v>46210.542187500003</v>
      </c>
      <c r="D335" s="55" t="s">
        <v>684</v>
      </c>
      <c r="E335" s="55" t="s">
        <v>1156</v>
      </c>
      <c r="F335" s="128" t="s">
        <v>1101</v>
      </c>
      <c r="G335" s="128" t="s">
        <v>1157</v>
      </c>
    </row>
    <row r="336" spans="2:7" ht="198">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24.4">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66">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05.6">
      <c r="B484" s="56">
        <v>46244</v>
      </c>
      <c r="C484" s="69">
        <v>46244.617962962962</v>
      </c>
      <c r="D484" s="55" t="s">
        <v>684</v>
      </c>
      <c r="E484" s="55" t="s">
        <v>864</v>
      </c>
      <c r="F484" s="128" t="s">
        <v>861</v>
      </c>
      <c r="G484" s="128" t="s">
        <v>1334</v>
      </c>
    </row>
    <row r="485" spans="2:7" ht="105.6">
      <c r="B485" s="56">
        <v>46244</v>
      </c>
      <c r="C485" s="69">
        <v>46244.618032407408</v>
      </c>
      <c r="D485" s="55" t="s">
        <v>684</v>
      </c>
      <c r="E485" s="55" t="s">
        <v>860</v>
      </c>
      <c r="F485" s="128" t="s">
        <v>861</v>
      </c>
      <c r="G485" s="128" t="s">
        <v>1334</v>
      </c>
    </row>
    <row r="486" spans="2:7" ht="105.6">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84.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92.4">
      <c r="B711" s="56">
        <v>46280</v>
      </c>
      <c r="C711" s="69">
        <v>46280.490798611114</v>
      </c>
      <c r="D711" s="55" t="s">
        <v>684</v>
      </c>
      <c r="E711" s="55" t="s">
        <v>1580</v>
      </c>
      <c r="G711" s="128" t="s">
        <v>1579</v>
      </c>
    </row>
    <row r="712" spans="2:7" ht="92.4">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1858</v>
      </c>
      <c r="F1148" s="128" t="s">
        <v>201</v>
      </c>
      <c r="G1148" s="128" t="s">
        <v>33</v>
      </c>
    </row>
    <row r="1149" spans="2:7">
      <c r="B1149" s="56">
        <v>46295</v>
      </c>
      <c r="C1149" s="69">
        <v>46295.895289351851</v>
      </c>
      <c r="D1149" s="55" t="s">
        <v>684</v>
      </c>
      <c r="E1149" s="55" t="s">
        <v>1859</v>
      </c>
      <c r="F1149" s="128" t="s">
        <v>201</v>
      </c>
      <c r="G1149" s="128" t="s">
        <v>33</v>
      </c>
    </row>
    <row r="1150" spans="2:7">
      <c r="B1150" s="56">
        <v>46295</v>
      </c>
      <c r="C1150" s="69">
        <v>46295.895312499997</v>
      </c>
      <c r="D1150" s="55" t="s">
        <v>684</v>
      </c>
      <c r="E1150" s="55" t="s">
        <v>1047</v>
      </c>
      <c r="F1150" s="128" t="s">
        <v>201</v>
      </c>
      <c r="G1150" s="128" t="s">
        <v>33</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91.2">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91.2">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68.400000000000006">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68.400000000000006">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1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91.2">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193.8">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82.4">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193.8">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57">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34.200000000000003">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57">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57">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57">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25" t="s">
        <v>585</v>
      </c>
      <c r="V9" s="225"/>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26" t="s">
        <v>585</v>
      </c>
      <c r="L24" s="226"/>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27" t="s">
        <v>573</v>
      </c>
      <c r="D39" s="61" t="s">
        <v>573</v>
      </c>
      <c r="E39" s="61" t="s">
        <v>574</v>
      </c>
      <c r="F39" s="63" t="s">
        <v>575</v>
      </c>
      <c r="G39" s="63" t="s">
        <v>576</v>
      </c>
      <c r="H39" s="35"/>
      <c r="I39" s="63" t="s">
        <v>587</v>
      </c>
    </row>
    <row r="40" spans="3:36" ht="12">
      <c r="C40" s="228"/>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26" t="s">
        <v>585</v>
      </c>
      <c r="AC63" s="226"/>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27" t="s">
        <v>573</v>
      </c>
      <c r="AB78" s="43"/>
      <c r="AC78" s="7"/>
      <c r="AD78" s="43"/>
      <c r="AE78" s="43"/>
      <c r="AF78" s="43"/>
      <c r="AG78" s="43"/>
      <c r="AH78" s="43"/>
      <c r="AI78" s="43"/>
      <c r="AJ78" s="43"/>
    </row>
    <row r="79" spans="20:52">
      <c r="T79" s="228"/>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26" t="s">
        <v>585</v>
      </c>
      <c r="AS99" s="226"/>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27"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28"/>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42">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76.2">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2</v>
      </c>
      <c r="H31" s="10">
        <f>COUNTIFS('Base de datos'!$B:$B, $B31, 'Base de datos'!$G:$G, $C31, 'Base de datos'!$L:$L, "Vencida")</f>
        <v>2</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0</v>
      </c>
      <c r="G34" s="10">
        <f>COUNTIFS('Base de datos'!$B:$B, $B34, 'Base de datos'!$G:$G, $C34, 'Base de datos'!$L:$L, "Finalizada")</f>
        <v>0</v>
      </c>
      <c r="H34" s="10">
        <f>COUNTIFS('Base de datos'!$B:$B, $B34, 'Base de datos'!$G:$G, $C34, 'Base de datos'!$L:$L, "Vencida")</f>
        <v>1</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0</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4</v>
      </c>
      <c r="G42" s="10">
        <f>COUNTIFS('Base de datos'!$B:$B, $B42, 'Base de datos'!$G:$G, $C42, 'Base de datos'!$L:$L, "Finalizada")</f>
        <v>0</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3</v>
      </c>
      <c r="O42" s="29">
        <f ca="1">COUNTIFS('Base de datos'!$B:$B, $B42, 'Base de datos'!$G:$G, $C42, 'Base de datos'!$N:$N, "*30d*")</f>
        <v>0</v>
      </c>
      <c r="P42" s="52">
        <f ca="1">COUNTIFS('Base de datos'!$B:$B, $B42, 'Base de datos'!$G:$G, $C42, 'Base de datos'!$Q:$Q, "*5d*")</f>
        <v>1</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filterMode="1">
    <tabColor theme="9" tint="-0.249977111117893"/>
  </sheetPr>
  <dimension ref="A1:AC166"/>
  <sheetViews>
    <sheetView tabSelected="1" topLeftCell="F1" zoomScale="90" zoomScaleNormal="90" workbookViewId="0">
      <pane ySplit="1" topLeftCell="A105" activePane="bottomLeft" state="frozen"/>
      <selection pane="bottomLeft" activeCell="N107" sqref="N107"/>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hidden="1">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hidden="1">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hidden="1">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15.2" hidden="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hidden="1">
      <c r="A6" s="74" t="s">
        <v>13</v>
      </c>
      <c r="B6" s="75" t="s">
        <v>14</v>
      </c>
      <c r="C6" s="74" t="s">
        <v>29</v>
      </c>
      <c r="D6" s="74"/>
      <c r="E6" s="76"/>
      <c r="F6" s="74" t="s">
        <v>34</v>
      </c>
      <c r="G6" s="74" t="s">
        <v>269</v>
      </c>
      <c r="H6" s="77">
        <v>44995</v>
      </c>
      <c r="I6" s="206">
        <v>46203</v>
      </c>
      <c r="J6" s="82" t="s">
        <v>31</v>
      </c>
      <c r="K6" s="74" t="s">
        <v>804</v>
      </c>
      <c r="L6" s="79" t="s">
        <v>33</v>
      </c>
      <c r="M6" s="80" t="str">
        <f t="shared" ca="1" si="0"/>
        <v/>
      </c>
      <c r="N6" s="37" t="str">
        <f t="shared" ca="1" si="1"/>
        <v/>
      </c>
      <c r="O6" s="81" t="str">
        <f t="shared" ca="1" si="2"/>
        <v/>
      </c>
      <c r="P6" s="81" t="str">
        <f t="shared" ca="1" si="3"/>
        <v/>
      </c>
      <c r="Q6" s="81" t="str">
        <f t="shared" ca="1" si="4"/>
        <v/>
      </c>
      <c r="R6" s="84" t="s">
        <v>635</v>
      </c>
      <c r="S6" s="88"/>
      <c r="T6" s="152" t="s">
        <v>1523</v>
      </c>
      <c r="U6" s="152">
        <v>5</v>
      </c>
      <c r="V6" s="152"/>
      <c r="W6" s="152"/>
      <c r="X6" s="152"/>
      <c r="Y6" s="135"/>
      <c r="Z6" s="152"/>
      <c r="AA6" s="151"/>
      <c r="AB6" s="8">
        <v>0.5</v>
      </c>
      <c r="AC6" s="8" t="s">
        <v>1773</v>
      </c>
    </row>
    <row r="7" spans="1:29" ht="68.400000000000006" hidden="1">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hidden="1">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hidden="1">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hidden="1">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hidden="1">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hidden="1">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hidden="1">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hidden="1">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hidden="1">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hidden="1">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hidden="1">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36.80000000000001" hidden="1">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79.8" hidden="1">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hidden="1">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hidden="1">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79.8" hidden="1">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hidden="1">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hidden="1">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hidden="1">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hidden="1">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hidden="1">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hidden="1">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16.6" hidden="1">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hidden="1"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hidden="1">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hidden="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hidden="1">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hidden="1">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hidden="1">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hidden="1">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hidden="1">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hidden="1">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hidden="1">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hidden="1">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hidden="1">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hidden="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hidden="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hidden="1">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hidden="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hidden="1">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hidden="1">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hidden="1">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hidden="1">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hidden="1">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hidden="1" customHeight="1">
      <c r="A51" s="74" t="s">
        <v>180</v>
      </c>
      <c r="B51" s="75" t="s">
        <v>181</v>
      </c>
      <c r="C51" s="74" t="s">
        <v>186</v>
      </c>
      <c r="D51" s="74"/>
      <c r="E51" s="76"/>
      <c r="F51" s="74" t="s">
        <v>198</v>
      </c>
      <c r="G51" s="74" t="s">
        <v>199</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hidden="1">
      <c r="A52" s="74" t="s">
        <v>180</v>
      </c>
      <c r="B52" s="75" t="s">
        <v>181</v>
      </c>
      <c r="C52" s="74" t="s">
        <v>182</v>
      </c>
      <c r="D52" s="74"/>
      <c r="E52" s="76"/>
      <c r="F52" s="74" t="s">
        <v>202</v>
      </c>
      <c r="G52" s="74" t="s">
        <v>203</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hidden="1">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hidden="1">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hidden="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hidden="1">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14" hidden="1">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03.2" hidden="1">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hidden="1">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hidden="1">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hidden="1">
      <c r="A61" s="74" t="s">
        <v>180</v>
      </c>
      <c r="B61" s="75" t="s">
        <v>181</v>
      </c>
      <c r="C61" s="74" t="s">
        <v>182</v>
      </c>
      <c r="D61" s="74"/>
      <c r="E61" s="76"/>
      <c r="F61" s="74" t="s">
        <v>238</v>
      </c>
      <c r="G61" s="74" t="s">
        <v>239</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hidden="1">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hidden="1">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hidden="1">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hidden="1">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hidden="1">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hidden="1">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hidden="1">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hidden="1">
      <c r="A69" s="74" t="s">
        <v>180</v>
      </c>
      <c r="B69" s="92" t="s">
        <v>251</v>
      </c>
      <c r="C69" s="45" t="s">
        <v>272</v>
      </c>
      <c r="D69" s="45" t="s">
        <v>273</v>
      </c>
      <c r="E69" s="76" t="s">
        <v>188</v>
      </c>
      <c r="F69" s="47" t="s">
        <v>274</v>
      </c>
      <c r="G69" s="74" t="s">
        <v>275</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hidden="1">
      <c r="A70" s="74" t="s">
        <v>180</v>
      </c>
      <c r="B70" s="92" t="s">
        <v>251</v>
      </c>
      <c r="C70" s="45" t="s">
        <v>278</v>
      </c>
      <c r="D70" s="45" t="s">
        <v>279</v>
      </c>
      <c r="E70" s="198" t="s">
        <v>280</v>
      </c>
      <c r="F70" s="47" t="s">
        <v>281</v>
      </c>
      <c r="G70" s="47" t="s">
        <v>502</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hidden="1">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hidden="1">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hidden="1">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68.400000000000006" hidden="1">
      <c r="A74" s="74" t="s">
        <v>180</v>
      </c>
      <c r="B74" s="92" t="s">
        <v>251</v>
      </c>
      <c r="C74" s="45" t="s">
        <v>294</v>
      </c>
      <c r="D74" s="45" t="s">
        <v>295</v>
      </c>
      <c r="E74" s="198" t="s">
        <v>280</v>
      </c>
      <c r="F74" s="47" t="s">
        <v>296</v>
      </c>
      <c r="G74" s="47" t="s">
        <v>275</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57" hidden="1">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hidden="1">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hidden="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hidden="1">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hidden="1">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hidden="1">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hidden="1">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hidden="1">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hidden="1">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hidden="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hidden="1">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hidden="1">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hidden="1">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hidden="1">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hidden="1">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hidden="1">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hidden="1">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hidden="1">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hidden="1">
      <c r="A93" s="74" t="s">
        <v>180</v>
      </c>
      <c r="B93" s="92" t="s">
        <v>360</v>
      </c>
      <c r="C93" s="45" t="s">
        <v>369</v>
      </c>
      <c r="D93" s="47" t="s">
        <v>509</v>
      </c>
      <c r="E93" s="198" t="s">
        <v>188</v>
      </c>
      <c r="F93" s="47" t="s">
        <v>370</v>
      </c>
      <c r="G93" s="47" t="s">
        <v>371</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hidden="1">
      <c r="A94" s="74" t="s">
        <v>180</v>
      </c>
      <c r="B94" s="92" t="s">
        <v>360</v>
      </c>
      <c r="C94" s="45" t="s">
        <v>369</v>
      </c>
      <c r="D94" s="47"/>
      <c r="E94" s="198"/>
      <c r="F94" s="47" t="s">
        <v>373</v>
      </c>
      <c r="G94" s="47" t="s">
        <v>371</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hidden="1">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hidden="1">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hidden="1">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hidden="1">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hidden="1">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hidden="1">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hidden="1">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hidden="1">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hidden="1">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hidden="1">
      <c r="A104" s="74" t="s">
        <v>180</v>
      </c>
      <c r="B104" s="92" t="s">
        <v>399</v>
      </c>
      <c r="C104" s="45" t="s">
        <v>403</v>
      </c>
      <c r="D104" s="45"/>
      <c r="E104" s="198"/>
      <c r="F104" s="47" t="s">
        <v>406</v>
      </c>
      <c r="G104" s="47" t="s">
        <v>179</v>
      </c>
      <c r="H104" s="87">
        <v>46020</v>
      </c>
      <c r="I104" s="208">
        <v>46387</v>
      </c>
      <c r="J104" s="84" t="s">
        <v>407</v>
      </c>
      <c r="K104" s="106"/>
      <c r="L104" s="37" t="s">
        <v>201</v>
      </c>
      <c r="M104" s="80">
        <f t="shared" ca="1" si="5"/>
        <v>92</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84" t="s">
        <v>407</v>
      </c>
      <c r="K105" s="180" t="s">
        <v>1334</v>
      </c>
      <c r="L105" s="37" t="s">
        <v>33</v>
      </c>
      <c r="M105" s="80" t="str">
        <f t="shared" ca="1" si="5"/>
        <v/>
      </c>
      <c r="N105" s="37" t="str">
        <f t="shared" ca="1" si="6"/>
        <v/>
      </c>
      <c r="O105" s="81" t="str">
        <f t="shared" ca="1" si="7"/>
        <v/>
      </c>
      <c r="P105" s="81" t="str">
        <f t="shared" ca="1" si="8"/>
        <v/>
      </c>
      <c r="Q105" s="81" t="str">
        <f t="shared" ca="1" si="9"/>
        <v/>
      </c>
      <c r="R105" s="84" t="s">
        <v>644</v>
      </c>
      <c r="S105" s="88"/>
      <c r="T105" s="152" t="s">
        <v>1523</v>
      </c>
      <c r="U105" s="152">
        <v>104</v>
      </c>
      <c r="V105" s="186">
        <v>20265000026423</v>
      </c>
      <c r="W105" s="88">
        <v>46233</v>
      </c>
      <c r="X105" s="152" t="s">
        <v>589</v>
      </c>
      <c r="Y105" s="83" t="s">
        <v>1351</v>
      </c>
      <c r="Z105" s="152" t="s">
        <v>1353</v>
      </c>
      <c r="AA105" s="187" t="s">
        <v>1355</v>
      </c>
      <c r="AB105" s="8">
        <v>0.5</v>
      </c>
      <c r="AC105" s="8" t="s">
        <v>1785</v>
      </c>
    </row>
    <row r="106" spans="1:29" ht="72" hidden="1">
      <c r="A106" s="74" t="s">
        <v>180</v>
      </c>
      <c r="B106" s="92" t="s">
        <v>399</v>
      </c>
      <c r="C106" s="45" t="s">
        <v>409</v>
      </c>
      <c r="D106" s="45"/>
      <c r="E106" s="198"/>
      <c r="F106" s="107"/>
      <c r="G106" s="47" t="s">
        <v>118</v>
      </c>
      <c r="H106" s="87"/>
      <c r="I106" s="208"/>
      <c r="J106" s="97"/>
      <c r="K106" s="106" t="s">
        <v>168</v>
      </c>
      <c r="L106" s="37" t="s">
        <v>171</v>
      </c>
      <c r="M106" s="80" t="str">
        <f t="shared" ca="1" si="5"/>
        <v/>
      </c>
      <c r="N106" s="37" t="str">
        <f t="shared" ca="1" si="6"/>
        <v/>
      </c>
      <c r="O106" s="81" t="str">
        <f t="shared" ca="1" si="7"/>
        <v/>
      </c>
      <c r="P106" s="81" t="str">
        <f t="shared" ca="1" si="8"/>
        <v/>
      </c>
      <c r="Q106" s="81" t="str">
        <f t="shared" ca="1" si="9"/>
        <v/>
      </c>
      <c r="R106" s="83" t="s">
        <v>647</v>
      </c>
      <c r="S106" s="88"/>
      <c r="T106" s="152" t="s">
        <v>1523</v>
      </c>
      <c r="U106" s="152">
        <v>105</v>
      </c>
      <c r="V106" s="152"/>
      <c r="W106" s="152"/>
      <c r="X106" s="152"/>
      <c r="Y106" s="135"/>
      <c r="Z106" s="152"/>
      <c r="AA106" s="151"/>
      <c r="AB106" s="8">
        <v>0.5</v>
      </c>
      <c r="AC106" s="8" t="s">
        <v>1775</v>
      </c>
    </row>
    <row r="107" spans="1:29" ht="201.6">
      <c r="A107" s="74" t="s">
        <v>180</v>
      </c>
      <c r="B107" s="92" t="s">
        <v>399</v>
      </c>
      <c r="C107" s="45" t="s">
        <v>411</v>
      </c>
      <c r="D107" s="45" t="s">
        <v>519</v>
      </c>
      <c r="E107" s="198" t="s">
        <v>188</v>
      </c>
      <c r="F107" s="47" t="s">
        <v>412</v>
      </c>
      <c r="G107" s="47" t="s">
        <v>413</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9.8">
      <c r="A108" s="74" t="s">
        <v>180</v>
      </c>
      <c r="B108" s="92" t="s">
        <v>399</v>
      </c>
      <c r="C108" s="45" t="s">
        <v>411</v>
      </c>
      <c r="D108" s="45"/>
      <c r="E108" s="198"/>
      <c r="F108" s="47" t="s">
        <v>415</v>
      </c>
      <c r="G108" s="47" t="s">
        <v>179</v>
      </c>
      <c r="H108" s="87">
        <v>46020</v>
      </c>
      <c r="I108" s="208">
        <v>46295</v>
      </c>
      <c r="J108" s="84" t="s">
        <v>414</v>
      </c>
      <c r="K108" s="143" t="s">
        <v>1334</v>
      </c>
      <c r="L108" s="37" t="s">
        <v>33</v>
      </c>
      <c r="M108" s="80" t="str">
        <f t="shared" ca="1" si="5"/>
        <v/>
      </c>
      <c r="N108" s="37" t="str">
        <f t="shared" ca="1" si="6"/>
        <v/>
      </c>
      <c r="O108" s="81" t="str">
        <f t="shared" ca="1" si="7"/>
        <v/>
      </c>
      <c r="P108" s="81" t="str">
        <f t="shared" ca="1" si="8"/>
        <v/>
      </c>
      <c r="Q108" s="81" t="str">
        <f t="shared" ca="1" si="9"/>
        <v/>
      </c>
      <c r="R108" s="84" t="s">
        <v>644</v>
      </c>
      <c r="S108" s="88"/>
      <c r="T108" s="152" t="s">
        <v>1523</v>
      </c>
      <c r="U108" s="152">
        <v>107</v>
      </c>
      <c r="V108" s="186">
        <v>20265000026423</v>
      </c>
      <c r="W108" s="88">
        <v>46233</v>
      </c>
      <c r="X108" s="152" t="s">
        <v>589</v>
      </c>
      <c r="Y108" s="83" t="s">
        <v>1351</v>
      </c>
      <c r="Z108" s="152" t="s">
        <v>1353</v>
      </c>
      <c r="AA108" s="187" t="s">
        <v>1355</v>
      </c>
      <c r="AB108" s="8">
        <v>0.5</v>
      </c>
      <c r="AC108" s="8" t="s">
        <v>1785</v>
      </c>
    </row>
    <row r="109" spans="1:29" ht="72" hidden="1">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hidden="1">
      <c r="A110" s="74" t="s">
        <v>180</v>
      </c>
      <c r="B110" s="92" t="s">
        <v>419</v>
      </c>
      <c r="C110" s="45" t="s">
        <v>420</v>
      </c>
      <c r="D110" s="45" t="s">
        <v>421</v>
      </c>
      <c r="E110" s="198" t="s">
        <v>188</v>
      </c>
      <c r="F110" s="47" t="s">
        <v>422</v>
      </c>
      <c r="G110" s="47" t="s">
        <v>17</v>
      </c>
      <c r="H110" s="87">
        <v>45992</v>
      </c>
      <c r="I110" s="208">
        <v>46218</v>
      </c>
      <c r="J110" s="118" t="s">
        <v>423</v>
      </c>
      <c r="K110" s="108"/>
      <c r="L110" s="37" t="s">
        <v>33</v>
      </c>
      <c r="M110" s="80" t="str">
        <f t="shared" ca="1" si="5"/>
        <v/>
      </c>
      <c r="N110" s="37" t="str">
        <f t="shared" ca="1" si="6"/>
        <v/>
      </c>
      <c r="O110" s="81" t="str">
        <f t="shared" ca="1" si="7"/>
        <v/>
      </c>
      <c r="P110" s="81" t="str">
        <f t="shared" ca="1" si="8"/>
        <v/>
      </c>
      <c r="Q110" s="81" t="str">
        <f t="shared" ca="1" si="9"/>
        <v/>
      </c>
      <c r="R110" s="116" t="s">
        <v>641</v>
      </c>
      <c r="S110" s="204"/>
      <c r="T110" s="152" t="s">
        <v>1537</v>
      </c>
      <c r="U110" s="152">
        <v>109</v>
      </c>
      <c r="V110" s="152"/>
      <c r="W110" s="152"/>
      <c r="X110" s="152"/>
      <c r="Y110" s="135"/>
      <c r="Z110" s="152"/>
      <c r="AA110" s="151"/>
      <c r="AB110" s="8">
        <v>0.16</v>
      </c>
      <c r="AC110" s="8" t="s">
        <v>1783</v>
      </c>
    </row>
    <row r="111" spans="1:29" ht="72" hidden="1">
      <c r="A111" s="74" t="s">
        <v>180</v>
      </c>
      <c r="B111" s="92" t="s">
        <v>419</v>
      </c>
      <c r="C111" s="45" t="s">
        <v>420</v>
      </c>
      <c r="D111" s="108"/>
      <c r="E111" s="198"/>
      <c r="F111" s="47" t="s">
        <v>424</v>
      </c>
      <c r="G111" s="47" t="s">
        <v>17</v>
      </c>
      <c r="H111" s="87">
        <v>45992</v>
      </c>
      <c r="I111" s="208">
        <v>46218</v>
      </c>
      <c r="J111" s="118" t="s">
        <v>423</v>
      </c>
      <c r="K111" s="108"/>
      <c r="L111" s="37" t="s">
        <v>33</v>
      </c>
      <c r="M111" s="80" t="str">
        <f t="shared" ca="1" si="5"/>
        <v/>
      </c>
      <c r="N111" s="37" t="str">
        <f t="shared" ca="1" si="6"/>
        <v/>
      </c>
      <c r="O111" s="81" t="str">
        <f t="shared" ca="1" si="7"/>
        <v/>
      </c>
      <c r="P111" s="81" t="str">
        <f t="shared" ca="1" si="8"/>
        <v/>
      </c>
      <c r="Q111" s="81" t="str">
        <f t="shared" ca="1" si="9"/>
        <v/>
      </c>
      <c r="R111" s="116" t="s">
        <v>641</v>
      </c>
      <c r="S111" s="204"/>
      <c r="T111" s="152" t="s">
        <v>1537</v>
      </c>
      <c r="U111" s="152">
        <v>110</v>
      </c>
      <c r="V111" s="152"/>
      <c r="W111" s="152"/>
      <c r="X111" s="152"/>
      <c r="Y111" s="135"/>
      <c r="Z111" s="152"/>
      <c r="AA111" s="151"/>
      <c r="AB111" s="8">
        <v>0.16</v>
      </c>
      <c r="AC111" s="8" t="s">
        <v>1783</v>
      </c>
    </row>
    <row r="112" spans="1:29" ht="72" hidden="1">
      <c r="A112" s="74" t="s">
        <v>180</v>
      </c>
      <c r="B112" s="92" t="s">
        <v>419</v>
      </c>
      <c r="C112" s="45" t="s">
        <v>420</v>
      </c>
      <c r="D112" s="108"/>
      <c r="E112" s="198"/>
      <c r="F112" s="47" t="s">
        <v>425</v>
      </c>
      <c r="G112" s="47" t="s">
        <v>17</v>
      </c>
      <c r="H112" s="87">
        <v>45992</v>
      </c>
      <c r="I112" s="208">
        <v>46218</v>
      </c>
      <c r="J112" s="118" t="s">
        <v>423</v>
      </c>
      <c r="K112" s="108"/>
      <c r="L112" s="37" t="s">
        <v>33</v>
      </c>
      <c r="M112" s="80" t="str">
        <f t="shared" ca="1" si="5"/>
        <v/>
      </c>
      <c r="N112" s="37" t="str">
        <f t="shared" ca="1" si="6"/>
        <v/>
      </c>
      <c r="O112" s="81" t="str">
        <f t="shared" ca="1" si="7"/>
        <v/>
      </c>
      <c r="P112" s="81" t="str">
        <f t="shared" ca="1" si="8"/>
        <v/>
      </c>
      <c r="Q112" s="81" t="str">
        <f t="shared" ca="1" si="9"/>
        <v/>
      </c>
      <c r="R112" s="116" t="s">
        <v>641</v>
      </c>
      <c r="S112" s="204"/>
      <c r="T112" s="152" t="s">
        <v>1537</v>
      </c>
      <c r="U112" s="152">
        <v>111</v>
      </c>
      <c r="V112" s="152"/>
      <c r="W112" s="152"/>
      <c r="X112" s="152"/>
      <c r="Y112" s="135"/>
      <c r="Z112" s="152"/>
      <c r="AA112" s="151"/>
      <c r="AB112" s="8">
        <v>0.16</v>
      </c>
      <c r="AC112" s="8" t="s">
        <v>1783</v>
      </c>
    </row>
    <row r="113" spans="1:29" ht="72" hidden="1">
      <c r="A113" s="74" t="s">
        <v>180</v>
      </c>
      <c r="B113" s="92" t="s">
        <v>419</v>
      </c>
      <c r="C113" s="45" t="s">
        <v>420</v>
      </c>
      <c r="D113" s="108"/>
      <c r="E113" s="198"/>
      <c r="F113" s="47" t="s">
        <v>426</v>
      </c>
      <c r="G113" s="47" t="s">
        <v>17</v>
      </c>
      <c r="H113" s="87">
        <v>45992</v>
      </c>
      <c r="I113" s="208">
        <v>46218</v>
      </c>
      <c r="J113" s="118" t="s">
        <v>423</v>
      </c>
      <c r="K113" s="108"/>
      <c r="L113" s="37" t="s">
        <v>33</v>
      </c>
      <c r="M113" s="80" t="str">
        <f t="shared" ca="1" si="5"/>
        <v/>
      </c>
      <c r="N113" s="37" t="str">
        <f t="shared" ca="1" si="6"/>
        <v/>
      </c>
      <c r="O113" s="81" t="str">
        <f t="shared" ca="1" si="7"/>
        <v/>
      </c>
      <c r="P113" s="81" t="str">
        <f t="shared" ca="1" si="8"/>
        <v/>
      </c>
      <c r="Q113" s="81" t="str">
        <f t="shared" ca="1" si="9"/>
        <v/>
      </c>
      <c r="R113" s="116" t="s">
        <v>641</v>
      </c>
      <c r="S113" s="204"/>
      <c r="T113" s="152" t="s">
        <v>1537</v>
      </c>
      <c r="U113" s="152">
        <v>112</v>
      </c>
      <c r="V113" s="152"/>
      <c r="W113" s="152"/>
      <c r="X113" s="152"/>
      <c r="Y113" s="135"/>
      <c r="Z113" s="152"/>
      <c r="AA113" s="151"/>
      <c r="AB113" s="8">
        <v>0.16</v>
      </c>
      <c r="AC113" s="8" t="s">
        <v>1783</v>
      </c>
    </row>
    <row r="114" spans="1:29" ht="72" hidden="1">
      <c r="A114" s="74" t="s">
        <v>180</v>
      </c>
      <c r="B114" s="92" t="s">
        <v>419</v>
      </c>
      <c r="C114" s="45" t="s">
        <v>420</v>
      </c>
      <c r="D114" s="108"/>
      <c r="E114" s="198"/>
      <c r="F114" s="47" t="s">
        <v>427</v>
      </c>
      <c r="G114" s="47" t="s">
        <v>17</v>
      </c>
      <c r="H114" s="87">
        <v>45992</v>
      </c>
      <c r="I114" s="208">
        <v>46218</v>
      </c>
      <c r="J114" s="118" t="s">
        <v>423</v>
      </c>
      <c r="K114" s="108"/>
      <c r="L114" s="37" t="s">
        <v>33</v>
      </c>
      <c r="M114" s="80" t="str">
        <f t="shared" ca="1" si="5"/>
        <v/>
      </c>
      <c r="N114" s="37" t="str">
        <f t="shared" ca="1" si="6"/>
        <v/>
      </c>
      <c r="O114" s="81" t="str">
        <f t="shared" ca="1" si="7"/>
        <v/>
      </c>
      <c r="P114" s="81" t="str">
        <f t="shared" ca="1" si="8"/>
        <v/>
      </c>
      <c r="Q114" s="81" t="str">
        <f t="shared" ca="1" si="9"/>
        <v/>
      </c>
      <c r="R114" s="116" t="s">
        <v>641</v>
      </c>
      <c r="S114" s="204"/>
      <c r="T114" s="152" t="s">
        <v>1537</v>
      </c>
      <c r="U114" s="152">
        <v>113</v>
      </c>
      <c r="V114" s="152"/>
      <c r="W114" s="152"/>
      <c r="X114" s="152"/>
      <c r="Y114" s="135"/>
      <c r="Z114" s="152"/>
      <c r="AA114" s="151"/>
      <c r="AB114" s="8">
        <v>0.16</v>
      </c>
      <c r="AC114" s="8" t="s">
        <v>1783</v>
      </c>
    </row>
    <row r="115" spans="1:29" ht="72" hidden="1">
      <c r="A115" s="74" t="s">
        <v>180</v>
      </c>
      <c r="B115" s="92" t="s">
        <v>419</v>
      </c>
      <c r="C115" s="45" t="s">
        <v>420</v>
      </c>
      <c r="D115" s="108"/>
      <c r="E115" s="198"/>
      <c r="F115" s="47" t="s">
        <v>428</v>
      </c>
      <c r="G115" s="47" t="s">
        <v>17</v>
      </c>
      <c r="H115" s="87">
        <v>45992</v>
      </c>
      <c r="I115" s="208">
        <v>46218</v>
      </c>
      <c r="J115" s="118" t="s">
        <v>423</v>
      </c>
      <c r="K115" s="108"/>
      <c r="L115" s="37" t="s">
        <v>33</v>
      </c>
      <c r="M115" s="80" t="str">
        <f t="shared" ca="1" si="5"/>
        <v/>
      </c>
      <c r="N115" s="37" t="str">
        <f t="shared" ca="1" si="6"/>
        <v/>
      </c>
      <c r="O115" s="81" t="str">
        <f t="shared" ca="1" si="7"/>
        <v/>
      </c>
      <c r="P115" s="81" t="str">
        <f t="shared" ca="1" si="8"/>
        <v/>
      </c>
      <c r="Q115" s="81" t="str">
        <f t="shared" ca="1" si="9"/>
        <v/>
      </c>
      <c r="R115" s="116" t="s">
        <v>641</v>
      </c>
      <c r="S115" s="204"/>
      <c r="T115" s="152" t="s">
        <v>1537</v>
      </c>
      <c r="U115" s="152">
        <v>114</v>
      </c>
      <c r="V115" s="152"/>
      <c r="W115" s="152"/>
      <c r="X115" s="152"/>
      <c r="Y115" s="135"/>
      <c r="Z115" s="152"/>
      <c r="AA115" s="151"/>
      <c r="AB115" s="8">
        <v>0.2</v>
      </c>
      <c r="AC115" s="8" t="s">
        <v>1783</v>
      </c>
    </row>
    <row r="116" spans="1:29" ht="142.19999999999999" hidden="1" customHeight="1">
      <c r="A116" s="74" t="s">
        <v>180</v>
      </c>
      <c r="B116" s="92" t="s">
        <v>419</v>
      </c>
      <c r="C116" s="45" t="s">
        <v>429</v>
      </c>
      <c r="D116" s="45" t="s">
        <v>430</v>
      </c>
      <c r="E116" s="198" t="s">
        <v>188</v>
      </c>
      <c r="F116" s="47" t="s">
        <v>431</v>
      </c>
      <c r="G116" s="47" t="s">
        <v>534</v>
      </c>
      <c r="H116" s="87">
        <v>45992</v>
      </c>
      <c r="I116" s="208">
        <v>46142</v>
      </c>
      <c r="J116" s="118" t="s">
        <v>432</v>
      </c>
      <c r="K116" s="108"/>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hidden="1">
      <c r="A117" s="74" t="s">
        <v>180</v>
      </c>
      <c r="B117" s="92" t="s">
        <v>419</v>
      </c>
      <c r="C117" s="45" t="s">
        <v>429</v>
      </c>
      <c r="D117" s="108"/>
      <c r="E117" s="198"/>
      <c r="F117" s="47" t="s">
        <v>433</v>
      </c>
      <c r="G117" s="47" t="s">
        <v>534</v>
      </c>
      <c r="H117" s="87">
        <v>45992</v>
      </c>
      <c r="I117" s="208">
        <v>46142</v>
      </c>
      <c r="J117" s="118" t="s">
        <v>432</v>
      </c>
      <c r="K117" s="108"/>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hidden="1">
      <c r="A118" s="74" t="s">
        <v>180</v>
      </c>
      <c r="B118" s="92" t="s">
        <v>419</v>
      </c>
      <c r="C118" s="45" t="s">
        <v>429</v>
      </c>
      <c r="D118" s="108"/>
      <c r="E118" s="198"/>
      <c r="F118" s="47" t="s">
        <v>434</v>
      </c>
      <c r="G118" s="47" t="s">
        <v>534</v>
      </c>
      <c r="H118" s="87">
        <v>45992</v>
      </c>
      <c r="I118" s="208">
        <v>46142</v>
      </c>
      <c r="J118" s="118" t="s">
        <v>432</v>
      </c>
      <c r="K118" s="108"/>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hidden="1">
      <c r="A119" s="74" t="s">
        <v>180</v>
      </c>
      <c r="B119" s="92" t="s">
        <v>419</v>
      </c>
      <c r="C119" s="45" t="s">
        <v>429</v>
      </c>
      <c r="D119" s="108"/>
      <c r="E119" s="198"/>
      <c r="F119" s="47" t="s">
        <v>435</v>
      </c>
      <c r="G119" s="47" t="s">
        <v>534</v>
      </c>
      <c r="H119" s="87">
        <v>45992</v>
      </c>
      <c r="I119" s="208">
        <v>46142</v>
      </c>
      <c r="J119" s="118" t="s">
        <v>432</v>
      </c>
      <c r="K119" s="108"/>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hidden="1">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91</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hidden="1">
      <c r="A121" s="74" t="s">
        <v>180</v>
      </c>
      <c r="B121" s="92" t="s">
        <v>419</v>
      </c>
      <c r="C121" s="45" t="s">
        <v>436</v>
      </c>
      <c r="D121" s="108"/>
      <c r="E121" s="198"/>
      <c r="F121" s="47" t="s">
        <v>439</v>
      </c>
      <c r="G121" s="47" t="s">
        <v>115</v>
      </c>
      <c r="H121" s="87">
        <v>45996</v>
      </c>
      <c r="I121" s="208">
        <v>46386</v>
      </c>
      <c r="J121" s="118" t="s">
        <v>438</v>
      </c>
      <c r="K121" s="108"/>
      <c r="L121" s="37" t="s">
        <v>201</v>
      </c>
      <c r="M121" s="80">
        <f t="shared" ca="1" si="5"/>
        <v>91</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hidden="1">
      <c r="A122" s="74" t="s">
        <v>180</v>
      </c>
      <c r="B122" s="92" t="s">
        <v>419</v>
      </c>
      <c r="C122" s="45" t="s">
        <v>436</v>
      </c>
      <c r="D122" s="108"/>
      <c r="E122" s="198"/>
      <c r="F122" s="47" t="s">
        <v>440</v>
      </c>
      <c r="G122" s="47" t="s">
        <v>115</v>
      </c>
      <c r="H122" s="87">
        <v>45996</v>
      </c>
      <c r="I122" s="208">
        <v>46386</v>
      </c>
      <c r="J122" s="118" t="s">
        <v>438</v>
      </c>
      <c r="K122" s="108"/>
      <c r="L122" s="37" t="s">
        <v>201</v>
      </c>
      <c r="M122" s="80">
        <f t="shared" ca="1" si="5"/>
        <v>91</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hidden="1">
      <c r="A123" s="74" t="s">
        <v>180</v>
      </c>
      <c r="B123" s="92" t="s">
        <v>419</v>
      </c>
      <c r="C123" s="45" t="s">
        <v>436</v>
      </c>
      <c r="D123" s="108"/>
      <c r="E123" s="198"/>
      <c r="F123" s="47" t="s">
        <v>441</v>
      </c>
      <c r="G123" s="47" t="s">
        <v>115</v>
      </c>
      <c r="H123" s="87">
        <v>45996</v>
      </c>
      <c r="I123" s="208">
        <v>46386</v>
      </c>
      <c r="J123" s="118" t="s">
        <v>438</v>
      </c>
      <c r="K123" s="108"/>
      <c r="L123" s="37" t="s">
        <v>201</v>
      </c>
      <c r="M123" s="80">
        <f t="shared" ca="1" si="5"/>
        <v>91</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hidden="1">
      <c r="A124" s="74" t="s">
        <v>180</v>
      </c>
      <c r="B124" s="92" t="s">
        <v>419</v>
      </c>
      <c r="C124" s="45" t="s">
        <v>436</v>
      </c>
      <c r="D124" s="108"/>
      <c r="E124" s="198"/>
      <c r="F124" s="47" t="s">
        <v>442</v>
      </c>
      <c r="G124" s="47" t="s">
        <v>115</v>
      </c>
      <c r="H124" s="87">
        <v>45996</v>
      </c>
      <c r="I124" s="208">
        <v>46386</v>
      </c>
      <c r="J124" s="118" t="s">
        <v>438</v>
      </c>
      <c r="K124" s="108"/>
      <c r="L124" s="37" t="s">
        <v>201</v>
      </c>
      <c r="M124" s="80">
        <f t="shared" ca="1" si="5"/>
        <v>91</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hidden="1">
      <c r="A125" s="74" t="s">
        <v>180</v>
      </c>
      <c r="B125" s="92" t="s">
        <v>419</v>
      </c>
      <c r="C125" s="45" t="s">
        <v>443</v>
      </c>
      <c r="D125" s="45" t="s">
        <v>522</v>
      </c>
      <c r="E125" s="198" t="s">
        <v>188</v>
      </c>
      <c r="F125" s="47" t="s">
        <v>444</v>
      </c>
      <c r="G125" s="47" t="s">
        <v>445</v>
      </c>
      <c r="H125" s="87">
        <v>45992</v>
      </c>
      <c r="I125" s="208">
        <v>46142</v>
      </c>
      <c r="J125" s="118" t="s">
        <v>446</v>
      </c>
      <c r="K125" s="108"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hidden="1">
      <c r="A126" s="74" t="s">
        <v>180</v>
      </c>
      <c r="B126" s="92" t="s">
        <v>419</v>
      </c>
      <c r="C126" s="45" t="s">
        <v>443</v>
      </c>
      <c r="D126" s="108"/>
      <c r="E126" s="198"/>
      <c r="F126" s="47" t="s">
        <v>447</v>
      </c>
      <c r="G126" s="47" t="s">
        <v>445</v>
      </c>
      <c r="H126" s="87">
        <v>45992</v>
      </c>
      <c r="I126" s="208">
        <v>46142</v>
      </c>
      <c r="J126" s="118" t="s">
        <v>446</v>
      </c>
      <c r="K126" s="108"/>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hidden="1">
      <c r="A127" s="74" t="s">
        <v>180</v>
      </c>
      <c r="B127" s="92" t="s">
        <v>419</v>
      </c>
      <c r="C127" s="45" t="s">
        <v>443</v>
      </c>
      <c r="D127" s="108"/>
      <c r="E127" s="198"/>
      <c r="F127" s="47" t="s">
        <v>448</v>
      </c>
      <c r="G127" s="47" t="s">
        <v>445</v>
      </c>
      <c r="H127" s="87">
        <v>45992</v>
      </c>
      <c r="I127" s="208">
        <v>46142</v>
      </c>
      <c r="J127" s="118" t="s">
        <v>446</v>
      </c>
      <c r="K127" s="108"/>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hidden="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hidden="1">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hidden="1">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hidden="1">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hidden="1">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15</v>
      </c>
      <c r="N133" s="37" t="str">
        <f t="shared" ca="1" si="11"/>
        <v/>
      </c>
      <c r="O133" s="81" t="str">
        <f t="shared" ca="1" si="12"/>
        <v>⏳ URGENTE (20d)</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hidden="1">
      <c r="A134" s="74" t="s">
        <v>180</v>
      </c>
      <c r="B134" s="92" t="s">
        <v>461</v>
      </c>
      <c r="C134" s="45" t="s">
        <v>465</v>
      </c>
      <c r="D134" s="108"/>
      <c r="E134" s="198"/>
      <c r="F134" s="47" t="s">
        <v>468</v>
      </c>
      <c r="G134" s="47" t="s">
        <v>148</v>
      </c>
      <c r="H134" s="87">
        <v>46044</v>
      </c>
      <c r="I134" s="208">
        <v>46310</v>
      </c>
      <c r="J134" s="97" t="s">
        <v>467</v>
      </c>
      <c r="K134" s="108"/>
      <c r="L134" s="37" t="s">
        <v>201</v>
      </c>
      <c r="M134" s="80">
        <f t="shared" ca="1" si="10"/>
        <v>15</v>
      </c>
      <c r="N134" s="37" t="str">
        <f t="shared" ca="1" si="11"/>
        <v/>
      </c>
      <c r="O134" s="81" t="str">
        <f t="shared" ca="1" si="12"/>
        <v>⏳ URGENTE (20d)</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hidden="1">
      <c r="A135" s="74" t="s">
        <v>180</v>
      </c>
      <c r="B135" s="92" t="s">
        <v>461</v>
      </c>
      <c r="C135" s="45" t="s">
        <v>465</v>
      </c>
      <c r="D135" s="108"/>
      <c r="E135" s="198"/>
      <c r="F135" s="47" t="s">
        <v>469</v>
      </c>
      <c r="G135" s="47" t="s">
        <v>148</v>
      </c>
      <c r="H135" s="87">
        <v>46044</v>
      </c>
      <c r="I135" s="208">
        <v>46310</v>
      </c>
      <c r="J135" s="97" t="s">
        <v>467</v>
      </c>
      <c r="K135" s="108"/>
      <c r="L135" s="37" t="s">
        <v>201</v>
      </c>
      <c r="M135" s="80">
        <f t="shared" ca="1" si="10"/>
        <v>15</v>
      </c>
      <c r="N135" s="37" t="str">
        <f t="shared" ca="1" si="11"/>
        <v/>
      </c>
      <c r="O135" s="81" t="str">
        <f t="shared" ca="1" si="12"/>
        <v>⏳ URGENTE (20d)</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hidden="1">
      <c r="A136" s="74" t="s">
        <v>180</v>
      </c>
      <c r="B136" s="92" t="s">
        <v>461</v>
      </c>
      <c r="C136" s="45" t="s">
        <v>465</v>
      </c>
      <c r="D136" s="108"/>
      <c r="E136" s="198"/>
      <c r="F136" s="47" t="s">
        <v>470</v>
      </c>
      <c r="G136" s="47" t="s">
        <v>148</v>
      </c>
      <c r="H136" s="87">
        <v>46044</v>
      </c>
      <c r="I136" s="208">
        <v>46300</v>
      </c>
      <c r="J136" s="97" t="s">
        <v>467</v>
      </c>
      <c r="K136" s="108"/>
      <c r="L136" s="37" t="s">
        <v>201</v>
      </c>
      <c r="M136" s="80">
        <f t="shared" ca="1" si="10"/>
        <v>5</v>
      </c>
      <c r="N136" s="37" t="str">
        <f t="shared" ca="1" si="11"/>
        <v/>
      </c>
      <c r="O136" s="81" t="str">
        <f t="shared" ca="1" si="12"/>
        <v/>
      </c>
      <c r="P136" s="81" t="str">
        <f t="shared" ca="1" si="13"/>
        <v/>
      </c>
      <c r="Q136" s="81" t="str">
        <f t="shared" ca="1" si="14"/>
        <v>⚠️ INMINENTE (5d)</v>
      </c>
      <c r="R136" s="84" t="s">
        <v>652</v>
      </c>
      <c r="S136" s="88"/>
      <c r="T136" s="152" t="s">
        <v>1560</v>
      </c>
      <c r="U136" s="152">
        <v>135</v>
      </c>
      <c r="V136" s="152"/>
      <c r="W136" s="152"/>
      <c r="X136" s="152"/>
      <c r="Y136" s="135"/>
      <c r="Z136" s="152"/>
      <c r="AA136" s="151"/>
      <c r="AB136" s="8">
        <v>0.25</v>
      </c>
      <c r="AC136" s="8" t="s">
        <v>1813</v>
      </c>
    </row>
    <row r="137" spans="1:29" ht="229.8" hidden="1">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hidden="1">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hidden="1">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hidden="1">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hidden="1">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hidden="1">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02.6">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hidden="1">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hidden="1">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hidden="1">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hidden="1">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hidden="1">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21" hidden="1">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62</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93" hidden="1">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hidden="1">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hidden="1">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hidden="1">
      <c r="A155" s="45" t="s">
        <v>1030</v>
      </c>
      <c r="B155" s="92" t="s">
        <v>1039</v>
      </c>
      <c r="C155" s="45" t="s">
        <v>1076</v>
      </c>
      <c r="D155" s="108" t="s">
        <v>1146</v>
      </c>
      <c r="E155" s="200" t="s">
        <v>254</v>
      </c>
      <c r="F155" s="202" t="s">
        <v>1271</v>
      </c>
      <c r="G155" s="47" t="s">
        <v>1181</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hidden="1">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30</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hidden="1">
      <c r="A157" s="45" t="s">
        <v>1030</v>
      </c>
      <c r="B157" s="92" t="s">
        <v>1039</v>
      </c>
      <c r="C157" s="45" t="s">
        <v>1080</v>
      </c>
      <c r="D157" s="108" t="s">
        <v>1152</v>
      </c>
      <c r="E157" s="200" t="s">
        <v>254</v>
      </c>
      <c r="F157" s="47" t="s">
        <v>1123</v>
      </c>
      <c r="G157" s="47" t="s">
        <v>1181</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hidden="1">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hidden="1">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hidden="1">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hidden="1">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30</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41.2" hidden="1">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hidden="1">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30</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hidden="1">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30</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hidden="1">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30</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filterColumn colId="8">
      <filters>
        <dateGroupItem year="2026" month="9" dateTimeGrouping="month"/>
      </filters>
    </filterColumn>
    <filterColumn colId="11">
      <filters>
        <filter val="Abierta"/>
      </filters>
    </filterColumn>
  </autoFilter>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29">
        <v>2026</v>
      </c>
      <c r="B2" s="194" t="s">
        <v>1477</v>
      </c>
      <c r="C2" t="s">
        <v>20</v>
      </c>
      <c r="D2" s="13" t="s">
        <v>660</v>
      </c>
      <c r="E2" s="13" t="s">
        <v>662</v>
      </c>
    </row>
    <row r="3" spans="1:5">
      <c r="A3" s="229"/>
      <c r="B3" s="194" t="s">
        <v>1478</v>
      </c>
      <c r="C3" t="s">
        <v>20</v>
      </c>
      <c r="D3" s="13" t="s">
        <v>660</v>
      </c>
      <c r="E3" s="13" t="s">
        <v>662</v>
      </c>
    </row>
    <row r="4" spans="1:5">
      <c r="A4" s="229"/>
      <c r="B4" s="192" t="s">
        <v>1479</v>
      </c>
      <c r="C4" t="s">
        <v>1466</v>
      </c>
      <c r="D4" s="13" t="s">
        <v>662</v>
      </c>
    </row>
    <row r="5" spans="1:5">
      <c r="A5" s="229"/>
      <c r="B5" s="192" t="s">
        <v>1480</v>
      </c>
      <c r="C5" t="s">
        <v>1466</v>
      </c>
      <c r="D5" s="13" t="s">
        <v>662</v>
      </c>
    </row>
    <row r="6" spans="1:5">
      <c r="A6" s="229"/>
      <c r="B6" s="192" t="s">
        <v>1481</v>
      </c>
      <c r="C6" t="s">
        <v>1466</v>
      </c>
      <c r="D6" s="13" t="s">
        <v>1296</v>
      </c>
    </row>
    <row r="7" spans="1:5">
      <c r="A7" s="229"/>
      <c r="B7" s="192" t="s">
        <v>1483</v>
      </c>
      <c r="C7" t="s">
        <v>1466</v>
      </c>
      <c r="D7" s="13" t="s">
        <v>1293</v>
      </c>
    </row>
    <row r="8" spans="1:5">
      <c r="A8" s="229"/>
      <c r="B8" s="192" t="s">
        <v>1482</v>
      </c>
      <c r="C8" t="s">
        <v>1466</v>
      </c>
      <c r="D8" s="13" t="s">
        <v>1298</v>
      </c>
    </row>
    <row r="9" spans="1:5">
      <c r="A9" s="229"/>
      <c r="B9" s="192" t="s">
        <v>1484</v>
      </c>
      <c r="C9" t="s">
        <v>1466</v>
      </c>
      <c r="D9" s="13" t="s">
        <v>1298</v>
      </c>
    </row>
    <row r="10" spans="1:5">
      <c r="A10" s="229"/>
      <c r="B10" s="193" t="s">
        <v>1485</v>
      </c>
      <c r="C10" t="s">
        <v>1466</v>
      </c>
      <c r="D10" s="13" t="s">
        <v>1300</v>
      </c>
    </row>
    <row r="11" spans="1:5">
      <c r="A11" s="229"/>
      <c r="B11" s="193" t="s">
        <v>1486</v>
      </c>
      <c r="C11" t="s">
        <v>1466</v>
      </c>
      <c r="D11" s="13" t="s">
        <v>1304</v>
      </c>
    </row>
    <row r="12" spans="1:5">
      <c r="A12" s="229"/>
      <c r="B12" s="194" t="s">
        <v>1487</v>
      </c>
      <c r="C12" t="s">
        <v>20</v>
      </c>
      <c r="D12" s="13" t="s">
        <v>662</v>
      </c>
      <c r="E12" s="13" t="s">
        <v>1293</v>
      </c>
    </row>
    <row r="13" spans="1:5">
      <c r="A13" s="229"/>
      <c r="B13" s="194" t="s">
        <v>1488</v>
      </c>
      <c r="C13" t="s">
        <v>20</v>
      </c>
      <c r="D13" s="13" t="s">
        <v>662</v>
      </c>
      <c r="E13" s="13" t="s">
        <v>1293</v>
      </c>
    </row>
    <row r="14" spans="1:5">
      <c r="A14" s="229">
        <v>2025</v>
      </c>
      <c r="B14" s="195" t="s">
        <v>1489</v>
      </c>
      <c r="C14" t="s">
        <v>20</v>
      </c>
    </row>
    <row r="15" spans="1:5">
      <c r="A15" s="229"/>
      <c r="B15" s="195" t="s">
        <v>1490</v>
      </c>
      <c r="C15" t="s">
        <v>20</v>
      </c>
    </row>
    <row r="16" spans="1:5">
      <c r="A16" s="229"/>
      <c r="B16" s="195" t="s">
        <v>1491</v>
      </c>
      <c r="C16" t="s">
        <v>20</v>
      </c>
    </row>
    <row r="17" spans="1:3">
      <c r="A17" s="229"/>
      <c r="B17" s="195" t="s">
        <v>1485</v>
      </c>
      <c r="C17" t="s">
        <v>20</v>
      </c>
    </row>
    <row r="18" spans="1:3">
      <c r="A18" s="229"/>
      <c r="B18" s="195" t="s">
        <v>1481</v>
      </c>
      <c r="C18" t="s">
        <v>20</v>
      </c>
    </row>
    <row r="19" spans="1:3">
      <c r="A19" s="229"/>
      <c r="B19" s="195" t="s">
        <v>1483</v>
      </c>
      <c r="C19" t="s">
        <v>20</v>
      </c>
    </row>
    <row r="20" spans="1:3">
      <c r="A20" s="229"/>
      <c r="B20" s="195" t="s">
        <v>1496</v>
      </c>
      <c r="C20" t="s">
        <v>20</v>
      </c>
    </row>
    <row r="21" spans="1:3">
      <c r="A21" s="229"/>
      <c r="B21" s="192" t="s">
        <v>1484</v>
      </c>
      <c r="C21" t="s">
        <v>1509</v>
      </c>
    </row>
    <row r="22" spans="1:3">
      <c r="A22" s="229"/>
      <c r="B22" s="193" t="s">
        <v>1499</v>
      </c>
      <c r="C22" t="s">
        <v>1509</v>
      </c>
    </row>
    <row r="23" spans="1:3">
      <c r="A23" s="229"/>
      <c r="B23" s="196" t="s">
        <v>1501</v>
      </c>
      <c r="C23" t="s">
        <v>20</v>
      </c>
    </row>
    <row r="24" spans="1:3">
      <c r="A24" s="229"/>
      <c r="B24" s="193" t="s">
        <v>1503</v>
      </c>
      <c r="C24" t="s">
        <v>1509</v>
      </c>
    </row>
    <row r="25" spans="1:3">
      <c r="A25" s="229"/>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30" t="s">
        <v>29</v>
      </c>
      <c r="D3" s="74" t="s">
        <v>30</v>
      </c>
      <c r="E3" s="74" t="s">
        <v>269</v>
      </c>
      <c r="F3" s="77">
        <v>46203</v>
      </c>
      <c r="G3" s="82" t="s">
        <v>31</v>
      </c>
    </row>
    <row r="4" spans="2:7" ht="34.200000000000003">
      <c r="B4" s="75" t="s">
        <v>14</v>
      </c>
      <c r="C4" s="231"/>
      <c r="D4" s="74" t="s">
        <v>34</v>
      </c>
      <c r="E4" s="74" t="s">
        <v>269</v>
      </c>
      <c r="F4" s="77">
        <v>46203</v>
      </c>
      <c r="G4" s="82" t="s">
        <v>31</v>
      </c>
    </row>
    <row r="5" spans="2:7" ht="182.4">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36.80000000000001">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71">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82.4">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2026-10-01T02:29:21Z</dcterms:modified>
</cp:coreProperties>
</file>