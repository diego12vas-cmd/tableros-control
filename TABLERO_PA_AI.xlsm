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296" documentId="8_{B94AFFE1-3DFB-409E-960F-FF1A97CB5BC7}" xr6:coauthVersionLast="47" xr6:coauthVersionMax="47" xr10:uidLastSave="{4C351D51-597E-4F9D-A10E-9CD9D333AD84}"/>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<sst xmlns="http://schemas.openxmlformats.org/spreadsheetml/2006/main" count="7533" uniqueCount="1892">
  <si>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</si>
  <si>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</si>
  <si>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</si>
  <si>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</si>
  <si>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</si>
  <si>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</si>
  <si>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</si>
  <si>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</si>
  <si>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</si>
  <si>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</si>
  <si>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</si>
  <si>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</si>
  <si>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</si>
  <si>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</si>
  <si>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</si>
  <si>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</si>
  <si>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</si>
  <si>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</si>
  <si>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</si>
  <si>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</si>
  <si>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</si>
  <si>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</si>
  <si>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</si>
  <si>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</si>
  <si>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</si>
  <si>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</si>
  <si>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</si>
  <si>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</si>
  <si>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</si>
  <si>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</si>
  <si>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</si>
  <si>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</si>
  <si>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</si>
  <si>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</si>
  <si>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</si>
  <si>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</si>
  <si>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</si>
  <si>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</si>
  <si>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</si>
  <si>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</si>
  <si>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</si>
  <si>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</si>
  <si>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</si>
  <si>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</si>
  <si>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</si>
  <si>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</si>
  <si>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</si>
  <si>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</si>
  <si>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</si>
  <si>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</si>
  <si>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</si>
  <si>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</si>
  <si>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</si>
  <si>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</si>
  <si>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</si>
  <si>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</si>
  <si>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</si>
  <si>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</si>
  <si>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</si>
  <si>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</si>
  <si>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</si>
  <si>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</si>
  <si>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</si>
  <si>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</si>
  <si>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</si>
  <si>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</si>
  <si>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</si>
  <si>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</si>
  <si>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</si>
  <si>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</si>
  <si>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</si>
  <si>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</si>
  <si>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</si>
  <si>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</si>
  <si>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</si>
  <si>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</si>
  <si>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</si>
  <si>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</si>
  <si>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</si>
  <si>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</si>
  <si>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</si>
  <si>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</si>
  <si>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</si>
  <si>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</si>
  <si>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</si>
  <si>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</si>
  <si>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</si>
  <si>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</si>
  <si>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</si>
  <si>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</si>
  <si>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</si>
  <si>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</si>
  <si>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</si>
  <si>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</si>
  <si>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</si>
  <si>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</si>
  <si>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</si>
  <si>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</si>
  <si>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</si>
  <si>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</si>
  <si>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</si>
  <si>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</si>
  <si>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</si>
  <si>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</si>
  <si>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</si>
  <si>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</si>
  <si>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</si>
  <si>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</si>
  <si>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</si>
  <si>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</si>
  <si>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</si>
  <si>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</si>
  <si>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</si>
  <si>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</si>
  <si>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</si>
  <si>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</si>
  <si>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</si>
  <si>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</si>
  <si>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</si>
  <si>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</si>
  <si>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</si>
  <si>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</si>
  <si>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</si>
  <si>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</si>
  <si>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</si>
  <si>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</si>
  <si>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</si>
  <si>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</si>
  <si>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</si>
  <si>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</si>
  <si>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</si>
  <si>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</si>
  <si>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</si>
  <si>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</si>
  <si>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</si>
  <si>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</si>
  <si>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</si>
  <si>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</si>
  <si>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</si>
  <si>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</si>
  <si>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</si>
  <si>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</si>
  <si>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</si>
  <si>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</si>
  <si>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</si>
  <si>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</si>
  <si>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</si>
  <si>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</si>
  <si>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</si>
  <si>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</si>
  <si>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</si>
  <si>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</si>
  <si>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</si>
  <si>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</si>
  <si>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</si>
  <si>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</si>
  <si>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</si>
  <si>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</si>
  <si>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</si>
  <si>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</si>
  <si>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</si>
  <si>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</si>
  <si>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</si>
  <si>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</si>
  <si>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</si>
  <si>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</si>
  <si>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</si>
  <si>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</si>
  <si>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</si>
  <si>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</si>
  <si>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</si>
  <si>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</si>
  <si>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</si>
  <si>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</si>
  <si>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</si>
  <si>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</si>
  <si>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</si>
  <si>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</si>
  <si>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</si>
  <si>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</si>
  <si>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</si>
  <si>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</si>
  <si>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</si>
  <si>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</si>
  <si>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</si>
  <si>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</si>
  <si>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</si>
  <si>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</si>
  <si>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</si>
  <si>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</si>
  <si>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</si>
  <si>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</si>
  <si>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</si>
  <si>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</si>
  <si>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</si>
  <si>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</si>
  <si>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</si>
  <si>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</si>
  <si>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</si>
  <si>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</si>
  <si>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</si>
  <si>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</si>
  <si>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</si>
  <si>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</si>
  <si>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</si>
  <si>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</si>
  <si>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</si>
  <si>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</si>
  <si>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</si>
  <si>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</si>
  <si>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</si>
  <si>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</si>
  <si>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</si>
  <si>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</si>
  <si>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</si>
  <si>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</si>
  <si>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</si>
  <si>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</si>
  <si>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</si>
  <si>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</si>
  <si>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</si>
  <si>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</si>
  <si>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</si>
  <si>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</si>
  <si>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</si>
  <si>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</si>
  <si>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</si>
  <si>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</si>
  <si>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</si>
  <si>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</si>
  <si>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</si>
  <si>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</si>
  <si>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</si>
  <si>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</si>
  <si>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</si>
  <si>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</si>
  <si>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</si>
  <si>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</si>
  <si>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</si>
  <si>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</si>
  <si>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</si>
  <si>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</si>
  <si>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</si>
  <si>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</si>
  <si>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</si>
  <si>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</si>
  <si>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</si>
  <si>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</si>
  <si>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</si>
  <si>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</si>
  <si>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</si>
  <si>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</si>
  <si>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</si>
  <si>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</si>
  <si>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</si>
  <si>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</si>
  <si>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</si>
  <si>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</si>
  <si>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</si>
  <si>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</si>
  <si>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</si>
  <si>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</si>
  <si>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</si>
  <si>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</si>
  <si>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</si>
  <si>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</si>
  <si>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</si>
  <si>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</si>
  <si>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</si>
  <si>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</si>
  <si>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</si>
  <si>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</si>
  <si>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</si>
  <si>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</si>
  <si>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</si>
  <si>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</si>
  <si>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</si>
  <si>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</si>
  <si>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</si>
  <si>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</si>
  <si>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</si>
  <si>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</si>
  <si>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</si>
  <si>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</si>
  <si>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</si>
  <si>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</si>
  <si>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</si>
  <si>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</si>
  <si>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</si>
  <si>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</si>
  <si>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</si>
  <si>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</si>
  <si>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</si>
  <si>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</si>
  <si>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</si>
  <si>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</si>
  <si>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</si>
  <si>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</si>
  <si>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</si>
  <si>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</si>
  <si>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</si>
  <si>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</si>
  <si>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</si>
  <si>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</si>
  <si>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</si>
  <si>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</si>
  <si>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</si>
  <si>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</si>
  <si>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</si>
  <si>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</si>
  <si>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</si>
  <si>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</si>
  <si>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</si>
  <si>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</si>
  <si>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</si>
  <si>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</si>
  <si>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</si>
  <si>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</si>
  <si>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</si>
  <si>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</si>
  <si>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</si>
  <si>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</si>
  <si>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</si>
  <si>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</si>
  <si>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</si>
  <si>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</si>
  <si>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</si>
  <si>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</si>
  <si>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</si>
  <si>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</si>
  <si>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</si>
  <si>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</si>
  <si>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</si>
  <si>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</si>
  <si>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</si>
  <si>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</si>
  <si>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</si>
  <si>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</si>
  <si>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</si>
  <si>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</si>
  <si>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</si>
  <si>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</si>
  <si>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</si>
  <si>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</si>
  <si>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</si>
  <si>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</si>
  <si>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</si>
  <si>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</si>
  <si>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</si>
  <si>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</si>
  <si>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</si>
  <si>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</si>
  <si>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</si>
  <si>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</si>
  <si>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</si>
  <si>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</si>
  <si>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</si>
  <si>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</si>
  <si>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</si>
  <si>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</si>
  <si>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</si>
  <si>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</si>
  <si>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</si>
  <si>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</si>
  <si>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</si>
  <si>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</si>
  <si>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</si>
  <si>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</si>
  <si>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</si>
  <si>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</si>
  <si>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</si>
  <si>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</si>
  <si>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</si>
  <si>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</si>
  <si>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</si>
  <si>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</si>
  <si>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</si>
  <si>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</si>
  <si>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</si>
  <si>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</si>
  <si>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</si>
  <si>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</si>
  <si>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</si>
  <si>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</si>
  <si>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</si>
  <si>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</si>
  <si>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</si>
  <si>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</si>
  <si>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</si>
  <si>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</si>
  <si>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</si>
  <si>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</si>
  <si>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</si>
  <si>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</si>
  <si>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</si>
  <si>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</si>
  <si>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</si>
  <si>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</si>
  <si>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</si>
  <si>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</si>
  <si>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</si>
  <si>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</si>
  <si>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</si>
  <si>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</si>
  <si>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</si>
  <si>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</si>
  <si>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</si>
  <si>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</si>
  <si>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</si>
  <si>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</si>
  <si>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</si>
  <si>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</si>
  <si>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</si>
  <si>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</si>
  <si>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</si>
  <si>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</si>
  <si>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</si>
  <si>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</si>
  <si>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</si>
  <si>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</si>
  <si>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</si>
  <si>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</si>
  <si>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</si>
  <si>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</si>
  <si>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</si>
  <si>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</si>
  <si>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</si>
  <si>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</si>
  <si>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</si>
  <si>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</si>
  <si>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</si>
  <si>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</si>
  <si>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</si>
  <si>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</si>
  <si>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</si>
  <si>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</si>
  <si>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</si>
  <si>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</si>
  <si>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</si>
  <si>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</si>
  <si>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</si>
  <si>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</si>
  <si>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</si>
  <si>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</si>
  <si>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</si>
  <si>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</si>
  <si>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</si>
  <si>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</si>
  <si>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</si>
  <si>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</si>
  <si>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</si>
  <si>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</si>
  <si>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</si>
  <si>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</si>
  <si>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</si>
  <si>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</si>
  <si>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</si>
  <si>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</si>
  <si>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</si>
  <si>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</si>
  <si>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</si>
  <si>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</si>
  <si>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</si>
  <si>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</si>
  <si>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</si>
  <si>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</si>
  <si>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</si>
  <si>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</si>
  <si>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</si>
  <si>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</si>
  <si>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</si>
  <si>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</si>
  <si>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</si>
  <si>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</si>
  <si>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</si>
  <si>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</si>
  <si>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</si>
  <si>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</si>
  <si>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</si>
  <si>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</si>
  <si>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</si>
  <si>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</si>
  <si>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</si>
  <si>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</si>
  <si>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</si>
  <si>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</si>
  <si>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</si>
  <si>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</si>
  <si>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</si>
  <si>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</si>
  <si>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</si>
  <si>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</si>
  <si>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</si>
  <si>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</si>
  <si>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</si>
  <si>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</si>
  <si>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</si>
  <si>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</si>
  <si>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</si>
  <si>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</si>
  <si>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</si>
  <si>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</si>
  <si>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</si>
  <si>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</si>
  <si>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</si>
  <si>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</si>
  <si>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</si>
  <si>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</si>
  <si>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</si>
  <si>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</si>
  <si>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</si>
  <si>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</si>
  <si>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</si>
  <si>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</si>
  <si>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</si>
  <si>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</si>
  <si>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</si>
  <si>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</si>
  <si>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</si>
  <si>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</si>
  <si>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</si>
  <si>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</si>
  <si>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</si>
  <si>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</si>
  <si>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</si>
  <si>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</si>
  <si>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</si>
  <si>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</si>
  <si>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</si>
  <si>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</si>
  <si>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</si>
  <si>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</si>
  <si>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</si>
  <si>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</si>
  <si>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</si>
  <si>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</si>
  <si>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</si>
  <si>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</si>
  <si>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</si>
  <si>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</si>
  <si>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</si>
  <si>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</si>
  <si>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</si>
  <si>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</si>
  <si>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</si>
  <si>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</si>
  <si>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</si>
  <si>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</si>
  <si>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</si>
  <si>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</si>
  <si>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</si>
  <si>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</si>
  <si>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</si>
  <si>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</si>
  <si>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</si>
  <si>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</si>
  <si>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</si>
  <si>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</si>
  <si>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</si>
  <si>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</si>
  <si>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</si>
  <si>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</si>
  <si>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</si>
  <si>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</si>
  <si>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</si>
  <si>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</si>
  <si>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</si>
  <si>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</si>
  <si>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</si>
  <si>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</si>
  <si>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</si>
  <si>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</si>
  <si>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</si>
  <si>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</si>
  <si>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</si>
  <si>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</si>
  <si>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</si>
  <si>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</si>
  <si>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</si>
  <si>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</si>
  <si>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</si>
  <si>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</si>
  <si>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</si>
  <si>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</si>
  <si>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</si>
  <si>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</si>
  <si>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</si>
  <si>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</si>
  <si>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</si>
  <si>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</si>
  <si>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</si>
  <si>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</si>
  <si>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</si>
  <si>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</si>
  <si>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</si>
  <si>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</si>
  <si>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</si>
  <si>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</si>
  <si>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</si>
  <si>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</si>
  <si>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</si>
  <si>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</si>
  <si>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</si>
  <si>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</si>
  <si>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</si>
  <si>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</si>
  <si>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</si>
  <si>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</si>
  <si>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</si>
  <si>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</si>
  <si>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</si>
  <si>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</si>
  <si>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</si>
  <si>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</si>
  <si>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</si>
  <si>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</si>
  <si>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</si>
  <si>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</si>
  <si>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</si>
  <si>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</si>
  <si>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</si>
  <si>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</si>
  <si>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</si>
  <si>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</si>
  <si>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</si>
  <si>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</si>
  <si>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</si>
  <si>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</si>
  <si>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</si>
  <si>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</si>
  <si>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</si>
  <si>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</si>
  <si>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</si>
  <si>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</si>
  <si>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</si>
  <si>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</si>
  <si>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</si>
  <si>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</si>
  <si>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</si>
  <si>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</si>
  <si>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</si>
  <si>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</si>
  <si>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</si>
  <si>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</si>
  <si>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</si>
  <si>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</si>
  <si>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</si>
  <si>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</si>
  <si>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</si>
  <si>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</si>
  <si>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</si>
  <si>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</si>
  <si>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</si>
  <si>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</si>
  <si>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</si>
  <si>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</si>
  <si>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</si>
  <si>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</si>
  <si>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</si>
  <si>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</si>
  <si>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</si>
  <si>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</si>
  <si>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</si>
  <si>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</si>
  <si>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</si>
  <si>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</si>
  <si>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</si>
  <si>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</si>
  <si>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</si>
  <si>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</si>
  <si>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</si>
  <si>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</si>
  <si>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</si>
  <si>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</si>
  <si>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</si>
  <si>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</si>
  <si>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</si>
  <si>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</si>
  <si>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</si>
  <si>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</si>
  <si>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</si>
  <si>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</si>
  <si>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</si>
  <si>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</si>
  <si>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</si>
  <si>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</si>
  <si>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</si>
  <si>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</si>
  <si>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</si>
  <si>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</si>
  <si>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</si>
  <si>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</si>
  <si>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</si>
  <si>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</si>
  <si>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</si>
  <si>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</si>
  <si>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</si>
  <si>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</si>
  <si>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</si>
  <si>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</si>
  <si>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</si>
  <si>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</si>
  <si>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</si>
  <si>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</si>
  <si>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</si>
  <si>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</si>
  <si>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</si>
  <si>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</si>
  <si>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</si>
  <si>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</si>
  <si>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</si>
  <si>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</si>
  <si>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</si>
  <si>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</si>
  <si>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</si>
  <si>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</si>
  <si>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</si>
  <si>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</si>
  <si>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</si>
  <si>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</si>
  <si>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</si>
  <si>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</si>
  <si>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</si>
  <si>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</si>
  <si>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</si>
  <si>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</si>
  <si>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</si>
  <si>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</si>
  <si>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</si>
  <si>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</si>
  <si>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</si>
  <si>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</si>
  <si>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</si>
  <si>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</si>
  <si>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</si>
  <si>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</si>
  <si>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</si>
  <si>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</si>
  <si>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</si>
  <si>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</si>
  <si>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</si>
  <si>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</si>
  <si>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</si>
  <si>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</si>
  <si>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</si>
  <si>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</si>
  <si>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</si>
  <si>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</si>
  <si>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</si>
  <si>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</si>
  <si>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</si>
  <si>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</si>
  <si>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</si>
  <si>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</si>
  <si>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</si>
  <si>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</si>
  <si>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</si>
  <si>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</si>
  <si>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</si>
  <si>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</si>
  <si>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</si>
  <si>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</si>
  <si>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</si>
  <si>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</si>
  <si>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</si>
  <si>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</si>
  <si>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</si>
  <si>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</si>
  <si>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</si>
  <si>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</si>
  <si>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</si>
  <si>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</si>
  <si>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</si>
  <si>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</si>
  <si>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</si>
  <si>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</si>
  <si>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</si>
  <si>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</si>
  <si>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</si>
  <si>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</si>
  <si>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</si>
  <si>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</si>
  <si>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</si>
  <si>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</si>
  <si>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</si>
  <si>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</si>
  <si>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</si>
  <si>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</si>
  <si>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</si>
  <si>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</si>
  <si>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</si>
  <si>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</si>
  <si>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</si>
  <si>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</si>
  <si>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</si>
  <si>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</si>
  <si>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</si>
  <si>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</si>
  <si>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</si>
  <si>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</si>
  <si>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</si>
  <si>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</si>
  <si>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</si>
  <si>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</si>
  <si>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</si>
  <si>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</si>
  <si>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</si>
  <si>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</si>
  <si>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</si>
  <si>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</si>
  <si>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</si>
  <si>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</si>
  <si>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</si>
  <si>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</si>
  <si>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</si>
  <si>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</si>
  <si>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</si>
  <si>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</si>
  <si>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</si>
  <si>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</si>
  <si>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</si>
  <si>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</si>
  <si>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</si>
  <si>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</si>
  <si>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</si>
  <si>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</si>
  <si>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</si>
  <si>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</si>
  <si>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</si>
  <si>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</si>
  <si>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</si>
  <si>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</si>
  <si>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</si>
  <si>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</si>
  <si>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</si>
  <si>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</si>
  <si>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</si>
  <si>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</si>
  <si>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</si>
  <si>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</si>
  <si>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</si>
  <si>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</si>
  <si>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</si>
  <si>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</si>
  <si>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</si>
  <si>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</si>
  <si>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</si>
  <si>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</si>
  <si>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</si>
  <si>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</si>
  <si>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</si>
  <si>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</si>
  <si>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</si>
  <si>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</si>
  <si>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</si>
  <si>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</si>
  <si>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</si>
  <si>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</si>
  <si>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</si>
  <si>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</si>
  <si>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</si>
  <si>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</si>
  <si>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</si>
  <si>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</si>
  <si>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</si>
  <si>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</si>
  <si>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</si>
  <si>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</si>
  <si>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</si>
  <si>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</si>
  <si>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</si>
  <si>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</si>
  <si>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</si>
  <si>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</si>
  <si>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</si>
  <si>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</si>
  <si>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</si>
  <si>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</si>
  <si>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</si>
  <si>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</si>
  <si>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</si>
  <si>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</si>
  <si>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</si>
  <si>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</si>
  <si>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</si>
  <si>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</si>
  <si>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</si>
  <si>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</si>
  <si>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</si>
  <si>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</si>
  <si>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</si>
  <si>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</si>
  <si>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</si>
  <si>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</si>
  <si>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</si>
  <si>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</si>
  <si>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</si>
  <si>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</si>
  <si>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</si>
  <si>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</si>
  <si>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</si>
  <si>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</si>
  <si>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</si>
  <si>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</si>
  <si>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</si>
  <si>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</si>
  <si>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</si>
  <si>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</si>
  <si>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</si>
  <si>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</si>
  <si>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</si>
  <si>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</si>
  <si>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</si>
  <si>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</si>
  <si>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</si>
  <si>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</si>
  <si>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</si>
  <si>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</si>
  <si>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</si>
  <si>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</si>
  <si>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</si>
  <si>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</si>
  <si>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</si>
  <si>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</si>
  <si>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</si>
  <si>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</si>
  <si>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</si>
  <si>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</si>
  <si>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</si>
  <si>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</si>
  <si>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</si>
  <si>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</si>
  <si>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</si>
  <si>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</si>
  <si>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</si>
  <si>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</si>
  <si>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</si>
  <si>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</si>
  <si>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</si>
  <si>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</si>
  <si>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</si>
  <si>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</si>
  <si>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</si>
  <si>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</si>
  <si>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</si>
  <si>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</si>
  <si>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</si>
  <si>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</si>
  <si>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</si>
  <si>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</si>
  <si>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</si>
  <si>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</si>
  <si>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</si>
  <si>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</si>
  <si>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</si>
  <si>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</si>
  <si>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</si>
  <si>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</si>
  <si>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</si>
  <si>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</si>
  <si>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</si>
  <si>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</si>
  <si>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</si>
  <si>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</si>
  <si>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</si>
  <si>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</si>
  <si>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</si>
  <si>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</si>
  <si>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</si>
  <si>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</si>
  <si>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</si>
  <si>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</si>
  <si>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</si>
  <si>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</si>
  <si>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</si>
  <si>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</si>
  <si>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</si>
  <si>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</si>
  <si>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</si>
  <si>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</si>
  <si>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</si>
  <si>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</si>
  <si>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</si>
  <si>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</si>
  <si>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</si>
  <si>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</si>
  <si>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</si>
  <si>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</si>
  <si>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</si>
  <si>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</si>
  <si>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</si>
  <si>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</si>
  <si>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</si>
  <si>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</si>
  <si>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</si>
  <si>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</si>
  <si>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</si>
  <si>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</si>
  <si>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</si>
  <si>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</si>
  <si>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</si>
  <si>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</si>
  <si>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</si>
  <si>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</si>
  <si>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</si>
  <si>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</si>
  <si>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</si>
  <si>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</si>
  <si>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</si>
  <si>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</si>
  <si>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</si>
  <si>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</si>
  <si>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</si>
  <si>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</si>
  <si>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</si>
  <si>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</si>
  <si>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</si>
  <si>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</si>
  <si>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</si>
  <si>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</si>
  <si>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</si>
  <si>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</si>
  <si>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</si>
  <si>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</si>
  <si>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</si>
  <si>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</si>
  <si>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</si>
  <si>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</si>
  <si>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</si>
  <si>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</si>
  <si>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</si>
  <si>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</si>
  <si>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</si>
  <si>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</si>
  <si>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</si>
  <si>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</si>
  <si>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</si>
  <si>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</si>
  <si>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</si>
  <si>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</si>
  <si>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</si>
  <si>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</si>
  <si>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</si>
  <si>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</si>
  <si>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</si>
  <si>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</si>
  <si>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</si>
  <si>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</si>
  <si>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</si>
  <si>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</si>
  <si>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</si>
  <si>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</si>
  <si>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</si>
  <si>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</si>
  <si>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</si>
  <si>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</si>
  <si>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</si>
  <si>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</si>
  <si>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</si>
  <si>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</si>
  <si>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</si>
  <si>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</si>
  <si>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</si>
  <si>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</si>
  <si>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</si>
  <si>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</si>
  <si>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</si>
  <si>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</si>
  <si>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</si>
  <si>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</si>
  <si>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</si>
  <si>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</si>
  <si>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</si>
  <si>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</si>
  <si>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</si>
  <si>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</si>
  <si>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</si>
  <si>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</si>
  <si>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</si>
  <si>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</si>
  <si>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</si>
  <si>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</si>
  <si>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</si>
  <si>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</si>
  <si>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</si>
  <si>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</si>
  <si>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</si>
  <si>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</si>
  <si>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</si>
  <si>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</si>
  <si>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</si>
  <si>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</si>
  <si>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</si>
  <si>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</si>
  <si>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</si>
  <si>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</si>
  <si>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</si>
  <si>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</si>
  <si>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</si>
  <si>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</si>
  <si>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</si>
  <si>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</si>
  <si>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</si>
  <si>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</si>
  <si>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</si>
  <si>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</si>
  <si>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</si>
  <si>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</si>
  <si>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</si>
  <si>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</si>
  <si>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</si>
  <si>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</si>
  <si>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</si>
  <si>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</si>
  <si>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</si>
  <si>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</si>
  <si>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</si>
  <si>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</si>
  <si>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</si>
  <si>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</si>
  <si>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</si>
  <si>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</si>
  <si>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</si>
  <si>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</si>
  <si>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</si>
  <si>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</si>
  <si>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</si>
  <si>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</si>
  <si>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</si>
  <si>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</si>
  <si>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</si>
  <si>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</si>
  <si>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</si>
  <si>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</si>
  <si>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</si>
  <si>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</si>
  <si>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</si>
  <si>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</si>
  <si>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</si>
  <si>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</si>
  <si>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</si>
  <si>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</si>
  <si>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</si>
  <si>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</si>
  <si>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</si>
  <si>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</si>
  <si>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</si>
  <si>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</si>
  <si>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</si>
  <si>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</si>
  <si>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</si>
  <si>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</si>
  <si>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</si>
  <si>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</si>
  <si>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</si>
  <si>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</si>
  <si>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</si>
  <si>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</si>
  <si>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</si>
  <si>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</si>
  <si>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</si>
  <si>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</si>
  <si>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</si>
  <si>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</si>
  <si>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</si>
  <si>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</si>
  <si>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</si>
  <si>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</si>
  <si>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</si>
  <si>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</si>
  <si>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</si>
  <si>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</si>
  <si>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</si>
  <si>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</si>
  <si>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</si>
  <si>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</si>
  <si>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</si>
  <si>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</si>
  <si>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</si>
  <si>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</si>
  <si>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</si>
  <si>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</si>
  <si>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</si>
  <si>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</si>
  <si>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</si>
  <si>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</si>
  <si>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</si>
  <si>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</si>
  <si>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</si>
  <si>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</si>
  <si>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</si>
  <si>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</si>
  <si>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</si>
  <si>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</si>
  <si>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</si>
  <si>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</si>
  <si>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</si>
  <si>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</si>
  <si>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</si>
  <si>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</si>
  <si>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</si>
  <si>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</si>
  <si>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</si>
  <si>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</si>
  <si>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</si>
  <si>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</si>
  <si>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</si>
  <si>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</si>
  <si>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</si>
  <si>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</si>
  <si>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</si>
  <si>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</si>
  <si>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</si>
  <si>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</si>
  <si>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</si>
  <si>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</si>
  <si>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</si>
  <si>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</si>
  <si>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</si>
  <si>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</si>
  <si>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</si>
  <si>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</si>
  <si>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</si>
  <si>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</si>
  <si>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</si>
  <si>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</si>
  <si>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</si>
  <si>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</si>
  <si>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</si>
  <si>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</si>
  <si>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</si>
  <si>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</si>
  <si>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</si>
  <si>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</si>
  <si>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</si>
  <si>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</si>
  <si>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</si>
  <si>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</si>
  <si>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</si>
  <si>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</si>
  <si>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</si>
  <si>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</si>
  <si>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</si>
  <si>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</si>
  <si>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</si>
  <si>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</si>
  <si>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</si>
  <si>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</si>
  <si>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</si>
  <si>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</si>
  <si>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</si>
  <si>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</si>
  <si>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</si>
  <si>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</si>
  <si>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</si>
  <si>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</si>
  <si>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</si>
  <si>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</si>
  <si>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</si>
  <si>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</si>
  <si>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</si>
  <si>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</si>
  <si>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</si>
  <si>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</si>
  <si>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</si>
  <si>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</si>
  <si>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</si>
  <si>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</si>
  <si>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</si>
  <si>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</si>
  <si>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</si>
  <si>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</si>
  <si>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</si>
  <si>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</si>
  <si>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</si>
  <si>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</si>
  <si>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</si>
  <si>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</si>
  <si>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</si>
  <si>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</si>
  <si>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</si>
  <si>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</si>
  <si>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</si>
  <si>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</si>
  <si>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</si>
  <si>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</si>
  <si>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</si>
  <si>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</si>
  <si>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</si>
  <si>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</si>
  <si>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</si>
  <si>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</si>
  <si>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</si>
  <si>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</si>
  <si>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</si>
  <si>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</si>
  <si>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</si>
  <si>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</si>
  <si>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</si>
  <si>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</si>
  <si>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</si>
  <si>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</si>
  <si>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</si>
  <si>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</si>
  <si>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</si>
  <si>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</si>
  <si>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</si>
  <si>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</si>
  <si>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</si>
  <si>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</si>
  <si>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</si>
  <si>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</si>
  <si>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</si>
  <si>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</si>
  <si>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</si>
  <si>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</si>
  <si>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</si>
  <si>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</si>
  <si>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</si>
  <si>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</si>
  <si>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</si>
  <si>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</si>
  <si>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</si>
  <si>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</si>
  <si>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</si>
  <si>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</si>
  <si>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</si>
  <si>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</si>
  <si>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</si>
  <si>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</si>
  <si>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</si>
  <si>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</si>
  <si>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</si>
  <si>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</si>
  <si>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</si>
  <si>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</si>
  <si>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</si>
  <si>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</si>
  <si>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</si>
  <si>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</si>
  <si>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</si>
  <si>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</si>
  <si>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</si>
  <si>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</si>
  <si>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</si>
  <si>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</si>
  <si>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</si>
  <si>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</si>
  <si>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</si>
  <si>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</si>
  <si>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</si>
  <si>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</si>
  <si>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</si>
  <si>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</si>
  <si>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</si>
  <si>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</si>
  <si>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</si>
  <si>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</si>
  <si>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</si>
  <si>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</si>
  <si>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</si>
  <si>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</si>
  <si>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</si>
  <si>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</si>
  <si>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</si>
  <si>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</si>
  <si>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</si>
  <si>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</si>
  <si>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</si>
  <si>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</si>
  <si>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</si>
  <si>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</si>
  <si>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</si>
  <si>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</si>
  <si>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</si>
  <si>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</si>
  <si>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</si>
  <si>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</si>
  <si>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</si>
  <si>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</si>
  <si>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</si>
  <si>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</si>
  <si>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</si>
  <si>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</si>
  <si>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</si>
  <si>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</si>
  <si>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</si>
  <si>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</si>
  <si>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</si>
  <si>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</si>
  <si>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</si>
  <si>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</si>
  <si>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</si>
  <si>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</si>
  <si>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</si>
  <si>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</si>
  <si>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</si>
  <si>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</si>
  <si>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</si>
  <si>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</si>
  <si>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</si>
  <si>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</si>
  <si>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</si>
  <si>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</si>
  <si>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</si>
  <si>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</si>
  <si>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</si>
  <si>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</si>
  <si>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</si>
  <si>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</si>
  <si>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</si>
  <si>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</si>
  <si>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</si>
  <si>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</si>
  <si>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</si>
  <si>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</si>
  <si>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</si>
  <si>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</si>
  <si>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</si>
  <si>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</si>
  <si>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</si>
  <si>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</si>
  <si>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</si>
  <si>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</si>
  <si>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</si>
  <si>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</si>
  <si>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</si>
  <si>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</si>
  <si>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</si>
  <si>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</si>
  <si>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</si>
  <si>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</si>
  <si>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</si>
  <si>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</si>
  <si>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</si>
  <si>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</si>
  <si>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</si>
  <si>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</si>
  <si>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</si>
  <si>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</si>
  <si>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</si>
  <si>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</si>
  <si>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</si>
  <si>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</si>
  <si>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</si>
  <si>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</si>
  <si>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</si>
  <si>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</si>
  <si>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</si>
  <si>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</si>
  <si>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</si>
  <si>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</si>
  <si>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</si>
  <si>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</si>
  <si>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</si>
  <si>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</si>
  <si>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</si>
  <si>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</si>
  <si>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</si>
  <si>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</si>
  <si>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</si>
  <si>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</si>
  <si>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</si>
  <si>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</si>
  <si>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</si>
  <si>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</si>
  <si>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</si>
  <si>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</si>
  <si>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</si>
  <si>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</si>
  <si>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</si>
  <si>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</si>
  <si>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</si>
  <si>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</si>
  <si>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</si>
  <si>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</si>
  <si>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</si>
  <si>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</si>
  <si>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</si>
  <si>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</si>
  <si>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</si>
  <si>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</si>
  <si>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</si>
  <si>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</si>
  <si>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</si>
  <si>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</si>
  <si>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</si>
  <si>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</si>
  <si>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</si>
  <si>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</si>
  <si>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</si>
  <si>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</si>
  <si>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</si>
  <si>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</si>
  <si>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</si>
  <si>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</si>
  <si>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</si>
  <si>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</si>
  <si>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</si>
  <si>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</si>
  <si>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</si>
  <si>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</si>
  <si>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</si>
  <si>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</si>
  <si>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</si>
  <si>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</si>
  <si>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</si>
  <si>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</si>
  <si>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</si>
  <si>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</si>
  <si>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</si>
  <si>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</si>
  <si>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</si>
  <si>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</si>
  <si>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</si>
  <si>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</si>
  <si>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</si>
  <si>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</si>
  <si>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</si>
  <si>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</si>
  <si>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</si>
  <si>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</si>
  <si>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</si>
  <si>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</si>
  <si>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</si>
  <si>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</si>
  <si>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</si>
  <si>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</si>
  <si>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</si>
  <si>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</si>
  <si>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</si>
  <si>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</si>
  <si>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</si>
  <si>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</si>
  <si>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</si>
  <si>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</si>
  <si>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</si>
  <si>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</si>
  <si>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</si>
  <si>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</si>
  <si>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</si>
  <si>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</si>
  <si>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</si>
  <si>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</si>
  <si>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</si>
  <si>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</si>
  <si>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</si>
  <si>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</si>
  <si>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</si>
  <si>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</si>
  <si>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</si>
  <si>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</si>
  <si>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</si>
  <si>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</si>
  <si>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</si>
  <si>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</si>
  <si>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</si>
  <si>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</si>
  <si>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</si>
  <si>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</si>
  <si>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</si>
  <si>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</si>
  <si>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</si>
  <si>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</si>
  <si>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</si>
  <si>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</si>
  <si>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</si>
  <si>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</si>
  <si>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</si>
  <si>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</si>
  <si>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</si>
  <si>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</si>
  <si>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</si>
  <si>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</si>
  <si>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</si>
  <si>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</si>
  <si>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</si>
  <si>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</si>
  <si>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</si>
  <si>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</si>
  <si>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</si>
  <si>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</si>
  <si>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</si>
  <si>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</si>
  <si>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</si>
  <si>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</si>
  <si>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</si>
  <si>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</si>
  <si>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</si>
  <si>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</si>
  <si>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</si>
  <si>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</si>
  <si>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</si>
  <si>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</si>
  <si>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</si>
  <si>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</si>
  <si>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</si>
  <si>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</si>
  <si>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</si>
  <si>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</si>
  <si>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</si>
  <si>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</si>
  <si>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</si>
  <si>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</si>
  <si>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</si>
  <si>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</si>
  <si>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</si>
  <si>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</si>
  <si>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</si>
  <si>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</si>
  <si>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</si>
  <si>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</si>
  <si>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</si>
  <si>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</si>
  <si>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</si>
  <si>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</si>
  <si>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</si>
  <si>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</si>
  <si>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</si>
  <si>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</si>
  <si>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</si>
  <si>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</si>
  <si>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</si>
  <si>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</si>
  <si>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</si>
  <si>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</si>
  <si>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</si>
  <si>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</si>
  <si>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</si>
  <si>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</si>
  <si>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</si>
  <si>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</si>
  <si>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</si>
  <si>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</si>
  <si>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</si>
  <si>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</si>
  <si>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</si>
  <si>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</si>
  <si>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</si>
  <si>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</si>
  <si>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</si>
  <si>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</si>
  <si>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</si>
  <si>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</si>
  <si>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</si>
  <si>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</si>
  <si>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</si>
  <si>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</si>
  <si>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</si>
  <si>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</si>
  <si>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</si>
  <si>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</si>
  <si>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</si>
  <si>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</si>
  <si>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</si>
  <si>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</si>
  <si>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</si>
  <si>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</si>
  <si>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</si>
  <si>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</si>
  <si>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</si>
  <si>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</si>
  <si>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</si>
  <si>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</si>
  <si>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</si>
  <si>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</si>
  <si>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</si>
  <si>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</si>
  <si>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</si>
  <si>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</si>
  <si>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</si>
  <si>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</si>
  <si>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</si>
  <si>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</si>
  <si>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</si>
  <si>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</si>
  <si>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</si>
  <si>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</si>
  <si>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</si>
  <si>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</si>
  <si>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</si>
  <si>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</si>
  <si>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</si>
  <si>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</si>
  <si>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</si>
  <si>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</si>
  <si>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</si>
  <si>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</si>
  <si>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</si>
  <si>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</si>
  <si>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</si>
  <si>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</si>
  <si>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</si>
  <si>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</si>
  <si>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</si>
  <si>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</si>
  <si>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</si>
  <si>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</si>
  <si>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</si>
  <si>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</si>
  <si>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</si>
  <si>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</si>
  <si>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</si>
  <si>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</si>
  <si>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</si>
  <si>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</si>
  <si>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</si>
  <si>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</si>
  <si>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</si>
  <si>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</si>
  <si>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</si>
  <si>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</si>
  <si>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</si>
  <si>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</si>
  <si>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</si>
  <si>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</si>
  <si>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</si>
  <si>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</si>
  <si>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</si>
  <si>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</si>
  <si>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</si>
  <si>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</si>
  <si>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</si>
  <si>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</si>
  <si>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</si>
  <si>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</si>
  <si>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</si>
  <si>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</si>
  <si>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</si>
  <si>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</si>
  <si>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</si>
  <si>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</si>
  <si>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</si>
  <si>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</si>
  <si>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</si>
  <si>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</si>
  <si>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</si>
  <si>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</si>
  <si>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</si>
  <si>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</si>
  <si>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</si>
  <si>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</si>
  <si>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</si>
  <si>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</si>
  <si>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</si>
  <si>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</si>
  <si>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</si>
  <si>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</si>
  <si>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</si>
  <si>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</si>
  <si>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</si>
  <si>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</si>
  <si>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</si>
  <si>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</si>
  <si>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</si>
  <si>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</si>
  <si>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</si>
  <si>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</si>
  <si>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</si>
  <si>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</si>
  <si>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</si>
  <si>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</si>
  <si>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</si>
  <si>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</si>
  <si>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</si>
  <si>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</si>
  <si>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</si>
  <si>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</si>
  <si>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</si>
  <si>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</si>
  <si>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</si>
  <si>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</si>
  <si>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</si>
  <si>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</si>
  <si>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</si>
  <si>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</si>
  <si>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</si>
  <si>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</si>
  <si>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</si>
  <si>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</si>
  <si>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</si>
  <si>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</si>
  <si>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</si>
  <si>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</si>
  <si>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</si>
  <si>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</si>
  <si>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</si>
  <si>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</si>
  <si>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</si>
  <si>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</si>
  <si>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</si>
  <si>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</si>
  <si>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</si>
  <si>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</si>
  <si>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</si>
  <si>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</si>
  <si>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</si>
  <si>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</si>
  <si>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</si>
  <si>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</si>
  <si>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</si>
  <si>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</si>
  <si>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</si>
  <si>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</si>
  <si>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</si>
  <si>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</si>
  <si>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</si>
  <si>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</si>
  <si>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</si>
  <si>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</si>
  <si>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</si>
  <si>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</si>
  <si>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</si>
  <si>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</si>
  <si>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</si>
  <si>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</si>
  <si>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</si>
  <si>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</si>
  <si>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</si>
  <si>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</si>
  <si>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</si>
  <si>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</si>
  <si>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</si>
  <si>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</si>
  <si>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</si>
  <si>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</si>
  <si>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</si>
  <si>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</si>
  <si>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</si>
  <si>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</si>
  <si>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</si>
  <si>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</si>
  <si>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</si>
  <si>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</si>
  <si>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</si>
  <si>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</si>
  <si>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</si>
  <si>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</si>
  <si>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</si>
  <si>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</si>
  <si>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</si>
  <si>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</si>
  <si>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</si>
  <si>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</si>
  <si>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</si>
  <si>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</si>
  <si>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</si>
  <si>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</si>
  <si>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</si>
  <si>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</si>
  <si>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</si>
  <si>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</si>
  <si>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</si>
  <si>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</si>
  <si>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</si>
  <si>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</si>
  <si>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</si>
  <si>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</si>
  <si>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</si>
  <si>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</si>
  <si>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</si>
  <si>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</si>
  <si>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</si>
  <si>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</si>
  <si>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</si>
  <si>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</si>
  <si>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</si>
  <si>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</si>
  <si>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</si>
  <si>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</si>
  <si>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</si>
  <si>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</si>
  <si>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</si>
  <si>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</si>
  <si>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</si>
  <si>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</si>
  <si>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</si>
  <si>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</si>
  <si>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</si>
  <si>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</si>
  <si>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</si>
  <si>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</si>
  <si>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</si>
  <si>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</si>
  <si>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</si>
  <si>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</si>
  <si>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</si>
  <si>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</si>
  <si>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Última fecha de Actualización: 01/10/2026 10:27</t>
  </si>
  <si>
    <t>$G$126</t>
  </si>
  <si>
    <t>$G$127</t>
  </si>
  <si>
    <t>DIRECCIÓN DE RECURSOS TECNOLÓGICOS/
SUB GERENCIA DE PLANEACIÓN Y PROYECTOS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</si>
</sst>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1888</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77"/>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1889</v>
      </c>
      <c r="F1174" s="128" t="s">
        <v>445</v>
      </c>
      <c r="G1174" s="128" t="s">
        <v>1887</v>
      </c>
    </row>
    <row r="1175" spans="2:7" ht="66">
      <c r="B1175" s="56">
        <v>46296</v>
      </c>
      <c r="C1175" s="69">
        <v>46296.435567129629</v>
      </c>
      <c r="D1175" s="55" t="s">
        <v>684</v>
      </c>
      <c r="E1175" s="55" t="s">
        <v>1890</v>
      </c>
      <c r="F1175" s="128" t="s">
        <v>445</v>
      </c>
      <c r="G1175" s="128" t="s">
        <v>1887</v>
      </c>
    </row>
    <row r="1176" spans="2:7" ht="79.2">
      <c r="B1176" s="56">
        <v>46296</v>
      </c>
      <c r="C1176" s="69">
        <v>46296.435879629629</v>
      </c>
      <c r="D1176" s="55" t="s">
        <v>684</v>
      </c>
      <c r="E1176" s="55" t="s">
        <v>1179</v>
      </c>
      <c r="F1176" s="128" t="s">
        <v>1181</v>
      </c>
      <c r="G1176" s="128" t="s">
        <v>1891</v>
      </c>
    </row>
    <row r="1177" spans="2:7" ht="79.2">
      <c r="B1177" s="56">
        <v>46296</v>
      </c>
      <c r="C1177" s="69">
        <v>46296.435972222222</v>
      </c>
      <c r="D1177" s="55" t="s">
        <v>684</v>
      </c>
      <c r="E1177" s="55" t="s">
        <v>1183</v>
      </c>
      <c r="F1177" s="128" t="s">
        <v>1181</v>
      </c>
      <c r="G1177" s="128" t="s">
        <v>1891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2</v>
      </c>
      <c r="H31" s="10">
        <f>COUNTIFS('Base de datos'!$B:$B, $B31, 'Base de datos'!$G:$G, $C31, 'Base de datos'!$L:$L, "Vencida")</f>
        <v>2</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4</v>
      </c>
      <c r="G42" s="10">
        <f>COUNTIFS('Base de datos'!$B:$B, $B42, 'Base de datos'!$G:$G, $C42, 'Base de datos'!$L:$L, "Finalizada")</f>
        <v>0</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3</v>
      </c>
      <c r="O42" s="29">
        <f ca="1">COUNTIFS('Base de datos'!$B:$B, $B42, 'Base de datos'!$G:$G, $C42, 'Base de datos'!$N:$N, "*30d*")</f>
        <v>0</v>
      </c>
      <c r="P42" s="52">
        <f ca="1">COUNTIFS('Base de datos'!$B:$B, $B42, 'Base de datos'!$G:$G, $C42, 'Base de datos'!$Q:$Q, "*5d*")</f>
        <v>1</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C1" zoomScale="90" zoomScaleNormal="90" workbookViewId="0">
      <pane ySplit="1" topLeftCell="A48" activePane="bottomLeft" state="frozen"/>
      <selection pane="bottomLeft" activeCell="F49" sqref="F49"/>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15.2">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91</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33</v>
      </c>
      <c r="M105" s="80" t="str">
        <f t="shared" ca="1" si="5"/>
        <v/>
      </c>
      <c r="N105" s="37" t="str">
        <f t="shared" ca="1" si="6"/>
        <v/>
      </c>
      <c r="O105" s="81" t="str">
        <f t="shared" ca="1" si="7"/>
        <v/>
      </c>
      <c r="P105" s="81" t="str">
        <f t="shared" ca="1" si="8"/>
        <v/>
      </c>
      <c r="Q105" s="81" t="str">
        <f t="shared" ca="1" si="9"/>
        <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c r="A106" s="74" t="s">
        <v>180</v>
      </c>
      <c r="B106" s="92" t="s">
        <v>399</v>
      </c>
      <c r="C106" s="45" t="s">
        <v>409</v>
      </c>
      <c r="D106" s="45"/>
      <c r="E106" s="198"/>
      <c r="F106" s="107"/>
      <c r="G106" s="47" t="s">
        <v>118</v>
      </c>
      <c r="H106" s="87"/>
      <c r="I106" s="208"/>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2" t="s">
        <v>1523</v>
      </c>
      <c r="U106" s="152">
        <v>105</v>
      </c>
      <c r="V106" s="152"/>
      <c r="W106" s="152"/>
      <c r="X106" s="152"/>
      <c r="Y106" s="135"/>
      <c r="Z106" s="152"/>
      <c r="AA106" s="151"/>
      <c r="AB106" s="8">
        <v>0.5</v>
      </c>
      <c r="AC106" s="8" t="s">
        <v>1775</v>
      </c>
    </row>
    <row r="107" spans="1:29" ht="201.6">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9.8">
      <c r="A108" s="74" t="s">
        <v>180</v>
      </c>
      <c r="B108" s="92" t="s">
        <v>399</v>
      </c>
      <c r="C108" s="45" t="s">
        <v>411</v>
      </c>
      <c r="D108" s="45"/>
      <c r="E108" s="198"/>
      <c r="F108" s="47" t="s">
        <v>415</v>
      </c>
      <c r="G108" s="47" t="s">
        <v>179</v>
      </c>
      <c r="H108" s="87">
        <v>46020</v>
      </c>
      <c r="I108" s="208">
        <v>46295</v>
      </c>
      <c r="J108" s="84" t="s">
        <v>414</v>
      </c>
      <c r="K108" s="143" t="s">
        <v>1334</v>
      </c>
      <c r="L108" s="37" t="s">
        <v>33</v>
      </c>
      <c r="M108" s="80" t="str">
        <f t="shared" ca="1" si="5"/>
        <v/>
      </c>
      <c r="N108" s="37" t="str">
        <f t="shared" ca="1" si="6"/>
        <v/>
      </c>
      <c r="O108" s="81" t="str">
        <f t="shared" ca="1" si="7"/>
        <v/>
      </c>
      <c r="P108" s="81" t="str">
        <f t="shared" ca="1" si="8"/>
        <v/>
      </c>
      <c r="Q108" s="81" t="str">
        <f t="shared" ca="1" si="9"/>
        <v/>
      </c>
      <c r="R108" s="84" t="s">
        <v>644</v>
      </c>
      <c r="S108" s="88"/>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87">
        <v>45992</v>
      </c>
      <c r="I110" s="208">
        <v>46218</v>
      </c>
      <c r="J110" s="118" t="s">
        <v>423</v>
      </c>
      <c r="K110" s="108"/>
      <c r="L110" s="37" t="s">
        <v>33</v>
      </c>
      <c r="M110" s="80" t="str">
        <f t="shared" ca="1" si="5"/>
        <v/>
      </c>
      <c r="N110" s="37" t="str">
        <f t="shared" ca="1" si="6"/>
        <v/>
      </c>
      <c r="O110" s="81" t="str">
        <f t="shared" ca="1" si="7"/>
        <v/>
      </c>
      <c r="P110" s="81" t="str">
        <f t="shared" ca="1" si="8"/>
        <v/>
      </c>
      <c r="Q110" s="81" t="str">
        <f t="shared" ca="1" si="9"/>
        <v/>
      </c>
      <c r="R110" s="116" t="s">
        <v>641</v>
      </c>
      <c r="S110" s="204"/>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87">
        <v>45992</v>
      </c>
      <c r="I111" s="208">
        <v>46218</v>
      </c>
      <c r="J111" s="118" t="s">
        <v>423</v>
      </c>
      <c r="K111" s="108"/>
      <c r="L111" s="37" t="s">
        <v>33</v>
      </c>
      <c r="M111" s="80" t="str">
        <f t="shared" ca="1" si="5"/>
        <v/>
      </c>
      <c r="N111" s="37" t="str">
        <f t="shared" ca="1" si="6"/>
        <v/>
      </c>
      <c r="O111" s="81" t="str">
        <f t="shared" ca="1" si="7"/>
        <v/>
      </c>
      <c r="P111" s="81" t="str">
        <f t="shared" ca="1" si="8"/>
        <v/>
      </c>
      <c r="Q111" s="81" t="str">
        <f t="shared" ca="1" si="9"/>
        <v/>
      </c>
      <c r="R111" s="116" t="s">
        <v>641</v>
      </c>
      <c r="S111" s="204"/>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87">
        <v>45992</v>
      </c>
      <c r="I112" s="208">
        <v>46218</v>
      </c>
      <c r="J112" s="118" t="s">
        <v>423</v>
      </c>
      <c r="K112" s="108"/>
      <c r="L112" s="37" t="s">
        <v>33</v>
      </c>
      <c r="M112" s="80" t="str">
        <f t="shared" ca="1" si="5"/>
        <v/>
      </c>
      <c r="N112" s="37" t="str">
        <f t="shared" ca="1" si="6"/>
        <v/>
      </c>
      <c r="O112" s="81" t="str">
        <f t="shared" ca="1" si="7"/>
        <v/>
      </c>
      <c r="P112" s="81" t="str">
        <f t="shared" ca="1" si="8"/>
        <v/>
      </c>
      <c r="Q112" s="81" t="str">
        <f t="shared" ca="1" si="9"/>
        <v/>
      </c>
      <c r="R112" s="116" t="s">
        <v>641</v>
      </c>
      <c r="S112" s="204"/>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87">
        <v>45992</v>
      </c>
      <c r="I113" s="208">
        <v>46218</v>
      </c>
      <c r="J113" s="118" t="s">
        <v>423</v>
      </c>
      <c r="K113" s="108"/>
      <c r="L113" s="37" t="s">
        <v>33</v>
      </c>
      <c r="M113" s="80" t="str">
        <f t="shared" ca="1" si="5"/>
        <v/>
      </c>
      <c r="N113" s="37" t="str">
        <f t="shared" ca="1" si="6"/>
        <v/>
      </c>
      <c r="O113" s="81" t="str">
        <f t="shared" ca="1" si="7"/>
        <v/>
      </c>
      <c r="P113" s="81" t="str">
        <f t="shared" ca="1" si="8"/>
        <v/>
      </c>
      <c r="Q113" s="81" t="str">
        <f t="shared" ca="1" si="9"/>
        <v/>
      </c>
      <c r="R113" s="116" t="s">
        <v>641</v>
      </c>
      <c r="S113" s="204"/>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87">
        <v>45992</v>
      </c>
      <c r="I114" s="208">
        <v>46218</v>
      </c>
      <c r="J114" s="118" t="s">
        <v>423</v>
      </c>
      <c r="K114" s="108"/>
      <c r="L114" s="37" t="s">
        <v>33</v>
      </c>
      <c r="M114" s="80" t="str">
        <f t="shared" ca="1" si="5"/>
        <v/>
      </c>
      <c r="N114" s="37" t="str">
        <f t="shared" ca="1" si="6"/>
        <v/>
      </c>
      <c r="O114" s="81" t="str">
        <f t="shared" ca="1" si="7"/>
        <v/>
      </c>
      <c r="P114" s="81" t="str">
        <f t="shared" ca="1" si="8"/>
        <v/>
      </c>
      <c r="Q114" s="81" t="str">
        <f t="shared" ca="1" si="9"/>
        <v/>
      </c>
      <c r="R114" s="116" t="s">
        <v>641</v>
      </c>
      <c r="S114" s="204"/>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87">
        <v>45992</v>
      </c>
      <c r="I115" s="208">
        <v>46218</v>
      </c>
      <c r="J115" s="118" t="s">
        <v>423</v>
      </c>
      <c r="K115" s="108"/>
      <c r="L115" s="37" t="s">
        <v>33</v>
      </c>
      <c r="M115" s="80" t="str">
        <f t="shared" ca="1" si="5"/>
        <v/>
      </c>
      <c r="N115" s="37" t="str">
        <f t="shared" ca="1" si="6"/>
        <v/>
      </c>
      <c r="O115" s="81" t="str">
        <f t="shared" ca="1" si="7"/>
        <v/>
      </c>
      <c r="P115" s="81" t="str">
        <f t="shared" ca="1" si="8"/>
        <v/>
      </c>
      <c r="Q115" s="81" t="str">
        <f t="shared" ca="1" si="9"/>
        <v/>
      </c>
      <c r="R115" s="116" t="s">
        <v>641</v>
      </c>
      <c r="S115" s="204"/>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87">
        <v>45992</v>
      </c>
      <c r="I116" s="208">
        <v>46142</v>
      </c>
      <c r="J116" s="118" t="s">
        <v>432</v>
      </c>
      <c r="K116" s="108"/>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87">
        <v>45992</v>
      </c>
      <c r="I117" s="208">
        <v>46142</v>
      </c>
      <c r="J117" s="118" t="s">
        <v>432</v>
      </c>
      <c r="K117" s="108"/>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87">
        <v>45992</v>
      </c>
      <c r="I118" s="208">
        <v>46142</v>
      </c>
      <c r="J118" s="118" t="s">
        <v>432</v>
      </c>
      <c r="K118" s="108"/>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87">
        <v>45992</v>
      </c>
      <c r="I119" s="208">
        <v>46142</v>
      </c>
      <c r="J119" s="118" t="s">
        <v>432</v>
      </c>
      <c r="K119" s="108"/>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90</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87">
        <v>45996</v>
      </c>
      <c r="I121" s="208">
        <v>46386</v>
      </c>
      <c r="J121" s="118" t="s">
        <v>438</v>
      </c>
      <c r="K121" s="108"/>
      <c r="L121" s="37" t="s">
        <v>201</v>
      </c>
      <c r="M121" s="80">
        <f t="shared" ca="1" si="5"/>
        <v>90</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87">
        <v>45996</v>
      </c>
      <c r="I122" s="208">
        <v>46386</v>
      </c>
      <c r="J122" s="118" t="s">
        <v>438</v>
      </c>
      <c r="K122" s="108"/>
      <c r="L122" s="37" t="s">
        <v>201</v>
      </c>
      <c r="M122" s="80">
        <f t="shared" ca="1" si="5"/>
        <v>90</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87">
        <v>45996</v>
      </c>
      <c r="I123" s="208">
        <v>46386</v>
      </c>
      <c r="J123" s="118" t="s">
        <v>438</v>
      </c>
      <c r="K123" s="108"/>
      <c r="L123" s="37" t="s">
        <v>201</v>
      </c>
      <c r="M123" s="80">
        <f t="shared" ca="1" si="5"/>
        <v>90</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87">
        <v>45996</v>
      </c>
      <c r="I124" s="208">
        <v>46386</v>
      </c>
      <c r="J124" s="118" t="s">
        <v>438</v>
      </c>
      <c r="K124" s="108"/>
      <c r="L124" s="37" t="s">
        <v>201</v>
      </c>
      <c r="M124" s="80">
        <f t="shared" ca="1" si="5"/>
        <v>90</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87">
        <v>45992</v>
      </c>
      <c r="I125" s="208">
        <v>46142</v>
      </c>
      <c r="J125" s="118" t="s">
        <v>446</v>
      </c>
      <c r="K125" s="108"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87">
        <v>45992</v>
      </c>
      <c r="I126" s="208">
        <v>46142</v>
      </c>
      <c r="J126" s="118" t="s">
        <v>446</v>
      </c>
      <c r="K126" s="108"/>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87">
        <v>45992</v>
      </c>
      <c r="I127" s="208">
        <v>46142</v>
      </c>
      <c r="J127" s="118" t="s">
        <v>446</v>
      </c>
      <c r="K127" s="108"/>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14</v>
      </c>
      <c r="N133" s="37" t="str">
        <f t="shared" ca="1" si="11"/>
        <v/>
      </c>
      <c r="O133" s="81" t="str">
        <f t="shared" ca="1" si="12"/>
        <v>⏳ URGENTE (20d)</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201</v>
      </c>
      <c r="M134" s="80">
        <f t="shared" ca="1" si="10"/>
        <v>14</v>
      </c>
      <c r="N134" s="37" t="str">
        <f t="shared" ca="1" si="11"/>
        <v/>
      </c>
      <c r="O134" s="81" t="str">
        <f t="shared" ca="1" si="12"/>
        <v>⏳ URGENTE (20d)</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201</v>
      </c>
      <c r="M135" s="80">
        <f t="shared" ca="1" si="10"/>
        <v>14</v>
      </c>
      <c r="N135" s="37" t="str">
        <f t="shared" ca="1" si="11"/>
        <v/>
      </c>
      <c r="O135" s="81" t="str">
        <f t="shared" ca="1" si="12"/>
        <v>⏳ URGENTE (20d)</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87">
        <v>46044</v>
      </c>
      <c r="I136" s="208">
        <v>46300</v>
      </c>
      <c r="J136" s="97" t="s">
        <v>467</v>
      </c>
      <c r="K136" s="108"/>
      <c r="L136" s="37" t="s">
        <v>201</v>
      </c>
      <c r="M136" s="80">
        <f t="shared" ca="1" si="10"/>
        <v>4</v>
      </c>
      <c r="N136" s="37" t="str">
        <f t="shared" ca="1" si="11"/>
        <v/>
      </c>
      <c r="O136" s="81" t="str">
        <f t="shared" ca="1" si="12"/>
        <v/>
      </c>
      <c r="P136" s="81" t="str">
        <f t="shared" ca="1" si="13"/>
        <v/>
      </c>
      <c r="Q136" s="81" t="str">
        <f t="shared" ca="1" si="14"/>
        <v>⚠️ INMINENTE (5d)</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61</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2" t="s">
        <v>1271</v>
      </c>
      <c r="G155" s="47" t="s">
        <v>1891</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29</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1891</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29</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41.2">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29</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29</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29</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2026-10-01T15:28:30Z</dcterms:modified>
</cp:coreProperties>
</file>