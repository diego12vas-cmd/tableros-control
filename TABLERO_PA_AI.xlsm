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229" documentId="13_ncr:1_{FFCC26E1-7291-477D-8BF4-A0CF26C3186C}" xr6:coauthVersionLast="47" xr6:coauthVersionMax="47" xr10:uidLastSave="{6620690D-53EC-4F15-9844-DA3BDEEF9CB5}"/>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Hoja1" sheetId="15" state="hidden" r:id="rId9"/>
    <sheet name="Hoja2" sheetId="16" state="hidden" r:id="rId10"/>
    <sheet name="CONSULTA_EDUARDO" sheetId="12" state="hidden" r:id="rId11"/>
    <sheet name="CONSULTA_FELIPE" sheetId="10" state="hidden" r:id="rId12"/>
  </sheets>
  <definedNames>
    <definedName name="_xlnm._FilterDatabase" localSheetId="7" hidden="1">'Base de datos'!$A$1:$AA$1</definedName>
    <definedName name="_xlnm.Print_Area" localSheetId="0">Tablero!$D$4:$Q$31</definedName>
    <definedName name="DatosExternos_1" localSheetId="10" hidden="1">CONSULTA_EDUARDO!$A$1:$U$6</definedName>
    <definedName name="DatosExternos_1" localSheetId="11"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<sst xmlns="http://schemas.openxmlformats.org/spreadsheetml/2006/main" count="5530" uniqueCount="1358">
  <si>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</si>
  <si>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</si>
  <si>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</si>
  <si>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</si>
  <si>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</si>
  <si>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</si>
  <si>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</si>
  <si>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</si>
  <si>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</si>
  <si>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</si>
  <si>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</si>
  <si>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</si>
  <si>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</si>
  <si>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</si>
  <si>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</si>
  <si>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</si>
  <si>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</si>
  <si>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</si>
  <si>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</si>
  <si>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</si>
  <si>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</si>
  <si>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</si>
  <si>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</si>
  <si>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</si>
  <si>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</si>
  <si>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</si>
  <si>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</si>
  <si>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</si>
  <si>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</si>
  <si>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</si>
  <si>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</si>
  <si>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</si>
  <si>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</si>
  <si>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</si>
  <si>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</si>
  <si>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</si>
  <si>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</si>
  <si>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</si>
  <si>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</si>
  <si>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</si>
  <si>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</si>
  <si>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</si>
  <si>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</si>
  <si>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</si>
  <si>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</si>
  <si>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</si>
  <si>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</si>
  <si>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</si>
  <si>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</si>
  <si>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</si>
  <si>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</si>
  <si>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</si>
  <si>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</si>
  <si>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</si>
  <si>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</si>
  <si>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</si>
  <si>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</si>
  <si>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</si>
  <si>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</si>
  <si>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</si>
  <si>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</si>
  <si>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</si>
  <si>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</si>
  <si>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</si>
  <si>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</si>
  <si>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</si>
  <si>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</si>
  <si>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</si>
  <si>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</si>
  <si>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</si>
  <si>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</si>
  <si>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</si>
  <si>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</si>
  <si>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</si>
  <si>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</si>
  <si>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</si>
  <si>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</si>
  <si>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</si>
  <si>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</si>
  <si>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</si>
  <si>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</si>
  <si>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</si>
  <si>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</si>
  <si>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</si>
  <si>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</si>
  <si>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</si>
  <si>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</si>
  <si>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</si>
  <si>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</si>
  <si>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</si>
  <si>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</si>
  <si>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</si>
  <si>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</si>
  <si>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</si>
  <si>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</si>
  <si>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</si>
  <si>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</si>
  <si>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</si>
  <si>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</si>
  <si>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</si>
  <si>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</si>
  <si>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</si>
  <si>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</si>
  <si>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</si>
  <si>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</si>
  <si>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</si>
  <si>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</si>
  <si>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</si>
  <si>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</si>
  <si>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</si>
  <si>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</si>
  <si>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</si>
  <si>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</si>
  <si>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</si>
  <si>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</si>
  <si>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</si>
  <si>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</si>
  <si>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</si>
  <si>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</si>
  <si>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</si>
  <si>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</si>
  <si>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</si>
  <si>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</si>
  <si>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</si>
  <si>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</si>
  <si>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</si>
  <si>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</si>
  <si>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</si>
  <si>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</si>
  <si>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</si>
  <si>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</si>
  <si>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</si>
  <si>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</si>
  <si>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</si>
  <si>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</si>
  <si>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</si>
  <si>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</si>
  <si>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</si>
  <si>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</si>
  <si>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</si>
  <si>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</si>
  <si>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</si>
  <si>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</si>
  <si>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</si>
  <si>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</si>
  <si>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</si>
  <si>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</si>
  <si>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</si>
  <si>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</si>
  <si>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</si>
  <si>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</si>
  <si>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</si>
  <si>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</si>
  <si>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</si>
  <si>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</si>
  <si>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</si>
  <si>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</si>
  <si>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</si>
  <si>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</si>
  <si>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</si>
  <si>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</si>
  <si>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</si>
  <si>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</si>
  <si>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</si>
  <si>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</si>
  <si>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</si>
  <si>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</si>
  <si>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</si>
  <si>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</si>
  <si>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</si>
  <si>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</si>
  <si>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</si>
  <si>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</si>
  <si>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</si>
  <si>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</si>
  <si>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</si>
  <si>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</si>
  <si>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</si>
  <si>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</si>
  <si>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</si>
  <si>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</si>
  <si>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</si>
  <si>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</si>
  <si>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</si>
  <si>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</si>
  <si>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</si>
  <si>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</si>
  <si>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</si>
  <si>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</si>
  <si>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</si>
  <si>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</si>
  <si>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</si>
  <si>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</si>
  <si>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</si>
  <si>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</si>
  <si>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</si>
  <si>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</si>
  <si>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</si>
  <si>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</si>
  <si>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</si>
  <si>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</si>
  <si>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</si>
  <si>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</si>
  <si>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</si>
  <si>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</si>
  <si>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</si>
  <si>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</si>
  <si>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</si>
  <si>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</si>
  <si>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</si>
  <si>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</si>
  <si>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</si>
  <si>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</si>
  <si>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</si>
  <si>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</si>
  <si>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</si>
  <si>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</si>
  <si>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</si>
  <si>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</si>
  <si>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</si>
  <si>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</si>
  <si>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</si>
  <si>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</si>
  <si>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</si>
  <si>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</si>
  <si>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</si>
  <si>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</si>
  <si>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</si>
  <si>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</si>
  <si>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</si>
  <si>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</si>
  <si>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</si>
  <si>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</si>
  <si>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</si>
  <si>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</si>
  <si>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</si>
  <si>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</si>
  <si>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</si>
  <si>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</si>
  <si>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</si>
  <si>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</si>
  <si>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</si>
  <si>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</si>
  <si>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</si>
  <si>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</si>
  <si>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</si>
  <si>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</si>
  <si>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</si>
  <si>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</si>
  <si>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</si>
  <si>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</si>
  <si>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</si>
  <si>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</si>
  <si>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</si>
  <si>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</si>
  <si>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</si>
  <si>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</si>
  <si>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</si>
  <si>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</si>
  <si>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</si>
  <si>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</si>
  <si>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</si>
  <si>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</si>
  <si>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</si>
  <si>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</si>
  <si>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</si>
  <si>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</si>
  <si>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</si>
  <si>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</si>
  <si>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</si>
  <si>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</si>
  <si>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</si>
  <si>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</si>
  <si>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</si>
  <si>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</si>
  <si>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</si>
  <si>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</si>
  <si>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</si>
  <si>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</si>
  <si>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</si>
  <si>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</si>
  <si>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</si>
  <si>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</si>
  <si>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</si>
  <si>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</si>
  <si>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</si>
  <si>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</si>
  <si>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</si>
  <si>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</si>
  <si>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</si>
  <si>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</si>
  <si>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</si>
  <si>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</si>
  <si>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</si>
  <si>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</si>
  <si>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</si>
  <si>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</si>
  <si>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</si>
  <si>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</si>
  <si>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</si>
  <si>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</si>
  <si>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</si>
  <si>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</si>
  <si>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</si>
  <si>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</si>
  <si>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</si>
  <si>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</si>
  <si>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</si>
  <si>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</si>
  <si>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</si>
  <si>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</si>
  <si>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</si>
  <si>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</si>
  <si>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</si>
  <si>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</si>
  <si>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</si>
  <si>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</si>
  <si>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</si>
  <si>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</si>
  <si>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</si>
  <si>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</si>
  <si>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</si>
  <si>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</si>
  <si>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</si>
  <si>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</si>
  <si>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</si>
  <si>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</si>
  <si>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</si>
  <si>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</si>
  <si>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</si>
  <si>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</si>
  <si>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</si>
  <si>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</si>
  <si>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</si>
  <si>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</si>
  <si>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</si>
  <si>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</si>
  <si>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</si>
  <si>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</si>
  <si>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</si>
  <si>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</si>
  <si>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</si>
  <si>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</si>
  <si>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</si>
  <si>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</si>
  <si>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</si>
  <si>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</si>
  <si>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</si>
  <si>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</si>
  <si>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</si>
  <si>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</si>
  <si>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</si>
  <si>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</si>
  <si>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</si>
  <si>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</si>
  <si>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</si>
  <si>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</si>
  <si>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</si>
  <si>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</si>
  <si>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</si>
  <si>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</si>
  <si>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</si>
  <si>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</si>
  <si>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</si>
  <si>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</si>
  <si>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</si>
  <si>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</si>
  <si>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</si>
  <si>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</si>
  <si>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</si>
  <si>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</si>
  <si>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</si>
  <si>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</si>
  <si>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</si>
  <si>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</si>
  <si>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</si>
  <si>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</si>
  <si>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</si>
  <si>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</si>
  <si>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</si>
  <si>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</si>
  <si>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</si>
  <si>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</si>
  <si>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</si>
  <si>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</si>
  <si>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</si>
  <si>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</si>
  <si>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</si>
  <si>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</si>
  <si>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</si>
  <si>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</si>
  <si>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</si>
  <si>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</si>
  <si>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</si>
  <si>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</si>
  <si>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</si>
  <si>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</si>
  <si>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</si>
  <si>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</si>
  <si>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</si>
  <si>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</si>
  <si>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</si>
  <si>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</si>
  <si>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</si>
  <si>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</si>
  <si>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</si>
  <si>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</si>
  <si>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</si>
  <si>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</si>
  <si>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</si>
  <si>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</si>
  <si>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</si>
  <si>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</si>
  <si>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</si>
  <si>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</si>
  <si>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</si>
  <si>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</si>
  <si>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</si>
  <si>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</si>
  <si>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</si>
  <si>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</si>
  <si>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</si>
  <si>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</si>
  <si>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</si>
  <si>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</si>
  <si>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</si>
  <si>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</si>
  <si>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</si>
  <si>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</si>
  <si>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</si>
  <si>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</si>
  <si>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</si>
  <si>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</si>
  <si>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</si>
  <si>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</si>
  <si>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</si>
  <si>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</si>
  <si>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</si>
  <si>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</si>
  <si>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</si>
  <si>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</si>
  <si>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</si>
  <si>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</si>
  <si>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</si>
  <si>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</si>
  <si>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</si>
  <si>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</si>
  <si>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</si>
  <si>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</si>
  <si>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</si>
  <si>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</si>
  <si>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</si>
  <si>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</si>
  <si>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</si>
  <si>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</si>
  <si>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</si>
  <si>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</si>
  <si>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</si>
  <si>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</si>
  <si>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</si>
  <si>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</si>
  <si>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</si>
  <si>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</si>
  <si>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</si>
  <si>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</si>
  <si>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</si>
  <si>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</si>
  <si>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</si>
  <si>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</si>
  <si>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</si>
  <si>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</si>
  <si>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</si>
  <si>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</si>
  <si>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</si>
  <si>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</si>
  <si>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</si>
  <si>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</si>
  <si>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</si>
  <si>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</si>
  <si>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</si>
  <si>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</si>
  <si>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</si>
  <si>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</si>
  <si>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</si>
  <si>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</si>
  <si>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</si>
  <si>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</si>
  <si>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</si>
  <si>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</si>
  <si>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</si>
  <si>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</si>
  <si>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</si>
  <si>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</si>
  <si>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</si>
  <si>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</si>
  <si>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</si>
  <si>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</si>
  <si>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</si>
  <si>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</si>
  <si>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</si>
  <si>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</si>
  <si>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</si>
  <si>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</si>
  <si>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</si>
  <si>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</si>
  <si>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</si>
  <si>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</si>
  <si>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</si>
  <si>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</si>
  <si>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</si>
  <si>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</si>
  <si>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</si>
  <si>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</si>
  <si>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</si>
  <si>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</si>
  <si>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</si>
  <si>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</si>
  <si>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</si>
  <si>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</si>
  <si>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</si>
  <si>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</si>
  <si>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</si>
  <si>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</si>
  <si>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</si>
  <si>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</si>
  <si>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</si>
  <si>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</si>
  <si>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</si>
  <si>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</si>
  <si>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</si>
  <si>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</si>
  <si>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</si>
  <si>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</si>
  <si>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</si>
  <si>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</si>
  <si>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</si>
  <si>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</si>
  <si>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</si>
  <si>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</si>
  <si>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</si>
  <si>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</si>
  <si>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</si>
  <si>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</si>
  <si>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</si>
  <si>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</si>
  <si>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</si>
  <si>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</si>
  <si>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</si>
  <si>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</si>
  <si>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</si>
  <si>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</si>
  <si>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</si>
  <si>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</si>
  <si>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</si>
  <si>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</si>
  <si>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</si>
  <si>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</si>
  <si>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</si>
  <si>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</si>
  <si>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</si>
  <si>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</si>
  <si>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</si>
  <si>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</si>
  <si>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</si>
  <si>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</si>
  <si>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</si>
  <si>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</si>
  <si>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</si>
  <si>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</si>
  <si>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</si>
  <si>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</si>
  <si>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</si>
  <si>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</si>
  <si>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</si>
  <si>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</si>
  <si>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</si>
  <si>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</si>
  <si>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</si>
  <si>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</si>
  <si>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</si>
  <si>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</si>
  <si>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</si>
  <si>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</si>
  <si>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</si>
  <si>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</si>
  <si>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</si>
  <si>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</si>
  <si>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</si>
  <si>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</si>
  <si>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</si>
  <si>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</si>
  <si>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</si>
  <si>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</si>
  <si>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</si>
  <si>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</si>
  <si>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</si>
  <si>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</si>
  <si>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</si>
  <si>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</si>
  <si>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</si>
  <si>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</si>
  <si>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</si>
  <si>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</si>
  <si>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</si>
  <si>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</si>
  <si>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</si>
  <si>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</si>
  <si>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</si>
  <si>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</si>
  <si>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</si>
  <si>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</si>
  <si>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</si>
  <si>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</si>
  <si>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</si>
  <si>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</si>
  <si>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</si>
  <si>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</si>
  <si>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</si>
  <si>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</si>
  <si>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</si>
  <si>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</si>
  <si>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</si>
  <si>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</si>
  <si>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</si>
  <si>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</si>
  <si>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</si>
  <si>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</si>
  <si>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</si>
  <si>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</si>
  <si>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</si>
  <si>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</si>
  <si>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</si>
  <si>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</si>
  <si>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</si>
  <si>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</si>
  <si>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</si>
  <si>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</si>
  <si>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</si>
  <si>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</si>
  <si>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</si>
  <si>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</si>
  <si>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</si>
  <si>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</si>
  <si>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</si>
  <si>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</si>
  <si>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</si>
  <si>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</si>
  <si>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</si>
  <si>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</si>
  <si>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</si>
  <si>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</si>
  <si>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</si>
  <si>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</si>
  <si>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</si>
  <si>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</si>
  <si>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</si>
  <si>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</si>
  <si>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</si>
  <si>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</si>
  <si>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</si>
  <si>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</si>
  <si>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</si>
  <si>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</si>
  <si>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</si>
  <si>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</si>
  <si>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</si>
  <si>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</si>
  <si>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</si>
  <si>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</si>
  <si>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</si>
  <si>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</si>
  <si>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</si>
  <si>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</si>
  <si>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</si>
  <si>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</si>
  <si>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</si>
  <si>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</si>
  <si>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</si>
  <si>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</si>
  <si>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</si>
  <si>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</si>
  <si>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</si>
  <si>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</si>
  <si>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</si>
  <si>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</si>
  <si>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</si>
  <si>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</si>
  <si>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</si>
  <si>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</si>
  <si>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</si>
  <si>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</si>
  <si>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</si>
  <si>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</si>
  <si>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</si>
  <si>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</si>
  <si>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</si>
  <si>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</si>
  <si>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</si>
  <si>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</si>
  <si>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</si>
  <si>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</si>
  <si>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</si>
  <si>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</si>
  <si>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</si>
  <si>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</si>
  <si>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</si>
  <si>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</si>
  <si>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</si>
  <si>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</si>
  <si>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</si>
  <si>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</si>
  <si>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</si>
  <si>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</si>
  <si>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</si>
  <si>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</si>
  <si>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</si>
  <si>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</si>
  <si>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</si>
  <si>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</si>
  <si>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</si>
  <si>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</si>
  <si>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</si>
  <si>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</si>
  <si>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</si>
  <si>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</si>
  <si>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</si>
  <si>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</si>
  <si>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</si>
  <si>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</si>
  <si>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</si>
  <si>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</si>
  <si>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</si>
  <si>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</si>
  <si>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</si>
  <si>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</si>
  <si>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</si>
  <si>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</si>
  <si>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</si>
  <si>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</si>
  <si>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</si>
  <si>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</si>
  <si>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</si>
  <si>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</si>
  <si>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</si>
  <si>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</si>
  <si>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</si>
  <si>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</si>
  <si>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</si>
  <si>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</si>
  <si>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</si>
  <si>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</si>
  <si>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</si>
  <si>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</si>
  <si>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</si>
  <si>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</si>
  <si>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</si>
  <si>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</si>
  <si>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</si>
  <si>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</si>
  <si>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</si>
  <si>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</si>
  <si>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</si>
  <si>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</si>
  <si>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</si>
  <si>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</si>
  <si>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</si>
  <si>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</si>
  <si>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</si>
  <si>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</si>
  <si>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</si>
  <si>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</si>
  <si>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</si>
  <si>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</si>
  <si>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</si>
  <si>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</si>
  <si>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</si>
  <si>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</si>
  <si>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</si>
  <si>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</si>
  <si>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</si>
  <si>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</si>
  <si>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</si>
  <si>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</si>
  <si>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</si>
  <si>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</si>
  <si>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</si>
  <si>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</si>
  <si>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</si>
  <si>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</si>
  <si>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</si>
  <si>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</si>
  <si>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</si>
  <si>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</si>
  <si>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</si>
  <si>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</si>
  <si>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</si>
  <si>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</si>
  <si>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</si>
  <si>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</si>
  <si>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</si>
  <si>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</si>
  <si>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</si>
  <si>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</si>
  <si>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</si>
  <si>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</si>
  <si>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</si>
  <si>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</si>
  <si>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</si>
  <si>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</si>
  <si>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</si>
  <si>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</si>
  <si>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</si>
  <si>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</si>
  <si>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</si>
  <si>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</si>
  <si>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</si>
  <si>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</si>
  <si>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</si>
  <si>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</si>
  <si>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</si>
  <si>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</si>
  <si>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</si>
  <si>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</si>
  <si>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</si>
  <si>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</si>
  <si>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</si>
  <si>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</si>
  <si>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</si>
  <si>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</si>
  <si>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</si>
  <si>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</si>
  <si>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</si>
  <si>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</si>
  <si>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</si>
  <si>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</si>
  <si>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</si>
  <si>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</si>
  <si>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</si>
  <si>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</si>
  <si>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</si>
  <si>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</si>
  <si>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</si>
  <si>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</si>
  <si>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</si>
  <si>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</si>
  <si>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</si>
  <si>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</si>
  <si>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</si>
  <si>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</si>
  <si>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</si>
  <si>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</si>
  <si>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</si>
  <si>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</si>
  <si>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</si>
  <si>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</si>
  <si>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</si>
  <si>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</si>
  <si>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</si>
  <si>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</si>
  <si>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</si>
  <si>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</si>
  <si>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</si>
  <si>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</si>
  <si>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</si>
  <si>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</si>
  <si>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</si>
  <si>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</si>
  <si>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</si>
  <si>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</si>
  <si>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</si>
  <si>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</si>
  <si>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</si>
  <si>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</si>
  <si>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</si>
  <si>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</si>
  <si>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</si>
  <si>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</si>
  <si>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</si>
  <si>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</si>
  <si>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</si>
  <si>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</si>
  <si>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</si>
  <si>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</si>
  <si>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</si>
  <si>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</si>
  <si>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</si>
  <si>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</si>
  <si>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</si>
  <si>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</si>
  <si>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</si>
  <si>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</si>
  <si>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</si>
  <si>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</si>
  <si>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</si>
  <si>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</si>
  <si>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</si>
  <si>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</si>
  <si>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</si>
  <si>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</si>
  <si>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</si>
  <si>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</si>
  <si>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</si>
  <si>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</si>
  <si>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</si>
  <si>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</si>
  <si>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</si>
  <si>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</si>
  <si>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</si>
  <si>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</si>
  <si>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</si>
  <si>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</si>
  <si>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</si>
  <si>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</si>
  <si>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</si>
  <si>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</si>
  <si>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</si>
  <si>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</si>
  <si>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</si>
  <si>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</si>
  <si>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</si>
  <si>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</si>
  <si>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</si>
  <si>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</si>
  <si>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</si>
  <si>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</si>
  <si>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</si>
  <si>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</si>
  <si>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</si>
  <si>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</si>
  <si>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</si>
  <si>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</si>
  <si>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</si>
  <si>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</si>
  <si>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</si>
  <si>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</si>
  <si>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</si>
  <si>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</si>
  <si>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</si>
  <si>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</si>
  <si>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</si>
  <si>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</si>
  <si>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</si>
  <si>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</si>
  <si>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</si>
  <si>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</si>
  <si>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</si>
  <si>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</si>
  <si>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</si>
  <si>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</si>
  <si>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</si>
  <si>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</si>
  <si>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</si>
  <si>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</si>
  <si>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</si>
  <si>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</si>
  <si>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</si>
  <si>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</si>
  <si>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</si>
  <si>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</si>
  <si>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</si>
  <si>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</si>
  <si>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</si>
  <si>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</si>
  <si>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</si>
  <si>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</si>
  <si>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</si>
  <si>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</si>
  <si>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</si>
  <si>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</si>
  <si>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</si>
  <si>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</si>
  <si>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</si>
  <si>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</si>
  <si>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</si>
  <si>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</si>
  <si>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</si>
  <si>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</si>
  <si>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</si>
  <si>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</si>
  <si>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</si>
  <si>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</si>
  <si>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</si>
  <si>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</si>
  <si>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</si>
  <si>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</si>
  <si>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</si>
  <si>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</si>
  <si>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</si>
  <si>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</si>
  <si>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</si>
  <si>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</si>
  <si>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</si>
  <si>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</si>
  <si>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</si>
  <si>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</si>
  <si>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</si>
  <si>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</si>
  <si>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</si>
  <si>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</si>
  <si>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</si>
  <si>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</si>
  <si>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</si>
  <si>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</si>
  <si>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</si>
  <si>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</si>
  <si>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</si>
  <si>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</si>
  <si>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</si>
  <si>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</si>
  <si>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</si>
  <si>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</si>
  <si>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</si>
  <si>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</si>
  <si>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</si>
  <si>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</si>
  <si>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</si>
  <si>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</si>
  <si>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</si>
  <si>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</si>
  <si>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</si>
  <si>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</si>
  <si>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</si>
  <si>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</si>
  <si>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</si>
  <si>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</si>
  <si>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</si>
  <si>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</si>
  <si>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</si>
  <si>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</si>
  <si>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</si>
  <si>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</si>
  <si>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</si>
  <si>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</si>
  <si>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</si>
  <si>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</si>
  <si>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</si>
  <si>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</si>
  <si>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</si>
  <si>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</si>
  <si>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</si>
  <si>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</si>
  <si>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</si>
  <si>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</si>
  <si>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</si>
  <si>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</si>
  <si>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</si>
  <si>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</si>
  <si>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</si>
  <si>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</si>
  <si>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</si>
  <si>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</si>
  <si>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</si>
  <si>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</si>
  <si>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</si>
  <si>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</si>
  <si>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</si>
  <si>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</si>
  <si>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</si>
  <si>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</si>
  <si>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</si>
  <si>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</si>
  <si>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</si>
  <si>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</si>
  <si>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</si>
  <si>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</si>
  <si>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</si>
  <si>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</si>
  <si>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</si>
  <si>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</si>
  <si>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</si>
  <si>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</si>
  <si>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</si>
  <si>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</si>
  <si>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</si>
  <si>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</si>
  <si>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</si>
  <si>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</si>
  <si>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</si>
  <si>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</si>
  <si>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</si>
  <si>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</si>
  <si>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</si>
  <si>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</si>
  <si>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</si>
  <si>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</si>
  <si>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</si>
  <si>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</si>
  <si>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</si>
  <si>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</si>
  <si>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</si>
  <si>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</si>
  <si>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</si>
  <si>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</si>
  <si>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</si>
  <si>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</si>
  <si>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</si>
  <si>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</si>
  <si>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</si>
  <si>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</si>
  <si>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</si>
  <si>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</si>
  <si>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</si>
  <si>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</si>
  <si>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</si>
  <si>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</si>
  <si>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</si>
  <si>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</si>
  <si>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</si>
  <si>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</si>
  <si>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</si>
  <si>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</si>
  <si>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</si>
  <si>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</si>
  <si>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</si>
  <si>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</si>
  <si>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</si>
  <si>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</si>
  <si>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</si>
  <si>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</si>
  <si>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</si>
  <si>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</si>
  <si>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</si>
  <si>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</si>
  <si>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</si>
  <si>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</si>
  <si>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</si>
  <si>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</si>
  <si>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</si>
  <si>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</si>
  <si>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</si>
  <si>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</si>
  <si>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</si>
  <si>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</si>
  <si>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</si>
  <si>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</si>
  <si>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</si>
  <si>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</si>
  <si>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</si>
  <si>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</si>
  <si>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</si>
  <si>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</si>
  <si>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</si>
  <si>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</si>
  <si>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</si>
  <si>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</si>
  <si>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</si>
  <si>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</si>
  <si>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</si>
  <si>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</si>
  <si>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</si>
  <si>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</si>
  <si>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</si>
  <si>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</si>
  <si>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</si>
  <si>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</si>
  <si>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</si>
  <si>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</si>
  <si>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</si>
  <si>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</si>
  <si>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</si>
  <si>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</si>
  <si>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</si>
  <si>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</si>
  <si>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</si>
  <si>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</si>
  <si>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</si>
  <si>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</si>
  <si>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</si>
  <si>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</si>
  <si>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</si>
  <si>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</si>
  <si>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</si>
  <si>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</si>
  <si>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</si>
  <si>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</si>
  <si>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</si>
  <si>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</si>
  <si>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</si>
  <si>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</si>
  <si>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</si>
  <si>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</si>
  <si>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</si>
  <si>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</si>
  <si>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</si>
  <si>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</si>
  <si>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</si>
  <si>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</si>
  <si>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</si>
  <si>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</si>
  <si>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</si>
  <si>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</si>
  <si>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</si>
  <si>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</si>
  <si>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</si>
  <si>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</si>
  <si>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</si>
  <si>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</si>
  <si>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</si>
  <si>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</si>
  <si>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</si>
  <si>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</si>
  <si>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</si>
  <si>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</si>
  <si>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</si>
  <si>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</si>
  <si>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</si>
  <si>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</si>
  <si>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</si>
  <si>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</si>
  <si>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</si>
  <si>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</si>
  <si>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</si>
  <si>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</si>
  <si>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</si>
  <si>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</si>
  <si>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</si>
  <si>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</si>
  <si>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</si>
  <si>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</si>
  <si>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</si>
  <si>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</si>
  <si>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</si>
  <si>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</si>
  <si>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</si>
  <si>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</si>
  <si>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</si>
  <si>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</si>
  <si>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</si>
  <si>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</si>
  <si>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</si>
  <si>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</si>
  <si>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</si>
  <si>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</si>
  <si>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</si>
  <si>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</si>
  <si>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</si>
  <si>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</si>
  <si>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</si>
  <si>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</si>
  <si>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</si>
  <si>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</si>
  <si>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</si>
  <si>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</si>
  <si>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</si>
  <si>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</si>
  <si>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</si>
  <si>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</si>
  <si>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</si>
  <si>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</si>
  <si>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</si>
  <si>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</si>
  <si>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</si>
  <si>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</si>
  <si>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</si>
  <si>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</si>
  <si>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</si>
  <si>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</si>
  <si>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</si>
  <si>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</si>
  <si>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</si>
  <si>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</si>
  <si>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</si>
  <si>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</si>
  <si>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</si>
  <si>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</si>
  <si>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</si>
  <si>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</si>
  <si>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</si>
  <si>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</si>
  <si>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</si>
  <si>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</si>
  <si>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</si>
  <si>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</si>
  <si>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</si>
  <si>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</si>
  <si>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</si>
  <si>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</si>
  <si>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</si>
  <si>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</si>
  <si>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</si>
  <si>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</si>
  <si>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</si>
  <si>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</si>
  <si>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</si>
  <si>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</si>
  <si>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</si>
  <si>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</si>
  <si>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</si>
  <si>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</si>
  <si>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</si>
  <si>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</si>
  <si>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</si>
  <si>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</si>
  <si>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</si>
  <si>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</si>
  <si>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</si>
  <si>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</si>
  <si>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</si>
  <si>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</si>
  <si>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</si>
  <si>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</si>
  <si>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</si>
  <si>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</si>
  <si>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</si>
  <si>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</si>
  <si>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</si>
  <si>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</si>
  <si>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</si>
  <si>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</si>
  <si>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</si>
  <si>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</si>
  <si>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</si>
  <si>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</si>
  <si>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</si>
  <si>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</si>
  <si>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</si>
  <si>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</si>
  <si>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</si>
  <si>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</si>
  <si>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</si>
  <si>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</si>
  <si>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</si>
  <si>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</si>
  <si>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</si>
  <si>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</si>
  <si>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</si>
  <si>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</si>
  <si>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</si>
  <si>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</si>
  <si>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</si>
  <si>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</si>
  <si>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</si>
  <si>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</si>
  <si>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</si>
  <si>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</si>
  <si>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</si>
  <si>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</si>
  <si>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</si>
  <si>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</si>
  <si>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</si>
  <si>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</si>
  <si>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</si>
  <si>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</si>
  <si>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</si>
  <si>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</si>
  <si>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</si>
  <si>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</si>
  <si>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</si>
  <si>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</si>
  <si>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</si>
  <si>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</si>
  <si>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</si>
  <si>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</si>
  <si>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</si>
  <si>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</si>
  <si>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</si>
  <si>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</si>
  <si>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Última fecha de Actualización: 21/08/2026 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</si>
</sst>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8" x14ac:knownFonts="1">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s>
  <fills count="26">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s>
  <borders count="13">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25">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0" fillId="17" borderId="0" xfId="0" applyFill="1"/>
    <xf numFmtId="0" fontId="0" fillId="17" borderId="0" xfId="0" applyFill="1" applyAlignment="1">
      <alignment horizontal="center"/>
    </xf>
    <xf numFmtId="0" fontId="0" fillId="18" borderId="0" xfId="0" applyFill="1"/>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14" fontId="4" fillId="25"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E5D497"/>
      <color rgb="FF009900"/>
      <color rgb="FF00CC66"/>
      <color rgb="FF33CC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8</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1" sqref="K31"/>
    </sheetView>
  </sheetViews>
  <sheetFormatPr baseColWidth="10" defaultRowHeight="14.4" x14ac:dyDescent="0.3"/>
  <cols>
    <col min="9" max="9" width="16.6640625" bestFit="1" customWidth="1"/>
    <col min="10" max="10" width="10.109375" customWidth="1"/>
    <col min="17" max="17" width="7.109375" customWidth="1"/>
  </cols>
  <sheetData>
    <row r="1" spans="1:19" x14ac:dyDescent="0.3">
      <c r="A1" s="14"/>
      <c r="B1" s="14"/>
      <c r="C1" s="14"/>
      <c r="D1" s="14"/>
      <c r="E1" s="14"/>
      <c r="F1" s="14"/>
      <c r="G1" s="14"/>
      <c r="H1" s="14"/>
      <c r="I1" s="14"/>
      <c r="J1" s="14"/>
      <c r="K1" s="14"/>
      <c r="L1" s="14"/>
      <c r="M1" s="14"/>
      <c r="N1" s="14"/>
      <c r="O1" s="14"/>
      <c r="P1" s="14"/>
      <c r="Q1" s="14"/>
      <c r="R1" s="14"/>
      <c r="S1" s="14"/>
    </row>
    <row r="2" spans="1:19" ht="15.6" x14ac:dyDescent="0.3">
      <c r="A2" s="17"/>
      <c r="B2" s="14"/>
      <c r="C2" s="14"/>
      <c r="D2" s="14"/>
      <c r="E2" s="14"/>
      <c r="F2" s="14"/>
      <c r="G2" s="14"/>
      <c r="H2" s="14"/>
      <c r="I2" s="14"/>
      <c r="J2" s="14"/>
      <c r="K2" s="14"/>
      <c r="L2" s="14"/>
      <c r="M2" s="14"/>
      <c r="N2" s="14"/>
      <c r="O2" s="14"/>
      <c r="P2" s="14"/>
      <c r="Q2" s="14"/>
      <c r="R2" s="14"/>
      <c r="S2" s="14"/>
    </row>
    <row r="3" spans="1:19" x14ac:dyDescent="0.3">
      <c r="A3" s="14"/>
      <c r="B3" s="14"/>
      <c r="C3" s="14"/>
      <c r="D3" s="14"/>
      <c r="E3" s="14"/>
      <c r="F3" s="14"/>
      <c r="G3" s="14"/>
      <c r="H3" s="14"/>
      <c r="I3" s="14"/>
      <c r="J3" s="14"/>
      <c r="K3" s="14"/>
      <c r="L3" s="14"/>
      <c r="M3" s="14"/>
      <c r="N3" s="14"/>
      <c r="O3" s="14"/>
      <c r="P3" s="14"/>
      <c r="Q3" s="14"/>
      <c r="R3" s="14"/>
      <c r="S3" s="14"/>
    </row>
    <row r="29" spans="7:13" x14ac:dyDescent="0.3">
      <c r="M29" s="58"/>
    </row>
    <row r="30" spans="7:13" x14ac:dyDescent="0.3">
      <c r="G30" s="58"/>
      <c r="I30" s="58"/>
      <c r="L30" s="58"/>
    </row>
    <row r="31" spans="7:13" x14ac:dyDescent="0.3">
      <c r="G31" s="59"/>
      <c r="H31" s="31"/>
      <c r="I31" s="60" t="s">
        <v>1357</v>
      </c>
    </row>
    <row r="33" spans="6:9" x14ac:dyDescent="0.3">
      <c r="F33" s="193"/>
      <c r="G33" s="193"/>
      <c r="H33" s="193"/>
      <c r="I33" s="19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508"/>
  <sheetViews>
    <sheetView showGridLines="0" workbookViewId="0">
      <selection activeCell="B2" sqref="B2"/>
    </sheetView>
  </sheetViews>
  <sheetFormatPr baseColWidth="10" defaultColWidth="11.5546875" defaultRowHeight="13.2" x14ac:dyDescent="0.25"/>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4" customWidth="1"/>
    <col min="9" max="16384" width="11.5546875" style="55"/>
  </cols>
  <sheetData>
    <row r="2" spans="2:7" x14ac:dyDescent="0.25">
      <c r="B2" s="57" t="s">
        <v>612</v>
      </c>
      <c r="C2" s="57" t="s">
        <v>613</v>
      </c>
      <c r="D2" s="57" t="s">
        <v>614</v>
      </c>
      <c r="E2" s="57" t="s">
        <v>615</v>
      </c>
      <c r="F2" s="143" t="s">
        <v>616</v>
      </c>
      <c r="G2" s="143" t="s">
        <v>617</v>
      </c>
    </row>
    <row r="3" spans="2:7" ht="26.4" x14ac:dyDescent="0.25">
      <c r="B3" s="56">
        <v>46128</v>
      </c>
      <c r="C3" s="69">
        <v>46128.598622685182</v>
      </c>
      <c r="D3" s="55" t="s">
        <v>680</v>
      </c>
      <c r="E3" s="55" t="s">
        <v>681</v>
      </c>
      <c r="G3" s="144" t="s">
        <v>679</v>
      </c>
    </row>
    <row r="4" spans="2:7" ht="303.60000000000002" x14ac:dyDescent="0.25">
      <c r="B4" s="56">
        <v>46129</v>
      </c>
      <c r="C4" s="69">
        <v>46129.394525462965</v>
      </c>
      <c r="D4" s="55" t="s">
        <v>684</v>
      </c>
      <c r="E4" s="55" t="s">
        <v>685</v>
      </c>
      <c r="F4" s="144" t="s">
        <v>123</v>
      </c>
      <c r="G4" s="144" t="s">
        <v>451</v>
      </c>
    </row>
    <row r="5" spans="2:7" x14ac:dyDescent="0.25">
      <c r="B5" s="56">
        <v>46129</v>
      </c>
      <c r="C5" s="69">
        <v>46129.395092592589</v>
      </c>
      <c r="D5" s="55" t="s">
        <v>684</v>
      </c>
      <c r="E5" s="55" t="s">
        <v>686</v>
      </c>
      <c r="F5" s="145">
        <v>46022</v>
      </c>
      <c r="G5" s="145">
        <v>46171</v>
      </c>
    </row>
    <row r="6" spans="2:7" x14ac:dyDescent="0.25">
      <c r="B6" s="56">
        <v>46129</v>
      </c>
      <c r="C6" s="69">
        <v>46129.395115740743</v>
      </c>
      <c r="D6" s="55" t="s">
        <v>684</v>
      </c>
      <c r="E6" s="55" t="s">
        <v>687</v>
      </c>
      <c r="F6" s="144" t="s">
        <v>33</v>
      </c>
      <c r="G6" s="144" t="s">
        <v>201</v>
      </c>
    </row>
    <row r="7" spans="2:7" x14ac:dyDescent="0.25">
      <c r="B7" s="56">
        <v>46129</v>
      </c>
      <c r="C7" s="69">
        <v>46129.491608796299</v>
      </c>
      <c r="D7" s="55" t="s">
        <v>689</v>
      </c>
      <c r="E7" s="55" t="s">
        <v>681</v>
      </c>
      <c r="G7" s="144" t="s">
        <v>688</v>
      </c>
    </row>
    <row r="8" spans="2:7" x14ac:dyDescent="0.25">
      <c r="B8" s="56">
        <v>46129</v>
      </c>
      <c r="C8" s="69">
        <v>46129.491655092592</v>
      </c>
      <c r="D8" s="55" t="s">
        <v>689</v>
      </c>
      <c r="E8" s="55" t="s">
        <v>681</v>
      </c>
      <c r="G8" s="145" t="s">
        <v>690</v>
      </c>
    </row>
    <row r="9" spans="2:7" ht="26.4" x14ac:dyDescent="0.25">
      <c r="B9" s="56">
        <v>46129</v>
      </c>
      <c r="C9" s="69">
        <v>46129.491770833331</v>
      </c>
      <c r="D9" s="55" t="s">
        <v>689</v>
      </c>
      <c r="E9" s="55" t="s">
        <v>681</v>
      </c>
      <c r="F9" s="145"/>
      <c r="G9" s="145" t="s">
        <v>691</v>
      </c>
    </row>
    <row r="10" spans="2:7" ht="26.4" x14ac:dyDescent="0.25">
      <c r="B10" s="56">
        <v>46129</v>
      </c>
      <c r="C10" s="69">
        <v>46129.49181712963</v>
      </c>
      <c r="D10" s="55" t="s">
        <v>689</v>
      </c>
      <c r="E10" s="55" t="s">
        <v>681</v>
      </c>
      <c r="G10" s="145" t="s">
        <v>692</v>
      </c>
    </row>
    <row r="11" spans="2:7" ht="39.6" x14ac:dyDescent="0.25">
      <c r="B11" s="56">
        <v>46129</v>
      </c>
      <c r="C11" s="69">
        <v>46129.492256944446</v>
      </c>
      <c r="D11" s="55" t="s">
        <v>689</v>
      </c>
      <c r="E11" s="55" t="s">
        <v>681</v>
      </c>
      <c r="F11" s="145"/>
      <c r="G11" s="145" t="s">
        <v>693</v>
      </c>
    </row>
    <row r="12" spans="2:7" x14ac:dyDescent="0.25">
      <c r="B12" s="56">
        <v>46129</v>
      </c>
      <c r="C12" s="69">
        <v>46129.494988425926</v>
      </c>
      <c r="D12" s="55" t="s">
        <v>695</v>
      </c>
      <c r="E12" s="55" t="s">
        <v>696</v>
      </c>
      <c r="G12" s="145" t="s">
        <v>694</v>
      </c>
    </row>
    <row r="13" spans="2:7" ht="26.4" x14ac:dyDescent="0.25">
      <c r="B13" s="56">
        <v>46129</v>
      </c>
      <c r="C13" s="69">
        <v>46129.495706018519</v>
      </c>
      <c r="D13" s="55" t="s">
        <v>695</v>
      </c>
      <c r="E13" s="55" t="s">
        <v>697</v>
      </c>
      <c r="G13" s="144" t="s">
        <v>210</v>
      </c>
    </row>
    <row r="14" spans="2:7" ht="39.6" x14ac:dyDescent="0.25">
      <c r="B14" s="56">
        <v>46129</v>
      </c>
      <c r="C14" s="69">
        <v>46129.496527777781</v>
      </c>
      <c r="D14" s="55" t="s">
        <v>695</v>
      </c>
      <c r="E14" s="55" t="s">
        <v>699</v>
      </c>
      <c r="G14" s="145" t="s">
        <v>698</v>
      </c>
    </row>
    <row r="15" spans="2:7" x14ac:dyDescent="0.25">
      <c r="B15" s="56">
        <v>46129</v>
      </c>
      <c r="C15" s="69">
        <v>46129.49659722222</v>
      </c>
      <c r="D15" s="55" t="s">
        <v>695</v>
      </c>
      <c r="E15" s="55" t="s">
        <v>701</v>
      </c>
      <c r="G15" s="145" t="s">
        <v>700</v>
      </c>
    </row>
    <row r="16" spans="2:7" x14ac:dyDescent="0.25">
      <c r="B16" s="56">
        <v>46129</v>
      </c>
      <c r="C16" s="69">
        <v>46129.496932870374</v>
      </c>
      <c r="D16" s="55" t="s">
        <v>695</v>
      </c>
      <c r="E16" s="55" t="s">
        <v>701</v>
      </c>
      <c r="F16" s="144" t="s">
        <v>700</v>
      </c>
      <c r="G16" s="145"/>
    </row>
    <row r="17" spans="2:7" ht="100.2" customHeight="1" x14ac:dyDescent="0.25">
      <c r="B17" s="56">
        <v>46129</v>
      </c>
      <c r="C17" s="69">
        <v>46129.497002314813</v>
      </c>
      <c r="D17" s="55" t="s">
        <v>695</v>
      </c>
      <c r="E17" s="55" t="s">
        <v>699</v>
      </c>
      <c r="F17" s="144" t="s">
        <v>698</v>
      </c>
      <c r="G17" s="145" t="s">
        <v>702</v>
      </c>
    </row>
    <row r="18" spans="2:7" ht="39.6" x14ac:dyDescent="0.25">
      <c r="B18" s="56">
        <v>46129</v>
      </c>
      <c r="C18" s="69">
        <v>46129.497662037036</v>
      </c>
      <c r="D18" s="55" t="s">
        <v>695</v>
      </c>
      <c r="E18" s="55" t="s">
        <v>697</v>
      </c>
      <c r="F18" s="144" t="s">
        <v>210</v>
      </c>
      <c r="G18" s="145" t="s">
        <v>703</v>
      </c>
    </row>
    <row r="19" spans="2:7" ht="39.6" x14ac:dyDescent="0.25">
      <c r="B19" s="56">
        <v>46129</v>
      </c>
      <c r="C19" s="69">
        <v>46129.497881944444</v>
      </c>
      <c r="D19" s="55" t="s">
        <v>695</v>
      </c>
      <c r="E19" s="55" t="s">
        <v>697</v>
      </c>
      <c r="F19" s="144" t="s">
        <v>703</v>
      </c>
      <c r="G19" s="145" t="s">
        <v>704</v>
      </c>
    </row>
    <row r="20" spans="2:7" ht="92.4" x14ac:dyDescent="0.25">
      <c r="B20" s="56">
        <v>46129</v>
      </c>
      <c r="C20" s="69">
        <v>46129.498969907407</v>
      </c>
      <c r="D20" s="55" t="s">
        <v>695</v>
      </c>
      <c r="E20" s="55" t="s">
        <v>706</v>
      </c>
      <c r="G20" s="145" t="s">
        <v>705</v>
      </c>
    </row>
    <row r="21" spans="2:7" ht="92.4" x14ac:dyDescent="0.25">
      <c r="B21" s="56">
        <v>46129</v>
      </c>
      <c r="C21" s="69">
        <v>46129.499432870369</v>
      </c>
      <c r="D21" s="55" t="s">
        <v>695</v>
      </c>
      <c r="E21" s="55" t="s">
        <v>706</v>
      </c>
      <c r="F21" s="144" t="s">
        <v>705</v>
      </c>
      <c r="G21" s="144" t="s">
        <v>707</v>
      </c>
    </row>
    <row r="22" spans="2:7" ht="52.8" x14ac:dyDescent="0.25">
      <c r="B22" s="56">
        <v>46129</v>
      </c>
      <c r="C22" s="69">
        <v>46129.500324074077</v>
      </c>
      <c r="D22" s="55" t="s">
        <v>695</v>
      </c>
      <c r="E22" s="55" t="s">
        <v>699</v>
      </c>
      <c r="F22" s="144" t="s">
        <v>702</v>
      </c>
      <c r="G22" s="145" t="s">
        <v>708</v>
      </c>
    </row>
    <row r="23" spans="2:7" ht="52.8" x14ac:dyDescent="0.25">
      <c r="B23" s="56">
        <v>46129</v>
      </c>
      <c r="C23" s="69">
        <v>46129.500474537039</v>
      </c>
      <c r="D23" s="55" t="s">
        <v>695</v>
      </c>
      <c r="E23" s="55" t="s">
        <v>699</v>
      </c>
      <c r="F23" s="144" t="s">
        <v>708</v>
      </c>
      <c r="G23" s="144" t="s">
        <v>709</v>
      </c>
    </row>
    <row r="24" spans="2:7" ht="52.8" x14ac:dyDescent="0.25">
      <c r="B24" s="56">
        <v>46129</v>
      </c>
      <c r="C24" s="69">
        <v>46129.500578703701</v>
      </c>
      <c r="D24" s="55" t="s">
        <v>695</v>
      </c>
      <c r="E24" s="55" t="s">
        <v>699</v>
      </c>
      <c r="F24" s="144" t="s">
        <v>709</v>
      </c>
      <c r="G24" s="145" t="s">
        <v>710</v>
      </c>
    </row>
    <row r="25" spans="2:7" x14ac:dyDescent="0.25">
      <c r="B25" s="56">
        <v>46129</v>
      </c>
      <c r="C25" s="69">
        <v>46129.501828703702</v>
      </c>
      <c r="D25" s="55" t="s">
        <v>713</v>
      </c>
      <c r="E25" s="55" t="s">
        <v>714</v>
      </c>
      <c r="G25" s="144" t="s">
        <v>712</v>
      </c>
    </row>
    <row r="26" spans="2:7" ht="52.8" x14ac:dyDescent="0.25">
      <c r="B26" s="56">
        <v>46129</v>
      </c>
      <c r="C26" s="69">
        <v>46129.502662037034</v>
      </c>
      <c r="D26" s="55" t="s">
        <v>713</v>
      </c>
      <c r="E26" s="55" t="s">
        <v>699</v>
      </c>
      <c r="F26" s="144" t="s">
        <v>710</v>
      </c>
      <c r="G26" s="145" t="s">
        <v>715</v>
      </c>
    </row>
    <row r="27" spans="2:7" ht="79.2" x14ac:dyDescent="0.25">
      <c r="B27" s="56">
        <v>46129</v>
      </c>
      <c r="C27" s="69">
        <v>46129.522870370369</v>
      </c>
      <c r="D27" s="55" t="s">
        <v>713</v>
      </c>
      <c r="E27" s="55" t="s">
        <v>717</v>
      </c>
      <c r="F27" s="144" t="s">
        <v>707</v>
      </c>
      <c r="G27" s="144" t="s">
        <v>718</v>
      </c>
    </row>
    <row r="28" spans="2:7" ht="39.6" x14ac:dyDescent="0.25">
      <c r="B28" s="56">
        <v>46129</v>
      </c>
      <c r="C28" s="69">
        <v>46129.523865740739</v>
      </c>
      <c r="D28" s="55" t="s">
        <v>713</v>
      </c>
      <c r="E28" s="55" t="s">
        <v>720</v>
      </c>
      <c r="F28" s="144" t="s">
        <v>715</v>
      </c>
      <c r="G28" s="145" t="s">
        <v>719</v>
      </c>
    </row>
    <row r="29" spans="2:7" x14ac:dyDescent="0.25">
      <c r="B29" s="56">
        <v>46129</v>
      </c>
      <c r="C29" s="69">
        <v>46129.526076388887</v>
      </c>
      <c r="D29" s="55" t="s">
        <v>721</v>
      </c>
      <c r="E29" s="55" t="s">
        <v>686</v>
      </c>
      <c r="G29" s="144" t="s">
        <v>694</v>
      </c>
    </row>
    <row r="30" spans="2:7" ht="39.6" x14ac:dyDescent="0.25">
      <c r="B30" s="56">
        <v>46129</v>
      </c>
      <c r="C30" s="69">
        <v>46129.529560185183</v>
      </c>
      <c r="D30" s="55" t="s">
        <v>721</v>
      </c>
      <c r="E30" s="55" t="s">
        <v>723</v>
      </c>
      <c r="F30" s="144" t="s">
        <v>704</v>
      </c>
      <c r="G30" s="145" t="s">
        <v>722</v>
      </c>
    </row>
    <row r="31" spans="2:7" ht="52.8" x14ac:dyDescent="0.25">
      <c r="B31" s="56">
        <v>46129</v>
      </c>
      <c r="C31" s="69">
        <v>46129.529976851853</v>
      </c>
      <c r="D31" s="55" t="s">
        <v>721</v>
      </c>
      <c r="E31" s="55" t="s">
        <v>725</v>
      </c>
      <c r="F31" s="144" t="s">
        <v>704</v>
      </c>
      <c r="G31" s="145" t="s">
        <v>724</v>
      </c>
    </row>
    <row r="32" spans="2:7" ht="92.4" x14ac:dyDescent="0.25">
      <c r="B32" s="56">
        <v>46129</v>
      </c>
      <c r="C32" s="69">
        <v>46129.530405092592</v>
      </c>
      <c r="D32" s="55" t="s">
        <v>721</v>
      </c>
      <c r="E32" s="55" t="s">
        <v>726</v>
      </c>
      <c r="F32" s="144" t="s">
        <v>718</v>
      </c>
      <c r="G32" s="145" t="s">
        <v>727</v>
      </c>
    </row>
    <row r="33" spans="2:7" ht="105.6" x14ac:dyDescent="0.25">
      <c r="B33" s="56">
        <v>46129</v>
      </c>
      <c r="C33" s="69">
        <v>46129.530601851853</v>
      </c>
      <c r="D33" s="55" t="s">
        <v>721</v>
      </c>
      <c r="E33" s="55" t="s">
        <v>726</v>
      </c>
      <c r="F33" s="144" t="s">
        <v>727</v>
      </c>
      <c r="G33" s="145" t="s">
        <v>729</v>
      </c>
    </row>
    <row r="34" spans="2:7" ht="52.8" x14ac:dyDescent="0.25">
      <c r="B34" s="56">
        <v>46129</v>
      </c>
      <c r="C34" s="69">
        <v>46129.531400462962</v>
      </c>
      <c r="D34" s="55" t="s">
        <v>721</v>
      </c>
      <c r="E34" s="55" t="s">
        <v>699</v>
      </c>
      <c r="F34" s="144" t="s">
        <v>715</v>
      </c>
      <c r="G34" s="145" t="s">
        <v>730</v>
      </c>
    </row>
    <row r="35" spans="2:7" ht="52.8" x14ac:dyDescent="0.25">
      <c r="B35" s="56">
        <v>46129</v>
      </c>
      <c r="C35" s="69">
        <v>46129.531585648147</v>
      </c>
      <c r="D35" s="55" t="s">
        <v>721</v>
      </c>
      <c r="E35" s="55" t="s">
        <v>699</v>
      </c>
      <c r="F35" s="144" t="s">
        <v>730</v>
      </c>
      <c r="G35" s="145" t="s">
        <v>731</v>
      </c>
    </row>
    <row r="36" spans="2:7" ht="39.6" x14ac:dyDescent="0.25">
      <c r="B36" s="56">
        <v>46129</v>
      </c>
      <c r="C36" s="69">
        <v>46129.549178240741</v>
      </c>
      <c r="D36" s="55" t="s">
        <v>721</v>
      </c>
      <c r="E36" s="55" t="s">
        <v>720</v>
      </c>
      <c r="F36" s="144" t="s">
        <v>719</v>
      </c>
      <c r="G36" s="145" t="s">
        <v>715</v>
      </c>
    </row>
    <row r="37" spans="2:7" ht="52.8" x14ac:dyDescent="0.25">
      <c r="B37" s="56">
        <v>46129</v>
      </c>
      <c r="C37" s="69">
        <v>46129.549479166664</v>
      </c>
      <c r="D37" s="55" t="s">
        <v>721</v>
      </c>
      <c r="E37" s="55" t="s">
        <v>720</v>
      </c>
      <c r="F37" s="145" t="s">
        <v>715</v>
      </c>
      <c r="G37" s="145" t="s">
        <v>732</v>
      </c>
    </row>
    <row r="38" spans="2:7" x14ac:dyDescent="0.25">
      <c r="B38" s="56">
        <v>46130</v>
      </c>
      <c r="C38" s="69">
        <v>46130.748425925929</v>
      </c>
      <c r="D38" s="55" t="s">
        <v>734</v>
      </c>
      <c r="E38" s="55" t="s">
        <v>735</v>
      </c>
      <c r="G38" s="145" t="s">
        <v>733</v>
      </c>
    </row>
    <row r="39" spans="2:7" x14ac:dyDescent="0.25">
      <c r="B39" s="56">
        <v>46130</v>
      </c>
      <c r="C39" s="69">
        <v>46130.748425925929</v>
      </c>
      <c r="D39" s="55" t="s">
        <v>734</v>
      </c>
      <c r="E39" s="55" t="s">
        <v>735</v>
      </c>
      <c r="F39" s="145"/>
      <c r="G39" s="145" t="s">
        <v>733</v>
      </c>
    </row>
    <row r="40" spans="2:7" x14ac:dyDescent="0.25">
      <c r="B40" s="56">
        <v>46130</v>
      </c>
      <c r="C40" s="69">
        <v>46130.748472222222</v>
      </c>
      <c r="D40" s="55" t="s">
        <v>734</v>
      </c>
      <c r="E40" s="55" t="s">
        <v>736</v>
      </c>
      <c r="F40" s="144" t="s">
        <v>733</v>
      </c>
      <c r="G40" s="145"/>
    </row>
    <row r="41" spans="2:7" x14ac:dyDescent="0.25">
      <c r="B41" s="56">
        <v>46130</v>
      </c>
      <c r="C41" s="69">
        <v>46130.748738425929</v>
      </c>
      <c r="D41" s="55" t="s">
        <v>734</v>
      </c>
      <c r="E41" s="55" t="s">
        <v>735</v>
      </c>
      <c r="F41" s="145" t="s">
        <v>733</v>
      </c>
      <c r="G41" s="145" t="s">
        <v>737</v>
      </c>
    </row>
    <row r="42" spans="2:7" x14ac:dyDescent="0.25">
      <c r="B42" s="56">
        <v>46130</v>
      </c>
      <c r="C42" s="69">
        <v>46130.748807870368</v>
      </c>
      <c r="D42" s="55" t="s">
        <v>734</v>
      </c>
      <c r="E42" s="55" t="s">
        <v>739</v>
      </c>
      <c r="G42" s="145" t="s">
        <v>738</v>
      </c>
    </row>
    <row r="43" spans="2:7" x14ac:dyDescent="0.25">
      <c r="B43" s="56">
        <v>46130</v>
      </c>
      <c r="C43" s="69">
        <v>46130.748865740738</v>
      </c>
      <c r="D43" s="55" t="s">
        <v>734</v>
      </c>
      <c r="E43" s="55" t="s">
        <v>741</v>
      </c>
      <c r="F43" s="145"/>
      <c r="G43" s="145" t="s">
        <v>740</v>
      </c>
    </row>
    <row r="44" spans="2:7" x14ac:dyDescent="0.25">
      <c r="B44" s="56">
        <v>46130</v>
      </c>
      <c r="C44" s="69">
        <v>46130.748900462961</v>
      </c>
      <c r="D44" s="55" t="s">
        <v>734</v>
      </c>
      <c r="E44" s="55" t="s">
        <v>743</v>
      </c>
      <c r="G44" s="145" t="s">
        <v>742</v>
      </c>
    </row>
    <row r="45" spans="2:7" x14ac:dyDescent="0.25">
      <c r="B45" s="56">
        <v>46130</v>
      </c>
      <c r="C45" s="69">
        <v>46130.74895833333</v>
      </c>
      <c r="D45" s="55" t="s">
        <v>734</v>
      </c>
      <c r="E45" s="55" t="s">
        <v>745</v>
      </c>
      <c r="F45" s="145"/>
      <c r="G45" s="145" t="s">
        <v>744</v>
      </c>
    </row>
    <row r="46" spans="2:7" x14ac:dyDescent="0.25">
      <c r="B46" s="56">
        <v>46130</v>
      </c>
      <c r="C46" s="69">
        <v>46130.759618055556</v>
      </c>
      <c r="D46" s="55" t="s">
        <v>684</v>
      </c>
      <c r="E46" s="55" t="s">
        <v>746</v>
      </c>
      <c r="F46" s="145">
        <v>46387</v>
      </c>
      <c r="G46" s="145"/>
    </row>
    <row r="47" spans="2:7" x14ac:dyDescent="0.25">
      <c r="B47" s="56">
        <v>46130</v>
      </c>
      <c r="C47" s="69">
        <v>46130.763657407406</v>
      </c>
      <c r="D47" s="55" t="s">
        <v>734</v>
      </c>
      <c r="E47" s="55" t="s">
        <v>747</v>
      </c>
      <c r="G47" s="145">
        <v>46144</v>
      </c>
    </row>
    <row r="48" spans="2:7" x14ac:dyDescent="0.25">
      <c r="B48" s="56">
        <v>46130</v>
      </c>
      <c r="C48" s="69">
        <v>46130.763668981483</v>
      </c>
      <c r="D48" s="55" t="s">
        <v>734</v>
      </c>
      <c r="E48" s="55" t="s">
        <v>747</v>
      </c>
      <c r="G48" s="145">
        <v>46144</v>
      </c>
    </row>
    <row r="49" spans="2:7" x14ac:dyDescent="0.25">
      <c r="B49" s="56">
        <v>46130</v>
      </c>
      <c r="C49" s="69">
        <v>46130.763738425929</v>
      </c>
      <c r="D49" s="55" t="s">
        <v>734</v>
      </c>
      <c r="E49" s="55" t="s">
        <v>747</v>
      </c>
      <c r="F49" s="147">
        <v>46144</v>
      </c>
      <c r="G49" s="145" t="s">
        <v>748</v>
      </c>
    </row>
    <row r="50" spans="2:7" x14ac:dyDescent="0.25">
      <c r="B50" s="56">
        <v>46130</v>
      </c>
      <c r="C50" s="69">
        <v>46130.763912037037</v>
      </c>
      <c r="D50" s="55" t="s">
        <v>734</v>
      </c>
      <c r="E50" s="55" t="s">
        <v>747</v>
      </c>
      <c r="F50" s="144" t="s">
        <v>748</v>
      </c>
      <c r="G50" s="145" t="s">
        <v>749</v>
      </c>
    </row>
    <row r="51" spans="2:7" x14ac:dyDescent="0.25">
      <c r="B51" s="56">
        <v>46131</v>
      </c>
      <c r="C51" s="69">
        <v>46131.441030092596</v>
      </c>
      <c r="D51" s="55" t="s">
        <v>684</v>
      </c>
      <c r="E51" s="55" t="s">
        <v>750</v>
      </c>
      <c r="G51" s="145" t="s">
        <v>201</v>
      </c>
    </row>
    <row r="52" spans="2:7" x14ac:dyDescent="0.25">
      <c r="B52" s="56">
        <v>46131</v>
      </c>
      <c r="C52" s="69">
        <v>46131.441180555557</v>
      </c>
      <c r="D52" s="55" t="s">
        <v>684</v>
      </c>
      <c r="E52" s="55" t="s">
        <v>687</v>
      </c>
      <c r="F52" s="144" t="s">
        <v>201</v>
      </c>
      <c r="G52" s="145" t="s">
        <v>20</v>
      </c>
    </row>
    <row r="53" spans="2:7" x14ac:dyDescent="0.25">
      <c r="B53" s="56">
        <v>46131</v>
      </c>
      <c r="C53" s="69">
        <v>46131.442465277774</v>
      </c>
      <c r="D53" s="55" t="s">
        <v>684</v>
      </c>
      <c r="E53" s="55" t="s">
        <v>687</v>
      </c>
      <c r="F53" s="144" t="s">
        <v>20</v>
      </c>
      <c r="G53" s="145" t="s">
        <v>201</v>
      </c>
    </row>
    <row r="54" spans="2:7" x14ac:dyDescent="0.25">
      <c r="B54" s="56">
        <v>46131</v>
      </c>
      <c r="C54" s="69">
        <v>46131.442499999997</v>
      </c>
      <c r="D54" s="55" t="s">
        <v>684</v>
      </c>
      <c r="E54" s="55" t="s">
        <v>750</v>
      </c>
      <c r="F54" s="144" t="s">
        <v>201</v>
      </c>
      <c r="G54" s="145"/>
    </row>
    <row r="55" spans="2:7" ht="26.4" x14ac:dyDescent="0.25">
      <c r="B55" s="56">
        <v>46132</v>
      </c>
      <c r="C55" s="69">
        <v>46132.602002314816</v>
      </c>
      <c r="D55" s="55" t="s">
        <v>721</v>
      </c>
      <c r="E55" s="55" t="s">
        <v>752</v>
      </c>
      <c r="G55" s="145" t="s">
        <v>751</v>
      </c>
    </row>
    <row r="56" spans="2:7" ht="26.4" x14ac:dyDescent="0.25">
      <c r="B56" s="56">
        <v>46132</v>
      </c>
      <c r="C56" s="69">
        <v>46132.602453703701</v>
      </c>
      <c r="D56" s="55" t="s">
        <v>721</v>
      </c>
      <c r="E56" s="55" t="s">
        <v>753</v>
      </c>
      <c r="G56" s="144" t="s">
        <v>751</v>
      </c>
    </row>
    <row r="57" spans="2:7" ht="39.6" x14ac:dyDescent="0.25">
      <c r="B57" s="56">
        <v>46132</v>
      </c>
      <c r="C57" s="69">
        <v>46132.605208333334</v>
      </c>
      <c r="D57" s="55" t="s">
        <v>721</v>
      </c>
      <c r="E57" s="55" t="s">
        <v>754</v>
      </c>
      <c r="G57" s="145" t="s">
        <v>755</v>
      </c>
    </row>
    <row r="58" spans="2:7" ht="26.4" x14ac:dyDescent="0.25">
      <c r="B58" s="56">
        <v>46132</v>
      </c>
      <c r="C58" s="69">
        <v>46132.608240740738</v>
      </c>
      <c r="D58" s="55" t="s">
        <v>721</v>
      </c>
      <c r="E58" s="55" t="s">
        <v>757</v>
      </c>
      <c r="G58" s="145" t="s">
        <v>756</v>
      </c>
    </row>
    <row r="59" spans="2:7" ht="26.4" x14ac:dyDescent="0.25">
      <c r="B59" s="56">
        <v>46132</v>
      </c>
      <c r="C59" s="69">
        <v>46132.617210648146</v>
      </c>
      <c r="D59" s="55" t="s">
        <v>721</v>
      </c>
      <c r="E59" s="55" t="s">
        <v>758</v>
      </c>
      <c r="G59" s="144" t="s">
        <v>756</v>
      </c>
    </row>
    <row r="60" spans="2:7" ht="92.4" x14ac:dyDescent="0.25">
      <c r="B60" s="56">
        <v>46135</v>
      </c>
      <c r="C60" s="69">
        <v>46135.38789351852</v>
      </c>
      <c r="D60" s="55" t="s">
        <v>721</v>
      </c>
      <c r="E60" s="55" t="s">
        <v>717</v>
      </c>
      <c r="F60" s="144" t="s">
        <v>718</v>
      </c>
      <c r="G60" s="145" t="s">
        <v>759</v>
      </c>
    </row>
    <row r="61" spans="2:7" ht="79.2" x14ac:dyDescent="0.25">
      <c r="B61" s="56">
        <v>46135</v>
      </c>
      <c r="C61" s="69">
        <v>46135.388113425928</v>
      </c>
      <c r="D61" s="55" t="s">
        <v>721</v>
      </c>
      <c r="E61" s="55" t="s">
        <v>717</v>
      </c>
      <c r="G61" s="145" t="s">
        <v>718</v>
      </c>
    </row>
    <row r="62" spans="2:7" x14ac:dyDescent="0.25">
      <c r="B62" s="56">
        <v>46135</v>
      </c>
      <c r="C62" s="69">
        <v>46135.520613425928</v>
      </c>
      <c r="D62" s="55" t="s">
        <v>684</v>
      </c>
      <c r="E62" s="55" t="s">
        <v>760</v>
      </c>
      <c r="F62" s="144" t="s">
        <v>201</v>
      </c>
      <c r="G62" s="145" t="s">
        <v>33</v>
      </c>
    </row>
    <row r="63" spans="2:7" x14ac:dyDescent="0.25">
      <c r="B63" s="56">
        <v>46135</v>
      </c>
      <c r="C63" s="69">
        <v>46135.520671296297</v>
      </c>
      <c r="D63" s="55" t="s">
        <v>684</v>
      </c>
      <c r="E63" s="55" t="s">
        <v>761</v>
      </c>
      <c r="F63" s="144" t="s">
        <v>201</v>
      </c>
      <c r="G63" s="145" t="s">
        <v>33</v>
      </c>
    </row>
    <row r="64" spans="2:7" x14ac:dyDescent="0.25">
      <c r="B64" s="56">
        <v>46139</v>
      </c>
      <c r="C64" s="69">
        <v>46139.594606481478</v>
      </c>
      <c r="D64" s="55" t="s">
        <v>721</v>
      </c>
      <c r="E64" s="55" t="s">
        <v>764</v>
      </c>
      <c r="G64" s="145" t="s">
        <v>763</v>
      </c>
    </row>
    <row r="65" spans="2:7" x14ac:dyDescent="0.25">
      <c r="B65" s="56">
        <v>46139</v>
      </c>
      <c r="C65" s="69">
        <v>46139.594953703701</v>
      </c>
      <c r="D65" s="55" t="s">
        <v>721</v>
      </c>
      <c r="E65" s="55" t="s">
        <v>766</v>
      </c>
      <c r="G65" s="144" t="s">
        <v>765</v>
      </c>
    </row>
    <row r="66" spans="2:7" x14ac:dyDescent="0.25">
      <c r="B66" s="56">
        <v>46139</v>
      </c>
      <c r="C66" s="69">
        <v>46139.595069444447</v>
      </c>
      <c r="D66" s="55" t="s">
        <v>721</v>
      </c>
      <c r="E66" s="55" t="s">
        <v>766</v>
      </c>
      <c r="F66" s="144" t="s">
        <v>765</v>
      </c>
      <c r="G66" s="145" t="s">
        <v>767</v>
      </c>
    </row>
    <row r="67" spans="2:7" ht="39.6" x14ac:dyDescent="0.25">
      <c r="B67" s="56">
        <v>46139</v>
      </c>
      <c r="C67" s="69">
        <v>46139.597592592596</v>
      </c>
      <c r="D67" s="55" t="s">
        <v>721</v>
      </c>
      <c r="E67" s="55" t="s">
        <v>769</v>
      </c>
      <c r="G67" s="145" t="s">
        <v>768</v>
      </c>
    </row>
    <row r="68" spans="2:7" ht="39.6" x14ac:dyDescent="0.25">
      <c r="B68" s="56">
        <v>46139</v>
      </c>
      <c r="C68" s="69">
        <v>46139.597881944443</v>
      </c>
      <c r="D68" s="55" t="s">
        <v>721</v>
      </c>
      <c r="E68" s="55" t="s">
        <v>769</v>
      </c>
      <c r="F68" s="144" t="s">
        <v>768</v>
      </c>
      <c r="G68" s="144" t="s">
        <v>770</v>
      </c>
    </row>
    <row r="69" spans="2:7" ht="39.6" x14ac:dyDescent="0.25">
      <c r="B69" s="56">
        <v>46139</v>
      </c>
      <c r="C69" s="69">
        <v>46139.602546296293</v>
      </c>
      <c r="D69" s="55" t="s">
        <v>721</v>
      </c>
      <c r="E69" s="55" t="s">
        <v>772</v>
      </c>
      <c r="G69" s="145" t="s">
        <v>771</v>
      </c>
    </row>
    <row r="70" spans="2:7" ht="39.6" x14ac:dyDescent="0.25">
      <c r="B70" s="56">
        <v>46139</v>
      </c>
      <c r="C70" s="69">
        <v>46139.609351851854</v>
      </c>
      <c r="D70" s="55" t="s">
        <v>721</v>
      </c>
      <c r="E70" s="55" t="s">
        <v>769</v>
      </c>
      <c r="F70" s="144" t="s">
        <v>770</v>
      </c>
      <c r="G70" s="144" t="s">
        <v>773</v>
      </c>
    </row>
    <row r="71" spans="2:7" x14ac:dyDescent="0.25">
      <c r="B71" s="56">
        <v>46153</v>
      </c>
      <c r="C71" s="69">
        <v>46153.402812499997</v>
      </c>
      <c r="D71" s="55" t="s">
        <v>721</v>
      </c>
      <c r="E71" s="55" t="s">
        <v>776</v>
      </c>
      <c r="F71" s="144" t="s">
        <v>33</v>
      </c>
      <c r="G71" s="145" t="s">
        <v>201</v>
      </c>
    </row>
    <row r="72" spans="2:7" x14ac:dyDescent="0.25">
      <c r="B72" s="56">
        <v>46153</v>
      </c>
      <c r="C72" s="69">
        <v>46153.40284722222</v>
      </c>
      <c r="D72" s="55" t="s">
        <v>721</v>
      </c>
      <c r="E72" s="55" t="s">
        <v>777</v>
      </c>
      <c r="F72" s="144" t="s">
        <v>33</v>
      </c>
      <c r="G72" s="145" t="s">
        <v>201</v>
      </c>
    </row>
    <row r="73" spans="2:7" x14ac:dyDescent="0.25">
      <c r="B73" s="56">
        <v>46153</v>
      </c>
      <c r="C73" s="69">
        <v>46153.403009259258</v>
      </c>
      <c r="D73" s="55" t="s">
        <v>721</v>
      </c>
      <c r="E73" s="55" t="s">
        <v>778</v>
      </c>
      <c r="F73" s="144" t="s">
        <v>33</v>
      </c>
      <c r="G73" s="145" t="s">
        <v>20</v>
      </c>
    </row>
    <row r="74" spans="2:7" x14ac:dyDescent="0.25">
      <c r="B74" s="56">
        <v>46153</v>
      </c>
      <c r="C74" s="69">
        <v>46153.403356481482</v>
      </c>
      <c r="D74" s="55" t="s">
        <v>721</v>
      </c>
      <c r="E74" s="55" t="s">
        <v>779</v>
      </c>
      <c r="F74" s="144" t="s">
        <v>33</v>
      </c>
      <c r="G74" s="144" t="s">
        <v>20</v>
      </c>
    </row>
    <row r="75" spans="2:7" x14ac:dyDescent="0.25">
      <c r="B75" s="56">
        <v>46153</v>
      </c>
      <c r="C75" s="69">
        <v>46153.403425925928</v>
      </c>
      <c r="D75" s="55" t="s">
        <v>721</v>
      </c>
      <c r="E75" s="55" t="s">
        <v>780</v>
      </c>
      <c r="F75" s="144" t="s">
        <v>33</v>
      </c>
      <c r="G75" s="144" t="s">
        <v>20</v>
      </c>
    </row>
    <row r="76" spans="2:7" x14ac:dyDescent="0.25">
      <c r="B76" s="56">
        <v>46153</v>
      </c>
      <c r="C76" s="69">
        <v>46153.419398148151</v>
      </c>
      <c r="D76" s="55" t="s">
        <v>721</v>
      </c>
      <c r="E76" s="55" t="s">
        <v>782</v>
      </c>
      <c r="F76" s="144" t="s">
        <v>33</v>
      </c>
      <c r="G76" s="145" t="s">
        <v>781</v>
      </c>
    </row>
    <row r="77" spans="2:7" x14ac:dyDescent="0.25">
      <c r="B77" s="56">
        <v>46153</v>
      </c>
      <c r="C77" s="69">
        <v>46153.419456018521</v>
      </c>
      <c r="D77" s="55" t="s">
        <v>721</v>
      </c>
      <c r="E77" s="55" t="s">
        <v>782</v>
      </c>
      <c r="F77" s="144" t="s">
        <v>781</v>
      </c>
      <c r="G77" s="144" t="s">
        <v>20</v>
      </c>
    </row>
    <row r="78" spans="2:7" x14ac:dyDescent="0.25">
      <c r="B78" s="56">
        <v>46153</v>
      </c>
      <c r="C78" s="69">
        <v>46153.41951388889</v>
      </c>
      <c r="D78" s="55" t="s">
        <v>721</v>
      </c>
      <c r="E78" s="55" t="s">
        <v>784</v>
      </c>
      <c r="G78" s="144" t="s">
        <v>783</v>
      </c>
    </row>
    <row r="79" spans="2:7" x14ac:dyDescent="0.25">
      <c r="B79" s="56">
        <v>46153</v>
      </c>
      <c r="C79" s="69">
        <v>46153.419571759259</v>
      </c>
      <c r="D79" s="55" t="s">
        <v>721</v>
      </c>
      <c r="E79" s="55" t="s">
        <v>785</v>
      </c>
      <c r="G79" s="144" t="s">
        <v>201</v>
      </c>
    </row>
    <row r="80" spans="2:7" x14ac:dyDescent="0.25">
      <c r="B80" s="56">
        <v>46153</v>
      </c>
      <c r="C80" s="69">
        <v>46153.419675925928</v>
      </c>
      <c r="D80" s="55" t="s">
        <v>721</v>
      </c>
      <c r="E80" s="55" t="s">
        <v>786</v>
      </c>
      <c r="F80" s="144" t="s">
        <v>33</v>
      </c>
      <c r="G80" s="144" t="s">
        <v>201</v>
      </c>
    </row>
    <row r="81" spans="2:7" x14ac:dyDescent="0.25">
      <c r="B81" s="56">
        <v>46153</v>
      </c>
      <c r="C81" s="69">
        <v>46153.419687499998</v>
      </c>
      <c r="D81" s="55" t="s">
        <v>721</v>
      </c>
      <c r="E81" s="55" t="s">
        <v>785</v>
      </c>
      <c r="F81" s="144" t="s">
        <v>201</v>
      </c>
    </row>
    <row r="82" spans="2:7" x14ac:dyDescent="0.25">
      <c r="B82" s="56">
        <v>46153</v>
      </c>
      <c r="C82" s="69">
        <v>46153.419803240744</v>
      </c>
      <c r="D82" s="55" t="s">
        <v>721</v>
      </c>
      <c r="E82" s="55" t="s">
        <v>787</v>
      </c>
      <c r="F82" s="144" t="s">
        <v>33</v>
      </c>
      <c r="G82" s="145" t="s">
        <v>20</v>
      </c>
    </row>
    <row r="83" spans="2:7" ht="39.6" x14ac:dyDescent="0.25">
      <c r="B83" s="56">
        <v>46153</v>
      </c>
      <c r="C83" s="69">
        <v>46153.426446759258</v>
      </c>
      <c r="D83" s="55" t="s">
        <v>721</v>
      </c>
      <c r="E83" s="55" t="s">
        <v>789</v>
      </c>
      <c r="F83" s="144" t="s">
        <v>719</v>
      </c>
      <c r="G83" s="145" t="s">
        <v>788</v>
      </c>
    </row>
    <row r="84" spans="2:7" ht="39.6" x14ac:dyDescent="0.25">
      <c r="B84" s="56">
        <v>46153</v>
      </c>
      <c r="C84" s="69">
        <v>46153.465983796297</v>
      </c>
      <c r="D84" s="55" t="s">
        <v>721</v>
      </c>
      <c r="E84" s="55" t="s">
        <v>791</v>
      </c>
      <c r="F84" s="144" t="s">
        <v>755</v>
      </c>
      <c r="G84" s="144" t="s">
        <v>790</v>
      </c>
    </row>
    <row r="85" spans="2:7" ht="26.4" x14ac:dyDescent="0.25">
      <c r="B85" s="56">
        <v>46153</v>
      </c>
      <c r="C85" s="69">
        <v>46153.466319444444</v>
      </c>
      <c r="D85" s="55" t="s">
        <v>721</v>
      </c>
      <c r="E85" s="55" t="s">
        <v>793</v>
      </c>
      <c r="F85" s="144" t="s">
        <v>756</v>
      </c>
      <c r="G85" s="144" t="s">
        <v>794</v>
      </c>
    </row>
    <row r="86" spans="2:7" ht="26.4" x14ac:dyDescent="0.25">
      <c r="B86" s="56">
        <v>46153</v>
      </c>
      <c r="C86" s="69">
        <v>46153.46638888889</v>
      </c>
      <c r="D86" s="55" t="s">
        <v>721</v>
      </c>
      <c r="E86" s="55" t="s">
        <v>795</v>
      </c>
      <c r="F86" s="144" t="s">
        <v>756</v>
      </c>
      <c r="G86" s="144" t="s">
        <v>794</v>
      </c>
    </row>
    <row r="87" spans="2:7" x14ac:dyDescent="0.25">
      <c r="B87" s="56">
        <v>46154</v>
      </c>
      <c r="C87" s="69">
        <v>46154.674733796295</v>
      </c>
      <c r="D87" s="55" t="s">
        <v>721</v>
      </c>
      <c r="E87" s="55" t="s">
        <v>797</v>
      </c>
      <c r="G87" s="144" t="s">
        <v>796</v>
      </c>
    </row>
    <row r="88" spans="2:7" ht="66" x14ac:dyDescent="0.25">
      <c r="B88" s="56">
        <v>46178</v>
      </c>
      <c r="C88" s="69">
        <v>46178.459861111114</v>
      </c>
      <c r="D88" s="55" t="s">
        <v>684</v>
      </c>
      <c r="E88" s="55" t="s">
        <v>799</v>
      </c>
      <c r="F88" s="144" t="s">
        <v>32</v>
      </c>
      <c r="G88" s="145" t="s">
        <v>798</v>
      </c>
    </row>
    <row r="89" spans="2:7" ht="52.8" x14ac:dyDescent="0.25">
      <c r="B89" s="56">
        <v>46178</v>
      </c>
      <c r="C89" s="69">
        <v>46178.459988425922</v>
      </c>
      <c r="D89" s="55" t="s">
        <v>684</v>
      </c>
      <c r="E89" s="55" t="s">
        <v>799</v>
      </c>
      <c r="F89" s="144" t="s">
        <v>798</v>
      </c>
      <c r="G89" s="144" t="s">
        <v>800</v>
      </c>
    </row>
    <row r="90" spans="2:7" ht="52.8" x14ac:dyDescent="0.25">
      <c r="B90" s="56">
        <v>46178</v>
      </c>
      <c r="C90" s="69">
        <v>46178.460023148145</v>
      </c>
      <c r="D90" s="55" t="s">
        <v>684</v>
      </c>
      <c r="E90" s="55" t="s">
        <v>801</v>
      </c>
      <c r="F90" s="144" t="s">
        <v>35</v>
      </c>
      <c r="G90" s="145" t="s">
        <v>800</v>
      </c>
    </row>
    <row r="91" spans="2:7" x14ac:dyDescent="0.25">
      <c r="B91" s="56">
        <v>46178</v>
      </c>
      <c r="C91" s="69">
        <v>46178.460069444445</v>
      </c>
      <c r="D91" s="55" t="s">
        <v>684</v>
      </c>
      <c r="E91" s="55" t="s">
        <v>802</v>
      </c>
      <c r="F91" s="144" t="s">
        <v>33</v>
      </c>
      <c r="G91" s="145" t="s">
        <v>201</v>
      </c>
    </row>
    <row r="92" spans="2:7" x14ac:dyDescent="0.25">
      <c r="B92" s="56">
        <v>46178</v>
      </c>
      <c r="C92" s="69">
        <v>46178.460081018522</v>
      </c>
      <c r="D92" s="55" t="s">
        <v>684</v>
      </c>
      <c r="E92" s="55" t="s">
        <v>803</v>
      </c>
      <c r="F92" s="144" t="s">
        <v>33</v>
      </c>
      <c r="G92" s="144" t="s">
        <v>201</v>
      </c>
    </row>
    <row r="93" spans="2:7" ht="105.6" x14ac:dyDescent="0.25">
      <c r="B93" s="56">
        <v>46178</v>
      </c>
      <c r="C93" s="69">
        <v>46178.460509259261</v>
      </c>
      <c r="D93" s="55" t="s">
        <v>684</v>
      </c>
      <c r="E93" s="55" t="s">
        <v>799</v>
      </c>
      <c r="F93" s="144" t="s">
        <v>800</v>
      </c>
      <c r="G93" s="144" t="s">
        <v>804</v>
      </c>
    </row>
    <row r="94" spans="2:7" ht="105.6" x14ac:dyDescent="0.25">
      <c r="B94" s="56">
        <v>46178</v>
      </c>
      <c r="C94" s="69">
        <v>46178.460543981484</v>
      </c>
      <c r="D94" s="55" t="s">
        <v>684</v>
      </c>
      <c r="E94" s="55" t="s">
        <v>801</v>
      </c>
      <c r="F94" s="144" t="s">
        <v>800</v>
      </c>
      <c r="G94" s="144" t="s">
        <v>804</v>
      </c>
    </row>
    <row r="95" spans="2:7" x14ac:dyDescent="0.25">
      <c r="B95" s="56">
        <v>46178</v>
      </c>
      <c r="C95" s="69">
        <v>46178.460625</v>
      </c>
      <c r="D95" s="55" t="s">
        <v>684</v>
      </c>
      <c r="E95" s="55" t="s">
        <v>696</v>
      </c>
      <c r="F95" s="145">
        <v>46008</v>
      </c>
      <c r="G95" s="145">
        <v>46203</v>
      </c>
    </row>
    <row r="96" spans="2:7" x14ac:dyDescent="0.25">
      <c r="B96" s="56">
        <v>46178</v>
      </c>
      <c r="C96" s="69">
        <v>46178.460706018515</v>
      </c>
      <c r="D96" s="55" t="s">
        <v>684</v>
      </c>
      <c r="E96" s="55" t="s">
        <v>805</v>
      </c>
      <c r="F96" s="145">
        <v>46022</v>
      </c>
      <c r="G96" s="145">
        <v>46203</v>
      </c>
    </row>
    <row r="97" spans="2:7" ht="158.4" x14ac:dyDescent="0.25">
      <c r="B97" s="56">
        <v>46178</v>
      </c>
      <c r="C97" s="69">
        <v>46178.464108796295</v>
      </c>
      <c r="D97" s="55" t="s">
        <v>684</v>
      </c>
      <c r="E97" s="55" t="s">
        <v>807</v>
      </c>
      <c r="F97" s="144" t="s">
        <v>146</v>
      </c>
      <c r="G97" s="144" t="s">
        <v>806</v>
      </c>
    </row>
    <row r="98" spans="2:7" x14ac:dyDescent="0.25">
      <c r="B98" s="56">
        <v>46178</v>
      </c>
      <c r="C98" s="69">
        <v>46178.464178240742</v>
      </c>
      <c r="D98" s="55" t="s">
        <v>684</v>
      </c>
      <c r="E98" s="55" t="s">
        <v>808</v>
      </c>
      <c r="F98" s="144" t="s">
        <v>33</v>
      </c>
      <c r="G98" s="145" t="s">
        <v>20</v>
      </c>
    </row>
    <row r="99" spans="2:7" ht="158.4" x14ac:dyDescent="0.25">
      <c r="B99" s="56">
        <v>46178</v>
      </c>
      <c r="C99" s="69">
        <v>46178.464259259257</v>
      </c>
      <c r="D99" s="55" t="s">
        <v>684</v>
      </c>
      <c r="E99" s="55" t="s">
        <v>809</v>
      </c>
      <c r="F99" s="144" t="s">
        <v>146</v>
      </c>
      <c r="G99" s="144" t="s">
        <v>806</v>
      </c>
    </row>
    <row r="100" spans="2:7" x14ac:dyDescent="0.25">
      <c r="B100" s="56">
        <v>46178</v>
      </c>
      <c r="C100" s="69">
        <v>46178.46429398148</v>
      </c>
      <c r="D100" s="55" t="s">
        <v>684</v>
      </c>
      <c r="E100" s="55" t="s">
        <v>810</v>
      </c>
      <c r="F100" s="144" t="s">
        <v>33</v>
      </c>
      <c r="G100" s="144" t="s">
        <v>20</v>
      </c>
    </row>
    <row r="101" spans="2:7" ht="158.4" x14ac:dyDescent="0.25">
      <c r="B101" s="56">
        <v>46178</v>
      </c>
      <c r="C101" s="69">
        <v>46178.464375000003</v>
      </c>
      <c r="D101" s="55" t="s">
        <v>684</v>
      </c>
      <c r="E101" s="55" t="s">
        <v>811</v>
      </c>
      <c r="F101" s="144" t="s">
        <v>146</v>
      </c>
      <c r="G101" s="144" t="s">
        <v>806</v>
      </c>
    </row>
    <row r="102" spans="2:7" x14ac:dyDescent="0.25">
      <c r="B102" s="56">
        <v>46178</v>
      </c>
      <c r="C102" s="69">
        <v>46178.464409722219</v>
      </c>
      <c r="D102" s="55" t="s">
        <v>684</v>
      </c>
      <c r="E102" s="55" t="s">
        <v>812</v>
      </c>
      <c r="F102" s="144" t="s">
        <v>33</v>
      </c>
      <c r="G102" s="144" t="s">
        <v>20</v>
      </c>
    </row>
    <row r="103" spans="2:7" ht="66" x14ac:dyDescent="0.25">
      <c r="B103" s="56">
        <v>46178</v>
      </c>
      <c r="C103" s="69">
        <v>46178.46769675926</v>
      </c>
      <c r="D103" s="55" t="s">
        <v>684</v>
      </c>
      <c r="E103" s="55" t="s">
        <v>814</v>
      </c>
      <c r="F103" s="144" t="s">
        <v>235</v>
      </c>
      <c r="G103" s="144" t="s">
        <v>813</v>
      </c>
    </row>
    <row r="104" spans="2:7" ht="39.6" x14ac:dyDescent="0.25">
      <c r="B104" s="56">
        <v>46178</v>
      </c>
      <c r="C104" s="69">
        <v>46178.467766203707</v>
      </c>
      <c r="D104" s="55" t="s">
        <v>721</v>
      </c>
      <c r="E104" s="55" t="s">
        <v>815</v>
      </c>
      <c r="F104" s="144" t="s">
        <v>235</v>
      </c>
      <c r="G104" s="144" t="s">
        <v>751</v>
      </c>
    </row>
    <row r="105" spans="2:7" ht="79.2" x14ac:dyDescent="0.25">
      <c r="B105" s="56">
        <v>46178</v>
      </c>
      <c r="C105" s="69">
        <v>46178.467858796299</v>
      </c>
      <c r="D105" s="55" t="s">
        <v>684</v>
      </c>
      <c r="E105" s="55" t="s">
        <v>814</v>
      </c>
      <c r="F105" s="144" t="s">
        <v>235</v>
      </c>
      <c r="G105" s="145" t="s">
        <v>816</v>
      </c>
    </row>
    <row r="106" spans="2:7" x14ac:dyDescent="0.25">
      <c r="B106" s="56">
        <v>46178</v>
      </c>
      <c r="C106" s="69">
        <v>46178.467928240738</v>
      </c>
      <c r="D106" s="55" t="s">
        <v>684</v>
      </c>
      <c r="E106" s="55" t="s">
        <v>817</v>
      </c>
      <c r="F106" s="145">
        <v>46079</v>
      </c>
      <c r="G106" s="145">
        <v>46203</v>
      </c>
    </row>
    <row r="107" spans="2:7" x14ac:dyDescent="0.25">
      <c r="B107" s="56">
        <v>46178</v>
      </c>
      <c r="C107" s="69">
        <v>46178.467974537038</v>
      </c>
      <c r="D107" s="55" t="s">
        <v>684</v>
      </c>
      <c r="E107" s="55" t="s">
        <v>818</v>
      </c>
      <c r="F107" s="144" t="s">
        <v>33</v>
      </c>
      <c r="G107" s="144" t="s">
        <v>201</v>
      </c>
    </row>
    <row r="108" spans="2:7" x14ac:dyDescent="0.25">
      <c r="B108" s="56">
        <v>46178</v>
      </c>
      <c r="C108" s="69">
        <v>46178.468136574076</v>
      </c>
      <c r="D108" s="55" t="s">
        <v>684</v>
      </c>
      <c r="E108" s="55" t="s">
        <v>819</v>
      </c>
      <c r="F108" s="145">
        <v>46079</v>
      </c>
      <c r="G108" s="145">
        <v>46203</v>
      </c>
    </row>
    <row r="109" spans="2:7" ht="79.2" x14ac:dyDescent="0.25">
      <c r="B109" s="56">
        <v>46178</v>
      </c>
      <c r="C109" s="69">
        <v>46178.468171296299</v>
      </c>
      <c r="D109" s="55" t="s">
        <v>684</v>
      </c>
      <c r="E109" s="55" t="s">
        <v>820</v>
      </c>
      <c r="F109" s="144" t="s">
        <v>237</v>
      </c>
      <c r="G109" s="144" t="s">
        <v>816</v>
      </c>
    </row>
    <row r="110" spans="2:7" x14ac:dyDescent="0.25">
      <c r="B110" s="56">
        <v>46178</v>
      </c>
      <c r="C110" s="69">
        <v>46178.468206018515</v>
      </c>
      <c r="D110" s="55" t="s">
        <v>684</v>
      </c>
      <c r="E110" s="55" t="s">
        <v>821</v>
      </c>
      <c r="F110" s="144" t="s">
        <v>33</v>
      </c>
      <c r="G110" s="144" t="s">
        <v>201</v>
      </c>
    </row>
    <row r="111" spans="2:7" ht="66" x14ac:dyDescent="0.25">
      <c r="B111" s="56">
        <v>46178</v>
      </c>
      <c r="C111" s="69">
        <v>46178.469166666669</v>
      </c>
      <c r="D111" s="55" t="s">
        <v>684</v>
      </c>
      <c r="E111" s="55" t="s">
        <v>823</v>
      </c>
      <c r="F111" s="144" t="s">
        <v>293</v>
      </c>
      <c r="G111" s="144" t="s">
        <v>822</v>
      </c>
    </row>
    <row r="112" spans="2:7" x14ac:dyDescent="0.25">
      <c r="B112" s="56">
        <v>46178</v>
      </c>
      <c r="C112" s="69">
        <v>46178.469201388885</v>
      </c>
      <c r="D112" s="55" t="s">
        <v>684</v>
      </c>
      <c r="E112" s="55" t="s">
        <v>824</v>
      </c>
      <c r="F112" s="144" t="s">
        <v>33</v>
      </c>
      <c r="G112" s="145" t="s">
        <v>20</v>
      </c>
    </row>
    <row r="113" spans="2:7" ht="66" x14ac:dyDescent="0.25">
      <c r="B113" s="56">
        <v>46178</v>
      </c>
      <c r="C113" s="69">
        <v>46178.473726851851</v>
      </c>
      <c r="D113" s="55" t="s">
        <v>684</v>
      </c>
      <c r="E113" s="55" t="s">
        <v>826</v>
      </c>
      <c r="F113" s="144" t="s">
        <v>384</v>
      </c>
      <c r="G113" s="144" t="s">
        <v>825</v>
      </c>
    </row>
    <row r="114" spans="2:7" x14ac:dyDescent="0.25">
      <c r="B114" s="56">
        <v>46178</v>
      </c>
      <c r="C114" s="69">
        <v>46178.473900462966</v>
      </c>
      <c r="D114" s="55" t="s">
        <v>684</v>
      </c>
      <c r="E114" s="55" t="s">
        <v>827</v>
      </c>
      <c r="F114" s="144" t="s">
        <v>33</v>
      </c>
      <c r="G114" s="144" t="s">
        <v>20</v>
      </c>
    </row>
    <row r="115" spans="2:7" ht="198" x14ac:dyDescent="0.25">
      <c r="B115" s="56">
        <v>46178</v>
      </c>
      <c r="C115" s="69">
        <v>46178.474907407406</v>
      </c>
      <c r="D115" s="55" t="s">
        <v>684</v>
      </c>
      <c r="E115" s="55" t="s">
        <v>829</v>
      </c>
      <c r="F115" s="144" t="s">
        <v>396</v>
      </c>
      <c r="G115" s="144" t="s">
        <v>828</v>
      </c>
    </row>
    <row r="116" spans="2:7" ht="198" x14ac:dyDescent="0.25">
      <c r="B116" s="56">
        <v>46178</v>
      </c>
      <c r="C116" s="69">
        <v>46178.475173611114</v>
      </c>
      <c r="D116" s="55" t="s">
        <v>684</v>
      </c>
      <c r="E116" s="55" t="s">
        <v>829</v>
      </c>
      <c r="F116" s="144" t="s">
        <v>396</v>
      </c>
      <c r="G116" s="144" t="s">
        <v>830</v>
      </c>
    </row>
    <row r="117" spans="2:7" x14ac:dyDescent="0.25">
      <c r="B117" s="56">
        <v>46178</v>
      </c>
      <c r="C117" s="69">
        <v>46178.475185185183</v>
      </c>
      <c r="D117" s="55" t="s">
        <v>684</v>
      </c>
      <c r="E117" s="55" t="s">
        <v>831</v>
      </c>
      <c r="F117" s="144" t="s">
        <v>33</v>
      </c>
      <c r="G117" s="144" t="s">
        <v>20</v>
      </c>
    </row>
    <row r="118" spans="2:7" ht="198" x14ac:dyDescent="0.25">
      <c r="B118" s="56">
        <v>46178</v>
      </c>
      <c r="C118" s="69">
        <v>46178.475243055553</v>
      </c>
      <c r="D118" s="55" t="s">
        <v>684</v>
      </c>
      <c r="E118" s="55" t="s">
        <v>832</v>
      </c>
      <c r="F118" s="144" t="s">
        <v>396</v>
      </c>
      <c r="G118" s="144" t="s">
        <v>830</v>
      </c>
    </row>
    <row r="119" spans="2:7" x14ac:dyDescent="0.25">
      <c r="B119" s="56">
        <v>46178</v>
      </c>
      <c r="C119" s="69">
        <v>46178.475266203706</v>
      </c>
      <c r="D119" s="55" t="s">
        <v>684</v>
      </c>
      <c r="E119" s="55" t="s">
        <v>833</v>
      </c>
      <c r="F119" s="144" t="s">
        <v>33</v>
      </c>
      <c r="G119" s="145" t="s">
        <v>20</v>
      </c>
    </row>
    <row r="120" spans="2:7" x14ac:dyDescent="0.25">
      <c r="B120" s="56">
        <v>46178</v>
      </c>
      <c r="C120" s="69">
        <v>46178.484513888892</v>
      </c>
      <c r="D120" s="55" t="s">
        <v>684</v>
      </c>
      <c r="E120" s="55" t="s">
        <v>834</v>
      </c>
      <c r="G120" s="145">
        <v>46178</v>
      </c>
    </row>
    <row r="121" spans="2:7" x14ac:dyDescent="0.25">
      <c r="B121" s="56">
        <v>46178</v>
      </c>
      <c r="C121" s="69">
        <v>46178.484583333331</v>
      </c>
      <c r="D121" s="55" t="s">
        <v>684</v>
      </c>
      <c r="E121" s="55" t="s">
        <v>835</v>
      </c>
      <c r="G121" s="145">
        <v>46178</v>
      </c>
    </row>
    <row r="122" spans="2:7" x14ac:dyDescent="0.25">
      <c r="B122" s="56">
        <v>46178</v>
      </c>
      <c r="C122" s="69">
        <v>46178.484629629631</v>
      </c>
      <c r="D122" s="55" t="s">
        <v>684</v>
      </c>
      <c r="E122" s="55" t="s">
        <v>836</v>
      </c>
      <c r="G122" s="145">
        <v>46178</v>
      </c>
    </row>
    <row r="123" spans="2:7" x14ac:dyDescent="0.25">
      <c r="B123" s="56">
        <v>46178</v>
      </c>
      <c r="C123" s="69">
        <v>46178.487164351849</v>
      </c>
      <c r="D123" s="55" t="s">
        <v>684</v>
      </c>
      <c r="E123" s="55" t="s">
        <v>837</v>
      </c>
      <c r="G123" s="145">
        <v>46178</v>
      </c>
    </row>
    <row r="124" spans="2:7" x14ac:dyDescent="0.25">
      <c r="B124" s="56">
        <v>46178</v>
      </c>
      <c r="C124" s="69">
        <v>46178.487511574072</v>
      </c>
      <c r="D124" s="55" t="s">
        <v>684</v>
      </c>
      <c r="E124" s="55" t="s">
        <v>838</v>
      </c>
      <c r="G124" s="145">
        <v>46178</v>
      </c>
    </row>
    <row r="125" spans="2:7" x14ac:dyDescent="0.25">
      <c r="B125" s="56">
        <v>46178</v>
      </c>
      <c r="C125" s="69">
        <v>46178.487581018519</v>
      </c>
      <c r="D125" s="55" t="s">
        <v>684</v>
      </c>
      <c r="E125" s="55" t="s">
        <v>839</v>
      </c>
      <c r="G125" s="145">
        <v>46178</v>
      </c>
    </row>
    <row r="126" spans="2:7" ht="211.2" x14ac:dyDescent="0.25">
      <c r="B126" s="56">
        <v>46178</v>
      </c>
      <c r="C126" s="69">
        <v>46178.490173611113</v>
      </c>
      <c r="D126" s="55" t="s">
        <v>684</v>
      </c>
      <c r="E126" s="55" t="s">
        <v>841</v>
      </c>
      <c r="G126" s="145" t="s">
        <v>840</v>
      </c>
    </row>
    <row r="127" spans="2:7" x14ac:dyDescent="0.25">
      <c r="B127" s="56">
        <v>46178</v>
      </c>
      <c r="C127" s="69">
        <v>46178.490335648145</v>
      </c>
      <c r="D127" s="55" t="s">
        <v>684</v>
      </c>
      <c r="E127" s="55" t="s">
        <v>842</v>
      </c>
      <c r="F127" s="144" t="s">
        <v>201</v>
      </c>
      <c r="G127" s="144" t="s">
        <v>20</v>
      </c>
    </row>
    <row r="128" spans="2:7" x14ac:dyDescent="0.25">
      <c r="B128" s="56">
        <v>46178</v>
      </c>
      <c r="C128" s="69">
        <v>46178.49082175926</v>
      </c>
      <c r="D128" s="55" t="s">
        <v>684</v>
      </c>
      <c r="E128" s="55" t="s">
        <v>843</v>
      </c>
      <c r="G128" s="145">
        <v>46178</v>
      </c>
    </row>
    <row r="129" spans="2:7" ht="184.8" x14ac:dyDescent="0.25">
      <c r="B129" s="56">
        <v>46178</v>
      </c>
      <c r="C129" s="69">
        <v>46178.500752314816</v>
      </c>
      <c r="D129" s="55" t="s">
        <v>684</v>
      </c>
      <c r="E129" s="55" t="s">
        <v>845</v>
      </c>
      <c r="F129" s="144" t="s">
        <v>374</v>
      </c>
      <c r="G129" s="144" t="s">
        <v>844</v>
      </c>
    </row>
    <row r="130" spans="2:7" ht="52.8" x14ac:dyDescent="0.25">
      <c r="B130" s="56">
        <v>46178</v>
      </c>
      <c r="C130" s="69">
        <v>46178.500810185185</v>
      </c>
      <c r="D130" s="55" t="s">
        <v>684</v>
      </c>
      <c r="E130" s="55" t="s">
        <v>845</v>
      </c>
      <c r="F130" s="144" t="s">
        <v>844</v>
      </c>
      <c r="G130" s="144" t="s">
        <v>846</v>
      </c>
    </row>
    <row r="131" spans="2:7" x14ac:dyDescent="0.25">
      <c r="B131" s="56">
        <v>46178</v>
      </c>
      <c r="C131" s="69">
        <v>46178.500821759262</v>
      </c>
      <c r="D131" s="55" t="s">
        <v>684</v>
      </c>
      <c r="E131" s="55" t="s">
        <v>847</v>
      </c>
      <c r="F131" s="144" t="s">
        <v>201</v>
      </c>
      <c r="G131" s="144" t="s">
        <v>20</v>
      </c>
    </row>
    <row r="132" spans="2:7" x14ac:dyDescent="0.25">
      <c r="B132" s="56">
        <v>46178</v>
      </c>
      <c r="C132" s="69">
        <v>46178.500868055555</v>
      </c>
      <c r="D132" s="55" t="s">
        <v>684</v>
      </c>
      <c r="E132" s="55" t="s">
        <v>848</v>
      </c>
      <c r="F132" s="144" t="s">
        <v>201</v>
      </c>
      <c r="G132" s="144" t="s">
        <v>33</v>
      </c>
    </row>
    <row r="133" spans="2:7" x14ac:dyDescent="0.25">
      <c r="B133" s="56">
        <v>46178</v>
      </c>
      <c r="C133" s="69">
        <v>46178.501030092593</v>
      </c>
      <c r="D133" s="55" t="s">
        <v>684</v>
      </c>
      <c r="E133" s="55" t="s">
        <v>849</v>
      </c>
      <c r="G133" s="145">
        <v>46178</v>
      </c>
    </row>
    <row r="134" spans="2:7" ht="66" x14ac:dyDescent="0.25">
      <c r="B134" s="56">
        <v>46178</v>
      </c>
      <c r="C134" s="69">
        <v>46178.502951388888</v>
      </c>
      <c r="D134" s="55" t="s">
        <v>684</v>
      </c>
      <c r="E134" s="55" t="s">
        <v>851</v>
      </c>
      <c r="F134" s="144" t="s">
        <v>380</v>
      </c>
      <c r="G134" s="145" t="s">
        <v>850</v>
      </c>
    </row>
    <row r="135" spans="2:7" ht="66" x14ac:dyDescent="0.25">
      <c r="B135" s="56">
        <v>46178</v>
      </c>
      <c r="C135" s="69">
        <v>46178.503425925926</v>
      </c>
      <c r="D135" s="55" t="s">
        <v>684</v>
      </c>
      <c r="E135" s="55" t="s">
        <v>851</v>
      </c>
      <c r="F135" s="144" t="s">
        <v>850</v>
      </c>
      <c r="G135" s="144" t="s">
        <v>852</v>
      </c>
    </row>
    <row r="136" spans="2:7" x14ac:dyDescent="0.25">
      <c r="B136" s="56">
        <v>46178</v>
      </c>
      <c r="C136" s="69">
        <v>46178.503449074073</v>
      </c>
      <c r="D136" s="55" t="s">
        <v>684</v>
      </c>
      <c r="E136" s="55" t="s">
        <v>853</v>
      </c>
      <c r="F136" s="144" t="s">
        <v>201</v>
      </c>
      <c r="G136" s="144" t="s">
        <v>20</v>
      </c>
    </row>
    <row r="137" spans="2:7" x14ac:dyDescent="0.25">
      <c r="B137" s="56">
        <v>46178</v>
      </c>
      <c r="C137" s="69">
        <v>46178.503530092596</v>
      </c>
      <c r="D137" s="55" t="s">
        <v>684</v>
      </c>
      <c r="E137" s="55" t="s">
        <v>854</v>
      </c>
      <c r="G137" s="145">
        <v>46178</v>
      </c>
    </row>
    <row r="138" spans="2:7" ht="92.4" x14ac:dyDescent="0.25">
      <c r="B138" s="56">
        <v>46178</v>
      </c>
      <c r="C138" s="69">
        <v>46178.505312499998</v>
      </c>
      <c r="D138" s="55" t="s">
        <v>684</v>
      </c>
      <c r="E138" s="55" t="s">
        <v>856</v>
      </c>
      <c r="G138" s="144" t="s">
        <v>855</v>
      </c>
    </row>
    <row r="139" spans="2:7" x14ac:dyDescent="0.25">
      <c r="B139" s="56">
        <v>46178</v>
      </c>
      <c r="C139" s="69">
        <v>46178.505335648151</v>
      </c>
      <c r="D139" s="55" t="s">
        <v>684</v>
      </c>
      <c r="E139" s="55" t="s">
        <v>857</v>
      </c>
      <c r="F139" s="144" t="s">
        <v>201</v>
      </c>
      <c r="G139" s="144" t="s">
        <v>20</v>
      </c>
    </row>
    <row r="140" spans="2:7" x14ac:dyDescent="0.25">
      <c r="B140" s="56">
        <v>46178</v>
      </c>
      <c r="C140" s="69">
        <v>46178.505428240744</v>
      </c>
      <c r="D140" s="55" t="s">
        <v>684</v>
      </c>
      <c r="E140" s="55" t="s">
        <v>858</v>
      </c>
      <c r="G140" s="145">
        <v>46178</v>
      </c>
    </row>
    <row r="141" spans="2:7" ht="52.8" x14ac:dyDescent="0.25">
      <c r="B141" s="56">
        <v>46178</v>
      </c>
      <c r="C141" s="69">
        <v>46178.506724537037</v>
      </c>
      <c r="D141" s="55" t="s">
        <v>684</v>
      </c>
      <c r="E141" s="55" t="s">
        <v>860</v>
      </c>
      <c r="G141" s="144" t="s">
        <v>859</v>
      </c>
    </row>
    <row r="142" spans="2:7" ht="92.4" x14ac:dyDescent="0.25">
      <c r="B142" s="56">
        <v>46178</v>
      </c>
      <c r="C142" s="69">
        <v>46178.506932870368</v>
      </c>
      <c r="D142" s="55" t="s">
        <v>684</v>
      </c>
      <c r="E142" s="55" t="s">
        <v>860</v>
      </c>
      <c r="F142" s="144" t="s">
        <v>859</v>
      </c>
      <c r="G142" s="144" t="s">
        <v>861</v>
      </c>
    </row>
    <row r="143" spans="2:7" x14ac:dyDescent="0.25">
      <c r="B143" s="56">
        <v>46178</v>
      </c>
      <c r="C143" s="69">
        <v>46178.507071759261</v>
      </c>
      <c r="D143" s="55" t="s">
        <v>684</v>
      </c>
      <c r="E143" s="55" t="s">
        <v>862</v>
      </c>
      <c r="F143" s="145">
        <v>46173</v>
      </c>
      <c r="G143" s="145">
        <v>46234</v>
      </c>
    </row>
    <row r="144" spans="2:7" x14ac:dyDescent="0.25">
      <c r="B144" s="56">
        <v>46178</v>
      </c>
      <c r="C144" s="69">
        <v>46178.507407407407</v>
      </c>
      <c r="D144" s="55" t="s">
        <v>684</v>
      </c>
      <c r="E144" s="55" t="s">
        <v>863</v>
      </c>
      <c r="F144" s="145">
        <v>46173</v>
      </c>
      <c r="G144" s="145">
        <v>46234</v>
      </c>
    </row>
    <row r="145" spans="2:7" ht="92.4" x14ac:dyDescent="0.25">
      <c r="B145" s="56">
        <v>46178</v>
      </c>
      <c r="C145" s="69">
        <v>46178.507453703707</v>
      </c>
      <c r="D145" s="55" t="s">
        <v>684</v>
      </c>
      <c r="E145" s="55" t="s">
        <v>864</v>
      </c>
      <c r="G145" s="144" t="s">
        <v>861</v>
      </c>
    </row>
    <row r="146" spans="2:7" x14ac:dyDescent="0.25">
      <c r="B146" s="56">
        <v>46178</v>
      </c>
      <c r="C146" s="69">
        <v>46178.507928240739</v>
      </c>
      <c r="D146" s="55" t="s">
        <v>684</v>
      </c>
      <c r="E146" s="55" t="s">
        <v>865</v>
      </c>
      <c r="F146" s="145">
        <v>46173</v>
      </c>
      <c r="G146" s="145">
        <v>46234</v>
      </c>
    </row>
    <row r="147" spans="2:7" ht="92.4" x14ac:dyDescent="0.25">
      <c r="B147" s="56">
        <v>46178</v>
      </c>
      <c r="C147" s="69">
        <v>46178.507951388892</v>
      </c>
      <c r="D147" s="55" t="s">
        <v>684</v>
      </c>
      <c r="E147" s="55" t="s">
        <v>866</v>
      </c>
      <c r="G147" s="144" t="s">
        <v>861</v>
      </c>
    </row>
    <row r="148" spans="2:7" ht="92.4" x14ac:dyDescent="0.25">
      <c r="B148" s="56">
        <v>46178</v>
      </c>
      <c r="C148" s="69">
        <v>46178.508449074077</v>
      </c>
      <c r="D148" s="55" t="s">
        <v>684</v>
      </c>
      <c r="E148" s="55" t="s">
        <v>856</v>
      </c>
      <c r="F148" s="144" t="s">
        <v>855</v>
      </c>
      <c r="G148" s="144" t="s">
        <v>867</v>
      </c>
    </row>
    <row r="149" spans="2:7" ht="92.4" x14ac:dyDescent="0.25">
      <c r="B149" s="56">
        <v>46178</v>
      </c>
      <c r="C149" s="69">
        <v>46178.508611111109</v>
      </c>
      <c r="D149" s="55" t="s">
        <v>684</v>
      </c>
      <c r="E149" s="55" t="s">
        <v>868</v>
      </c>
      <c r="G149" s="144" t="s">
        <v>867</v>
      </c>
    </row>
    <row r="150" spans="2:7" ht="105.6" x14ac:dyDescent="0.25">
      <c r="B150" s="56">
        <v>46178</v>
      </c>
      <c r="C150" s="69">
        <v>46178.509340277778</v>
      </c>
      <c r="D150" s="55" t="s">
        <v>684</v>
      </c>
      <c r="E150" s="55" t="s">
        <v>868</v>
      </c>
      <c r="F150" s="144" t="s">
        <v>867</v>
      </c>
      <c r="G150" s="144" t="s">
        <v>869</v>
      </c>
    </row>
    <row r="151" spans="2:7" x14ac:dyDescent="0.25">
      <c r="B151" s="56">
        <v>46178</v>
      </c>
      <c r="C151" s="69">
        <v>46178.509456018517</v>
      </c>
      <c r="D151" s="55" t="s">
        <v>684</v>
      </c>
      <c r="E151" s="55" t="s">
        <v>870</v>
      </c>
      <c r="F151" s="144" t="s">
        <v>201</v>
      </c>
      <c r="G151" s="145" t="s">
        <v>20</v>
      </c>
    </row>
    <row r="152" spans="2:7" x14ac:dyDescent="0.25">
      <c r="B152" s="56">
        <v>46178</v>
      </c>
      <c r="C152" s="69">
        <v>46178.510335648149</v>
      </c>
      <c r="D152" s="55" t="s">
        <v>684</v>
      </c>
      <c r="E152" s="55" t="s">
        <v>871</v>
      </c>
      <c r="G152" s="145">
        <v>46178</v>
      </c>
    </row>
    <row r="153" spans="2:7" ht="132" x14ac:dyDescent="0.25">
      <c r="B153" s="56">
        <v>46178</v>
      </c>
      <c r="C153" s="69">
        <v>46178.52511574074</v>
      </c>
      <c r="D153" s="55" t="s">
        <v>684</v>
      </c>
      <c r="E153" s="55" t="s">
        <v>874</v>
      </c>
      <c r="G153" s="145" t="s">
        <v>873</v>
      </c>
    </row>
    <row r="154" spans="2:7" x14ac:dyDescent="0.25">
      <c r="B154" s="56">
        <v>46178</v>
      </c>
      <c r="C154" s="69">
        <v>46178.52516203704</v>
      </c>
      <c r="D154" s="55" t="s">
        <v>684</v>
      </c>
      <c r="E154" s="55" t="s">
        <v>875</v>
      </c>
      <c r="F154" s="145" t="s">
        <v>33</v>
      </c>
      <c r="G154" s="144" t="s">
        <v>20</v>
      </c>
    </row>
    <row r="155" spans="2:7" x14ac:dyDescent="0.25">
      <c r="B155" s="56">
        <v>46178</v>
      </c>
      <c r="C155" s="69">
        <v>46178.525289351855</v>
      </c>
      <c r="D155" s="55" t="s">
        <v>684</v>
      </c>
      <c r="E155" s="55" t="s">
        <v>876</v>
      </c>
      <c r="F155" s="145"/>
      <c r="G155" s="145">
        <v>46178</v>
      </c>
    </row>
    <row r="156" spans="2:7" ht="26.4" x14ac:dyDescent="0.25">
      <c r="B156" s="56">
        <v>46181</v>
      </c>
      <c r="C156" s="69">
        <v>46181.812789351854</v>
      </c>
      <c r="D156" s="55" t="s">
        <v>734</v>
      </c>
      <c r="E156" s="55" t="s">
        <v>877</v>
      </c>
      <c r="F156" s="145">
        <v>0</v>
      </c>
      <c r="G156" s="145" t="s">
        <v>14</v>
      </c>
    </row>
    <row r="157" spans="2:7" ht="26.4" x14ac:dyDescent="0.25">
      <c r="B157" s="56">
        <v>46182</v>
      </c>
      <c r="C157" s="69">
        <v>46182.619097222225</v>
      </c>
      <c r="D157" s="55" t="s">
        <v>684</v>
      </c>
      <c r="E157" s="55" t="s">
        <v>879</v>
      </c>
      <c r="F157" s="145"/>
      <c r="G157" s="144" t="s">
        <v>878</v>
      </c>
    </row>
    <row r="158" spans="2:7" ht="26.4" x14ac:dyDescent="0.25">
      <c r="B158" s="56">
        <v>46182</v>
      </c>
      <c r="C158" s="69">
        <v>46182.619606481479</v>
      </c>
      <c r="D158" s="55" t="s">
        <v>684</v>
      </c>
      <c r="E158" s="55" t="s">
        <v>881</v>
      </c>
      <c r="G158" s="145" t="s">
        <v>880</v>
      </c>
    </row>
    <row r="159" spans="2:7" ht="39.6" x14ac:dyDescent="0.25">
      <c r="B159" s="56">
        <v>46182</v>
      </c>
      <c r="C159" s="69">
        <v>46182.619756944441</v>
      </c>
      <c r="D159" s="55" t="s">
        <v>684</v>
      </c>
      <c r="E159" s="55" t="s">
        <v>879</v>
      </c>
      <c r="F159" s="145" t="s">
        <v>878</v>
      </c>
      <c r="G159" s="145" t="s">
        <v>882</v>
      </c>
    </row>
    <row r="160" spans="2:7" x14ac:dyDescent="0.25">
      <c r="B160" s="56">
        <v>46183</v>
      </c>
      <c r="C160" s="69">
        <v>46183.572546296295</v>
      </c>
      <c r="D160" s="55" t="s">
        <v>684</v>
      </c>
      <c r="E160" s="55" t="s">
        <v>886</v>
      </c>
      <c r="F160" s="144" t="s">
        <v>201</v>
      </c>
      <c r="G160" s="145" t="s">
        <v>33</v>
      </c>
    </row>
    <row r="161" spans="2:7" x14ac:dyDescent="0.25">
      <c r="B161" s="56">
        <v>46183</v>
      </c>
      <c r="C161" s="69">
        <v>46183.572581018518</v>
      </c>
      <c r="D161" s="55" t="s">
        <v>684</v>
      </c>
      <c r="E161" s="55" t="s">
        <v>887</v>
      </c>
      <c r="F161" s="145" t="s">
        <v>201</v>
      </c>
      <c r="G161" s="145" t="s">
        <v>33</v>
      </c>
    </row>
    <row r="162" spans="2:7" x14ac:dyDescent="0.25">
      <c r="B162" s="56">
        <v>46183</v>
      </c>
      <c r="C162" s="69">
        <v>46183.572592592594</v>
      </c>
      <c r="D162" s="55" t="s">
        <v>684</v>
      </c>
      <c r="E162" s="55" t="s">
        <v>888</v>
      </c>
      <c r="F162" s="144" t="s">
        <v>201</v>
      </c>
      <c r="G162" s="144" t="s">
        <v>33</v>
      </c>
    </row>
    <row r="163" spans="2:7" x14ac:dyDescent="0.25">
      <c r="B163" s="56">
        <v>46183</v>
      </c>
      <c r="C163" s="69">
        <v>46183.572870370372</v>
      </c>
      <c r="D163" s="55" t="s">
        <v>684</v>
      </c>
      <c r="E163" s="55" t="s">
        <v>889</v>
      </c>
      <c r="F163" s="144" t="s">
        <v>201</v>
      </c>
      <c r="G163" s="145" t="s">
        <v>33</v>
      </c>
    </row>
    <row r="164" spans="2:7" x14ac:dyDescent="0.25">
      <c r="B164" s="56">
        <v>46183</v>
      </c>
      <c r="C164" s="69">
        <v>46183.602060185185</v>
      </c>
      <c r="D164" s="55" t="s">
        <v>890</v>
      </c>
      <c r="E164" s="55" t="s">
        <v>891</v>
      </c>
      <c r="G164" s="145" t="s">
        <v>572</v>
      </c>
    </row>
    <row r="165" spans="2:7" x14ac:dyDescent="0.25">
      <c r="B165" s="56">
        <v>46183</v>
      </c>
      <c r="C165" s="69">
        <v>46183.602129629631</v>
      </c>
      <c r="D165" s="55" t="s">
        <v>890</v>
      </c>
      <c r="E165" s="55" t="s">
        <v>891</v>
      </c>
      <c r="F165" s="144" t="s">
        <v>572</v>
      </c>
      <c r="G165" s="145" t="s">
        <v>1</v>
      </c>
    </row>
    <row r="166" spans="2:7" ht="52.8" x14ac:dyDescent="0.25">
      <c r="B166" s="56">
        <v>46183</v>
      </c>
      <c r="C166" s="69">
        <v>46183.602280092593</v>
      </c>
      <c r="D166" s="55" t="s">
        <v>890</v>
      </c>
      <c r="E166" s="55" t="s">
        <v>892</v>
      </c>
      <c r="F166" s="145"/>
      <c r="G166" s="145" t="s">
        <v>306</v>
      </c>
    </row>
    <row r="167" spans="2:7" ht="26.4" x14ac:dyDescent="0.25">
      <c r="B167" s="56">
        <v>46183</v>
      </c>
      <c r="C167" s="69">
        <v>46183.602546296293</v>
      </c>
      <c r="D167" s="55" t="s">
        <v>890</v>
      </c>
      <c r="E167" s="55" t="s">
        <v>893</v>
      </c>
      <c r="F167" s="145"/>
      <c r="G167" s="145" t="s">
        <v>360</v>
      </c>
    </row>
    <row r="168" spans="2:7" ht="52.8" x14ac:dyDescent="0.25">
      <c r="B168" s="56">
        <v>46183</v>
      </c>
      <c r="C168" s="69">
        <v>46183.602650462963</v>
      </c>
      <c r="D168" s="55" t="s">
        <v>890</v>
      </c>
      <c r="E168" s="55" t="s">
        <v>894</v>
      </c>
      <c r="F168" s="145"/>
      <c r="G168" s="145" t="s">
        <v>419</v>
      </c>
    </row>
    <row r="169" spans="2:7" x14ac:dyDescent="0.25">
      <c r="B169" s="56">
        <v>46183</v>
      </c>
      <c r="C169" s="69">
        <v>46183.602766203701</v>
      </c>
      <c r="D169" s="55" t="s">
        <v>890</v>
      </c>
      <c r="E169" s="55" t="s">
        <v>895</v>
      </c>
      <c r="G169" s="144">
        <v>3</v>
      </c>
    </row>
    <row r="170" spans="2:7" x14ac:dyDescent="0.25">
      <c r="B170" s="56">
        <v>46183</v>
      </c>
      <c r="C170" s="69">
        <v>46183.602812500001</v>
      </c>
      <c r="D170" s="55" t="s">
        <v>890</v>
      </c>
      <c r="E170" s="55" t="s">
        <v>896</v>
      </c>
      <c r="G170" s="144">
        <v>7</v>
      </c>
    </row>
    <row r="171" spans="2:7" x14ac:dyDescent="0.25">
      <c r="B171" s="56">
        <v>46183</v>
      </c>
      <c r="C171" s="69">
        <v>46183.602858796294</v>
      </c>
      <c r="D171" s="55" t="s">
        <v>890</v>
      </c>
      <c r="E171" s="55" t="s">
        <v>897</v>
      </c>
      <c r="G171" s="144">
        <v>10</v>
      </c>
    </row>
    <row r="172" spans="2:7" x14ac:dyDescent="0.25">
      <c r="B172" s="56">
        <v>46183</v>
      </c>
      <c r="C172" s="69">
        <v>46183.603009259263</v>
      </c>
      <c r="D172" s="55" t="s">
        <v>890</v>
      </c>
      <c r="E172" s="55" t="s">
        <v>898</v>
      </c>
      <c r="G172" s="144" t="s">
        <v>585</v>
      </c>
    </row>
    <row r="173" spans="2:7" ht="409.6" x14ac:dyDescent="0.25">
      <c r="B173" s="56">
        <v>46183</v>
      </c>
      <c r="C173" s="69">
        <v>46183.617696759262</v>
      </c>
      <c r="D173" s="55" t="s">
        <v>689</v>
      </c>
      <c r="E173" s="55" t="s">
        <v>899</v>
      </c>
      <c r="F173" s="144" t="s">
        <v>883</v>
      </c>
      <c r="G173" s="144" t="s">
        <v>900</v>
      </c>
    </row>
    <row r="174" spans="2:7" x14ac:dyDescent="0.25">
      <c r="B174" s="56">
        <v>46183</v>
      </c>
      <c r="C174" s="69">
        <v>46183.638993055552</v>
      </c>
      <c r="D174" s="55" t="s">
        <v>684</v>
      </c>
      <c r="E174" s="55" t="s">
        <v>901</v>
      </c>
      <c r="F174" s="144" t="s">
        <v>201</v>
      </c>
      <c r="G174" s="144" t="s">
        <v>33</v>
      </c>
    </row>
    <row r="175" spans="2:7" x14ac:dyDescent="0.25">
      <c r="B175" s="56">
        <v>46183</v>
      </c>
      <c r="C175" s="69">
        <v>46183.639386574076</v>
      </c>
      <c r="D175" s="55" t="s">
        <v>684</v>
      </c>
      <c r="E175" s="55" t="s">
        <v>902</v>
      </c>
      <c r="F175" s="144" t="s">
        <v>201</v>
      </c>
      <c r="G175" s="144" t="s">
        <v>33</v>
      </c>
    </row>
    <row r="176" spans="2:7" x14ac:dyDescent="0.25">
      <c r="B176" s="56">
        <v>46183</v>
      </c>
      <c r="C176" s="69">
        <v>46183.639398148145</v>
      </c>
      <c r="D176" s="55" t="s">
        <v>684</v>
      </c>
      <c r="E176" s="55" t="s">
        <v>903</v>
      </c>
      <c r="F176" s="144" t="s">
        <v>201</v>
      </c>
      <c r="G176" s="145" t="s">
        <v>33</v>
      </c>
    </row>
    <row r="177" spans="2:7" x14ac:dyDescent="0.25">
      <c r="B177" s="56">
        <v>46183</v>
      </c>
      <c r="C177" s="69">
        <v>46183.639421296299</v>
      </c>
      <c r="D177" s="55" t="s">
        <v>684</v>
      </c>
      <c r="E177" s="55" t="s">
        <v>904</v>
      </c>
      <c r="F177" s="145" t="s">
        <v>201</v>
      </c>
      <c r="G177" s="144" t="s">
        <v>33</v>
      </c>
    </row>
    <row r="178" spans="2:7" x14ac:dyDescent="0.25">
      <c r="B178" s="56">
        <v>46183</v>
      </c>
      <c r="C178" s="69">
        <v>46183.639664351853</v>
      </c>
      <c r="D178" s="55" t="s">
        <v>684</v>
      </c>
      <c r="E178" s="55" t="s">
        <v>905</v>
      </c>
      <c r="F178" s="144" t="s">
        <v>201</v>
      </c>
      <c r="G178" s="144" t="s">
        <v>33</v>
      </c>
    </row>
    <row r="179" spans="2:7" x14ac:dyDescent="0.25">
      <c r="B179" s="56">
        <v>46183</v>
      </c>
      <c r="C179" s="69">
        <v>46183.639699074076</v>
      </c>
      <c r="D179" s="55" t="s">
        <v>684</v>
      </c>
      <c r="E179" s="55" t="s">
        <v>906</v>
      </c>
      <c r="F179" s="144" t="s">
        <v>201</v>
      </c>
      <c r="G179" s="144" t="s">
        <v>33</v>
      </c>
    </row>
    <row r="180" spans="2:7" ht="39.6" x14ac:dyDescent="0.25">
      <c r="B180" s="56">
        <v>46183</v>
      </c>
      <c r="C180" s="69">
        <v>46183.646458333336</v>
      </c>
      <c r="D180" s="55" t="s">
        <v>689</v>
      </c>
      <c r="E180" s="55" t="s">
        <v>907</v>
      </c>
      <c r="F180" s="144" t="s">
        <v>14</v>
      </c>
      <c r="G180" s="144" t="s">
        <v>461</v>
      </c>
    </row>
    <row r="181" spans="2:7" ht="26.4" x14ac:dyDescent="0.25">
      <c r="B181" s="56">
        <v>46183</v>
      </c>
      <c r="C181" s="69">
        <v>46183.646469907406</v>
      </c>
      <c r="D181" s="55" t="s">
        <v>689</v>
      </c>
      <c r="E181" s="55" t="s">
        <v>908</v>
      </c>
      <c r="F181" s="144" t="s">
        <v>14</v>
      </c>
      <c r="G181" s="144" t="s">
        <v>181</v>
      </c>
    </row>
    <row r="182" spans="2:7" ht="39.6" x14ac:dyDescent="0.25">
      <c r="B182" s="56">
        <v>46183</v>
      </c>
      <c r="C182" s="69">
        <v>46183.646527777775</v>
      </c>
      <c r="D182" s="55" t="s">
        <v>689</v>
      </c>
      <c r="E182" s="55" t="s">
        <v>909</v>
      </c>
      <c r="F182" s="144" t="s">
        <v>1</v>
      </c>
      <c r="G182" s="144" t="s">
        <v>461</v>
      </c>
    </row>
    <row r="183" spans="2:7" ht="26.4" x14ac:dyDescent="0.25">
      <c r="B183" s="56">
        <v>46183</v>
      </c>
      <c r="C183" s="69">
        <v>46183.646527777775</v>
      </c>
      <c r="D183" s="55" t="s">
        <v>689</v>
      </c>
      <c r="E183" s="55" t="s">
        <v>910</v>
      </c>
      <c r="F183" s="144" t="s">
        <v>1</v>
      </c>
      <c r="G183" s="144" t="s">
        <v>112</v>
      </c>
    </row>
    <row r="184" spans="2:7" ht="66" x14ac:dyDescent="0.25">
      <c r="B184" s="56">
        <v>46183</v>
      </c>
      <c r="C184" s="69">
        <v>46183.668657407405</v>
      </c>
      <c r="D184" s="55" t="s">
        <v>890</v>
      </c>
      <c r="E184" s="55" t="s">
        <v>892</v>
      </c>
      <c r="G184" s="144" t="s">
        <v>471</v>
      </c>
    </row>
    <row r="185" spans="2:7" ht="52.8" x14ac:dyDescent="0.25">
      <c r="B185" s="56">
        <v>46183</v>
      </c>
      <c r="C185" s="69">
        <v>46183.668796296297</v>
      </c>
      <c r="D185" s="55" t="s">
        <v>890</v>
      </c>
      <c r="E185" s="55" t="s">
        <v>893</v>
      </c>
      <c r="F185" s="145"/>
      <c r="G185" s="144" t="s">
        <v>306</v>
      </c>
    </row>
    <row r="186" spans="2:7" ht="26.4" x14ac:dyDescent="0.25">
      <c r="B186" s="56">
        <v>46183</v>
      </c>
      <c r="C186" s="69">
        <v>46183.669247685182</v>
      </c>
      <c r="D186" s="55" t="s">
        <v>890</v>
      </c>
      <c r="E186" s="55" t="s">
        <v>894</v>
      </c>
      <c r="F186" s="145"/>
      <c r="G186" s="145" t="s">
        <v>360</v>
      </c>
    </row>
    <row r="187" spans="2:7" ht="52.8" x14ac:dyDescent="0.25">
      <c r="B187" s="56">
        <v>46183</v>
      </c>
      <c r="C187" s="69">
        <v>46183.669386574074</v>
      </c>
      <c r="D187" s="55" t="s">
        <v>890</v>
      </c>
      <c r="E187" s="55" t="s">
        <v>894</v>
      </c>
      <c r="F187" s="144" t="s">
        <v>360</v>
      </c>
      <c r="G187" s="144" t="s">
        <v>911</v>
      </c>
    </row>
    <row r="188" spans="2:7" ht="66" x14ac:dyDescent="0.25">
      <c r="B188" s="56">
        <v>46183</v>
      </c>
      <c r="C188" s="69">
        <v>46183.669421296298</v>
      </c>
      <c r="D188" s="55" t="s">
        <v>890</v>
      </c>
      <c r="E188" s="55" t="s">
        <v>894</v>
      </c>
      <c r="F188" s="144" t="s">
        <v>911</v>
      </c>
      <c r="G188" s="144" t="s">
        <v>912</v>
      </c>
    </row>
    <row r="189" spans="2:7" ht="66" x14ac:dyDescent="0.25">
      <c r="B189" s="56">
        <v>46183</v>
      </c>
      <c r="C189" s="69">
        <v>46183.669745370367</v>
      </c>
      <c r="D189" s="55" t="s">
        <v>890</v>
      </c>
      <c r="E189" s="55" t="s">
        <v>894</v>
      </c>
      <c r="F189" s="144" t="s">
        <v>912</v>
      </c>
      <c r="G189" s="144" t="s">
        <v>913</v>
      </c>
    </row>
    <row r="190" spans="2:7" ht="52.8" x14ac:dyDescent="0.25">
      <c r="B190" s="56">
        <v>46183</v>
      </c>
      <c r="C190" s="69">
        <v>46183.670081018521</v>
      </c>
      <c r="D190" s="55" t="s">
        <v>890</v>
      </c>
      <c r="E190" s="55" t="s">
        <v>898</v>
      </c>
      <c r="G190" s="144" t="s">
        <v>419</v>
      </c>
    </row>
    <row r="191" spans="2:7" ht="52.8" x14ac:dyDescent="0.25">
      <c r="B191" s="56">
        <v>46183</v>
      </c>
      <c r="C191" s="69">
        <v>46183.670300925929</v>
      </c>
      <c r="D191" s="55" t="s">
        <v>890</v>
      </c>
      <c r="E191" s="55" t="s">
        <v>914</v>
      </c>
      <c r="G191" s="144" t="s">
        <v>419</v>
      </c>
    </row>
    <row r="192" spans="2:7" x14ac:dyDescent="0.25">
      <c r="B192" s="56">
        <v>46183</v>
      </c>
      <c r="C192" s="69">
        <v>46183.67119212963</v>
      </c>
      <c r="D192" s="55" t="s">
        <v>890</v>
      </c>
      <c r="E192" s="55" t="s">
        <v>915</v>
      </c>
      <c r="G192" s="144">
        <v>6</v>
      </c>
    </row>
    <row r="193" spans="2:7" x14ac:dyDescent="0.25">
      <c r="B193" s="56">
        <v>46183</v>
      </c>
      <c r="C193" s="69">
        <v>46183.671215277776</v>
      </c>
      <c r="D193" s="55" t="s">
        <v>890</v>
      </c>
      <c r="E193" s="55" t="s">
        <v>916</v>
      </c>
      <c r="G193" s="144">
        <v>13</v>
      </c>
    </row>
    <row r="194" spans="2:7" x14ac:dyDescent="0.25">
      <c r="B194" s="56">
        <v>46183</v>
      </c>
      <c r="C194" s="69">
        <v>46183.671238425923</v>
      </c>
      <c r="D194" s="55" t="s">
        <v>890</v>
      </c>
      <c r="E194" s="55" t="s">
        <v>917</v>
      </c>
      <c r="G194" s="144">
        <v>3</v>
      </c>
    </row>
    <row r="195" spans="2:7" x14ac:dyDescent="0.25">
      <c r="B195" s="56">
        <v>46183</v>
      </c>
      <c r="C195" s="69">
        <v>46183.671261574076</v>
      </c>
      <c r="D195" s="55" t="s">
        <v>890</v>
      </c>
      <c r="E195" s="55" t="s">
        <v>918</v>
      </c>
      <c r="G195" s="144">
        <v>22</v>
      </c>
    </row>
    <row r="196" spans="2:7" x14ac:dyDescent="0.25">
      <c r="B196" s="56">
        <v>46183</v>
      </c>
      <c r="C196" s="69">
        <v>46183.671423611115</v>
      </c>
      <c r="D196" s="55" t="s">
        <v>890</v>
      </c>
      <c r="E196" s="55" t="s">
        <v>919</v>
      </c>
      <c r="G196" s="144" t="s">
        <v>585</v>
      </c>
    </row>
    <row r="197" spans="2:7" x14ac:dyDescent="0.25">
      <c r="B197" s="56">
        <v>46183</v>
      </c>
      <c r="C197" s="69">
        <v>46183.69458333333</v>
      </c>
      <c r="D197" s="55" t="s">
        <v>684</v>
      </c>
      <c r="E197" s="55" t="s">
        <v>686</v>
      </c>
      <c r="F197" s="145">
        <v>46171</v>
      </c>
      <c r="G197" s="145">
        <v>46203</v>
      </c>
    </row>
    <row r="198" spans="2:7" x14ac:dyDescent="0.25">
      <c r="B198" s="56">
        <v>46183</v>
      </c>
      <c r="C198" s="69">
        <v>46183.694918981484</v>
      </c>
      <c r="D198" s="55" t="s">
        <v>689</v>
      </c>
      <c r="E198" s="55" t="s">
        <v>920</v>
      </c>
      <c r="F198" s="145">
        <v>46171</v>
      </c>
      <c r="G198" s="145">
        <v>46203</v>
      </c>
    </row>
    <row r="199" spans="2:7" x14ac:dyDescent="0.25">
      <c r="B199" s="56">
        <v>46184</v>
      </c>
      <c r="C199" s="69">
        <v>46184.367037037038</v>
      </c>
      <c r="D199" s="55" t="s">
        <v>684</v>
      </c>
      <c r="E199" s="55" t="s">
        <v>922</v>
      </c>
      <c r="G199" s="144" t="s">
        <v>921</v>
      </c>
    </row>
    <row r="200" spans="2:7" ht="52.8" x14ac:dyDescent="0.25">
      <c r="B200" s="56">
        <v>46195</v>
      </c>
      <c r="C200" s="69">
        <v>46195.405995370369</v>
      </c>
      <c r="D200" s="55" t="s">
        <v>684</v>
      </c>
      <c r="E200" s="55" t="s">
        <v>924</v>
      </c>
      <c r="G200" s="144" t="s">
        <v>923</v>
      </c>
    </row>
    <row r="201" spans="2:7" ht="52.8" x14ac:dyDescent="0.25">
      <c r="B201" s="56">
        <v>46195</v>
      </c>
      <c r="C201" s="69">
        <v>46195.406226851854</v>
      </c>
      <c r="D201" s="55" t="s">
        <v>684</v>
      </c>
      <c r="E201" s="55" t="s">
        <v>924</v>
      </c>
      <c r="F201" s="144" t="s">
        <v>923</v>
      </c>
      <c r="G201" s="144" t="s">
        <v>925</v>
      </c>
    </row>
    <row r="202" spans="2:7" ht="52.8" x14ac:dyDescent="0.25">
      <c r="B202" s="56">
        <v>46195</v>
      </c>
      <c r="C202" s="69">
        <v>46195.406909722224</v>
      </c>
      <c r="D202" s="55" t="s">
        <v>684</v>
      </c>
      <c r="E202" s="55" t="s">
        <v>927</v>
      </c>
      <c r="G202" s="144" t="s">
        <v>926</v>
      </c>
    </row>
    <row r="203" spans="2:7" ht="409.6" x14ac:dyDescent="0.25">
      <c r="B203" s="56">
        <v>46195</v>
      </c>
      <c r="C203" s="69">
        <v>46195.407013888886</v>
      </c>
      <c r="D203" s="55" t="s">
        <v>684</v>
      </c>
      <c r="E203" s="55" t="s">
        <v>929</v>
      </c>
      <c r="G203" s="144" t="s">
        <v>928</v>
      </c>
    </row>
    <row r="204" spans="2:7" ht="409.6" x14ac:dyDescent="0.25">
      <c r="B204" s="56">
        <v>46195</v>
      </c>
      <c r="C204" s="69">
        <v>46195.407465277778</v>
      </c>
      <c r="D204" s="55" t="s">
        <v>684</v>
      </c>
      <c r="E204" s="55" t="s">
        <v>929</v>
      </c>
      <c r="F204" s="144" t="s">
        <v>928</v>
      </c>
      <c r="G204" s="144" t="s">
        <v>930</v>
      </c>
    </row>
    <row r="205" spans="2:7" x14ac:dyDescent="0.25">
      <c r="B205" s="56">
        <v>46195</v>
      </c>
      <c r="C205" s="69">
        <v>46195.408101851855</v>
      </c>
      <c r="D205" s="55" t="s">
        <v>684</v>
      </c>
      <c r="E205" s="55" t="s">
        <v>931</v>
      </c>
      <c r="G205" s="144" t="s">
        <v>254</v>
      </c>
    </row>
    <row r="206" spans="2:7" ht="184.8" x14ac:dyDescent="0.25">
      <c r="B206" s="56">
        <v>46195</v>
      </c>
      <c r="C206" s="69">
        <v>46195.408530092594</v>
      </c>
      <c r="D206" s="55" t="s">
        <v>684</v>
      </c>
      <c r="E206" s="55" t="s">
        <v>933</v>
      </c>
      <c r="G206" s="144" t="s">
        <v>932</v>
      </c>
    </row>
    <row r="207" spans="2:7" ht="26.4" x14ac:dyDescent="0.25">
      <c r="B207" s="56">
        <v>46195</v>
      </c>
      <c r="C207" s="69">
        <v>46195.408726851849</v>
      </c>
      <c r="D207" s="55" t="s">
        <v>684</v>
      </c>
      <c r="E207" s="55" t="s">
        <v>934</v>
      </c>
      <c r="G207" s="144" t="s">
        <v>115</v>
      </c>
    </row>
    <row r="208" spans="2:7" x14ac:dyDescent="0.25">
      <c r="B208" s="56">
        <v>46195</v>
      </c>
      <c r="C208" s="69">
        <v>46195.408865740741</v>
      </c>
      <c r="D208" s="55" t="s">
        <v>684</v>
      </c>
      <c r="E208" s="55" t="s">
        <v>935</v>
      </c>
      <c r="G208" s="145">
        <v>46191</v>
      </c>
    </row>
    <row r="209" spans="2:7" x14ac:dyDescent="0.25">
      <c r="B209" s="56">
        <v>46195</v>
      </c>
      <c r="C209" s="69">
        <v>46195.408958333333</v>
      </c>
      <c r="D209" s="55" t="s">
        <v>684</v>
      </c>
      <c r="E209" s="55" t="s">
        <v>936</v>
      </c>
      <c r="G209" s="145">
        <v>46204</v>
      </c>
    </row>
    <row r="210" spans="2:7" ht="39.6" x14ac:dyDescent="0.25">
      <c r="B210" s="56">
        <v>46195</v>
      </c>
      <c r="C210" s="69">
        <v>46195.410243055558</v>
      </c>
      <c r="D210" s="55" t="s">
        <v>684</v>
      </c>
      <c r="E210" s="55" t="s">
        <v>938</v>
      </c>
      <c r="G210" s="144" t="s">
        <v>937</v>
      </c>
    </row>
    <row r="211" spans="2:7" x14ac:dyDescent="0.25">
      <c r="B211" s="56">
        <v>46195</v>
      </c>
      <c r="C211" s="69">
        <v>46195.410416666666</v>
      </c>
      <c r="D211" s="55" t="s">
        <v>684</v>
      </c>
      <c r="E211" s="55" t="s">
        <v>939</v>
      </c>
      <c r="G211" s="144" t="s">
        <v>20</v>
      </c>
    </row>
    <row r="212" spans="2:7" ht="409.6" x14ac:dyDescent="0.25">
      <c r="B212" s="56">
        <v>46195</v>
      </c>
      <c r="C212" s="69">
        <v>46195.411597222221</v>
      </c>
      <c r="D212" s="55" t="s">
        <v>684</v>
      </c>
      <c r="E212" s="55" t="s">
        <v>941</v>
      </c>
      <c r="G212" s="144" t="s">
        <v>940</v>
      </c>
    </row>
    <row r="213" spans="2:7" ht="409.6" x14ac:dyDescent="0.25">
      <c r="B213" s="56">
        <v>46195</v>
      </c>
      <c r="C213" s="69">
        <v>46195.412800925929</v>
      </c>
      <c r="D213" s="55" t="s">
        <v>684</v>
      </c>
      <c r="E213" s="55" t="s">
        <v>941</v>
      </c>
      <c r="F213" s="144" t="s">
        <v>940</v>
      </c>
      <c r="G213" s="144" t="s">
        <v>944</v>
      </c>
    </row>
    <row r="214" spans="2:7" ht="52.8" x14ac:dyDescent="0.25">
      <c r="B214" s="56">
        <v>46195</v>
      </c>
      <c r="C214" s="69">
        <v>46195.412939814814</v>
      </c>
      <c r="D214" s="55" t="s">
        <v>684</v>
      </c>
      <c r="E214" s="55" t="s">
        <v>946</v>
      </c>
      <c r="G214" s="144" t="s">
        <v>945</v>
      </c>
    </row>
    <row r="215" spans="2:7" ht="52.8" x14ac:dyDescent="0.25">
      <c r="B215" s="56">
        <v>46195</v>
      </c>
      <c r="C215" s="69">
        <v>46195.413437499999</v>
      </c>
      <c r="D215" s="55" t="s">
        <v>684</v>
      </c>
      <c r="E215" s="55" t="s">
        <v>947</v>
      </c>
      <c r="G215" s="144" t="s">
        <v>945</v>
      </c>
    </row>
    <row r="216" spans="2:7" ht="52.8" x14ac:dyDescent="0.25">
      <c r="B216" s="56">
        <v>46195</v>
      </c>
      <c r="C216" s="69">
        <v>46195.413599537038</v>
      </c>
      <c r="D216" s="55" t="s">
        <v>684</v>
      </c>
      <c r="E216" s="55" t="s">
        <v>947</v>
      </c>
      <c r="F216" s="144" t="s">
        <v>945</v>
      </c>
    </row>
    <row r="217" spans="2:7" x14ac:dyDescent="0.25">
      <c r="B217" s="56">
        <v>46195</v>
      </c>
      <c r="C217" s="69">
        <v>46195.413854166669</v>
      </c>
      <c r="D217" s="55" t="s">
        <v>684</v>
      </c>
      <c r="E217" s="55" t="s">
        <v>948</v>
      </c>
      <c r="G217" s="144" t="s">
        <v>188</v>
      </c>
    </row>
    <row r="218" spans="2:7" ht="250.8" x14ac:dyDescent="0.25">
      <c r="B218" s="56">
        <v>46195</v>
      </c>
      <c r="C218" s="69">
        <v>46195.414097222223</v>
      </c>
      <c r="D218" s="55" t="s">
        <v>684</v>
      </c>
      <c r="E218" s="55" t="s">
        <v>949</v>
      </c>
      <c r="G218" s="144" t="s">
        <v>884</v>
      </c>
    </row>
    <row r="219" spans="2:7" ht="26.4" x14ac:dyDescent="0.25">
      <c r="B219" s="56">
        <v>46195</v>
      </c>
      <c r="C219" s="69">
        <v>46195.414641203701</v>
      </c>
      <c r="D219" s="55" t="s">
        <v>684</v>
      </c>
      <c r="E219" s="55" t="s">
        <v>951</v>
      </c>
      <c r="G219" s="144" t="s">
        <v>950</v>
      </c>
    </row>
    <row r="220" spans="2:7" x14ac:dyDescent="0.25">
      <c r="B220" s="56">
        <v>46195</v>
      </c>
      <c r="C220" s="69">
        <v>46195.41474537037</v>
      </c>
      <c r="D220" s="55" t="s">
        <v>684</v>
      </c>
      <c r="E220" s="55" t="s">
        <v>953</v>
      </c>
      <c r="G220" s="144" t="s">
        <v>952</v>
      </c>
    </row>
    <row r="221" spans="2:7" x14ac:dyDescent="0.25">
      <c r="B221" s="56">
        <v>46195</v>
      </c>
      <c r="C221" s="69">
        <v>46195.414872685185</v>
      </c>
      <c r="D221" s="55" t="s">
        <v>684</v>
      </c>
      <c r="E221" s="55" t="s">
        <v>954</v>
      </c>
      <c r="G221" s="145">
        <v>46161</v>
      </c>
    </row>
    <row r="222" spans="2:7" ht="39.6" x14ac:dyDescent="0.25">
      <c r="B222" s="56">
        <v>46195</v>
      </c>
      <c r="C222" s="69">
        <v>46195.415138888886</v>
      </c>
      <c r="D222" s="55" t="s">
        <v>684</v>
      </c>
      <c r="E222" s="55" t="s">
        <v>956</v>
      </c>
      <c r="G222" s="144" t="s">
        <v>955</v>
      </c>
    </row>
    <row r="223" spans="2:7" x14ac:dyDescent="0.25">
      <c r="B223" s="56">
        <v>46195</v>
      </c>
      <c r="C223" s="69">
        <v>46195.415370370371</v>
      </c>
      <c r="D223" s="55" t="s">
        <v>684</v>
      </c>
      <c r="E223" s="55" t="s">
        <v>957</v>
      </c>
      <c r="G223" s="144" t="s">
        <v>33</v>
      </c>
    </row>
    <row r="224" spans="2:7" ht="409.6" x14ac:dyDescent="0.25">
      <c r="B224" s="56">
        <v>46195</v>
      </c>
      <c r="C224" s="69">
        <v>46195.415775462963</v>
      </c>
      <c r="D224" s="55" t="s">
        <v>684</v>
      </c>
      <c r="E224" s="55" t="s">
        <v>958</v>
      </c>
      <c r="G224" s="144" t="s">
        <v>885</v>
      </c>
    </row>
    <row r="225" spans="2:7" ht="409.6" x14ac:dyDescent="0.25">
      <c r="B225" s="56">
        <v>46195</v>
      </c>
      <c r="C225" s="69">
        <v>46195.416388888887</v>
      </c>
      <c r="D225" s="55" t="s">
        <v>684</v>
      </c>
      <c r="E225" s="55" t="s">
        <v>958</v>
      </c>
      <c r="F225" s="144" t="s">
        <v>885</v>
      </c>
      <c r="G225" s="144" t="s">
        <v>960</v>
      </c>
    </row>
    <row r="226" spans="2:7" ht="79.2" x14ac:dyDescent="0.25">
      <c r="B226" s="56">
        <v>46195</v>
      </c>
      <c r="C226" s="69">
        <v>46195.416493055556</v>
      </c>
      <c r="D226" s="55" t="s">
        <v>684</v>
      </c>
      <c r="E226" s="55" t="s">
        <v>947</v>
      </c>
      <c r="G226" s="144" t="s">
        <v>961</v>
      </c>
    </row>
    <row r="227" spans="2:7" x14ac:dyDescent="0.25">
      <c r="B227" s="56">
        <v>46195</v>
      </c>
      <c r="C227" s="69">
        <v>46195.416597222225</v>
      </c>
      <c r="D227" s="55" t="s">
        <v>684</v>
      </c>
      <c r="E227" s="55" t="s">
        <v>962</v>
      </c>
      <c r="G227" s="144" t="s">
        <v>188</v>
      </c>
    </row>
    <row r="228" spans="2:7" ht="409.6" x14ac:dyDescent="0.25">
      <c r="B228" s="56">
        <v>46195</v>
      </c>
      <c r="C228" s="69">
        <v>46195.417361111111</v>
      </c>
      <c r="D228" s="55" t="s">
        <v>684</v>
      </c>
      <c r="E228" s="55" t="s">
        <v>964</v>
      </c>
      <c r="G228" s="144" t="s">
        <v>963</v>
      </c>
    </row>
    <row r="229" spans="2:7" ht="409.6" x14ac:dyDescent="0.25">
      <c r="B229" s="56">
        <v>46195</v>
      </c>
      <c r="C229" s="69">
        <v>46195.417916666665</v>
      </c>
      <c r="D229" s="55" t="s">
        <v>684</v>
      </c>
      <c r="E229" s="55" t="s">
        <v>964</v>
      </c>
      <c r="F229" s="144" t="s">
        <v>963</v>
      </c>
      <c r="G229" s="144" t="s">
        <v>965</v>
      </c>
    </row>
    <row r="230" spans="2:7" ht="26.4" x14ac:dyDescent="0.25">
      <c r="B230" s="56">
        <v>46195</v>
      </c>
      <c r="C230" s="69">
        <v>46195.418506944443</v>
      </c>
      <c r="D230" s="55" t="s">
        <v>684</v>
      </c>
      <c r="E230" s="55" t="s">
        <v>966</v>
      </c>
      <c r="G230" s="144" t="s">
        <v>190</v>
      </c>
    </row>
    <row r="231" spans="2:7" x14ac:dyDescent="0.25">
      <c r="B231" s="56">
        <v>46195</v>
      </c>
      <c r="C231" s="69">
        <v>46195.418738425928</v>
      </c>
      <c r="D231" s="55" t="s">
        <v>684</v>
      </c>
      <c r="E231" s="55" t="s">
        <v>967</v>
      </c>
      <c r="F231" s="145"/>
      <c r="G231" s="145">
        <v>46235</v>
      </c>
    </row>
    <row r="232" spans="2:7" x14ac:dyDescent="0.25">
      <c r="B232" s="56">
        <v>46195</v>
      </c>
      <c r="C232" s="69">
        <v>46195.41883101852</v>
      </c>
      <c r="D232" s="55" t="s">
        <v>684</v>
      </c>
      <c r="E232" s="55" t="s">
        <v>968</v>
      </c>
      <c r="F232" s="145"/>
      <c r="G232" s="145">
        <v>46357</v>
      </c>
    </row>
    <row r="233" spans="2:7" ht="39.6" x14ac:dyDescent="0.25">
      <c r="B233" s="56">
        <v>46195</v>
      </c>
      <c r="C233" s="69">
        <v>46195.419027777774</v>
      </c>
      <c r="D233" s="55" t="s">
        <v>684</v>
      </c>
      <c r="E233" s="55" t="s">
        <v>879</v>
      </c>
      <c r="F233" s="145"/>
      <c r="G233" s="145" t="s">
        <v>969</v>
      </c>
    </row>
    <row r="234" spans="2:7" ht="303.60000000000002" x14ac:dyDescent="0.25">
      <c r="B234" s="56">
        <v>46195</v>
      </c>
      <c r="C234" s="69">
        <v>46195.419305555559</v>
      </c>
      <c r="D234" s="55" t="s">
        <v>684</v>
      </c>
      <c r="E234" s="55" t="s">
        <v>971</v>
      </c>
      <c r="F234" s="145"/>
      <c r="G234" s="145" t="s">
        <v>970</v>
      </c>
    </row>
    <row r="235" spans="2:7" ht="303.60000000000002" x14ac:dyDescent="0.25">
      <c r="B235" s="56">
        <v>46195</v>
      </c>
      <c r="C235" s="69">
        <v>46195.419340277775</v>
      </c>
      <c r="D235" s="55" t="s">
        <v>684</v>
      </c>
      <c r="E235" s="55" t="s">
        <v>971</v>
      </c>
      <c r="F235" s="144" t="s">
        <v>970</v>
      </c>
    </row>
    <row r="236" spans="2:7" ht="303.60000000000002" x14ac:dyDescent="0.25">
      <c r="B236" s="56">
        <v>46195</v>
      </c>
      <c r="C236" s="69">
        <v>46195.419374999998</v>
      </c>
      <c r="D236" s="55" t="s">
        <v>684</v>
      </c>
      <c r="E236" s="55" t="s">
        <v>972</v>
      </c>
      <c r="G236" s="144" t="s">
        <v>970</v>
      </c>
    </row>
    <row r="237" spans="2:7" ht="303.60000000000002" x14ac:dyDescent="0.25">
      <c r="B237" s="56">
        <v>46195</v>
      </c>
      <c r="C237" s="69">
        <v>46195.419699074075</v>
      </c>
      <c r="D237" s="55" t="s">
        <v>684</v>
      </c>
      <c r="E237" s="55" t="s">
        <v>972</v>
      </c>
      <c r="F237" s="144" t="s">
        <v>970</v>
      </c>
      <c r="G237" s="144" t="s">
        <v>974</v>
      </c>
    </row>
    <row r="238" spans="2:7" ht="52.8" x14ac:dyDescent="0.25">
      <c r="B238" s="56">
        <v>46195</v>
      </c>
      <c r="C238" s="69">
        <v>46195.419791666667</v>
      </c>
      <c r="D238" s="55" t="s">
        <v>684</v>
      </c>
      <c r="E238" s="55" t="s">
        <v>971</v>
      </c>
      <c r="G238" s="144" t="s">
        <v>975</v>
      </c>
    </row>
    <row r="239" spans="2:7" x14ac:dyDescent="0.25">
      <c r="B239" s="56">
        <v>46195</v>
      </c>
      <c r="C239" s="69">
        <v>46195.420069444444</v>
      </c>
      <c r="D239" s="55" t="s">
        <v>684</v>
      </c>
      <c r="E239" s="55" t="s">
        <v>976</v>
      </c>
      <c r="G239" s="144" t="s">
        <v>188</v>
      </c>
    </row>
    <row r="240" spans="2:7" ht="224.4" x14ac:dyDescent="0.25">
      <c r="B240" s="56">
        <v>46195</v>
      </c>
      <c r="C240" s="69">
        <v>46195.420254629629</v>
      </c>
      <c r="D240" s="55" t="s">
        <v>684</v>
      </c>
      <c r="E240" s="55" t="s">
        <v>978</v>
      </c>
      <c r="G240" s="144" t="s">
        <v>977</v>
      </c>
    </row>
    <row r="241" spans="2:7" ht="26.4" x14ac:dyDescent="0.25">
      <c r="B241" s="56">
        <v>46195</v>
      </c>
      <c r="C241" s="69">
        <v>46195.420416666668</v>
      </c>
      <c r="D241" s="55" t="s">
        <v>684</v>
      </c>
      <c r="E241" s="55" t="s">
        <v>979</v>
      </c>
      <c r="G241" s="144" t="s">
        <v>115</v>
      </c>
    </row>
    <row r="242" spans="2:7" x14ac:dyDescent="0.25">
      <c r="B242" s="56">
        <v>46195</v>
      </c>
      <c r="C242" s="69">
        <v>46195.420555555553</v>
      </c>
      <c r="D242" s="55" t="s">
        <v>684</v>
      </c>
      <c r="E242" s="55" t="s">
        <v>980</v>
      </c>
      <c r="G242" s="145">
        <v>46191</v>
      </c>
    </row>
    <row r="243" spans="2:7" x14ac:dyDescent="0.25">
      <c r="B243" s="56">
        <v>46195</v>
      </c>
      <c r="C243" s="69">
        <v>46195.420636574076</v>
      </c>
      <c r="D243" s="55" t="s">
        <v>684</v>
      </c>
      <c r="E243" s="55" t="s">
        <v>981</v>
      </c>
      <c r="G243" s="145">
        <v>46113</v>
      </c>
    </row>
    <row r="244" spans="2:7" ht="39.6" x14ac:dyDescent="0.25">
      <c r="B244" s="56">
        <v>46195</v>
      </c>
      <c r="C244" s="69">
        <v>46195.42082175926</v>
      </c>
      <c r="D244" s="55" t="s">
        <v>684</v>
      </c>
      <c r="E244" s="55" t="s">
        <v>983</v>
      </c>
      <c r="G244" s="144" t="s">
        <v>982</v>
      </c>
    </row>
    <row r="245" spans="2:7" x14ac:dyDescent="0.25">
      <c r="B245" s="56">
        <v>46195</v>
      </c>
      <c r="C245" s="69">
        <v>46195.42150462963</v>
      </c>
      <c r="D245" s="55" t="s">
        <v>684</v>
      </c>
      <c r="E245" s="55" t="s">
        <v>984</v>
      </c>
      <c r="G245" s="144" t="s">
        <v>201</v>
      </c>
    </row>
    <row r="246" spans="2:7" x14ac:dyDescent="0.25">
      <c r="B246" s="56">
        <v>46195</v>
      </c>
      <c r="C246" s="69">
        <v>46195.421643518515</v>
      </c>
      <c r="D246" s="55" t="s">
        <v>684</v>
      </c>
      <c r="E246" s="55" t="s">
        <v>985</v>
      </c>
      <c r="G246" s="144" t="s">
        <v>33</v>
      </c>
    </row>
    <row r="247" spans="2:7" x14ac:dyDescent="0.25">
      <c r="B247" s="56">
        <v>46195</v>
      </c>
      <c r="C247" s="69">
        <v>46195.421886574077</v>
      </c>
      <c r="D247" s="55" t="s">
        <v>684</v>
      </c>
      <c r="E247" s="55" t="s">
        <v>986</v>
      </c>
      <c r="F247" s="144">
        <v>162</v>
      </c>
    </row>
    <row r="248" spans="2:7" x14ac:dyDescent="0.25">
      <c r="B248" s="56">
        <v>46195</v>
      </c>
      <c r="C248" s="69">
        <v>46195.422893518517</v>
      </c>
      <c r="D248" s="55" t="s">
        <v>684</v>
      </c>
      <c r="E248" s="55" t="s">
        <v>939</v>
      </c>
      <c r="F248" s="144" t="s">
        <v>20</v>
      </c>
      <c r="G248" s="144" t="s">
        <v>201</v>
      </c>
    </row>
    <row r="249" spans="2:7" x14ac:dyDescent="0.25">
      <c r="B249" s="56">
        <v>46195</v>
      </c>
      <c r="C249" s="69">
        <v>46195.431087962963</v>
      </c>
      <c r="D249" s="55" t="s">
        <v>890</v>
      </c>
      <c r="E249" s="55" t="s">
        <v>987</v>
      </c>
      <c r="G249" s="144">
        <v>2025</v>
      </c>
    </row>
    <row r="250" spans="2:7" x14ac:dyDescent="0.25">
      <c r="B250" s="56">
        <v>46195</v>
      </c>
      <c r="C250" s="69">
        <v>46195.431886574072</v>
      </c>
      <c r="D250" s="55" t="s">
        <v>890</v>
      </c>
      <c r="E250" s="55" t="s">
        <v>988</v>
      </c>
      <c r="G250" s="144">
        <v>4</v>
      </c>
    </row>
    <row r="251" spans="2:7" x14ac:dyDescent="0.25">
      <c r="B251" s="56">
        <v>46195</v>
      </c>
      <c r="C251" s="69">
        <v>46195.432152777779</v>
      </c>
      <c r="D251" s="55" t="s">
        <v>890</v>
      </c>
      <c r="E251" s="55" t="s">
        <v>989</v>
      </c>
      <c r="G251" s="144">
        <v>4</v>
      </c>
    </row>
    <row r="252" spans="2:7" x14ac:dyDescent="0.25">
      <c r="B252" s="56">
        <v>46195</v>
      </c>
      <c r="C252" s="69">
        <v>46195.432245370372</v>
      </c>
      <c r="D252" s="55" t="s">
        <v>890</v>
      </c>
      <c r="E252" s="55" t="s">
        <v>990</v>
      </c>
      <c r="G252" s="144">
        <v>2</v>
      </c>
    </row>
    <row r="253" spans="2:7" x14ac:dyDescent="0.25">
      <c r="B253" s="56">
        <v>46195</v>
      </c>
      <c r="C253" s="69">
        <v>46195.432337962964</v>
      </c>
      <c r="D253" s="55" t="s">
        <v>890</v>
      </c>
      <c r="E253" s="55" t="s">
        <v>991</v>
      </c>
      <c r="G253" s="144">
        <v>2</v>
      </c>
    </row>
    <row r="254" spans="2:7" x14ac:dyDescent="0.25">
      <c r="B254" s="56">
        <v>46195</v>
      </c>
      <c r="C254" s="69">
        <v>46195.432743055557</v>
      </c>
      <c r="D254" s="55" t="s">
        <v>890</v>
      </c>
      <c r="E254" s="55" t="s">
        <v>992</v>
      </c>
      <c r="F254" s="144">
        <v>145</v>
      </c>
    </row>
    <row r="255" spans="2:7" x14ac:dyDescent="0.25">
      <c r="B255" s="56">
        <v>46195</v>
      </c>
      <c r="C255" s="69">
        <v>46195.432766203703</v>
      </c>
      <c r="D255" s="55" t="s">
        <v>890</v>
      </c>
      <c r="E255" s="55" t="s">
        <v>993</v>
      </c>
      <c r="F255" s="144">
        <v>32</v>
      </c>
    </row>
    <row r="256" spans="2:7" x14ac:dyDescent="0.25">
      <c r="B256" s="56">
        <v>46195</v>
      </c>
      <c r="C256" s="69">
        <v>46195.43277777778</v>
      </c>
      <c r="D256" s="55" t="s">
        <v>890</v>
      </c>
      <c r="E256" s="55" t="s">
        <v>994</v>
      </c>
      <c r="F256" s="144">
        <v>13</v>
      </c>
    </row>
    <row r="257" spans="2:7" x14ac:dyDescent="0.25">
      <c r="B257" s="56">
        <v>46195</v>
      </c>
      <c r="C257" s="69">
        <v>46195.432789351849</v>
      </c>
      <c r="D257" s="55" t="s">
        <v>890</v>
      </c>
      <c r="E257" s="55" t="s">
        <v>995</v>
      </c>
      <c r="F257" s="144">
        <v>100</v>
      </c>
    </row>
    <row r="258" spans="2:7" x14ac:dyDescent="0.25">
      <c r="B258" s="56">
        <v>46195</v>
      </c>
      <c r="C258" s="69">
        <v>46195.432812500003</v>
      </c>
      <c r="D258" s="55" t="s">
        <v>890</v>
      </c>
      <c r="E258" s="55" t="s">
        <v>996</v>
      </c>
      <c r="F258" s="144">
        <v>1</v>
      </c>
    </row>
    <row r="259" spans="2:7" x14ac:dyDescent="0.25">
      <c r="B259" s="56">
        <v>46195</v>
      </c>
      <c r="C259" s="69">
        <v>46195.432824074072</v>
      </c>
      <c r="D259" s="55" t="s">
        <v>890</v>
      </c>
      <c r="E259" s="55" t="s">
        <v>997</v>
      </c>
      <c r="F259" s="144">
        <v>101</v>
      </c>
    </row>
    <row r="260" spans="2:7" x14ac:dyDescent="0.25">
      <c r="B260" s="56">
        <v>46195</v>
      </c>
      <c r="C260" s="69">
        <v>46195.432893518519</v>
      </c>
      <c r="D260" s="55" t="s">
        <v>890</v>
      </c>
      <c r="E260" s="55" t="s">
        <v>997</v>
      </c>
      <c r="G260" s="144">
        <v>105</v>
      </c>
    </row>
    <row r="261" spans="2:7" x14ac:dyDescent="0.25">
      <c r="B261" s="56">
        <v>46195</v>
      </c>
      <c r="C261" s="69">
        <v>46195.432928240742</v>
      </c>
      <c r="D261" s="55" t="s">
        <v>890</v>
      </c>
      <c r="E261" s="55" t="s">
        <v>992</v>
      </c>
      <c r="G261" s="144">
        <v>149</v>
      </c>
    </row>
    <row r="262" spans="2:7" x14ac:dyDescent="0.25">
      <c r="B262" s="56">
        <v>46195</v>
      </c>
      <c r="C262" s="69">
        <v>46195.432951388888</v>
      </c>
      <c r="D262" s="55" t="s">
        <v>890</v>
      </c>
      <c r="E262" s="55" t="s">
        <v>993</v>
      </c>
      <c r="G262" s="144">
        <v>34</v>
      </c>
    </row>
    <row r="263" spans="2:7" x14ac:dyDescent="0.25">
      <c r="B263" s="56">
        <v>46195</v>
      </c>
      <c r="C263" s="69">
        <v>46195.432986111111</v>
      </c>
      <c r="D263" s="55" t="s">
        <v>890</v>
      </c>
      <c r="E263" s="55" t="s">
        <v>994</v>
      </c>
      <c r="G263" s="144">
        <v>15</v>
      </c>
    </row>
    <row r="264" spans="2:7" x14ac:dyDescent="0.25">
      <c r="B264" s="56">
        <v>46195</v>
      </c>
      <c r="C264" s="69">
        <v>46195.433009259257</v>
      </c>
      <c r="D264" s="55" t="s">
        <v>890</v>
      </c>
      <c r="E264" s="55" t="s">
        <v>995</v>
      </c>
      <c r="G264" s="144">
        <v>100</v>
      </c>
    </row>
    <row r="265" spans="2:7" x14ac:dyDescent="0.25">
      <c r="B265" s="56">
        <v>46195</v>
      </c>
      <c r="C265" s="69">
        <v>46195.43304398148</v>
      </c>
      <c r="D265" s="55" t="s">
        <v>890</v>
      </c>
      <c r="E265" s="55" t="s">
        <v>996</v>
      </c>
      <c r="G265" s="144">
        <v>1</v>
      </c>
    </row>
    <row r="266" spans="2:7" ht="26.4" x14ac:dyDescent="0.25">
      <c r="B266" s="56">
        <v>46195</v>
      </c>
      <c r="C266" s="69">
        <v>46195.435925925929</v>
      </c>
      <c r="D266" s="55" t="s">
        <v>890</v>
      </c>
      <c r="E266" s="55" t="s">
        <v>717</v>
      </c>
      <c r="G266" s="144" t="s">
        <v>998</v>
      </c>
    </row>
    <row r="267" spans="2:7" ht="26.4" x14ac:dyDescent="0.25">
      <c r="B267" s="56">
        <v>46195</v>
      </c>
      <c r="C267" s="69">
        <v>46195.436111111114</v>
      </c>
      <c r="D267" s="55" t="s">
        <v>890</v>
      </c>
      <c r="E267" s="55" t="s">
        <v>999</v>
      </c>
      <c r="F267" s="144" t="s">
        <v>950</v>
      </c>
      <c r="G267" s="144">
        <v>1</v>
      </c>
    </row>
    <row r="268" spans="2:7" x14ac:dyDescent="0.25">
      <c r="B268" s="56">
        <v>46195</v>
      </c>
      <c r="C268" s="69">
        <v>46195.436249999999</v>
      </c>
      <c r="D268" s="55" t="s">
        <v>890</v>
      </c>
      <c r="E268" s="55" t="s">
        <v>1000</v>
      </c>
      <c r="G268" s="144">
        <v>1</v>
      </c>
    </row>
    <row r="269" spans="2:7" x14ac:dyDescent="0.25">
      <c r="B269" s="56">
        <v>46195</v>
      </c>
      <c r="C269" s="69">
        <v>46195.436666666668</v>
      </c>
      <c r="D269" s="55" t="s">
        <v>890</v>
      </c>
      <c r="E269" s="55" t="s">
        <v>1001</v>
      </c>
      <c r="G269" s="144">
        <v>133</v>
      </c>
    </row>
    <row r="270" spans="2:7" x14ac:dyDescent="0.25">
      <c r="B270" s="56">
        <v>46195</v>
      </c>
      <c r="C270" s="69">
        <v>46195.436712962961</v>
      </c>
      <c r="D270" s="55" t="s">
        <v>890</v>
      </c>
      <c r="E270" s="55" t="s">
        <v>1002</v>
      </c>
      <c r="G270" s="144">
        <v>33</v>
      </c>
    </row>
    <row r="271" spans="2:7" x14ac:dyDescent="0.25">
      <c r="B271" s="56">
        <v>46195</v>
      </c>
      <c r="C271" s="69">
        <v>46195.436736111114</v>
      </c>
      <c r="D271" s="55" t="s">
        <v>890</v>
      </c>
      <c r="E271" s="55" t="s">
        <v>1003</v>
      </c>
      <c r="G271" s="144">
        <v>7</v>
      </c>
    </row>
    <row r="272" spans="2:7" x14ac:dyDescent="0.25">
      <c r="B272" s="56">
        <v>46195</v>
      </c>
      <c r="C272" s="69">
        <v>46195.436759259261</v>
      </c>
      <c r="D272" s="55" t="s">
        <v>890</v>
      </c>
      <c r="E272" s="55" t="s">
        <v>1004</v>
      </c>
      <c r="G272" s="144">
        <v>93</v>
      </c>
    </row>
    <row r="273" spans="2:7" x14ac:dyDescent="0.25">
      <c r="B273" s="56">
        <v>46195</v>
      </c>
      <c r="C273" s="69">
        <v>46195.436782407407</v>
      </c>
      <c r="D273" s="55" t="s">
        <v>890</v>
      </c>
      <c r="E273" s="55" t="s">
        <v>1005</v>
      </c>
      <c r="G273" s="144">
        <v>1</v>
      </c>
    </row>
    <row r="274" spans="2:7" x14ac:dyDescent="0.25">
      <c r="B274" s="56">
        <v>46196</v>
      </c>
      <c r="C274" s="69">
        <v>46196.461770833332</v>
      </c>
      <c r="D274" s="55" t="s">
        <v>684</v>
      </c>
      <c r="E274" s="55" t="s">
        <v>1015</v>
      </c>
      <c r="G274" s="144" t="s">
        <v>667</v>
      </c>
    </row>
    <row r="275" spans="2:7" x14ac:dyDescent="0.25">
      <c r="B275" s="56">
        <v>46196</v>
      </c>
      <c r="C275" s="69">
        <v>46196.461793981478</v>
      </c>
      <c r="D275" s="55" t="s">
        <v>684</v>
      </c>
      <c r="E275" s="55" t="s">
        <v>1016</v>
      </c>
      <c r="G275" s="144" t="s">
        <v>667</v>
      </c>
    </row>
    <row r="276" spans="2:7" x14ac:dyDescent="0.25">
      <c r="B276" s="56">
        <v>46196</v>
      </c>
      <c r="C276" s="69">
        <v>46196.461805555555</v>
      </c>
      <c r="D276" s="55" t="s">
        <v>684</v>
      </c>
      <c r="E276" s="55" t="s">
        <v>1017</v>
      </c>
      <c r="G276" s="144" t="s">
        <v>667</v>
      </c>
    </row>
    <row r="277" spans="2:7" x14ac:dyDescent="0.25">
      <c r="B277" s="56">
        <v>46196</v>
      </c>
      <c r="C277" s="69">
        <v>46196.461828703701</v>
      </c>
      <c r="D277" s="55" t="s">
        <v>684</v>
      </c>
      <c r="E277" s="55" t="s">
        <v>1018</v>
      </c>
      <c r="G277" s="144" t="s">
        <v>667</v>
      </c>
    </row>
    <row r="278" spans="2:7" ht="39.6" x14ac:dyDescent="0.25">
      <c r="B278" s="56">
        <v>46196</v>
      </c>
      <c r="C278" s="69">
        <v>46196.463229166664</v>
      </c>
      <c r="D278" s="55" t="s">
        <v>684</v>
      </c>
      <c r="E278" s="55" t="s">
        <v>1020</v>
      </c>
      <c r="G278" s="144" t="s">
        <v>1019</v>
      </c>
    </row>
    <row r="279" spans="2:7" ht="39.6" x14ac:dyDescent="0.25">
      <c r="B279" s="56">
        <v>46196</v>
      </c>
      <c r="C279" s="69">
        <v>46196.463518518518</v>
      </c>
      <c r="D279" s="55" t="s">
        <v>684</v>
      </c>
      <c r="E279" s="55" t="s">
        <v>1021</v>
      </c>
      <c r="G279" s="144" t="s">
        <v>1019</v>
      </c>
    </row>
    <row r="280" spans="2:7" ht="52.8" x14ac:dyDescent="0.25">
      <c r="B280" s="56">
        <v>46196</v>
      </c>
      <c r="C280" s="69">
        <v>46196.464201388888</v>
      </c>
      <c r="D280" s="55" t="s">
        <v>684</v>
      </c>
      <c r="E280" s="55" t="s">
        <v>1023</v>
      </c>
      <c r="G280" s="144" t="s">
        <v>1022</v>
      </c>
    </row>
    <row r="281" spans="2:7" ht="39.6" x14ac:dyDescent="0.25">
      <c r="B281" s="56">
        <v>46196</v>
      </c>
      <c r="C281" s="69">
        <v>46196.464699074073</v>
      </c>
      <c r="D281" s="55" t="s">
        <v>684</v>
      </c>
      <c r="E281" s="55" t="s">
        <v>1025</v>
      </c>
      <c r="G281" s="144" t="s">
        <v>1024</v>
      </c>
    </row>
    <row r="282" spans="2:7" x14ac:dyDescent="0.25">
      <c r="B282" s="56">
        <v>46196</v>
      </c>
      <c r="C282" s="69">
        <v>46196.500902777778</v>
      </c>
      <c r="D282" s="55" t="s">
        <v>684</v>
      </c>
      <c r="E282" s="55" t="s">
        <v>957</v>
      </c>
      <c r="F282" s="144" t="s">
        <v>33</v>
      </c>
      <c r="G282" s="144" t="s">
        <v>20</v>
      </c>
    </row>
    <row r="283" spans="2:7" ht="66" x14ac:dyDescent="0.25">
      <c r="B283" s="56">
        <v>46196</v>
      </c>
      <c r="C283" s="69">
        <v>46196.505046296297</v>
      </c>
      <c r="D283" s="55" t="s">
        <v>684</v>
      </c>
      <c r="E283" s="55" t="s">
        <v>1027</v>
      </c>
      <c r="G283" s="144" t="s">
        <v>1028</v>
      </c>
    </row>
    <row r="284" spans="2:7" ht="26.4" x14ac:dyDescent="0.25">
      <c r="B284" s="56">
        <v>46210</v>
      </c>
      <c r="C284" s="69">
        <v>46210.525231481479</v>
      </c>
      <c r="D284" s="55" t="s">
        <v>684</v>
      </c>
      <c r="E284" s="55" t="s">
        <v>1029</v>
      </c>
      <c r="G284" s="145" t="s">
        <v>180</v>
      </c>
    </row>
    <row r="285" spans="2:7" ht="26.4" x14ac:dyDescent="0.25">
      <c r="B285" s="56">
        <v>46210</v>
      </c>
      <c r="C285" s="69">
        <v>46210.525300925925</v>
      </c>
      <c r="D285" s="55" t="s">
        <v>684</v>
      </c>
      <c r="E285" s="55" t="s">
        <v>1029</v>
      </c>
      <c r="G285" s="145" t="s">
        <v>1030</v>
      </c>
    </row>
    <row r="286" spans="2:7" x14ac:dyDescent="0.25">
      <c r="B286" s="56">
        <v>46210</v>
      </c>
      <c r="C286" s="69">
        <v>46210.526319444441</v>
      </c>
      <c r="D286" s="55" t="s">
        <v>684</v>
      </c>
      <c r="E286" s="55" t="s">
        <v>1032</v>
      </c>
      <c r="G286" s="144" t="s">
        <v>1031</v>
      </c>
    </row>
    <row r="287" spans="2:7" ht="26.4" x14ac:dyDescent="0.25">
      <c r="B287" s="56">
        <v>46210</v>
      </c>
      <c r="C287" s="69">
        <v>46210.526516203703</v>
      </c>
      <c r="D287" s="55" t="s">
        <v>684</v>
      </c>
      <c r="E287" s="55" t="s">
        <v>1034</v>
      </c>
      <c r="G287" s="144" t="s">
        <v>1033</v>
      </c>
    </row>
    <row r="288" spans="2:7" ht="409.6" x14ac:dyDescent="0.25">
      <c r="B288" s="56">
        <v>46210</v>
      </c>
      <c r="C288" s="69">
        <v>46210.526643518519</v>
      </c>
      <c r="D288" s="55" t="s">
        <v>684</v>
      </c>
      <c r="E288" s="55" t="s">
        <v>1036</v>
      </c>
      <c r="G288" s="145" t="s">
        <v>1035</v>
      </c>
    </row>
    <row r="289" spans="2:7" ht="409.6" x14ac:dyDescent="0.25">
      <c r="B289" s="56">
        <v>46210</v>
      </c>
      <c r="C289" s="69">
        <v>46210.526712962965</v>
      </c>
      <c r="D289" s="55" t="s">
        <v>684</v>
      </c>
      <c r="E289" s="55" t="s">
        <v>1036</v>
      </c>
      <c r="F289" s="144" t="s">
        <v>1035</v>
      </c>
      <c r="G289" s="145" t="s">
        <v>1037</v>
      </c>
    </row>
    <row r="290" spans="2:7" ht="26.4" x14ac:dyDescent="0.25">
      <c r="B290" s="56">
        <v>46210</v>
      </c>
      <c r="C290" s="69">
        <v>46210.52884259259</v>
      </c>
      <c r="D290" s="55" t="s">
        <v>684</v>
      </c>
      <c r="E290" s="55" t="s">
        <v>1032</v>
      </c>
      <c r="F290" s="144" t="s">
        <v>1031</v>
      </c>
      <c r="G290" s="144" t="s">
        <v>1039</v>
      </c>
    </row>
    <row r="291" spans="2:7" ht="145.19999999999999" x14ac:dyDescent="0.25">
      <c r="B291" s="56">
        <v>46210</v>
      </c>
      <c r="C291" s="69">
        <v>46210.529270833336</v>
      </c>
      <c r="D291" s="55" t="s">
        <v>684</v>
      </c>
      <c r="E291" s="55" t="s">
        <v>1041</v>
      </c>
      <c r="G291" s="144" t="s">
        <v>1040</v>
      </c>
    </row>
    <row r="292" spans="2:7" ht="184.8" x14ac:dyDescent="0.25">
      <c r="B292" s="56">
        <v>46210</v>
      </c>
      <c r="C292" s="69">
        <v>46210.529502314814</v>
      </c>
      <c r="D292" s="55" t="s">
        <v>684</v>
      </c>
      <c r="E292" s="55" t="s">
        <v>1041</v>
      </c>
      <c r="F292" s="144" t="s">
        <v>1040</v>
      </c>
      <c r="G292" s="144" t="s">
        <v>1043</v>
      </c>
    </row>
    <row r="293" spans="2:7" ht="26.4" x14ac:dyDescent="0.25">
      <c r="B293" s="56">
        <v>46210</v>
      </c>
      <c r="C293" s="69">
        <v>46210.530219907407</v>
      </c>
      <c r="D293" s="55" t="s">
        <v>684</v>
      </c>
      <c r="E293" s="55" t="s">
        <v>1044</v>
      </c>
      <c r="G293" s="144" t="s">
        <v>148</v>
      </c>
    </row>
    <row r="294" spans="2:7" x14ac:dyDescent="0.25">
      <c r="B294" s="56">
        <v>46210</v>
      </c>
      <c r="C294" s="69">
        <v>46210.530335648145</v>
      </c>
      <c r="D294" s="55" t="s">
        <v>684</v>
      </c>
      <c r="E294" s="55" t="s">
        <v>1045</v>
      </c>
      <c r="G294" s="145">
        <v>46204</v>
      </c>
    </row>
    <row r="295" spans="2:7" x14ac:dyDescent="0.25">
      <c r="B295" s="56">
        <v>46210</v>
      </c>
      <c r="C295" s="69">
        <v>46210.530416666668</v>
      </c>
      <c r="D295" s="55" t="s">
        <v>684</v>
      </c>
      <c r="E295" s="55" t="s">
        <v>1046</v>
      </c>
      <c r="G295" s="145">
        <v>46295</v>
      </c>
    </row>
    <row r="296" spans="2:7" x14ac:dyDescent="0.25">
      <c r="B296" s="56">
        <v>46210</v>
      </c>
      <c r="C296" s="69">
        <v>46210.530601851853</v>
      </c>
      <c r="D296" s="55" t="s">
        <v>684</v>
      </c>
      <c r="E296" s="55" t="s">
        <v>1047</v>
      </c>
      <c r="G296" s="144" t="s">
        <v>201</v>
      </c>
    </row>
    <row r="297" spans="2:7" ht="26.4" x14ac:dyDescent="0.25">
      <c r="B297" s="56">
        <v>46210</v>
      </c>
      <c r="C297" s="69">
        <v>46210.530995370369</v>
      </c>
      <c r="D297" s="55" t="s">
        <v>684</v>
      </c>
      <c r="E297" s="55" t="s">
        <v>1049</v>
      </c>
      <c r="G297" s="144" t="s">
        <v>1048</v>
      </c>
    </row>
    <row r="298" spans="2:7" ht="211.2" x14ac:dyDescent="0.25">
      <c r="B298" s="56">
        <v>46210</v>
      </c>
      <c r="C298" s="69">
        <v>46210.531145833331</v>
      </c>
      <c r="D298" s="55" t="s">
        <v>684</v>
      </c>
      <c r="E298" s="55" t="s">
        <v>1051</v>
      </c>
      <c r="G298" s="144" t="s">
        <v>1050</v>
      </c>
    </row>
    <row r="299" spans="2:7" ht="105.6" x14ac:dyDescent="0.25">
      <c r="B299" s="56">
        <v>46210</v>
      </c>
      <c r="C299" s="69">
        <v>46210.531458333331</v>
      </c>
      <c r="D299" s="55" t="s">
        <v>684</v>
      </c>
      <c r="E299" s="55" t="s">
        <v>1053</v>
      </c>
      <c r="G299" s="144" t="s">
        <v>1052</v>
      </c>
    </row>
    <row r="300" spans="2:7" ht="26.4" x14ac:dyDescent="0.25">
      <c r="B300" s="56">
        <v>46210</v>
      </c>
      <c r="C300" s="69">
        <v>46210.531550925924</v>
      </c>
      <c r="D300" s="55" t="s">
        <v>684</v>
      </c>
      <c r="E300" s="55" t="s">
        <v>1054</v>
      </c>
      <c r="G300" s="144" t="s">
        <v>148</v>
      </c>
    </row>
    <row r="301" spans="2:7" x14ac:dyDescent="0.25">
      <c r="B301" s="56">
        <v>46210</v>
      </c>
      <c r="C301" s="69">
        <v>46210.531643518516</v>
      </c>
      <c r="D301" s="55" t="s">
        <v>684</v>
      </c>
      <c r="E301" s="55" t="s">
        <v>1055</v>
      </c>
      <c r="G301" s="145">
        <v>46204</v>
      </c>
    </row>
    <row r="302" spans="2:7" x14ac:dyDescent="0.25">
      <c r="B302" s="56">
        <v>46210</v>
      </c>
      <c r="C302" s="69">
        <v>46210.531701388885</v>
      </c>
      <c r="D302" s="55" t="s">
        <v>684</v>
      </c>
      <c r="E302" s="55" t="s">
        <v>1056</v>
      </c>
      <c r="G302" s="145">
        <v>46264</v>
      </c>
    </row>
    <row r="303" spans="2:7" x14ac:dyDescent="0.25">
      <c r="B303" s="56">
        <v>46210</v>
      </c>
      <c r="C303" s="69">
        <v>46210.531747685185</v>
      </c>
      <c r="D303" s="55" t="s">
        <v>684</v>
      </c>
      <c r="E303" s="55" t="s">
        <v>1057</v>
      </c>
      <c r="G303" s="144" t="s">
        <v>201</v>
      </c>
    </row>
    <row r="304" spans="2:7" ht="52.8" x14ac:dyDescent="0.25">
      <c r="B304" s="56">
        <v>46210</v>
      </c>
      <c r="C304" s="69">
        <v>46210.536087962966</v>
      </c>
      <c r="D304" s="55" t="s">
        <v>684</v>
      </c>
      <c r="E304" s="55" t="s">
        <v>1059</v>
      </c>
      <c r="G304" s="144" t="s">
        <v>1058</v>
      </c>
    </row>
    <row r="305" spans="2:7" ht="409.6" x14ac:dyDescent="0.25">
      <c r="B305" s="56">
        <v>46210</v>
      </c>
      <c r="C305" s="69">
        <v>46210.536180555559</v>
      </c>
      <c r="D305" s="55" t="s">
        <v>684</v>
      </c>
      <c r="E305" s="55" t="s">
        <v>1061</v>
      </c>
      <c r="G305" s="144" t="s">
        <v>1060</v>
      </c>
    </row>
    <row r="306" spans="2:7" ht="92.4" x14ac:dyDescent="0.25">
      <c r="B306" s="56">
        <v>46210</v>
      </c>
      <c r="C306" s="69">
        <v>46210.536412037036</v>
      </c>
      <c r="D306" s="55" t="s">
        <v>684</v>
      </c>
      <c r="E306" s="55" t="s">
        <v>1063</v>
      </c>
      <c r="G306" s="144" t="s">
        <v>1062</v>
      </c>
    </row>
    <row r="307" spans="2:7" ht="26.4" x14ac:dyDescent="0.25">
      <c r="B307" s="56">
        <v>46210</v>
      </c>
      <c r="C307" s="69">
        <v>46210.536504629628</v>
      </c>
      <c r="D307" s="55" t="s">
        <v>684</v>
      </c>
      <c r="E307" s="55" t="s">
        <v>1064</v>
      </c>
      <c r="G307" s="144" t="s">
        <v>148</v>
      </c>
    </row>
    <row r="308" spans="2:7" ht="79.2" x14ac:dyDescent="0.25">
      <c r="B308" s="56">
        <v>46210</v>
      </c>
      <c r="C308" s="69">
        <v>46210.537442129629</v>
      </c>
      <c r="D308" s="55" t="s">
        <v>684</v>
      </c>
      <c r="E308" s="55" t="s">
        <v>1077</v>
      </c>
      <c r="F308" s="144" t="s">
        <v>1065</v>
      </c>
      <c r="G308" s="144" t="s">
        <v>1076</v>
      </c>
    </row>
    <row r="309" spans="2:7" x14ac:dyDescent="0.25">
      <c r="B309" s="56">
        <v>46210</v>
      </c>
      <c r="C309" s="69">
        <v>46210.537476851852</v>
      </c>
      <c r="D309" s="55" t="s">
        <v>684</v>
      </c>
      <c r="E309" s="55" t="s">
        <v>1079</v>
      </c>
      <c r="F309" s="144" t="s">
        <v>1066</v>
      </c>
      <c r="G309" s="144" t="s">
        <v>1078</v>
      </c>
    </row>
    <row r="310" spans="2:7" ht="39.6" x14ac:dyDescent="0.25">
      <c r="B310" s="56">
        <v>46210</v>
      </c>
      <c r="C310" s="69">
        <v>46210.537557870368</v>
      </c>
      <c r="D310" s="55" t="s">
        <v>684</v>
      </c>
      <c r="E310" s="55" t="s">
        <v>1081</v>
      </c>
      <c r="F310" s="144" t="s">
        <v>1067</v>
      </c>
      <c r="G310" s="144" t="s">
        <v>1080</v>
      </c>
    </row>
    <row r="311" spans="2:7" ht="66" x14ac:dyDescent="0.25">
      <c r="B311" s="56">
        <v>46210</v>
      </c>
      <c r="C311" s="69">
        <v>46210.537604166668</v>
      </c>
      <c r="D311" s="55" t="s">
        <v>684</v>
      </c>
      <c r="E311" s="55" t="s">
        <v>1083</v>
      </c>
      <c r="F311" s="144" t="s">
        <v>1068</v>
      </c>
      <c r="G311" s="144" t="s">
        <v>1082</v>
      </c>
    </row>
    <row r="312" spans="2:7" ht="26.4" x14ac:dyDescent="0.25">
      <c r="B312" s="56">
        <v>46210</v>
      </c>
      <c r="C312" s="69">
        <v>46210.537708333337</v>
      </c>
      <c r="D312" s="55" t="s">
        <v>684</v>
      </c>
      <c r="E312" s="55" t="s">
        <v>1085</v>
      </c>
      <c r="F312" s="144" t="s">
        <v>1069</v>
      </c>
      <c r="G312" s="144" t="s">
        <v>1084</v>
      </c>
    </row>
    <row r="313" spans="2:7" ht="79.2" x14ac:dyDescent="0.25">
      <c r="B313" s="56">
        <v>46210</v>
      </c>
      <c r="C313" s="69">
        <v>46210.537743055553</v>
      </c>
      <c r="D313" s="55" t="s">
        <v>684</v>
      </c>
      <c r="E313" s="55" t="s">
        <v>1087</v>
      </c>
      <c r="F313" s="145" t="s">
        <v>1070</v>
      </c>
      <c r="G313" s="145" t="s">
        <v>1086</v>
      </c>
    </row>
    <row r="314" spans="2:7" ht="79.2" x14ac:dyDescent="0.25">
      <c r="B314" s="56">
        <v>46210</v>
      </c>
      <c r="C314" s="69">
        <v>46210.537824074076</v>
      </c>
      <c r="D314" s="55" t="s">
        <v>684</v>
      </c>
      <c r="E314" s="55" t="s">
        <v>1089</v>
      </c>
      <c r="F314" s="144" t="s">
        <v>1071</v>
      </c>
      <c r="G314" s="144" t="s">
        <v>1088</v>
      </c>
    </row>
    <row r="315" spans="2:7" ht="79.2" x14ac:dyDescent="0.25">
      <c r="B315" s="56">
        <v>46210</v>
      </c>
      <c r="C315" s="69">
        <v>46210.537858796299</v>
      </c>
      <c r="D315" s="55" t="s">
        <v>684</v>
      </c>
      <c r="E315" s="55" t="s">
        <v>1091</v>
      </c>
      <c r="F315" s="144" t="s">
        <v>1072</v>
      </c>
      <c r="G315" s="144" t="s">
        <v>1090</v>
      </c>
    </row>
    <row r="316" spans="2:7" ht="39.6" x14ac:dyDescent="0.25">
      <c r="B316" s="56">
        <v>46210</v>
      </c>
      <c r="C316" s="69">
        <v>46210.537905092591</v>
      </c>
      <c r="D316" s="55" t="s">
        <v>684</v>
      </c>
      <c r="E316" s="55" t="s">
        <v>1093</v>
      </c>
      <c r="F316" s="144" t="s">
        <v>1073</v>
      </c>
      <c r="G316" s="145" t="s">
        <v>1092</v>
      </c>
    </row>
    <row r="317" spans="2:7" ht="52.8" x14ac:dyDescent="0.25">
      <c r="B317" s="56">
        <v>46210</v>
      </c>
      <c r="C317" s="69">
        <v>46210.537951388891</v>
      </c>
      <c r="D317" s="55" t="s">
        <v>684</v>
      </c>
      <c r="E317" s="55" t="s">
        <v>1095</v>
      </c>
      <c r="F317" s="144" t="s">
        <v>1074</v>
      </c>
      <c r="G317" s="145" t="s">
        <v>1094</v>
      </c>
    </row>
    <row r="318" spans="2:7" ht="52.8" x14ac:dyDescent="0.25">
      <c r="B318" s="56">
        <v>46210</v>
      </c>
      <c r="C318" s="69">
        <v>46210.537986111114</v>
      </c>
      <c r="D318" s="55" t="s">
        <v>684</v>
      </c>
      <c r="E318" s="55" t="s">
        <v>1097</v>
      </c>
      <c r="F318" s="144" t="s">
        <v>1075</v>
      </c>
      <c r="G318" s="145" t="s">
        <v>1096</v>
      </c>
    </row>
    <row r="319" spans="2:7" ht="118.8" x14ac:dyDescent="0.25">
      <c r="B319" s="56">
        <v>46210</v>
      </c>
      <c r="C319" s="69">
        <v>46210.54078703704</v>
      </c>
      <c r="D319" s="55" t="s">
        <v>684</v>
      </c>
      <c r="E319" s="55" t="s">
        <v>1118</v>
      </c>
      <c r="F319" s="144" t="s">
        <v>1119</v>
      </c>
      <c r="G319" s="145" t="s">
        <v>1120</v>
      </c>
    </row>
    <row r="320" spans="2:7" ht="79.2" x14ac:dyDescent="0.25">
      <c r="B320" s="56">
        <v>46210</v>
      </c>
      <c r="C320" s="69">
        <v>46210.540856481479</v>
      </c>
      <c r="D320" s="55" t="s">
        <v>684</v>
      </c>
      <c r="E320" s="55" t="s">
        <v>1122</v>
      </c>
      <c r="F320" s="144" t="s">
        <v>1109</v>
      </c>
      <c r="G320" s="145" t="s">
        <v>1121</v>
      </c>
    </row>
    <row r="321" spans="2:7" ht="118.8" x14ac:dyDescent="0.25">
      <c r="B321" s="56">
        <v>46210</v>
      </c>
      <c r="C321" s="69">
        <v>46210.540902777779</v>
      </c>
      <c r="D321" s="55" t="s">
        <v>684</v>
      </c>
      <c r="E321" s="55" t="s">
        <v>1124</v>
      </c>
      <c r="F321" s="144" t="s">
        <v>1110</v>
      </c>
      <c r="G321" s="145" t="s">
        <v>1123</v>
      </c>
    </row>
    <row r="322" spans="2:7" ht="171.6" x14ac:dyDescent="0.25">
      <c r="B322" s="56">
        <v>46210</v>
      </c>
      <c r="C322" s="69">
        <v>46210.540949074071</v>
      </c>
      <c r="D322" s="55" t="s">
        <v>684</v>
      </c>
      <c r="E322" s="55" t="s">
        <v>1126</v>
      </c>
      <c r="F322" s="144" t="s">
        <v>1111</v>
      </c>
      <c r="G322" s="145" t="s">
        <v>1125</v>
      </c>
    </row>
    <row r="323" spans="2:7" ht="132" x14ac:dyDescent="0.25">
      <c r="B323" s="56">
        <v>46210</v>
      </c>
      <c r="C323" s="69">
        <v>46210.541030092594</v>
      </c>
      <c r="D323" s="55" t="s">
        <v>684</v>
      </c>
      <c r="E323" s="55" t="s">
        <v>1127</v>
      </c>
      <c r="F323" s="144" t="s">
        <v>1128</v>
      </c>
      <c r="G323" s="145" t="s">
        <v>1129</v>
      </c>
    </row>
    <row r="324" spans="2:7" ht="105.6" x14ac:dyDescent="0.25">
      <c r="B324" s="56">
        <v>46210</v>
      </c>
      <c r="C324" s="69">
        <v>46210.541076388887</v>
      </c>
      <c r="D324" s="55" t="s">
        <v>684</v>
      </c>
      <c r="E324" s="55" t="s">
        <v>1131</v>
      </c>
      <c r="F324" s="144" t="s">
        <v>1112</v>
      </c>
      <c r="G324" s="145" t="s">
        <v>1130</v>
      </c>
    </row>
    <row r="325" spans="2:7" ht="79.2" x14ac:dyDescent="0.25">
      <c r="B325" s="56">
        <v>46210</v>
      </c>
      <c r="C325" s="69">
        <v>46210.541134259256</v>
      </c>
      <c r="D325" s="55" t="s">
        <v>684</v>
      </c>
      <c r="E325" s="55" t="s">
        <v>1133</v>
      </c>
      <c r="F325" s="144" t="s">
        <v>1113</v>
      </c>
      <c r="G325" s="145" t="s">
        <v>1132</v>
      </c>
    </row>
    <row r="326" spans="2:7" ht="79.2" x14ac:dyDescent="0.25">
      <c r="B326" s="56">
        <v>46210</v>
      </c>
      <c r="C326" s="69">
        <v>46210.541168981479</v>
      </c>
      <c r="D326" s="55" t="s">
        <v>684</v>
      </c>
      <c r="E326" s="55" t="s">
        <v>1135</v>
      </c>
      <c r="F326" s="144" t="s">
        <v>1114</v>
      </c>
      <c r="G326" s="145" t="s">
        <v>1134</v>
      </c>
    </row>
    <row r="327" spans="2:7" ht="92.4" x14ac:dyDescent="0.25">
      <c r="B327" s="56">
        <v>46210</v>
      </c>
      <c r="C327" s="69">
        <v>46210.541261574072</v>
      </c>
      <c r="D327" s="55" t="s">
        <v>684</v>
      </c>
      <c r="E327" s="55" t="s">
        <v>1137</v>
      </c>
      <c r="F327" s="144" t="s">
        <v>1115</v>
      </c>
      <c r="G327" s="145" t="s">
        <v>1136</v>
      </c>
    </row>
    <row r="328" spans="2:7" ht="92.4" x14ac:dyDescent="0.25">
      <c r="B328" s="56">
        <v>46210</v>
      </c>
      <c r="C328" s="69">
        <v>46210.541296296295</v>
      </c>
      <c r="D328" s="55" t="s">
        <v>684</v>
      </c>
      <c r="E328" s="55" t="s">
        <v>1139</v>
      </c>
      <c r="F328" s="144" t="s">
        <v>1116</v>
      </c>
      <c r="G328" s="145" t="s">
        <v>1138</v>
      </c>
    </row>
    <row r="329" spans="2:7" ht="118.8" x14ac:dyDescent="0.25">
      <c r="B329" s="56">
        <v>46210</v>
      </c>
      <c r="C329" s="69">
        <v>46210.541342592594</v>
      </c>
      <c r="D329" s="55" t="s">
        <v>684</v>
      </c>
      <c r="E329" s="55" t="s">
        <v>1141</v>
      </c>
      <c r="F329" s="144" t="s">
        <v>1117</v>
      </c>
      <c r="G329" s="145" t="s">
        <v>1140</v>
      </c>
    </row>
    <row r="330" spans="2:7" ht="211.2" x14ac:dyDescent="0.25">
      <c r="B330" s="56">
        <v>46210</v>
      </c>
      <c r="C330" s="69">
        <v>46210.541759259257</v>
      </c>
      <c r="D330" s="55" t="s">
        <v>684</v>
      </c>
      <c r="E330" s="55" t="s">
        <v>1051</v>
      </c>
      <c r="F330" s="144" t="s">
        <v>1050</v>
      </c>
      <c r="G330" s="145" t="s">
        <v>1143</v>
      </c>
    </row>
    <row r="331" spans="2:7" ht="409.6" x14ac:dyDescent="0.25">
      <c r="B331" s="56">
        <v>46210</v>
      </c>
      <c r="C331" s="69">
        <v>46210.541851851849</v>
      </c>
      <c r="D331" s="55" t="s">
        <v>684</v>
      </c>
      <c r="E331" s="55" t="s">
        <v>1061</v>
      </c>
      <c r="F331" s="144" t="s">
        <v>1060</v>
      </c>
      <c r="G331" s="145" t="s">
        <v>1145</v>
      </c>
    </row>
    <row r="332" spans="2:7" ht="409.6" x14ac:dyDescent="0.25">
      <c r="B332" s="56">
        <v>46210</v>
      </c>
      <c r="C332" s="69">
        <v>46210.541956018518</v>
      </c>
      <c r="D332" s="55" t="s">
        <v>684</v>
      </c>
      <c r="E332" s="55" t="s">
        <v>1147</v>
      </c>
      <c r="F332" s="144" t="s">
        <v>1098</v>
      </c>
      <c r="G332" s="145" t="s">
        <v>1148</v>
      </c>
    </row>
    <row r="333" spans="2:7" ht="409.6" x14ac:dyDescent="0.25">
      <c r="B333" s="56">
        <v>46210</v>
      </c>
      <c r="C333" s="69">
        <v>46210.542025462964</v>
      </c>
      <c r="D333" s="55" t="s">
        <v>684</v>
      </c>
      <c r="E333" s="55" t="s">
        <v>1150</v>
      </c>
      <c r="F333" s="144" t="s">
        <v>1099</v>
      </c>
      <c r="G333" s="145" t="s">
        <v>1151</v>
      </c>
    </row>
    <row r="334" spans="2:7" ht="409.6" x14ac:dyDescent="0.25">
      <c r="B334" s="56">
        <v>46210</v>
      </c>
      <c r="C334" s="69">
        <v>46210.54210648148</v>
      </c>
      <c r="D334" s="55" t="s">
        <v>684</v>
      </c>
      <c r="E334" s="55" t="s">
        <v>1153</v>
      </c>
      <c r="F334" s="144" t="s">
        <v>1100</v>
      </c>
      <c r="G334" s="145" t="s">
        <v>1154</v>
      </c>
    </row>
    <row r="335" spans="2:7" ht="356.4" x14ac:dyDescent="0.25">
      <c r="B335" s="56">
        <v>46210</v>
      </c>
      <c r="C335" s="69">
        <v>46210.542187500003</v>
      </c>
      <c r="D335" s="55" t="s">
        <v>684</v>
      </c>
      <c r="E335" s="55" t="s">
        <v>1156</v>
      </c>
      <c r="F335" s="144" t="s">
        <v>1101</v>
      </c>
      <c r="G335" s="144" t="s">
        <v>1157</v>
      </c>
    </row>
    <row r="336" spans="2:7" ht="198" x14ac:dyDescent="0.25">
      <c r="B336" s="56">
        <v>46210</v>
      </c>
      <c r="C336" s="69">
        <v>46210.542268518519</v>
      </c>
      <c r="D336" s="55" t="s">
        <v>684</v>
      </c>
      <c r="E336" s="55" t="s">
        <v>1159</v>
      </c>
      <c r="F336" s="144" t="s">
        <v>1102</v>
      </c>
      <c r="G336" s="144" t="s">
        <v>1160</v>
      </c>
    </row>
    <row r="337" spans="2:7" ht="330" x14ac:dyDescent="0.25">
      <c r="B337" s="56">
        <v>46210</v>
      </c>
      <c r="C337" s="69">
        <v>46210.542349537034</v>
      </c>
      <c r="D337" s="55" t="s">
        <v>684</v>
      </c>
      <c r="E337" s="55" t="s">
        <v>1162</v>
      </c>
      <c r="F337" s="144" t="s">
        <v>1103</v>
      </c>
      <c r="G337" s="144" t="s">
        <v>1163</v>
      </c>
    </row>
    <row r="338" spans="2:7" ht="356.4" x14ac:dyDescent="0.25">
      <c r="B338" s="56">
        <v>46210</v>
      </c>
      <c r="C338" s="69">
        <v>46210.542442129627</v>
      </c>
      <c r="D338" s="55" t="s">
        <v>684</v>
      </c>
      <c r="E338" s="55" t="s">
        <v>1165</v>
      </c>
      <c r="F338" s="144" t="s">
        <v>1104</v>
      </c>
      <c r="G338" s="144" t="s">
        <v>1166</v>
      </c>
    </row>
    <row r="339" spans="2:7" ht="409.6" x14ac:dyDescent="0.25">
      <c r="B339" s="56">
        <v>46210</v>
      </c>
      <c r="C339" s="69">
        <v>46210.542523148149</v>
      </c>
      <c r="D339" s="55" t="s">
        <v>684</v>
      </c>
      <c r="E339" s="55" t="s">
        <v>1168</v>
      </c>
      <c r="F339" s="144" t="s">
        <v>1105</v>
      </c>
      <c r="G339" s="144" t="s">
        <v>1169</v>
      </c>
    </row>
    <row r="340" spans="2:7" ht="343.2" x14ac:dyDescent="0.25">
      <c r="B340" s="56">
        <v>46210</v>
      </c>
      <c r="C340" s="69">
        <v>46210.542615740742</v>
      </c>
      <c r="D340" s="55" t="s">
        <v>684</v>
      </c>
      <c r="E340" s="55" t="s">
        <v>1171</v>
      </c>
      <c r="F340" s="144" t="s">
        <v>1106</v>
      </c>
      <c r="G340" s="144" t="s">
        <v>1172</v>
      </c>
    </row>
    <row r="341" spans="2:7" ht="224.4" x14ac:dyDescent="0.25">
      <c r="B341" s="56">
        <v>46210</v>
      </c>
      <c r="C341" s="69">
        <v>46210.542685185188</v>
      </c>
      <c r="D341" s="55" t="s">
        <v>684</v>
      </c>
      <c r="E341" s="55" t="s">
        <v>1174</v>
      </c>
      <c r="F341" s="144" t="s">
        <v>1107</v>
      </c>
      <c r="G341" s="144" t="s">
        <v>1175</v>
      </c>
    </row>
    <row r="342" spans="2:7" ht="409.6" x14ac:dyDescent="0.25">
      <c r="B342" s="56">
        <v>46210</v>
      </c>
      <c r="C342" s="69">
        <v>46210.542766203704</v>
      </c>
      <c r="D342" s="55" t="s">
        <v>684</v>
      </c>
      <c r="E342" s="55" t="s">
        <v>1177</v>
      </c>
      <c r="F342" s="144" t="s">
        <v>1108</v>
      </c>
      <c r="G342" s="144" t="s">
        <v>1178</v>
      </c>
    </row>
    <row r="343" spans="2:7" ht="26.4" x14ac:dyDescent="0.25">
      <c r="B343" s="56">
        <v>46210</v>
      </c>
      <c r="C343" s="69">
        <v>46210.543356481481</v>
      </c>
      <c r="D343" s="55" t="s">
        <v>684</v>
      </c>
      <c r="E343" s="55" t="s">
        <v>1179</v>
      </c>
      <c r="G343" s="144" t="s">
        <v>148</v>
      </c>
    </row>
    <row r="344" spans="2:7" ht="66" x14ac:dyDescent="0.25">
      <c r="B344" s="56">
        <v>46210</v>
      </c>
      <c r="C344" s="69">
        <v>46210.544074074074</v>
      </c>
      <c r="D344" s="55" t="s">
        <v>684</v>
      </c>
      <c r="E344" s="55" t="s">
        <v>1179</v>
      </c>
      <c r="F344" s="144" t="s">
        <v>148</v>
      </c>
      <c r="G344" s="144" t="s">
        <v>1180</v>
      </c>
    </row>
    <row r="345" spans="2:7" ht="79.2" x14ac:dyDescent="0.25">
      <c r="B345" s="56">
        <v>46210</v>
      </c>
      <c r="C345" s="69">
        <v>46210.544398148151</v>
      </c>
      <c r="D345" s="55" t="s">
        <v>684</v>
      </c>
      <c r="E345" s="55" t="s">
        <v>1179</v>
      </c>
      <c r="F345" s="144" t="s">
        <v>1180</v>
      </c>
      <c r="G345" s="144" t="s">
        <v>1181</v>
      </c>
    </row>
    <row r="346" spans="2:7" ht="26.4" x14ac:dyDescent="0.25">
      <c r="B346" s="56">
        <v>46210</v>
      </c>
      <c r="C346" s="69">
        <v>46210.544548611113</v>
      </c>
      <c r="D346" s="55" t="s">
        <v>684</v>
      </c>
      <c r="E346" s="55" t="s">
        <v>1182</v>
      </c>
      <c r="G346" s="144" t="s">
        <v>148</v>
      </c>
    </row>
    <row r="347" spans="2:7" ht="79.2" x14ac:dyDescent="0.25">
      <c r="B347" s="56">
        <v>46210</v>
      </c>
      <c r="C347" s="69">
        <v>46210.544594907406</v>
      </c>
      <c r="D347" s="55" t="s">
        <v>684</v>
      </c>
      <c r="E347" s="55" t="s">
        <v>1183</v>
      </c>
      <c r="G347" s="144" t="s">
        <v>1181</v>
      </c>
    </row>
    <row r="348" spans="2:7" x14ac:dyDescent="0.25">
      <c r="B348" s="56">
        <v>46210</v>
      </c>
      <c r="C348" s="69">
        <v>46210.547638888886</v>
      </c>
      <c r="D348" s="55" t="s">
        <v>684</v>
      </c>
      <c r="E348" s="55" t="s">
        <v>1184</v>
      </c>
      <c r="G348" s="144" t="s">
        <v>254</v>
      </c>
    </row>
    <row r="349" spans="2:7" x14ac:dyDescent="0.25">
      <c r="B349" s="56">
        <v>46210</v>
      </c>
      <c r="C349" s="69">
        <v>46210.547662037039</v>
      </c>
      <c r="D349" s="55" t="s">
        <v>684</v>
      </c>
      <c r="E349" s="55" t="s">
        <v>1185</v>
      </c>
      <c r="F349" s="145"/>
      <c r="G349" s="145" t="s">
        <v>254</v>
      </c>
    </row>
    <row r="350" spans="2:7" x14ac:dyDescent="0.25">
      <c r="B350" s="56">
        <v>46210</v>
      </c>
      <c r="C350" s="69">
        <v>46210.547673611109</v>
      </c>
      <c r="D350" s="55" t="s">
        <v>684</v>
      </c>
      <c r="E350" s="55" t="s">
        <v>1186</v>
      </c>
      <c r="G350" s="144" t="s">
        <v>254</v>
      </c>
    </row>
    <row r="351" spans="2:7" x14ac:dyDescent="0.25">
      <c r="B351" s="56">
        <v>46210</v>
      </c>
      <c r="C351" s="69">
        <v>46210.54787037037</v>
      </c>
      <c r="D351" s="55" t="s">
        <v>684</v>
      </c>
      <c r="E351" s="55" t="s">
        <v>1187</v>
      </c>
      <c r="G351" s="144" t="s">
        <v>254</v>
      </c>
    </row>
    <row r="352" spans="2:7" x14ac:dyDescent="0.25">
      <c r="B352" s="56">
        <v>46210</v>
      </c>
      <c r="C352" s="69">
        <v>46210.54791666667</v>
      </c>
      <c r="D352" s="55" t="s">
        <v>684</v>
      </c>
      <c r="E352" s="55" t="s">
        <v>1188</v>
      </c>
      <c r="G352" s="145" t="s">
        <v>254</v>
      </c>
    </row>
    <row r="353" spans="2:7" x14ac:dyDescent="0.25">
      <c r="B353" s="56">
        <v>46210</v>
      </c>
      <c r="C353" s="69">
        <v>46210.547974537039</v>
      </c>
      <c r="D353" s="55" t="s">
        <v>684</v>
      </c>
      <c r="E353" s="55" t="s">
        <v>1189</v>
      </c>
      <c r="F353" s="145"/>
      <c r="G353" s="144" t="s">
        <v>254</v>
      </c>
    </row>
    <row r="354" spans="2:7" x14ac:dyDescent="0.25">
      <c r="B354" s="56">
        <v>46210</v>
      </c>
      <c r="C354" s="69">
        <v>46210.548009259262</v>
      </c>
      <c r="D354" s="55" t="s">
        <v>684</v>
      </c>
      <c r="E354" s="55" t="s">
        <v>1190</v>
      </c>
      <c r="G354" s="145" t="s">
        <v>254</v>
      </c>
    </row>
    <row r="355" spans="2:7" x14ac:dyDescent="0.25">
      <c r="B355" s="56">
        <v>46210</v>
      </c>
      <c r="C355" s="69">
        <v>46210.548067129632</v>
      </c>
      <c r="D355" s="55" t="s">
        <v>684</v>
      </c>
      <c r="E355" s="55" t="s">
        <v>1191</v>
      </c>
      <c r="F355" s="145"/>
      <c r="G355" s="144" t="s">
        <v>254</v>
      </c>
    </row>
    <row r="356" spans="2:7" x14ac:dyDescent="0.25">
      <c r="B356" s="56">
        <v>46210</v>
      </c>
      <c r="C356" s="69">
        <v>46210.548090277778</v>
      </c>
      <c r="D356" s="55" t="s">
        <v>684</v>
      </c>
      <c r="E356" s="55" t="s">
        <v>1192</v>
      </c>
      <c r="G356" s="144" t="s">
        <v>254</v>
      </c>
    </row>
    <row r="357" spans="2:7" x14ac:dyDescent="0.25">
      <c r="B357" s="56">
        <v>46210</v>
      </c>
      <c r="C357" s="69">
        <v>46210.548148148147</v>
      </c>
      <c r="D357" s="55" t="s">
        <v>684</v>
      </c>
      <c r="E357" s="55" t="s">
        <v>1193</v>
      </c>
      <c r="G357" s="144" t="s">
        <v>254</v>
      </c>
    </row>
    <row r="358" spans="2:7" x14ac:dyDescent="0.25">
      <c r="B358" s="56">
        <v>46210</v>
      </c>
      <c r="C358" s="69">
        <v>46210.548194444447</v>
      </c>
      <c r="D358" s="55" t="s">
        <v>684</v>
      </c>
      <c r="E358" s="55" t="s">
        <v>1194</v>
      </c>
      <c r="G358" s="144" t="s">
        <v>254</v>
      </c>
    </row>
    <row r="359" spans="2:7" x14ac:dyDescent="0.25">
      <c r="B359" s="56">
        <v>46210</v>
      </c>
      <c r="C359" s="69">
        <v>46210.54828703704</v>
      </c>
      <c r="D359" s="55" t="s">
        <v>684</v>
      </c>
      <c r="E359" s="55" t="s">
        <v>1195</v>
      </c>
      <c r="G359" s="144" t="s">
        <v>188</v>
      </c>
    </row>
    <row r="360" spans="2:7" x14ac:dyDescent="0.25">
      <c r="B360" s="56">
        <v>46210</v>
      </c>
      <c r="C360" s="69">
        <v>46210.548321759263</v>
      </c>
      <c r="D360" s="55" t="s">
        <v>684</v>
      </c>
      <c r="E360" s="55" t="s">
        <v>1196</v>
      </c>
      <c r="G360" s="144" t="s">
        <v>188</v>
      </c>
    </row>
    <row r="361" spans="2:7" x14ac:dyDescent="0.25">
      <c r="B361" s="56">
        <v>46210</v>
      </c>
      <c r="C361" s="69">
        <v>46210.548368055555</v>
      </c>
      <c r="D361" s="55" t="s">
        <v>684</v>
      </c>
      <c r="E361" s="55" t="s">
        <v>1197</v>
      </c>
      <c r="G361" s="144" t="s">
        <v>254</v>
      </c>
    </row>
    <row r="362" spans="2:7" ht="39.6" x14ac:dyDescent="0.25">
      <c r="B362" s="56">
        <v>46210</v>
      </c>
      <c r="C362" s="69">
        <v>46210.554548611108</v>
      </c>
      <c r="D362" s="55" t="s">
        <v>1199</v>
      </c>
      <c r="E362" s="55" t="s">
        <v>1200</v>
      </c>
      <c r="G362" s="144" t="s">
        <v>1198</v>
      </c>
    </row>
    <row r="363" spans="2:7" ht="39.6" x14ac:dyDescent="0.25">
      <c r="B363" s="56">
        <v>46210</v>
      </c>
      <c r="C363" s="69">
        <v>46210.613240740742</v>
      </c>
      <c r="D363" s="55" t="s">
        <v>684</v>
      </c>
      <c r="E363" s="55" t="s">
        <v>881</v>
      </c>
      <c r="G363" s="144" t="s">
        <v>1201</v>
      </c>
    </row>
    <row r="364" spans="2:7" ht="39.6" x14ac:dyDescent="0.25">
      <c r="B364" s="56">
        <v>46210</v>
      </c>
      <c r="C364" s="69">
        <v>46210.613379629627</v>
      </c>
      <c r="D364" s="55" t="s">
        <v>684</v>
      </c>
      <c r="E364" s="55" t="s">
        <v>1203</v>
      </c>
      <c r="G364" s="144" t="s">
        <v>1202</v>
      </c>
    </row>
    <row r="365" spans="2:7" ht="52.8" x14ac:dyDescent="0.25">
      <c r="B365" s="56">
        <v>46210</v>
      </c>
      <c r="C365" s="69">
        <v>46210.613495370373</v>
      </c>
      <c r="D365" s="55" t="s">
        <v>684</v>
      </c>
      <c r="E365" s="55" t="s">
        <v>1205</v>
      </c>
      <c r="G365" s="144" t="s">
        <v>1204</v>
      </c>
    </row>
    <row r="366" spans="2:7" ht="39.6" x14ac:dyDescent="0.25">
      <c r="B366" s="56">
        <v>46210</v>
      </c>
      <c r="C366" s="69">
        <v>46210.613622685189</v>
      </c>
      <c r="D366" s="55" t="s">
        <v>684</v>
      </c>
      <c r="E366" s="55" t="s">
        <v>1207</v>
      </c>
      <c r="G366" s="144" t="s">
        <v>1206</v>
      </c>
    </row>
    <row r="367" spans="2:7" ht="39.6" x14ac:dyDescent="0.25">
      <c r="B367" s="56">
        <v>46210</v>
      </c>
      <c r="C367" s="69">
        <v>46210.613738425927</v>
      </c>
      <c r="D367" s="55" t="s">
        <v>684</v>
      </c>
      <c r="E367" s="55" t="s">
        <v>1209</v>
      </c>
      <c r="G367" s="144" t="s">
        <v>1208</v>
      </c>
    </row>
    <row r="368" spans="2:7" ht="39.6" x14ac:dyDescent="0.25">
      <c r="B368" s="56">
        <v>46210</v>
      </c>
      <c r="C368" s="69">
        <v>46210.613865740743</v>
      </c>
      <c r="D368" s="55" t="s">
        <v>684</v>
      </c>
      <c r="E368" s="55" t="s">
        <v>1211</v>
      </c>
      <c r="G368" s="144" t="s">
        <v>1210</v>
      </c>
    </row>
    <row r="369" spans="2:7" ht="39.6" x14ac:dyDescent="0.25">
      <c r="B369" s="56">
        <v>46210</v>
      </c>
      <c r="C369" s="69">
        <v>46210.613969907405</v>
      </c>
      <c r="D369" s="55" t="s">
        <v>684</v>
      </c>
      <c r="E369" s="55" t="s">
        <v>1213</v>
      </c>
      <c r="G369" s="144" t="s">
        <v>1212</v>
      </c>
    </row>
    <row r="370" spans="2:7" ht="39.6" x14ac:dyDescent="0.25">
      <c r="B370" s="56">
        <v>46210</v>
      </c>
      <c r="C370" s="69">
        <v>46210.614074074074</v>
      </c>
      <c r="D370" s="55" t="s">
        <v>684</v>
      </c>
      <c r="E370" s="55" t="s">
        <v>1215</v>
      </c>
      <c r="G370" s="144" t="s">
        <v>1214</v>
      </c>
    </row>
    <row r="371" spans="2:7" ht="52.8" x14ac:dyDescent="0.25">
      <c r="B371" s="56">
        <v>46210</v>
      </c>
      <c r="C371" s="69">
        <v>46210.614189814813</v>
      </c>
      <c r="D371" s="55" t="s">
        <v>684</v>
      </c>
      <c r="E371" s="55" t="s">
        <v>1217</v>
      </c>
      <c r="G371" s="144" t="s">
        <v>1216</v>
      </c>
    </row>
    <row r="372" spans="2:7" ht="39.6" x14ac:dyDescent="0.25">
      <c r="B372" s="56">
        <v>46210</v>
      </c>
      <c r="C372" s="69">
        <v>46210.614293981482</v>
      </c>
      <c r="D372" s="55" t="s">
        <v>684</v>
      </c>
      <c r="E372" s="55" t="s">
        <v>1219</v>
      </c>
      <c r="G372" s="144" t="s">
        <v>1218</v>
      </c>
    </row>
    <row r="373" spans="2:7" ht="39.6" x14ac:dyDescent="0.25">
      <c r="B373" s="56">
        <v>46210</v>
      </c>
      <c r="C373" s="69">
        <v>46210.614490740743</v>
      </c>
      <c r="D373" s="55" t="s">
        <v>684</v>
      </c>
      <c r="E373" s="55" t="s">
        <v>1221</v>
      </c>
      <c r="G373" s="144" t="s">
        <v>1220</v>
      </c>
    </row>
    <row r="374" spans="2:7" ht="39.6" x14ac:dyDescent="0.25">
      <c r="B374" s="56">
        <v>46210</v>
      </c>
      <c r="C374" s="69">
        <v>46210.614629629628</v>
      </c>
      <c r="D374" s="55" t="s">
        <v>684</v>
      </c>
      <c r="E374" s="55" t="s">
        <v>1223</v>
      </c>
      <c r="G374" s="144" t="s">
        <v>1222</v>
      </c>
    </row>
    <row r="375" spans="2:7" ht="52.8" x14ac:dyDescent="0.25">
      <c r="B375" s="56">
        <v>46210</v>
      </c>
      <c r="C375" s="69">
        <v>46210.614756944444</v>
      </c>
      <c r="D375" s="55" t="s">
        <v>684</v>
      </c>
      <c r="E375" s="55" t="s">
        <v>1225</v>
      </c>
      <c r="G375" s="144" t="s">
        <v>1224</v>
      </c>
    </row>
    <row r="376" spans="2:7" ht="39.6" x14ac:dyDescent="0.25">
      <c r="B376" s="56">
        <v>46210</v>
      </c>
      <c r="C376" s="69">
        <v>46210.614895833336</v>
      </c>
      <c r="D376" s="55" t="s">
        <v>684</v>
      </c>
      <c r="E376" s="55" t="s">
        <v>1227</v>
      </c>
      <c r="G376" s="144" t="s">
        <v>1226</v>
      </c>
    </row>
    <row r="377" spans="2:7" x14ac:dyDescent="0.25">
      <c r="B377" s="56">
        <v>46210</v>
      </c>
      <c r="C377" s="69">
        <v>46210.616030092591</v>
      </c>
      <c r="D377" s="55" t="s">
        <v>684</v>
      </c>
      <c r="E377" s="55" t="s">
        <v>1228</v>
      </c>
      <c r="G377" s="144" t="s">
        <v>669</v>
      </c>
    </row>
    <row r="378" spans="2:7" x14ac:dyDescent="0.25">
      <c r="B378" s="56">
        <v>46210</v>
      </c>
      <c r="C378" s="69">
        <v>46210.616053240738</v>
      </c>
      <c r="D378" s="55" t="s">
        <v>684</v>
      </c>
      <c r="E378" s="55" t="s">
        <v>1229</v>
      </c>
      <c r="G378" s="144" t="s">
        <v>669</v>
      </c>
    </row>
    <row r="379" spans="2:7" x14ac:dyDescent="0.25">
      <c r="B379" s="56">
        <v>46210</v>
      </c>
      <c r="C379" s="69">
        <v>46210.616053240738</v>
      </c>
      <c r="D379" s="55" t="s">
        <v>684</v>
      </c>
      <c r="E379" s="55" t="s">
        <v>1230</v>
      </c>
      <c r="G379" s="144" t="s">
        <v>669</v>
      </c>
    </row>
    <row r="380" spans="2:7" x14ac:dyDescent="0.25">
      <c r="B380" s="56">
        <v>46210</v>
      </c>
      <c r="C380" s="69">
        <v>46210.616064814814</v>
      </c>
      <c r="D380" s="55" t="s">
        <v>684</v>
      </c>
      <c r="E380" s="55" t="s">
        <v>1231</v>
      </c>
      <c r="G380" s="144" t="s">
        <v>669</v>
      </c>
    </row>
    <row r="381" spans="2:7" x14ac:dyDescent="0.25">
      <c r="B381" s="56">
        <v>46210</v>
      </c>
      <c r="C381" s="69">
        <v>46210.616076388891</v>
      </c>
      <c r="D381" s="55" t="s">
        <v>684</v>
      </c>
      <c r="E381" s="55" t="s">
        <v>1232</v>
      </c>
      <c r="G381" s="144" t="s">
        <v>669</v>
      </c>
    </row>
    <row r="382" spans="2:7" x14ac:dyDescent="0.25">
      <c r="B382" s="56">
        <v>46210</v>
      </c>
      <c r="C382" s="69">
        <v>46210.616087962961</v>
      </c>
      <c r="D382" s="55" t="s">
        <v>684</v>
      </c>
      <c r="E382" s="55" t="s">
        <v>1233</v>
      </c>
      <c r="G382" s="144" t="s">
        <v>669</v>
      </c>
    </row>
    <row r="383" spans="2:7" x14ac:dyDescent="0.25">
      <c r="B383" s="56">
        <v>46210</v>
      </c>
      <c r="C383" s="69">
        <v>46210.616099537037</v>
      </c>
      <c r="D383" s="55" t="s">
        <v>684</v>
      </c>
      <c r="E383" s="55" t="s">
        <v>1234</v>
      </c>
      <c r="G383" s="144" t="s">
        <v>669</v>
      </c>
    </row>
    <row r="384" spans="2:7" x14ac:dyDescent="0.25">
      <c r="B384" s="56">
        <v>46210</v>
      </c>
      <c r="C384" s="69">
        <v>46210.616111111114</v>
      </c>
      <c r="D384" s="55" t="s">
        <v>684</v>
      </c>
      <c r="E384" s="55" t="s">
        <v>1235</v>
      </c>
      <c r="G384" s="144" t="s">
        <v>669</v>
      </c>
    </row>
    <row r="385" spans="2:7" x14ac:dyDescent="0.25">
      <c r="B385" s="56">
        <v>46210</v>
      </c>
      <c r="C385" s="69">
        <v>46210.616122685184</v>
      </c>
      <c r="D385" s="55" t="s">
        <v>684</v>
      </c>
      <c r="E385" s="55" t="s">
        <v>1236</v>
      </c>
      <c r="G385" s="144" t="s">
        <v>669</v>
      </c>
    </row>
    <row r="386" spans="2:7" x14ac:dyDescent="0.25">
      <c r="B386" s="56">
        <v>46210</v>
      </c>
      <c r="C386" s="69">
        <v>46210.61613425926</v>
      </c>
      <c r="D386" s="55" t="s">
        <v>684</v>
      </c>
      <c r="E386" s="55" t="s">
        <v>1237</v>
      </c>
      <c r="G386" s="144" t="s">
        <v>669</v>
      </c>
    </row>
    <row r="387" spans="2:7" x14ac:dyDescent="0.25">
      <c r="B387" s="56">
        <v>46210</v>
      </c>
      <c r="C387" s="69">
        <v>46210.61614583333</v>
      </c>
      <c r="D387" s="55" t="s">
        <v>684</v>
      </c>
      <c r="E387" s="55" t="s">
        <v>1238</v>
      </c>
      <c r="G387" s="144" t="s">
        <v>669</v>
      </c>
    </row>
    <row r="388" spans="2:7" x14ac:dyDescent="0.25">
      <c r="B388" s="56">
        <v>46210</v>
      </c>
      <c r="C388" s="69">
        <v>46210.616157407407</v>
      </c>
      <c r="D388" s="55" t="s">
        <v>684</v>
      </c>
      <c r="E388" s="55" t="s">
        <v>1239</v>
      </c>
      <c r="G388" s="144" t="s">
        <v>669</v>
      </c>
    </row>
    <row r="389" spans="2:7" x14ac:dyDescent="0.25">
      <c r="B389" s="56">
        <v>46210</v>
      </c>
      <c r="C389" s="69">
        <v>46210.616168981483</v>
      </c>
      <c r="D389" s="55" t="s">
        <v>684</v>
      </c>
      <c r="E389" s="55" t="s">
        <v>1240</v>
      </c>
      <c r="G389" s="144" t="s">
        <v>669</v>
      </c>
    </row>
    <row r="390" spans="2:7" x14ac:dyDescent="0.25">
      <c r="B390" s="56">
        <v>46210</v>
      </c>
      <c r="C390" s="69">
        <v>46210.616180555553</v>
      </c>
      <c r="D390" s="55" t="s">
        <v>684</v>
      </c>
      <c r="E390" s="55" t="s">
        <v>1241</v>
      </c>
      <c r="G390" s="144" t="s">
        <v>669</v>
      </c>
    </row>
    <row r="391" spans="2:7" ht="39.6" x14ac:dyDescent="0.25">
      <c r="B391" s="56">
        <v>46210</v>
      </c>
      <c r="C391" s="69">
        <v>46210.616388888891</v>
      </c>
      <c r="D391" s="55" t="s">
        <v>1199</v>
      </c>
      <c r="E391" s="55" t="s">
        <v>1200</v>
      </c>
      <c r="F391" s="144" t="s">
        <v>1198</v>
      </c>
      <c r="G391" s="144" t="s">
        <v>1242</v>
      </c>
    </row>
    <row r="392" spans="2:7" ht="26.4" x14ac:dyDescent="0.25">
      <c r="B392" s="56">
        <v>46211</v>
      </c>
      <c r="C392" s="69">
        <v>46211.449236111112</v>
      </c>
      <c r="D392" s="55" t="s">
        <v>890</v>
      </c>
      <c r="E392" s="55" t="s">
        <v>1243</v>
      </c>
      <c r="G392" s="144" t="s">
        <v>581</v>
      </c>
    </row>
    <row r="393" spans="2:7" ht="26.4" x14ac:dyDescent="0.25">
      <c r="B393" s="56">
        <v>46211</v>
      </c>
      <c r="C393" s="69">
        <v>46211.450995370367</v>
      </c>
      <c r="D393" s="55" t="s">
        <v>890</v>
      </c>
      <c r="E393" s="55" t="s">
        <v>1243</v>
      </c>
      <c r="F393" s="144" t="s">
        <v>581</v>
      </c>
    </row>
    <row r="394" spans="2:7" x14ac:dyDescent="0.25">
      <c r="B394" s="56">
        <v>46211</v>
      </c>
      <c r="C394" s="69">
        <v>46211.452627314815</v>
      </c>
      <c r="D394" s="55" t="s">
        <v>890</v>
      </c>
      <c r="E394" s="55" t="s">
        <v>1244</v>
      </c>
      <c r="F394" s="144">
        <v>161</v>
      </c>
    </row>
    <row r="395" spans="2:7" x14ac:dyDescent="0.25">
      <c r="B395" s="56">
        <v>46211</v>
      </c>
      <c r="C395" s="69">
        <v>46211.452650462961</v>
      </c>
      <c r="D395" s="55" t="s">
        <v>890</v>
      </c>
      <c r="E395" s="55" t="s">
        <v>1245</v>
      </c>
      <c r="F395" s="144">
        <v>46</v>
      </c>
    </row>
    <row r="396" spans="2:7" x14ac:dyDescent="0.25">
      <c r="B396" s="56">
        <v>46211</v>
      </c>
      <c r="C396" s="69">
        <v>46211.452673611115</v>
      </c>
      <c r="D396" s="55" t="s">
        <v>890</v>
      </c>
      <c r="E396" s="55" t="s">
        <v>1246</v>
      </c>
      <c r="F396" s="144">
        <v>14</v>
      </c>
    </row>
    <row r="397" spans="2:7" x14ac:dyDescent="0.25">
      <c r="B397" s="56">
        <v>46211</v>
      </c>
      <c r="C397" s="69">
        <v>46211.452685185184</v>
      </c>
      <c r="D397" s="55" t="s">
        <v>890</v>
      </c>
      <c r="E397" s="55" t="s">
        <v>1247</v>
      </c>
      <c r="F397" s="144">
        <v>101</v>
      </c>
    </row>
    <row r="398" spans="2:7" x14ac:dyDescent="0.25">
      <c r="B398" s="56">
        <v>46211</v>
      </c>
      <c r="C398" s="69">
        <v>46211.452696759261</v>
      </c>
      <c r="D398" s="55" t="s">
        <v>890</v>
      </c>
      <c r="E398" s="55" t="s">
        <v>1248</v>
      </c>
      <c r="F398" s="144">
        <v>1</v>
      </c>
    </row>
    <row r="399" spans="2:7" x14ac:dyDescent="0.25">
      <c r="B399" s="56">
        <v>46211</v>
      </c>
      <c r="C399" s="69">
        <v>46211.452800925923</v>
      </c>
      <c r="D399" s="55" t="s">
        <v>890</v>
      </c>
      <c r="E399" s="55" t="s">
        <v>1244</v>
      </c>
      <c r="G399" s="144">
        <v>161</v>
      </c>
    </row>
    <row r="400" spans="2:7" x14ac:dyDescent="0.25">
      <c r="B400" s="56">
        <v>46211</v>
      </c>
      <c r="C400" s="69">
        <v>46211.452881944446</v>
      </c>
      <c r="D400" s="55" t="s">
        <v>890</v>
      </c>
      <c r="E400" s="55" t="s">
        <v>1245</v>
      </c>
      <c r="G400" s="144">
        <v>45</v>
      </c>
    </row>
    <row r="401" spans="2:7" x14ac:dyDescent="0.25">
      <c r="B401" s="56">
        <v>46211</v>
      </c>
      <c r="C401" s="69">
        <v>46211.452974537038</v>
      </c>
      <c r="D401" s="55" t="s">
        <v>890</v>
      </c>
      <c r="E401" s="55" t="s">
        <v>1245</v>
      </c>
      <c r="F401" s="144">
        <v>45</v>
      </c>
      <c r="G401" s="144">
        <v>46</v>
      </c>
    </row>
    <row r="402" spans="2:7" x14ac:dyDescent="0.25">
      <c r="B402" s="56">
        <v>46211</v>
      </c>
      <c r="C402" s="69">
        <v>46211.453043981484</v>
      </c>
      <c r="D402" s="55" t="s">
        <v>890</v>
      </c>
      <c r="E402" s="55" t="s">
        <v>1246</v>
      </c>
      <c r="G402" s="144">
        <v>14</v>
      </c>
    </row>
    <row r="403" spans="2:7" x14ac:dyDescent="0.25">
      <c r="B403" s="56">
        <v>46211</v>
      </c>
      <c r="C403" s="69">
        <v>46211.453125</v>
      </c>
      <c r="D403" s="55" t="s">
        <v>890</v>
      </c>
      <c r="E403" s="55" t="s">
        <v>1247</v>
      </c>
      <c r="G403" s="144">
        <v>101</v>
      </c>
    </row>
    <row r="404" spans="2:7" x14ac:dyDescent="0.25">
      <c r="B404" s="56">
        <v>46211</v>
      </c>
      <c r="C404" s="69">
        <v>46211.453194444446</v>
      </c>
      <c r="D404" s="55" t="s">
        <v>890</v>
      </c>
      <c r="E404" s="55" t="s">
        <v>1248</v>
      </c>
      <c r="G404" s="144">
        <v>1</v>
      </c>
    </row>
    <row r="405" spans="2:7" ht="39.6" x14ac:dyDescent="0.25">
      <c r="B405" s="56">
        <v>46211</v>
      </c>
      <c r="C405" s="69">
        <v>46211.454814814817</v>
      </c>
      <c r="D405" s="55" t="s">
        <v>890</v>
      </c>
      <c r="E405" s="55" t="s">
        <v>1250</v>
      </c>
      <c r="G405" s="144" t="s">
        <v>1249</v>
      </c>
    </row>
    <row r="406" spans="2:7" ht="52.8" x14ac:dyDescent="0.25">
      <c r="B406" s="56">
        <v>46211</v>
      </c>
      <c r="C406" s="69">
        <v>46211.454907407409</v>
      </c>
      <c r="D406" s="55" t="s">
        <v>890</v>
      </c>
      <c r="E406" s="55" t="s">
        <v>1250</v>
      </c>
      <c r="F406" s="144" t="s">
        <v>1249</v>
      </c>
      <c r="G406" s="144" t="s">
        <v>1251</v>
      </c>
    </row>
    <row r="407" spans="2:7" x14ac:dyDescent="0.25">
      <c r="B407" s="56">
        <v>46211</v>
      </c>
      <c r="C407" s="69">
        <v>46211.455011574071</v>
      </c>
      <c r="D407" s="55" t="s">
        <v>890</v>
      </c>
      <c r="E407" s="55" t="s">
        <v>1252</v>
      </c>
      <c r="G407" s="144">
        <v>2</v>
      </c>
    </row>
    <row r="408" spans="2:7" x14ac:dyDescent="0.25">
      <c r="B408" s="56">
        <v>46211</v>
      </c>
      <c r="C408" s="69">
        <v>46211.455092592594</v>
      </c>
      <c r="D408" s="55" t="s">
        <v>890</v>
      </c>
      <c r="E408" s="55" t="s">
        <v>1253</v>
      </c>
      <c r="G408" s="144">
        <v>2</v>
      </c>
    </row>
    <row r="409" spans="2:7" x14ac:dyDescent="0.25">
      <c r="B409" s="56">
        <v>46211</v>
      </c>
      <c r="C409" s="69">
        <v>46211.455474537041</v>
      </c>
      <c r="D409" s="55" t="s">
        <v>890</v>
      </c>
      <c r="E409" s="55" t="s">
        <v>1254</v>
      </c>
      <c r="F409" s="144">
        <v>16</v>
      </c>
    </row>
    <row r="410" spans="2:7" x14ac:dyDescent="0.25">
      <c r="B410" s="56">
        <v>46211</v>
      </c>
      <c r="C410" s="69">
        <v>46211.455671296295</v>
      </c>
      <c r="D410" s="55" t="s">
        <v>890</v>
      </c>
      <c r="E410" s="55" t="s">
        <v>1254</v>
      </c>
      <c r="G410" s="144">
        <v>18</v>
      </c>
    </row>
    <row r="411" spans="2:7" x14ac:dyDescent="0.25">
      <c r="B411" s="56">
        <v>46211</v>
      </c>
      <c r="C411" s="69">
        <v>46211.455706018518</v>
      </c>
      <c r="D411" s="55" t="s">
        <v>890</v>
      </c>
      <c r="E411" s="55" t="s">
        <v>1255</v>
      </c>
      <c r="G411" s="144">
        <v>3</v>
      </c>
    </row>
    <row r="412" spans="2:7" x14ac:dyDescent="0.25">
      <c r="B412" s="56">
        <v>46211</v>
      </c>
      <c r="C412" s="69">
        <v>46211.455740740741</v>
      </c>
      <c r="D412" s="55" t="s">
        <v>890</v>
      </c>
      <c r="E412" s="55" t="s">
        <v>1256</v>
      </c>
      <c r="G412" s="144">
        <v>8</v>
      </c>
    </row>
    <row r="413" spans="2:7" x14ac:dyDescent="0.25">
      <c r="B413" s="56">
        <v>46211</v>
      </c>
      <c r="C413" s="69">
        <v>46211.455775462964</v>
      </c>
      <c r="D413" s="55" t="s">
        <v>890</v>
      </c>
      <c r="E413" s="55" t="s">
        <v>1257</v>
      </c>
      <c r="G413" s="144">
        <v>7</v>
      </c>
    </row>
    <row r="414" spans="2:7" x14ac:dyDescent="0.25">
      <c r="B414" s="56">
        <v>46211</v>
      </c>
      <c r="C414" s="69">
        <v>46211.456076388888</v>
      </c>
      <c r="D414" s="55" t="s">
        <v>890</v>
      </c>
      <c r="E414" s="55" t="s">
        <v>1258</v>
      </c>
      <c r="G414" s="144">
        <v>2026</v>
      </c>
    </row>
    <row r="415" spans="2:7" x14ac:dyDescent="0.25">
      <c r="B415" s="56">
        <v>46211</v>
      </c>
      <c r="C415" s="69">
        <v>46211.457245370373</v>
      </c>
      <c r="D415" s="55" t="s">
        <v>890</v>
      </c>
      <c r="E415" s="55" t="s">
        <v>997</v>
      </c>
      <c r="G415" s="144">
        <v>14</v>
      </c>
    </row>
    <row r="416" spans="2:7" x14ac:dyDescent="0.25">
      <c r="B416" s="56">
        <v>46211</v>
      </c>
      <c r="C416" s="69">
        <v>46211.457314814812</v>
      </c>
      <c r="D416" s="55" t="s">
        <v>890</v>
      </c>
      <c r="E416" s="55" t="s">
        <v>992</v>
      </c>
      <c r="G416" s="144">
        <v>14</v>
      </c>
    </row>
    <row r="417" spans="2:7" x14ac:dyDescent="0.25">
      <c r="B417" s="56">
        <v>46211</v>
      </c>
      <c r="C417" s="69">
        <v>46211.457372685189</v>
      </c>
      <c r="D417" s="55" t="s">
        <v>890</v>
      </c>
      <c r="E417" s="55" t="s">
        <v>993</v>
      </c>
      <c r="G417" s="144">
        <v>14</v>
      </c>
    </row>
    <row r="418" spans="2:7" x14ac:dyDescent="0.25">
      <c r="B418" s="56">
        <v>46211</v>
      </c>
      <c r="C418" s="69">
        <v>46211.457824074074</v>
      </c>
      <c r="D418" s="55" t="s">
        <v>890</v>
      </c>
      <c r="E418" s="55" t="s">
        <v>1259</v>
      </c>
      <c r="G418" s="144">
        <v>119</v>
      </c>
    </row>
    <row r="419" spans="2:7" x14ac:dyDescent="0.25">
      <c r="B419" s="56">
        <v>46211</v>
      </c>
      <c r="C419" s="69">
        <v>46211.45784722222</v>
      </c>
      <c r="D419" s="55" t="s">
        <v>890</v>
      </c>
      <c r="E419" s="55" t="s">
        <v>1260</v>
      </c>
      <c r="G419" s="144">
        <v>163</v>
      </c>
    </row>
    <row r="420" spans="2:7" x14ac:dyDescent="0.25">
      <c r="B420" s="56">
        <v>46211</v>
      </c>
      <c r="C420" s="69">
        <v>46211.457881944443</v>
      </c>
      <c r="D420" s="55" t="s">
        <v>890</v>
      </c>
      <c r="E420" s="55" t="s">
        <v>1261</v>
      </c>
      <c r="G420" s="145">
        <v>48</v>
      </c>
    </row>
    <row r="421" spans="2:7" x14ac:dyDescent="0.25">
      <c r="B421" s="56">
        <v>46211</v>
      </c>
      <c r="C421" s="69">
        <v>46211.457905092589</v>
      </c>
      <c r="D421" s="55" t="s">
        <v>890</v>
      </c>
      <c r="E421" s="55" t="s">
        <v>1262</v>
      </c>
      <c r="G421" s="144">
        <v>14</v>
      </c>
    </row>
    <row r="422" spans="2:7" x14ac:dyDescent="0.25">
      <c r="B422" s="56">
        <v>46211</v>
      </c>
      <c r="C422" s="69">
        <v>46211.457928240743</v>
      </c>
      <c r="D422" s="55" t="s">
        <v>890</v>
      </c>
      <c r="E422" s="55" t="s">
        <v>1263</v>
      </c>
      <c r="G422" s="144">
        <v>101</v>
      </c>
    </row>
    <row r="423" spans="2:7" x14ac:dyDescent="0.25">
      <c r="B423" s="56">
        <v>46211</v>
      </c>
      <c r="C423" s="69">
        <v>46211.457951388889</v>
      </c>
      <c r="D423" s="55" t="s">
        <v>890</v>
      </c>
      <c r="E423" s="55" t="s">
        <v>1264</v>
      </c>
      <c r="G423" s="144">
        <v>1</v>
      </c>
    </row>
    <row r="424" spans="2:7" ht="52.8" x14ac:dyDescent="0.25">
      <c r="B424" s="56">
        <v>46211</v>
      </c>
      <c r="C424" s="69">
        <v>46211.460370370369</v>
      </c>
      <c r="D424" s="55" t="s">
        <v>684</v>
      </c>
      <c r="E424" s="55" t="s">
        <v>1266</v>
      </c>
      <c r="G424" s="144" t="s">
        <v>1265</v>
      </c>
    </row>
    <row r="425" spans="2:7" ht="92.4" x14ac:dyDescent="0.25">
      <c r="B425" s="56">
        <v>46211</v>
      </c>
      <c r="C425" s="69">
        <v>46211.461909722224</v>
      </c>
      <c r="D425" s="55" t="s">
        <v>684</v>
      </c>
      <c r="E425" s="55" t="s">
        <v>1268</v>
      </c>
      <c r="G425" s="144" t="s">
        <v>1267</v>
      </c>
    </row>
    <row r="426" spans="2:7" ht="92.4" x14ac:dyDescent="0.25">
      <c r="B426" s="56">
        <v>46211</v>
      </c>
      <c r="C426" s="69">
        <v>46211.462071759262</v>
      </c>
      <c r="D426" s="55" t="s">
        <v>684</v>
      </c>
      <c r="E426" s="55" t="s">
        <v>1269</v>
      </c>
      <c r="G426" s="144" t="s">
        <v>1267</v>
      </c>
    </row>
    <row r="427" spans="2:7" ht="52.8" x14ac:dyDescent="0.25">
      <c r="B427" s="56">
        <v>46211</v>
      </c>
      <c r="C427" s="69">
        <v>46211.462175925924</v>
      </c>
      <c r="D427" s="55" t="s">
        <v>684</v>
      </c>
      <c r="E427" s="55" t="s">
        <v>1270</v>
      </c>
      <c r="G427" s="144" t="s">
        <v>1265</v>
      </c>
    </row>
    <row r="428" spans="2:7" x14ac:dyDescent="0.25">
      <c r="B428" s="56">
        <v>46229</v>
      </c>
      <c r="C428" s="69">
        <v>46229.791516203702</v>
      </c>
      <c r="D428" s="55" t="s">
        <v>684</v>
      </c>
      <c r="E428" s="55" t="s">
        <v>1273</v>
      </c>
      <c r="F428" s="144" t="s">
        <v>201</v>
      </c>
      <c r="G428" s="144" t="s">
        <v>20</v>
      </c>
    </row>
    <row r="429" spans="2:7" x14ac:dyDescent="0.25">
      <c r="B429" s="56">
        <v>46229</v>
      </c>
      <c r="C429" s="69">
        <v>46229.792384259257</v>
      </c>
      <c r="D429" s="55" t="s">
        <v>684</v>
      </c>
      <c r="E429" s="55" t="s">
        <v>1273</v>
      </c>
      <c r="F429" s="144" t="s">
        <v>20</v>
      </c>
      <c r="G429" s="144" t="s">
        <v>201</v>
      </c>
    </row>
    <row r="430" spans="2:7" x14ac:dyDescent="0.25">
      <c r="B430" s="56">
        <v>46229</v>
      </c>
      <c r="C430" s="69">
        <v>46229.801539351851</v>
      </c>
      <c r="D430" s="55" t="s">
        <v>684</v>
      </c>
      <c r="E430" s="55" t="s">
        <v>1275</v>
      </c>
      <c r="G430" s="144" t="s">
        <v>1274</v>
      </c>
    </row>
    <row r="431" spans="2:7" x14ac:dyDescent="0.25">
      <c r="B431" s="56">
        <v>46229</v>
      </c>
      <c r="C431" s="69">
        <v>46229.801562499997</v>
      </c>
      <c r="D431" s="55" t="s">
        <v>684</v>
      </c>
      <c r="E431" s="55" t="s">
        <v>901</v>
      </c>
      <c r="G431" s="144" t="s">
        <v>33</v>
      </c>
    </row>
    <row r="432" spans="2:7" ht="66" x14ac:dyDescent="0.25">
      <c r="B432" s="56">
        <v>46229</v>
      </c>
      <c r="C432" s="69">
        <v>46229.80159722222</v>
      </c>
      <c r="D432" s="55" t="s">
        <v>684</v>
      </c>
      <c r="E432" s="55" t="s">
        <v>1276</v>
      </c>
      <c r="G432" s="144" t="s">
        <v>445</v>
      </c>
    </row>
    <row r="433" spans="2:7" ht="39.6" x14ac:dyDescent="0.25">
      <c r="B433" s="56">
        <v>46229</v>
      </c>
      <c r="C433" s="69">
        <v>46229.801620370374</v>
      </c>
      <c r="D433" s="55" t="s">
        <v>684</v>
      </c>
      <c r="E433" s="55" t="s">
        <v>1277</v>
      </c>
      <c r="G433" s="144" t="s">
        <v>444</v>
      </c>
    </row>
    <row r="434" spans="2:7" ht="39.6" x14ac:dyDescent="0.25">
      <c r="B434" s="56">
        <v>46229</v>
      </c>
      <c r="C434" s="69">
        <v>46229.80164351852</v>
      </c>
      <c r="D434" s="55" t="s">
        <v>684</v>
      </c>
      <c r="E434" s="55" t="s">
        <v>1279</v>
      </c>
      <c r="G434" s="144" t="s">
        <v>1278</v>
      </c>
    </row>
    <row r="435" spans="2:7" x14ac:dyDescent="0.25">
      <c r="B435" s="56">
        <v>46229</v>
      </c>
      <c r="C435" s="69">
        <v>46229.805358796293</v>
      </c>
      <c r="D435" s="55" t="s">
        <v>684</v>
      </c>
      <c r="E435" s="55" t="s">
        <v>1280</v>
      </c>
      <c r="G435" s="144" t="s">
        <v>1274</v>
      </c>
    </row>
    <row r="436" spans="2:7" x14ac:dyDescent="0.25">
      <c r="B436" s="56">
        <v>46229</v>
      </c>
      <c r="C436" s="69">
        <v>46229.805393518516</v>
      </c>
      <c r="D436" s="55" t="s">
        <v>684</v>
      </c>
      <c r="E436" s="55" t="s">
        <v>848</v>
      </c>
      <c r="G436" s="144" t="s">
        <v>33</v>
      </c>
    </row>
    <row r="437" spans="2:7" ht="66" x14ac:dyDescent="0.25">
      <c r="B437" s="56">
        <v>46229</v>
      </c>
      <c r="C437" s="69">
        <v>46229.805428240739</v>
      </c>
      <c r="D437" s="55" t="s">
        <v>684</v>
      </c>
      <c r="E437" s="55" t="s">
        <v>1281</v>
      </c>
      <c r="G437" s="144" t="s">
        <v>371</v>
      </c>
    </row>
    <row r="438" spans="2:7" ht="52.8" x14ac:dyDescent="0.25">
      <c r="B438" s="56">
        <v>46229</v>
      </c>
      <c r="C438" s="69">
        <v>46229.805451388886</v>
      </c>
      <c r="D438" s="55" t="s">
        <v>684</v>
      </c>
      <c r="E438" s="55" t="s">
        <v>1282</v>
      </c>
      <c r="G438" s="144" t="s">
        <v>370</v>
      </c>
    </row>
    <row r="439" spans="2:7" ht="237.6" x14ac:dyDescent="0.25">
      <c r="B439" s="56">
        <v>46229</v>
      </c>
      <c r="C439" s="69">
        <v>46229.805462962962</v>
      </c>
      <c r="D439" s="55" t="s">
        <v>684</v>
      </c>
      <c r="E439" s="55" t="s">
        <v>1284</v>
      </c>
      <c r="G439" s="144" t="s">
        <v>1283</v>
      </c>
    </row>
    <row r="440" spans="2:7" x14ac:dyDescent="0.25">
      <c r="B440" s="56">
        <v>46229</v>
      </c>
      <c r="C440" s="69">
        <v>46229.807916666665</v>
      </c>
      <c r="D440" s="55" t="s">
        <v>684</v>
      </c>
      <c r="E440" s="55" t="s">
        <v>1285</v>
      </c>
      <c r="G440" s="145">
        <v>46229</v>
      </c>
    </row>
    <row r="441" spans="2:7" x14ac:dyDescent="0.25">
      <c r="B441" s="56">
        <v>46229</v>
      </c>
      <c r="C441" s="69">
        <v>46229.807962962965</v>
      </c>
      <c r="D441" s="55" t="s">
        <v>684</v>
      </c>
      <c r="E441" s="55" t="s">
        <v>1273</v>
      </c>
      <c r="F441" s="144" t="s">
        <v>201</v>
      </c>
      <c r="G441" s="144" t="s">
        <v>20</v>
      </c>
    </row>
    <row r="442" spans="2:7" x14ac:dyDescent="0.25">
      <c r="B442" s="56">
        <v>46229</v>
      </c>
      <c r="C442" s="69">
        <v>46229.815092592595</v>
      </c>
      <c r="D442" s="55" t="s">
        <v>734</v>
      </c>
      <c r="E442" s="55" t="s">
        <v>1292</v>
      </c>
      <c r="F442" s="144" t="s">
        <v>1290</v>
      </c>
      <c r="G442" s="144" t="s">
        <v>1291</v>
      </c>
    </row>
    <row r="443" spans="2:7" x14ac:dyDescent="0.25">
      <c r="B443" s="56">
        <v>46229</v>
      </c>
      <c r="C443" s="69">
        <v>46229.817071759258</v>
      </c>
      <c r="D443" s="55" t="s">
        <v>1294</v>
      </c>
      <c r="E443" s="55" t="s">
        <v>1295</v>
      </c>
      <c r="G443" s="144" t="s">
        <v>1293</v>
      </c>
    </row>
    <row r="444" spans="2:7" x14ac:dyDescent="0.25">
      <c r="B444" s="56">
        <v>46229</v>
      </c>
      <c r="C444" s="69">
        <v>46229.817094907405</v>
      </c>
      <c r="D444" s="55" t="s">
        <v>1294</v>
      </c>
      <c r="E444" s="55" t="s">
        <v>1297</v>
      </c>
      <c r="G444" s="144" t="s">
        <v>1296</v>
      </c>
    </row>
    <row r="445" spans="2:7" x14ac:dyDescent="0.25">
      <c r="B445" s="56">
        <v>46229</v>
      </c>
      <c r="C445" s="69">
        <v>46229.817152777781</v>
      </c>
      <c r="D445" s="55" t="s">
        <v>1294</v>
      </c>
      <c r="E445" s="55" t="s">
        <v>1299</v>
      </c>
      <c r="G445" s="144" t="s">
        <v>1298</v>
      </c>
    </row>
    <row r="446" spans="2:7" x14ac:dyDescent="0.25">
      <c r="B446" s="56">
        <v>46229</v>
      </c>
      <c r="C446" s="69">
        <v>46229.817175925928</v>
      </c>
      <c r="D446" s="55" t="s">
        <v>1294</v>
      </c>
      <c r="E446" s="55" t="s">
        <v>1301</v>
      </c>
      <c r="G446" s="144" t="s">
        <v>1300</v>
      </c>
    </row>
    <row r="447" spans="2:7" x14ac:dyDescent="0.25">
      <c r="B447" s="56">
        <v>46229</v>
      </c>
      <c r="C447" s="69">
        <v>46229.817210648151</v>
      </c>
      <c r="D447" s="55" t="s">
        <v>1294</v>
      </c>
      <c r="E447" s="55" t="s">
        <v>1303</v>
      </c>
      <c r="G447" s="144" t="s">
        <v>1302</v>
      </c>
    </row>
    <row r="448" spans="2:7" x14ac:dyDescent="0.25">
      <c r="B448" s="56">
        <v>46229</v>
      </c>
      <c r="C448" s="69">
        <v>46229.817245370374</v>
      </c>
      <c r="D448" s="55" t="s">
        <v>1294</v>
      </c>
      <c r="E448" s="55" t="s">
        <v>1305</v>
      </c>
      <c r="G448" s="144" t="s">
        <v>1304</v>
      </c>
    </row>
    <row r="449" spans="2:7" x14ac:dyDescent="0.25">
      <c r="B449" s="56">
        <v>46229</v>
      </c>
      <c r="C449" s="69">
        <v>46229.817777777775</v>
      </c>
      <c r="D449" s="55" t="s">
        <v>1294</v>
      </c>
      <c r="E449" s="55" t="s">
        <v>1306</v>
      </c>
      <c r="G449" s="144">
        <v>1</v>
      </c>
    </row>
    <row r="450" spans="2:7" x14ac:dyDescent="0.25">
      <c r="B450" s="56">
        <v>46229</v>
      </c>
      <c r="C450" s="69">
        <v>46229.821180555555</v>
      </c>
      <c r="D450" s="55" t="s">
        <v>684</v>
      </c>
      <c r="E450" s="55" t="s">
        <v>1273</v>
      </c>
      <c r="F450" s="144" t="s">
        <v>20</v>
      </c>
      <c r="G450" s="144" t="s">
        <v>201</v>
      </c>
    </row>
    <row r="451" spans="2:7" x14ac:dyDescent="0.25">
      <c r="B451" s="56">
        <v>46229</v>
      </c>
      <c r="C451" s="69">
        <v>46229.821203703701</v>
      </c>
      <c r="D451" s="55" t="s">
        <v>684</v>
      </c>
      <c r="E451" s="55" t="s">
        <v>1285</v>
      </c>
      <c r="F451" s="145">
        <v>46229</v>
      </c>
    </row>
    <row r="452" spans="2:7" x14ac:dyDescent="0.25">
      <c r="B452" s="56">
        <v>46230</v>
      </c>
      <c r="C452" s="69">
        <v>46230.440462962964</v>
      </c>
      <c r="D452" s="55" t="s">
        <v>684</v>
      </c>
      <c r="E452" s="55" t="s">
        <v>802</v>
      </c>
      <c r="F452" s="144" t="s">
        <v>201</v>
      </c>
      <c r="G452" s="144" t="s">
        <v>20</v>
      </c>
    </row>
    <row r="453" spans="2:7" ht="118.8" x14ac:dyDescent="0.25">
      <c r="B453" s="56">
        <v>46230</v>
      </c>
      <c r="C453" s="69">
        <v>46230.444756944446</v>
      </c>
      <c r="D453" s="55" t="s">
        <v>684</v>
      </c>
      <c r="E453" s="55" t="s">
        <v>814</v>
      </c>
      <c r="F453" s="144" t="s">
        <v>816</v>
      </c>
      <c r="G453" s="144" t="s">
        <v>1308</v>
      </c>
    </row>
    <row r="454" spans="2:7" x14ac:dyDescent="0.25">
      <c r="B454" s="56">
        <v>46230</v>
      </c>
      <c r="C454" s="69">
        <v>46230.444814814815</v>
      </c>
      <c r="D454" s="55" t="s">
        <v>684</v>
      </c>
      <c r="E454" s="55" t="s">
        <v>818</v>
      </c>
      <c r="F454" s="144" t="s">
        <v>201</v>
      </c>
      <c r="G454" s="144" t="s">
        <v>33</v>
      </c>
    </row>
    <row r="455" spans="2:7" x14ac:dyDescent="0.25">
      <c r="B455" s="56">
        <v>46230</v>
      </c>
      <c r="C455" s="69">
        <v>46230.444930555554</v>
      </c>
      <c r="D455" s="55" t="s">
        <v>684</v>
      </c>
      <c r="E455" s="55" t="s">
        <v>821</v>
      </c>
      <c r="F455" s="144" t="s">
        <v>201</v>
      </c>
      <c r="G455" s="144" t="s">
        <v>33</v>
      </c>
    </row>
    <row r="456" spans="2:7" ht="237.6" x14ac:dyDescent="0.25">
      <c r="B456" s="56">
        <v>46230</v>
      </c>
      <c r="C456" s="69">
        <v>46230.445138888892</v>
      </c>
      <c r="D456" s="55" t="s">
        <v>684</v>
      </c>
      <c r="E456" s="55" t="s">
        <v>1284</v>
      </c>
      <c r="F456" s="144" t="s">
        <v>1283</v>
      </c>
      <c r="G456" s="144" t="s">
        <v>1309</v>
      </c>
    </row>
    <row r="457" spans="2:7" ht="26.4" x14ac:dyDescent="0.25">
      <c r="B457" s="56">
        <v>46230</v>
      </c>
      <c r="C457" s="69">
        <v>46230.445625</v>
      </c>
      <c r="D457" s="55" t="s">
        <v>684</v>
      </c>
      <c r="E457" s="55" t="s">
        <v>1310</v>
      </c>
      <c r="F457" s="144" t="s">
        <v>408</v>
      </c>
    </row>
    <row r="458" spans="2:7" x14ac:dyDescent="0.25">
      <c r="B458" s="56">
        <v>46230</v>
      </c>
      <c r="C458" s="69">
        <v>46230.446932870371</v>
      </c>
      <c r="D458" s="55" t="s">
        <v>684</v>
      </c>
      <c r="E458" s="55" t="s">
        <v>1311</v>
      </c>
      <c r="F458" s="144" t="s">
        <v>201</v>
      </c>
      <c r="G458" s="144" t="s">
        <v>33</v>
      </c>
    </row>
    <row r="459" spans="2:7" x14ac:dyDescent="0.25">
      <c r="B459" s="56">
        <v>46230</v>
      </c>
      <c r="C459" s="69">
        <v>46230.447291666664</v>
      </c>
      <c r="D459" s="55" t="s">
        <v>684</v>
      </c>
      <c r="E459" s="55" t="s">
        <v>1312</v>
      </c>
      <c r="F459" s="144" t="s">
        <v>201</v>
      </c>
      <c r="G459" s="144" t="s">
        <v>33</v>
      </c>
    </row>
    <row r="460" spans="2:7" x14ac:dyDescent="0.25">
      <c r="B460" s="56">
        <v>46230</v>
      </c>
      <c r="C460" s="69">
        <v>46230.447743055556</v>
      </c>
      <c r="D460" s="55" t="s">
        <v>684</v>
      </c>
      <c r="E460" s="55" t="s">
        <v>1313</v>
      </c>
      <c r="F460" s="144" t="s">
        <v>201</v>
      </c>
      <c r="G460" s="144" t="s">
        <v>33</v>
      </c>
    </row>
    <row r="461" spans="2:7" x14ac:dyDescent="0.25">
      <c r="B461" s="56">
        <v>46230</v>
      </c>
      <c r="C461" s="69">
        <v>46230.447962962964</v>
      </c>
      <c r="D461" s="55" t="s">
        <v>684</v>
      </c>
      <c r="E461" s="55" t="s">
        <v>1314</v>
      </c>
      <c r="F461" s="144" t="s">
        <v>201</v>
      </c>
      <c r="G461" s="144" t="s">
        <v>33</v>
      </c>
    </row>
    <row r="462" spans="2:7" x14ac:dyDescent="0.25">
      <c r="B462" s="56">
        <v>46230</v>
      </c>
      <c r="C462" s="69">
        <v>46230.448171296295</v>
      </c>
      <c r="D462" s="55" t="s">
        <v>684</v>
      </c>
      <c r="E462" s="55" t="s">
        <v>1315</v>
      </c>
      <c r="F462" s="144" t="s">
        <v>201</v>
      </c>
      <c r="G462" s="144" t="s">
        <v>33</v>
      </c>
    </row>
    <row r="463" spans="2:7" x14ac:dyDescent="0.25">
      <c r="B463" s="56">
        <v>46232</v>
      </c>
      <c r="C463" s="69">
        <v>46232.707696759258</v>
      </c>
      <c r="D463" s="55" t="s">
        <v>684</v>
      </c>
      <c r="E463" s="55" t="s">
        <v>1316</v>
      </c>
      <c r="F463" s="144" t="s">
        <v>201</v>
      </c>
      <c r="G463" s="144" t="s">
        <v>33</v>
      </c>
    </row>
    <row r="464" spans="2:7" x14ac:dyDescent="0.25">
      <c r="B464" s="56">
        <v>46232</v>
      </c>
      <c r="C464" s="69">
        <v>46232.707835648151</v>
      </c>
      <c r="D464" s="55" t="s">
        <v>684</v>
      </c>
      <c r="E464" s="55" t="s">
        <v>1317</v>
      </c>
      <c r="F464" s="144" t="s">
        <v>201</v>
      </c>
      <c r="G464" s="144" t="s">
        <v>33</v>
      </c>
    </row>
    <row r="465" spans="2:7" x14ac:dyDescent="0.25">
      <c r="B465" s="56">
        <v>46232</v>
      </c>
      <c r="C465" s="69">
        <v>46232.708020833335</v>
      </c>
      <c r="D465" s="55" t="s">
        <v>684</v>
      </c>
      <c r="E465" s="55" t="s">
        <v>1318</v>
      </c>
      <c r="F465" s="144" t="s">
        <v>201</v>
      </c>
      <c r="G465" s="144" t="s">
        <v>33</v>
      </c>
    </row>
    <row r="466" spans="2:7" x14ac:dyDescent="0.25">
      <c r="B466" s="56">
        <v>46232</v>
      </c>
      <c r="C466" s="69">
        <v>46232.70815972222</v>
      </c>
      <c r="D466" s="55" t="s">
        <v>684</v>
      </c>
      <c r="E466" s="55" t="s">
        <v>1319</v>
      </c>
      <c r="F466" s="144" t="s">
        <v>201</v>
      </c>
      <c r="G466" s="144" t="s">
        <v>33</v>
      </c>
    </row>
    <row r="467" spans="2:7" x14ac:dyDescent="0.25">
      <c r="B467" s="56">
        <v>46232</v>
      </c>
      <c r="C467" s="69">
        <v>46232.708275462966</v>
      </c>
      <c r="D467" s="55" t="s">
        <v>684</v>
      </c>
      <c r="E467" s="55" t="s">
        <v>1320</v>
      </c>
      <c r="F467" s="144" t="s">
        <v>201</v>
      </c>
      <c r="G467" s="144" t="s">
        <v>33</v>
      </c>
    </row>
    <row r="468" spans="2:7" x14ac:dyDescent="0.25">
      <c r="B468" s="56">
        <v>46232</v>
      </c>
      <c r="C468" s="69">
        <v>46232.708402777775</v>
      </c>
      <c r="D468" s="55" t="s">
        <v>684</v>
      </c>
      <c r="E468" s="55" t="s">
        <v>1321</v>
      </c>
      <c r="F468" s="144" t="s">
        <v>201</v>
      </c>
      <c r="G468" s="144" t="s">
        <v>33</v>
      </c>
    </row>
    <row r="469" spans="2:7" x14ac:dyDescent="0.25">
      <c r="B469" s="56">
        <v>46232</v>
      </c>
      <c r="C469" s="69">
        <v>46232.708692129629</v>
      </c>
      <c r="D469" s="55" t="s">
        <v>684</v>
      </c>
      <c r="E469" s="55" t="s">
        <v>939</v>
      </c>
      <c r="F469" s="144" t="s">
        <v>201</v>
      </c>
      <c r="G469" s="144" t="s">
        <v>33</v>
      </c>
    </row>
    <row r="470" spans="2:7" x14ac:dyDescent="0.25">
      <c r="B470" s="56">
        <v>46232</v>
      </c>
      <c r="C470" s="69">
        <v>46232.961481481485</v>
      </c>
      <c r="D470" s="55" t="s">
        <v>684</v>
      </c>
      <c r="E470" s="55" t="s">
        <v>803</v>
      </c>
      <c r="F470" s="144" t="s">
        <v>201</v>
      </c>
      <c r="G470" s="144" t="s">
        <v>33</v>
      </c>
    </row>
    <row r="471" spans="2:7" x14ac:dyDescent="0.25">
      <c r="B471" s="56">
        <v>46232</v>
      </c>
      <c r="C471" s="69">
        <v>46232.961574074077</v>
      </c>
      <c r="D471" s="55" t="s">
        <v>684</v>
      </c>
      <c r="E471" s="55" t="s">
        <v>687</v>
      </c>
      <c r="F471" s="144" t="s">
        <v>201</v>
      </c>
      <c r="G471" s="144" t="s">
        <v>33</v>
      </c>
    </row>
    <row r="472" spans="2:7" x14ac:dyDescent="0.25">
      <c r="B472" s="56">
        <v>46233</v>
      </c>
      <c r="C472" s="69">
        <v>46233.618750000001</v>
      </c>
      <c r="D472" s="55" t="s">
        <v>684</v>
      </c>
      <c r="E472" s="55" t="s">
        <v>1311</v>
      </c>
      <c r="F472" s="144" t="s">
        <v>33</v>
      </c>
      <c r="G472" s="144" t="s">
        <v>20</v>
      </c>
    </row>
    <row r="473" spans="2:7" x14ac:dyDescent="0.25">
      <c r="B473" s="56">
        <v>46233</v>
      </c>
      <c r="C473" s="69">
        <v>46233.619467592594</v>
      </c>
      <c r="D473" s="55" t="s">
        <v>684</v>
      </c>
      <c r="E473" s="55" t="s">
        <v>1313</v>
      </c>
      <c r="F473" s="144" t="s">
        <v>33</v>
      </c>
      <c r="G473" s="144" t="s">
        <v>20</v>
      </c>
    </row>
    <row r="474" spans="2:7" x14ac:dyDescent="0.25">
      <c r="B474" s="56">
        <v>46233</v>
      </c>
      <c r="C474" s="69">
        <v>46233.619791666664</v>
      </c>
      <c r="D474" s="55" t="s">
        <v>684</v>
      </c>
      <c r="E474" s="55" t="s">
        <v>1314</v>
      </c>
      <c r="F474" s="144" t="s">
        <v>33</v>
      </c>
      <c r="G474" s="144" t="s">
        <v>20</v>
      </c>
    </row>
    <row r="475" spans="2:7" ht="66" x14ac:dyDescent="0.25">
      <c r="B475" s="56">
        <v>46233</v>
      </c>
      <c r="C475" s="69">
        <v>46233.620925925927</v>
      </c>
      <c r="D475" s="55" t="s">
        <v>684</v>
      </c>
      <c r="E475" s="55" t="s">
        <v>1323</v>
      </c>
      <c r="G475" s="144" t="s">
        <v>1322</v>
      </c>
    </row>
    <row r="476" spans="2:7" ht="66" x14ac:dyDescent="0.25">
      <c r="B476" s="56">
        <v>46233</v>
      </c>
      <c r="C476" s="69">
        <v>46233.621516203704</v>
      </c>
      <c r="D476" s="55" t="s">
        <v>684</v>
      </c>
      <c r="E476" s="55" t="s">
        <v>1325</v>
      </c>
      <c r="G476" s="144" t="s">
        <v>1324</v>
      </c>
    </row>
    <row r="477" spans="2:7" ht="52.8" x14ac:dyDescent="0.25">
      <c r="B477" s="56">
        <v>46233</v>
      </c>
      <c r="C477" s="69">
        <v>46233.622604166667</v>
      </c>
      <c r="D477" s="55" t="s">
        <v>684</v>
      </c>
      <c r="E477" s="55" t="s">
        <v>1327</v>
      </c>
      <c r="G477" s="144" t="s">
        <v>1326</v>
      </c>
    </row>
    <row r="478" spans="2:7" x14ac:dyDescent="0.25">
      <c r="B478" s="56">
        <v>46233</v>
      </c>
      <c r="C478" s="69">
        <v>46233.636666666665</v>
      </c>
      <c r="D478" s="55" t="s">
        <v>684</v>
      </c>
      <c r="E478" s="55" t="s">
        <v>1329</v>
      </c>
      <c r="G478" s="144" t="s">
        <v>1328</v>
      </c>
    </row>
    <row r="479" spans="2:7" ht="92.4" x14ac:dyDescent="0.25">
      <c r="B479" s="56">
        <v>46233</v>
      </c>
      <c r="C479" s="69">
        <v>46233.637094907404</v>
      </c>
      <c r="D479" s="55" t="s">
        <v>684</v>
      </c>
      <c r="E479" s="55" t="s">
        <v>1329</v>
      </c>
      <c r="F479" s="144" t="s">
        <v>1328</v>
      </c>
      <c r="G479" s="144" t="s">
        <v>1330</v>
      </c>
    </row>
    <row r="480" spans="2:7" x14ac:dyDescent="0.25">
      <c r="B480" s="56">
        <v>46233</v>
      </c>
      <c r="C480" s="69">
        <v>46233.637118055558</v>
      </c>
      <c r="D480" s="55" t="s">
        <v>684</v>
      </c>
      <c r="E480" s="55" t="s">
        <v>1312</v>
      </c>
      <c r="F480" s="144" t="s">
        <v>33</v>
      </c>
      <c r="G480" s="144" t="s">
        <v>20</v>
      </c>
    </row>
    <row r="481" spans="2:7" x14ac:dyDescent="0.25">
      <c r="B481" s="56">
        <v>46236</v>
      </c>
      <c r="C481" s="69">
        <v>46236.649398148147</v>
      </c>
      <c r="D481" s="55" t="s">
        <v>684</v>
      </c>
      <c r="E481" s="55" t="s">
        <v>1331</v>
      </c>
      <c r="F481" s="144" t="s">
        <v>201</v>
      </c>
      <c r="G481" s="144" t="s">
        <v>33</v>
      </c>
    </row>
    <row r="482" spans="2:7" x14ac:dyDescent="0.25">
      <c r="B482" s="56">
        <v>46236</v>
      </c>
      <c r="C482" s="69">
        <v>46236.649421296293</v>
      </c>
      <c r="D482" s="55" t="s">
        <v>684</v>
      </c>
      <c r="E482" s="55" t="s">
        <v>1332</v>
      </c>
      <c r="F482" s="144" t="s">
        <v>201</v>
      </c>
      <c r="G482" s="144" t="s">
        <v>33</v>
      </c>
    </row>
    <row r="483" spans="2:7" x14ac:dyDescent="0.25">
      <c r="B483" s="56">
        <v>46236</v>
      </c>
      <c r="C483" s="69">
        <v>46236.64943287037</v>
      </c>
      <c r="D483" s="55" t="s">
        <v>684</v>
      </c>
      <c r="E483" s="55" t="s">
        <v>1333</v>
      </c>
      <c r="F483" s="144" t="s">
        <v>201</v>
      </c>
      <c r="G483" s="144" t="s">
        <v>33</v>
      </c>
    </row>
    <row r="484" spans="2:7" ht="105.6" x14ac:dyDescent="0.25">
      <c r="B484" s="56">
        <v>46244</v>
      </c>
      <c r="C484" s="69">
        <v>46244.617962962962</v>
      </c>
      <c r="D484" s="55" t="s">
        <v>684</v>
      </c>
      <c r="E484" s="55" t="s">
        <v>864</v>
      </c>
      <c r="F484" s="144" t="s">
        <v>861</v>
      </c>
      <c r="G484" s="144" t="s">
        <v>1334</v>
      </c>
    </row>
    <row r="485" spans="2:7" ht="105.6" x14ac:dyDescent="0.25">
      <c r="B485" s="56">
        <v>46244</v>
      </c>
      <c r="C485" s="69">
        <v>46244.618032407408</v>
      </c>
      <c r="D485" s="55" t="s">
        <v>684</v>
      </c>
      <c r="E485" s="55" t="s">
        <v>860</v>
      </c>
      <c r="F485" s="144" t="s">
        <v>861</v>
      </c>
      <c r="G485" s="144" t="s">
        <v>1334</v>
      </c>
    </row>
    <row r="486" spans="2:7" ht="105.6" x14ac:dyDescent="0.25">
      <c r="B486" s="56">
        <v>46244</v>
      </c>
      <c r="C486" s="69">
        <v>46244.618078703701</v>
      </c>
      <c r="D486" s="55" t="s">
        <v>684</v>
      </c>
      <c r="E486" s="55" t="s">
        <v>866</v>
      </c>
      <c r="F486" s="144" t="s">
        <v>861</v>
      </c>
      <c r="G486" s="144" t="s">
        <v>1334</v>
      </c>
    </row>
    <row r="487" spans="2:7" x14ac:dyDescent="0.25">
      <c r="B487" s="56">
        <v>46244</v>
      </c>
      <c r="C487" s="69">
        <v>46244.618194444447</v>
      </c>
      <c r="D487" s="55" t="s">
        <v>684</v>
      </c>
      <c r="E487" s="55" t="s">
        <v>863</v>
      </c>
      <c r="F487" s="145">
        <v>46234</v>
      </c>
      <c r="G487" s="145">
        <v>46295</v>
      </c>
    </row>
    <row r="488" spans="2:7" x14ac:dyDescent="0.25">
      <c r="B488" s="56">
        <v>46244</v>
      </c>
      <c r="C488" s="69">
        <v>46244.618321759262</v>
      </c>
      <c r="D488" s="55" t="s">
        <v>684</v>
      </c>
      <c r="E488" s="55" t="s">
        <v>862</v>
      </c>
      <c r="F488" s="145">
        <v>46234</v>
      </c>
      <c r="G488" s="145">
        <v>46295</v>
      </c>
    </row>
    <row r="489" spans="2:7" x14ac:dyDescent="0.25">
      <c r="B489" s="56">
        <v>46244</v>
      </c>
      <c r="C489" s="69">
        <v>46244.618425925924</v>
      </c>
      <c r="D489" s="55" t="s">
        <v>684</v>
      </c>
      <c r="E489" s="55" t="s">
        <v>865</v>
      </c>
      <c r="F489" s="145">
        <v>46234</v>
      </c>
      <c r="G489" s="145">
        <v>46295</v>
      </c>
    </row>
    <row r="490" spans="2:7" x14ac:dyDescent="0.25">
      <c r="B490" s="56">
        <v>46244</v>
      </c>
      <c r="C490" s="69">
        <v>46244.618495370371</v>
      </c>
      <c r="D490" s="55" t="s">
        <v>684</v>
      </c>
      <c r="E490" s="55" t="s">
        <v>1331</v>
      </c>
      <c r="F490" s="144" t="s">
        <v>33</v>
      </c>
      <c r="G490" s="144" t="s">
        <v>201</v>
      </c>
    </row>
    <row r="491" spans="2:7" x14ac:dyDescent="0.25">
      <c r="B491" s="56">
        <v>46244</v>
      </c>
      <c r="C491" s="69">
        <v>46244.618506944447</v>
      </c>
      <c r="D491" s="55" t="s">
        <v>684</v>
      </c>
      <c r="E491" s="55" t="s">
        <v>1332</v>
      </c>
      <c r="F491" s="144" t="s">
        <v>33</v>
      </c>
      <c r="G491" s="144" t="s">
        <v>201</v>
      </c>
    </row>
    <row r="492" spans="2:7" x14ac:dyDescent="0.25">
      <c r="B492" s="56">
        <v>46244</v>
      </c>
      <c r="C492" s="69">
        <v>46244.618530092594</v>
      </c>
      <c r="D492" s="55" t="s">
        <v>684</v>
      </c>
      <c r="E492" s="55" t="s">
        <v>1333</v>
      </c>
      <c r="F492" s="144" t="s">
        <v>33</v>
      </c>
      <c r="G492" s="144" t="s">
        <v>201</v>
      </c>
    </row>
    <row r="493" spans="2:7" x14ac:dyDescent="0.25">
      <c r="B493" s="56">
        <v>46255</v>
      </c>
      <c r="C493" s="69">
        <v>46255.4684375</v>
      </c>
      <c r="D493" s="55" t="s">
        <v>1294</v>
      </c>
      <c r="E493" s="55" t="s">
        <v>1335</v>
      </c>
      <c r="F493" s="144">
        <v>0</v>
      </c>
      <c r="G493" s="144">
        <v>8</v>
      </c>
    </row>
    <row r="494" spans="2:7" x14ac:dyDescent="0.25">
      <c r="B494" s="56">
        <v>46255</v>
      </c>
      <c r="C494" s="69">
        <v>46255.512962962966</v>
      </c>
      <c r="D494" s="55" t="s">
        <v>684</v>
      </c>
      <c r="E494" s="55" t="s">
        <v>747</v>
      </c>
      <c r="G494" s="144" t="s">
        <v>1336</v>
      </c>
    </row>
    <row r="495" spans="2:7" x14ac:dyDescent="0.25">
      <c r="B495" s="56">
        <v>46255</v>
      </c>
      <c r="C495" s="69">
        <v>46255.512997685182</v>
      </c>
      <c r="D495" s="55" t="s">
        <v>684</v>
      </c>
      <c r="E495" s="55" t="s">
        <v>1337</v>
      </c>
      <c r="G495" s="144" t="s">
        <v>612</v>
      </c>
    </row>
    <row r="496" spans="2:7" x14ac:dyDescent="0.25">
      <c r="B496" s="56">
        <v>46255</v>
      </c>
      <c r="C496" s="69">
        <v>46255.513182870367</v>
      </c>
      <c r="D496" s="55" t="s">
        <v>684</v>
      </c>
      <c r="E496" s="55" t="s">
        <v>1339</v>
      </c>
      <c r="G496" s="144" t="s">
        <v>1338</v>
      </c>
    </row>
    <row r="497" spans="2:7" x14ac:dyDescent="0.25">
      <c r="B497" s="56">
        <v>46255</v>
      </c>
      <c r="C497" s="69">
        <v>46255.51326388889</v>
      </c>
      <c r="D497" s="55" t="s">
        <v>684</v>
      </c>
      <c r="E497" s="55" t="s">
        <v>1341</v>
      </c>
      <c r="G497" s="144" t="s">
        <v>1340</v>
      </c>
    </row>
    <row r="498" spans="2:7" x14ac:dyDescent="0.25">
      <c r="B498" s="56">
        <v>46255</v>
      </c>
      <c r="C498" s="69">
        <v>46255.513321759259</v>
      </c>
      <c r="D498" s="55" t="s">
        <v>684</v>
      </c>
      <c r="E498" s="55" t="s">
        <v>1342</v>
      </c>
      <c r="G498" s="144" t="s">
        <v>11</v>
      </c>
    </row>
    <row r="499" spans="2:7" x14ac:dyDescent="0.25">
      <c r="B499" s="56">
        <v>46255</v>
      </c>
      <c r="C499" s="69">
        <v>46255.513402777775</v>
      </c>
      <c r="D499" s="55" t="s">
        <v>684</v>
      </c>
      <c r="E499" s="55" t="s">
        <v>1344</v>
      </c>
      <c r="G499" s="144" t="s">
        <v>1343</v>
      </c>
    </row>
    <row r="500" spans="2:7" x14ac:dyDescent="0.25">
      <c r="B500" s="56">
        <v>46255</v>
      </c>
      <c r="C500" s="69">
        <v>46255.51357638889</v>
      </c>
      <c r="D500" s="55" t="s">
        <v>684</v>
      </c>
      <c r="E500" s="55" t="s">
        <v>1337</v>
      </c>
      <c r="F500" s="144" t="s">
        <v>612</v>
      </c>
      <c r="G500" s="144" t="s">
        <v>1345</v>
      </c>
    </row>
    <row r="501" spans="2:7" x14ac:dyDescent="0.25">
      <c r="B501" s="56">
        <v>46255</v>
      </c>
      <c r="C501" s="69">
        <v>46255.515162037038</v>
      </c>
      <c r="D501" s="55" t="s">
        <v>684</v>
      </c>
      <c r="E501" s="55" t="s">
        <v>1346</v>
      </c>
      <c r="G501" s="144">
        <v>20265000026423</v>
      </c>
    </row>
    <row r="502" spans="2:7" x14ac:dyDescent="0.25">
      <c r="B502" s="56">
        <v>46255</v>
      </c>
      <c r="C502" s="69">
        <v>46255.515474537038</v>
      </c>
      <c r="D502" s="55" t="s">
        <v>684</v>
      </c>
      <c r="E502" s="55" t="s">
        <v>1347</v>
      </c>
      <c r="G502" s="145">
        <v>46233</v>
      </c>
    </row>
    <row r="503" spans="2:7" x14ac:dyDescent="0.25">
      <c r="B503" s="56">
        <v>46255</v>
      </c>
      <c r="C503" s="69">
        <v>46255.515775462962</v>
      </c>
      <c r="D503" s="55" t="s">
        <v>684</v>
      </c>
      <c r="E503" s="55" t="s">
        <v>1348</v>
      </c>
      <c r="G503" s="144" t="s">
        <v>589</v>
      </c>
    </row>
    <row r="504" spans="2:7" ht="79.2" x14ac:dyDescent="0.25">
      <c r="B504" s="56">
        <v>46255</v>
      </c>
      <c r="C504" s="69">
        <v>46255.515949074077</v>
      </c>
      <c r="D504" s="55" t="s">
        <v>684</v>
      </c>
      <c r="E504" s="55" t="s">
        <v>1350</v>
      </c>
      <c r="G504" s="144" t="s">
        <v>1349</v>
      </c>
    </row>
    <row r="505" spans="2:7" ht="79.2" x14ac:dyDescent="0.25">
      <c r="B505" s="56">
        <v>46255</v>
      </c>
      <c r="C505" s="69">
        <v>46255.516099537039</v>
      </c>
      <c r="D505" s="55" t="s">
        <v>684</v>
      </c>
      <c r="E505" s="55" t="s">
        <v>1350</v>
      </c>
      <c r="F505" s="144" t="s">
        <v>1349</v>
      </c>
      <c r="G505" s="144" t="s">
        <v>1351</v>
      </c>
    </row>
    <row r="506" spans="2:7" x14ac:dyDescent="0.25">
      <c r="B506" s="56">
        <v>46255</v>
      </c>
      <c r="C506" s="69">
        <v>46255.516689814816</v>
      </c>
      <c r="D506" s="55" t="s">
        <v>684</v>
      </c>
      <c r="E506" s="55" t="s">
        <v>1342</v>
      </c>
      <c r="F506" s="144" t="s">
        <v>11</v>
      </c>
      <c r="G506" s="144" t="s">
        <v>1352</v>
      </c>
    </row>
    <row r="507" spans="2:7" x14ac:dyDescent="0.25">
      <c r="B507" s="56">
        <v>46255</v>
      </c>
      <c r="C507" s="69">
        <v>46255.516736111109</v>
      </c>
      <c r="D507" s="55" t="s">
        <v>684</v>
      </c>
      <c r="E507" s="55" t="s">
        <v>1354</v>
      </c>
      <c r="G507" s="144" t="s">
        <v>1353</v>
      </c>
    </row>
    <row r="508" spans="2:7" ht="39.6" x14ac:dyDescent="0.25">
      <c r="B508" s="56">
        <v>46255</v>
      </c>
      <c r="C508" s="69">
        <v>46255.519525462965</v>
      </c>
      <c r="D508" s="55" t="s">
        <v>684</v>
      </c>
      <c r="E508" s="55" t="s">
        <v>1356</v>
      </c>
      <c r="G508" s="144" t="s">
        <v>1355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x14ac:dyDescent="0.3"/>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x14ac:dyDescent="0.3">
      <c r="A1" s="23"/>
      <c r="B1" s="23"/>
      <c r="C1" s="24"/>
      <c r="D1" s="25"/>
      <c r="E1" s="23"/>
      <c r="F1" s="26"/>
      <c r="G1" s="26"/>
      <c r="H1" s="26"/>
      <c r="I1" s="26"/>
      <c r="J1" s="27"/>
      <c r="K1" s="27"/>
      <c r="L1" s="30"/>
      <c r="M1" s="53"/>
      <c r="N1" s="128"/>
      <c r="O1" s="14"/>
      <c r="P1" s="14"/>
    </row>
    <row r="2" spans="1:16" x14ac:dyDescent="0.3">
      <c r="A2" s="23"/>
      <c r="B2" s="23"/>
      <c r="C2" s="24"/>
      <c r="D2" s="25"/>
      <c r="E2" s="23"/>
      <c r="F2" s="26"/>
      <c r="G2" s="26"/>
      <c r="H2" s="26"/>
      <c r="I2" s="26"/>
      <c r="J2" s="27"/>
      <c r="K2" s="27"/>
      <c r="L2" s="30"/>
      <c r="M2" s="53"/>
      <c r="N2" s="128"/>
      <c r="O2" s="14"/>
      <c r="P2" s="14"/>
    </row>
    <row r="3" spans="1:16" x14ac:dyDescent="0.3">
      <c r="A3" s="23"/>
      <c r="B3" s="23"/>
      <c r="C3" s="24"/>
      <c r="D3" s="25"/>
      <c r="E3" s="23"/>
      <c r="F3" s="26"/>
      <c r="G3" s="26"/>
      <c r="H3" s="26"/>
      <c r="I3" s="26"/>
      <c r="J3" s="27"/>
      <c r="K3" s="27"/>
      <c r="L3" s="30"/>
      <c r="M3" s="53"/>
      <c r="N3" s="128"/>
      <c r="O3" s="14"/>
      <c r="P3" s="14"/>
    </row>
    <row r="4" spans="1:16" s="8" customFormat="1" x14ac:dyDescent="0.2">
      <c r="A4" s="202" t="s">
        <v>0</v>
      </c>
      <c r="B4" s="202" t="s">
        <v>1</v>
      </c>
      <c r="C4" s="202" t="s">
        <v>2</v>
      </c>
      <c r="D4" s="202" t="s">
        <v>4</v>
      </c>
      <c r="E4" s="202" t="s">
        <v>5</v>
      </c>
      <c r="F4" s="202" t="s">
        <v>6</v>
      </c>
      <c r="G4" s="196" t="s">
        <v>611</v>
      </c>
      <c r="H4" s="202" t="s">
        <v>8</v>
      </c>
      <c r="I4" s="202" t="s">
        <v>11</v>
      </c>
      <c r="J4" s="203" t="s">
        <v>609</v>
      </c>
      <c r="K4" s="202" t="s">
        <v>543</v>
      </c>
      <c r="L4" s="202" t="s">
        <v>544</v>
      </c>
      <c r="M4" s="202" t="s">
        <v>545</v>
      </c>
      <c r="N4" s="195" t="s">
        <v>663</v>
      </c>
      <c r="O4" s="196" t="s">
        <v>664</v>
      </c>
      <c r="P4" s="196" t="s">
        <v>654</v>
      </c>
    </row>
    <row r="5" spans="1:16" ht="45.6" x14ac:dyDescent="0.3">
      <c r="A5" s="197" t="s">
        <v>13</v>
      </c>
      <c r="B5" s="197" t="s">
        <v>14</v>
      </c>
      <c r="C5" s="198" t="s">
        <v>15</v>
      </c>
      <c r="D5" s="199" t="s">
        <v>774</v>
      </c>
      <c r="E5" s="198" t="s">
        <v>16</v>
      </c>
      <c r="F5" s="197" t="s">
        <v>269</v>
      </c>
      <c r="G5" s="204" t="s">
        <v>775</v>
      </c>
      <c r="H5" s="201">
        <v>45323</v>
      </c>
      <c r="I5" s="197" t="s">
        <v>20</v>
      </c>
      <c r="J5" s="200"/>
      <c r="K5" s="200"/>
      <c r="L5" s="200"/>
      <c r="M5" s="200"/>
      <c r="N5" s="200"/>
      <c r="O5" s="200"/>
      <c r="P5" s="200"/>
    </row>
    <row r="6" spans="1:16" ht="45.6" x14ac:dyDescent="0.3">
      <c r="A6" s="197"/>
      <c r="B6" s="197"/>
      <c r="C6" s="198" t="s">
        <v>59</v>
      </c>
      <c r="D6" s="199" t="s">
        <v>774</v>
      </c>
      <c r="E6" s="198" t="s">
        <v>60</v>
      </c>
      <c r="F6" s="197" t="s">
        <v>269</v>
      </c>
      <c r="G6" s="204" t="s">
        <v>775</v>
      </c>
      <c r="H6" s="201">
        <v>45473</v>
      </c>
      <c r="I6" s="197" t="s">
        <v>20</v>
      </c>
      <c r="J6" s="200"/>
      <c r="K6" s="200"/>
      <c r="L6" s="200"/>
      <c r="M6" s="200"/>
      <c r="N6" s="200"/>
      <c r="O6" s="200"/>
      <c r="P6" s="200"/>
    </row>
    <row r="7" spans="1:16" ht="136.80000000000001" x14ac:dyDescent="0.3">
      <c r="A7" s="197"/>
      <c r="B7" s="197"/>
      <c r="C7" s="198" t="s">
        <v>63</v>
      </c>
      <c r="D7" s="199" t="s">
        <v>774</v>
      </c>
      <c r="E7" s="198" t="s">
        <v>64</v>
      </c>
      <c r="F7" s="197" t="s">
        <v>269</v>
      </c>
      <c r="G7" s="204" t="s">
        <v>775</v>
      </c>
      <c r="H7" s="201">
        <v>45473</v>
      </c>
      <c r="I7" s="197" t="s">
        <v>20</v>
      </c>
      <c r="J7" s="200"/>
      <c r="K7" s="200"/>
      <c r="L7" s="200"/>
      <c r="M7" s="200"/>
      <c r="N7" s="200"/>
      <c r="O7" s="200"/>
      <c r="P7" s="200"/>
    </row>
    <row r="8" spans="1:16" ht="102.6" x14ac:dyDescent="0.3">
      <c r="A8" s="197"/>
      <c r="B8" s="197"/>
      <c r="C8" s="198" t="s">
        <v>66</v>
      </c>
      <c r="D8" s="199" t="s">
        <v>774</v>
      </c>
      <c r="E8" s="198" t="s">
        <v>67</v>
      </c>
      <c r="F8" s="197" t="s">
        <v>269</v>
      </c>
      <c r="G8" s="204" t="s">
        <v>775</v>
      </c>
      <c r="H8" s="201">
        <v>45473</v>
      </c>
      <c r="I8" s="197" t="s">
        <v>20</v>
      </c>
      <c r="J8" s="200"/>
      <c r="K8" s="200"/>
      <c r="L8" s="200"/>
      <c r="M8" s="200"/>
      <c r="N8" s="200"/>
      <c r="O8" s="200"/>
      <c r="P8" s="200"/>
    </row>
    <row r="9" spans="1:16" ht="68.400000000000006" x14ac:dyDescent="0.3">
      <c r="A9" s="197"/>
      <c r="B9" s="197"/>
      <c r="C9" s="198" t="s">
        <v>70</v>
      </c>
      <c r="D9" s="199" t="s">
        <v>774</v>
      </c>
      <c r="E9" s="198" t="s">
        <v>71</v>
      </c>
      <c r="F9" s="197" t="s">
        <v>269</v>
      </c>
      <c r="G9" s="204" t="s">
        <v>775</v>
      </c>
      <c r="H9" s="201">
        <v>45352</v>
      </c>
      <c r="I9" s="197" t="s">
        <v>20</v>
      </c>
      <c r="J9" s="200"/>
      <c r="K9" s="200"/>
      <c r="L9" s="200"/>
      <c r="M9" s="200"/>
      <c r="N9" s="200"/>
      <c r="O9" s="200"/>
      <c r="P9" s="200"/>
    </row>
    <row r="10" spans="1:16" ht="79.8" x14ac:dyDescent="0.3">
      <c r="A10" s="197"/>
      <c r="B10" s="197"/>
      <c r="C10" s="198" t="s">
        <v>74</v>
      </c>
      <c r="D10" s="199" t="s">
        <v>774</v>
      </c>
      <c r="E10" s="198" t="s">
        <v>75</v>
      </c>
      <c r="F10" s="197" t="s">
        <v>269</v>
      </c>
      <c r="G10" s="204" t="s">
        <v>775</v>
      </c>
      <c r="H10" s="201">
        <v>45352</v>
      </c>
      <c r="I10" s="197" t="s">
        <v>20</v>
      </c>
      <c r="J10" s="200"/>
      <c r="K10" s="200"/>
      <c r="L10" s="200"/>
      <c r="M10" s="200"/>
      <c r="N10" s="200"/>
      <c r="O10" s="200"/>
      <c r="P10" s="200"/>
    </row>
    <row r="11" spans="1:16" ht="148.19999999999999" x14ac:dyDescent="0.3">
      <c r="A11" s="197"/>
      <c r="B11" s="197"/>
      <c r="C11" s="198" t="s">
        <v>77</v>
      </c>
      <c r="D11" s="199" t="s">
        <v>774</v>
      </c>
      <c r="E11" s="198" t="s">
        <v>78</v>
      </c>
      <c r="F11" s="197" t="s">
        <v>269</v>
      </c>
      <c r="G11" s="204" t="s">
        <v>775</v>
      </c>
      <c r="H11" s="201">
        <v>45473</v>
      </c>
      <c r="I11" s="197" t="s">
        <v>20</v>
      </c>
      <c r="J11" s="200"/>
      <c r="K11" s="200"/>
      <c r="L11" s="200"/>
      <c r="M11" s="200"/>
      <c r="N11" s="200"/>
      <c r="O11" s="200"/>
      <c r="P11" s="200"/>
    </row>
    <row r="12" spans="1:16" ht="91.2" x14ac:dyDescent="0.3">
      <c r="A12" s="197"/>
      <c r="B12" s="197"/>
      <c r="C12" s="198" t="s">
        <v>81</v>
      </c>
      <c r="D12" s="199" t="s">
        <v>774</v>
      </c>
      <c r="E12" s="198" t="s">
        <v>82</v>
      </c>
      <c r="F12" s="197" t="s">
        <v>269</v>
      </c>
      <c r="G12" s="204" t="s">
        <v>775</v>
      </c>
      <c r="H12" s="201">
        <v>45473</v>
      </c>
      <c r="I12" s="197" t="s">
        <v>20</v>
      </c>
      <c r="J12" s="200"/>
      <c r="K12" s="200"/>
      <c r="L12" s="200"/>
      <c r="M12" s="200"/>
      <c r="N12" s="200"/>
      <c r="O12" s="200"/>
      <c r="P12" s="200"/>
    </row>
    <row r="13" spans="1:16" ht="57" x14ac:dyDescent="0.3">
      <c r="A13" s="197"/>
      <c r="B13" s="197"/>
      <c r="C13" s="198" t="s">
        <v>85</v>
      </c>
      <c r="D13" s="199" t="s">
        <v>774</v>
      </c>
      <c r="E13" s="198" t="s">
        <v>86</v>
      </c>
      <c r="F13" s="197" t="s">
        <v>269</v>
      </c>
      <c r="G13" s="204" t="s">
        <v>775</v>
      </c>
      <c r="H13" s="201">
        <v>45473</v>
      </c>
      <c r="I13" s="197" t="s">
        <v>20</v>
      </c>
      <c r="J13" s="200"/>
      <c r="K13" s="200"/>
      <c r="L13" s="200"/>
      <c r="M13" s="200"/>
      <c r="N13" s="200"/>
      <c r="O13" s="200"/>
      <c r="P13" s="200"/>
    </row>
    <row r="14" spans="1:16" ht="45.6" x14ac:dyDescent="0.3">
      <c r="A14" s="197"/>
      <c r="B14" s="197"/>
      <c r="C14" s="198" t="s">
        <v>88</v>
      </c>
      <c r="D14" s="199" t="s">
        <v>774</v>
      </c>
      <c r="E14" s="198" t="s">
        <v>89</v>
      </c>
      <c r="F14" s="197" t="s">
        <v>269</v>
      </c>
      <c r="G14" s="204" t="s">
        <v>775</v>
      </c>
      <c r="H14" s="201">
        <v>45473</v>
      </c>
      <c r="I14" s="197" t="s">
        <v>20</v>
      </c>
      <c r="J14" s="200"/>
      <c r="K14" s="200"/>
      <c r="L14" s="200"/>
      <c r="M14" s="200"/>
      <c r="N14" s="200"/>
      <c r="O14" s="200"/>
      <c r="P14" s="200"/>
    </row>
    <row r="15" spans="1:16" s="13" customFormat="1" ht="57" x14ac:dyDescent="0.3">
      <c r="A15" s="197"/>
      <c r="B15" s="197"/>
      <c r="C15" s="198" t="s">
        <v>21</v>
      </c>
      <c r="D15" s="199" t="s">
        <v>774</v>
      </c>
      <c r="E15" s="198" t="s">
        <v>22</v>
      </c>
      <c r="F15" s="197" t="s">
        <v>269</v>
      </c>
      <c r="G15" s="204" t="s">
        <v>775</v>
      </c>
      <c r="H15" s="201">
        <v>45381</v>
      </c>
      <c r="I15" s="197" t="s">
        <v>20</v>
      </c>
      <c r="J15" s="200"/>
      <c r="K15" s="200"/>
      <c r="L15" s="200"/>
      <c r="M15" s="200"/>
      <c r="N15" s="200"/>
      <c r="O15" s="200"/>
      <c r="P15" s="200"/>
    </row>
    <row r="16" spans="1:16" ht="91.2" x14ac:dyDescent="0.3">
      <c r="A16" s="197"/>
      <c r="B16" s="197"/>
      <c r="C16" s="198" t="s">
        <v>92</v>
      </c>
      <c r="D16" s="199" t="s">
        <v>774</v>
      </c>
      <c r="E16" s="198" t="s">
        <v>93</v>
      </c>
      <c r="F16" s="197" t="s">
        <v>269</v>
      </c>
      <c r="G16" s="204" t="s">
        <v>775</v>
      </c>
      <c r="H16" s="201">
        <v>45381</v>
      </c>
      <c r="I16" s="197" t="s">
        <v>20</v>
      </c>
      <c r="J16" s="200"/>
      <c r="K16" s="200"/>
      <c r="L16" s="200"/>
      <c r="M16" s="200"/>
      <c r="N16" s="200"/>
      <c r="O16" s="200"/>
      <c r="P16" s="200"/>
    </row>
    <row r="17" spans="1:16" ht="68.400000000000006" x14ac:dyDescent="0.3">
      <c r="A17" s="197"/>
      <c r="B17" s="197"/>
      <c r="C17" s="198" t="s">
        <v>96</v>
      </c>
      <c r="D17" s="199" t="s">
        <v>774</v>
      </c>
      <c r="E17" s="198" t="s">
        <v>97</v>
      </c>
      <c r="F17" s="197" t="s">
        <v>269</v>
      </c>
      <c r="G17" s="204" t="s">
        <v>775</v>
      </c>
      <c r="H17" s="201">
        <v>45443</v>
      </c>
      <c r="I17" s="197" t="s">
        <v>20</v>
      </c>
      <c r="J17" s="200"/>
      <c r="K17" s="200"/>
      <c r="L17" s="200"/>
      <c r="M17" s="200"/>
      <c r="N17" s="200"/>
      <c r="O17" s="200"/>
      <c r="P17" s="200"/>
    </row>
    <row r="18" spans="1:16" s="8" customFormat="1" ht="125.4" x14ac:dyDescent="0.2">
      <c r="A18" s="197"/>
      <c r="B18" s="197"/>
      <c r="C18" s="198" t="s">
        <v>100</v>
      </c>
      <c r="D18" s="199" t="s">
        <v>774</v>
      </c>
      <c r="E18" s="198" t="s">
        <v>101</v>
      </c>
      <c r="F18" s="197" t="s">
        <v>269</v>
      </c>
      <c r="G18" s="204" t="s">
        <v>775</v>
      </c>
      <c r="H18" s="201">
        <v>45412</v>
      </c>
      <c r="I18" s="197" t="s">
        <v>20</v>
      </c>
      <c r="J18" s="200"/>
      <c r="K18" s="200"/>
      <c r="L18" s="200"/>
      <c r="M18" s="200"/>
      <c r="N18" s="200"/>
      <c r="O18" s="200"/>
      <c r="P18" s="200"/>
    </row>
    <row r="19" spans="1:16" ht="68.400000000000006" x14ac:dyDescent="0.3">
      <c r="A19" s="197"/>
      <c r="B19" s="197"/>
      <c r="C19" s="198" t="s">
        <v>103</v>
      </c>
      <c r="D19" s="199" t="s">
        <v>774</v>
      </c>
      <c r="E19" s="198" t="s">
        <v>104</v>
      </c>
      <c r="F19" s="197" t="s">
        <v>269</v>
      </c>
      <c r="G19" s="204" t="s">
        <v>775</v>
      </c>
      <c r="H19" s="201">
        <v>45473</v>
      </c>
      <c r="I19" s="197" t="s">
        <v>20</v>
      </c>
      <c r="J19" s="200"/>
      <c r="K19" s="200"/>
      <c r="L19" s="200"/>
      <c r="M19" s="200"/>
      <c r="N19" s="200"/>
      <c r="O19" s="200"/>
      <c r="P19" s="200"/>
    </row>
    <row r="20" spans="1:16" ht="68.400000000000006" x14ac:dyDescent="0.3">
      <c r="A20" s="197"/>
      <c r="B20" s="197"/>
      <c r="C20" s="198" t="s">
        <v>106</v>
      </c>
      <c r="D20" s="199" t="s">
        <v>774</v>
      </c>
      <c r="E20" s="198" t="s">
        <v>107</v>
      </c>
      <c r="F20" s="197" t="s">
        <v>269</v>
      </c>
      <c r="G20" s="204" t="s">
        <v>775</v>
      </c>
      <c r="H20" s="201">
        <v>45352</v>
      </c>
      <c r="I20" s="197" t="s">
        <v>20</v>
      </c>
      <c r="J20" s="200"/>
      <c r="K20" s="200"/>
      <c r="L20" s="200"/>
      <c r="M20" s="200"/>
      <c r="N20" s="200"/>
      <c r="O20" s="200"/>
      <c r="P20" s="200"/>
    </row>
    <row r="21" spans="1:16" ht="45.6" x14ac:dyDescent="0.3">
      <c r="A21" s="197"/>
      <c r="B21" s="197"/>
      <c r="C21" s="198" t="s">
        <v>25</v>
      </c>
      <c r="D21" s="199" t="s">
        <v>774</v>
      </c>
      <c r="E21" s="198" t="s">
        <v>26</v>
      </c>
      <c r="F21" s="197" t="s">
        <v>269</v>
      </c>
      <c r="G21" s="204" t="s">
        <v>775</v>
      </c>
      <c r="H21" s="201">
        <v>45473</v>
      </c>
      <c r="I21" s="197" t="s">
        <v>20</v>
      </c>
      <c r="J21" s="200"/>
      <c r="K21" s="200"/>
      <c r="L21" s="200"/>
      <c r="M21" s="200"/>
      <c r="N21" s="200"/>
      <c r="O21" s="200"/>
      <c r="P21" s="200"/>
    </row>
    <row r="22" spans="1:16" ht="148.19999999999999" x14ac:dyDescent="0.3">
      <c r="A22" s="197"/>
      <c r="B22" s="197"/>
      <c r="C22" s="198" t="s">
        <v>29</v>
      </c>
      <c r="D22" s="199" t="s">
        <v>774</v>
      </c>
      <c r="E22" s="198" t="s">
        <v>1006</v>
      </c>
      <c r="F22" s="197" t="s">
        <v>269</v>
      </c>
      <c r="G22" s="204" t="s">
        <v>775</v>
      </c>
      <c r="H22" s="201">
        <v>46203</v>
      </c>
      <c r="I22" s="197" t="s">
        <v>20</v>
      </c>
      <c r="J22" s="200"/>
      <c r="K22" s="200"/>
      <c r="L22" s="200"/>
      <c r="M22" s="200"/>
      <c r="N22" s="200"/>
      <c r="O22" s="200"/>
      <c r="P22" s="200"/>
    </row>
    <row r="23" spans="1:16" ht="91.2" x14ac:dyDescent="0.3">
      <c r="A23" s="197"/>
      <c r="B23" s="197"/>
      <c r="C23" s="198" t="s">
        <v>36</v>
      </c>
      <c r="D23" s="199" t="s">
        <v>774</v>
      </c>
      <c r="E23" s="198" t="s">
        <v>37</v>
      </c>
      <c r="F23" s="197" t="s">
        <v>269</v>
      </c>
      <c r="G23" s="204" t="s">
        <v>775</v>
      </c>
      <c r="H23" s="201">
        <v>45473</v>
      </c>
      <c r="I23" s="197" t="s">
        <v>20</v>
      </c>
      <c r="J23" s="200"/>
      <c r="K23" s="200"/>
      <c r="L23" s="200"/>
      <c r="M23" s="200"/>
      <c r="N23" s="200"/>
      <c r="O23" s="200"/>
      <c r="P23" s="200"/>
    </row>
    <row r="24" spans="1:16" ht="68.400000000000006" x14ac:dyDescent="0.3">
      <c r="A24" s="197"/>
      <c r="B24" s="197"/>
      <c r="C24" s="198" t="s">
        <v>40</v>
      </c>
      <c r="D24" s="199" t="s">
        <v>774</v>
      </c>
      <c r="E24" s="198" t="s">
        <v>41</v>
      </c>
      <c r="F24" s="197" t="s">
        <v>269</v>
      </c>
      <c r="G24" s="204" t="s">
        <v>775</v>
      </c>
      <c r="H24" s="201">
        <v>45381</v>
      </c>
      <c r="I24" s="197" t="s">
        <v>20</v>
      </c>
      <c r="J24" s="200"/>
      <c r="K24" s="200"/>
      <c r="L24" s="200"/>
      <c r="M24" s="200"/>
      <c r="N24" s="200"/>
      <c r="O24" s="200"/>
      <c r="P24" s="200"/>
    </row>
    <row r="25" spans="1:16" ht="68.400000000000006" x14ac:dyDescent="0.3">
      <c r="A25" s="197"/>
      <c r="B25" s="197"/>
      <c r="C25" s="198" t="s">
        <v>44</v>
      </c>
      <c r="D25" s="199" t="s">
        <v>774</v>
      </c>
      <c r="E25" s="198" t="s">
        <v>45</v>
      </c>
      <c r="F25" s="197" t="s">
        <v>269</v>
      </c>
      <c r="G25" s="204" t="s">
        <v>775</v>
      </c>
      <c r="H25" s="201">
        <v>45443</v>
      </c>
      <c r="I25" s="197" t="s">
        <v>20</v>
      </c>
      <c r="J25" s="200"/>
      <c r="K25" s="200"/>
      <c r="L25" s="200"/>
      <c r="M25" s="200"/>
      <c r="N25" s="200"/>
      <c r="O25" s="200"/>
      <c r="P25" s="200"/>
    </row>
    <row r="26" spans="1:16" ht="68.400000000000006" x14ac:dyDescent="0.3">
      <c r="A26" s="197"/>
      <c r="B26" s="197"/>
      <c r="C26" s="198" t="s">
        <v>47</v>
      </c>
      <c r="D26" s="199" t="s">
        <v>774</v>
      </c>
      <c r="E26" s="198" t="s">
        <v>48</v>
      </c>
      <c r="F26" s="197" t="s">
        <v>269</v>
      </c>
      <c r="G26" s="204" t="s">
        <v>775</v>
      </c>
      <c r="H26" s="201">
        <v>45381</v>
      </c>
      <c r="I26" s="197" t="s">
        <v>20</v>
      </c>
      <c r="J26" s="200"/>
      <c r="K26" s="200"/>
      <c r="L26" s="200"/>
      <c r="M26" s="200"/>
      <c r="N26" s="200"/>
      <c r="O26" s="200"/>
      <c r="P26" s="200"/>
    </row>
    <row r="27" spans="1:16" ht="102.6" x14ac:dyDescent="0.3">
      <c r="A27" s="197"/>
      <c r="B27" s="197"/>
      <c r="C27" s="198" t="s">
        <v>51</v>
      </c>
      <c r="D27" s="199" t="s">
        <v>774</v>
      </c>
      <c r="E27" s="198" t="s">
        <v>52</v>
      </c>
      <c r="F27" s="197" t="s">
        <v>269</v>
      </c>
      <c r="G27" s="204" t="s">
        <v>775</v>
      </c>
      <c r="H27" s="201">
        <v>45381</v>
      </c>
      <c r="I27" s="197" t="s">
        <v>20</v>
      </c>
      <c r="J27" s="200"/>
      <c r="K27" s="200"/>
      <c r="L27" s="200"/>
      <c r="M27" s="200"/>
      <c r="N27" s="200"/>
      <c r="O27" s="200"/>
      <c r="P27" s="200"/>
    </row>
    <row r="28" spans="1:16" ht="79.8" x14ac:dyDescent="0.3">
      <c r="A28" s="197"/>
      <c r="B28" s="197"/>
      <c r="C28" s="198" t="s">
        <v>55</v>
      </c>
      <c r="D28" s="199" t="s">
        <v>774</v>
      </c>
      <c r="E28" s="198" t="s">
        <v>56</v>
      </c>
      <c r="F28" s="197" t="s">
        <v>269</v>
      </c>
      <c r="G28" s="204" t="s">
        <v>775</v>
      </c>
      <c r="H28" s="201">
        <v>45473</v>
      </c>
      <c r="I28" s="197" t="s">
        <v>20</v>
      </c>
      <c r="J28" s="200"/>
      <c r="K28" s="200"/>
      <c r="L28" s="200"/>
      <c r="M28" s="200"/>
      <c r="N28" s="200"/>
      <c r="O28" s="200"/>
      <c r="P28" s="200"/>
    </row>
    <row r="29" spans="1:16" ht="114" x14ac:dyDescent="0.3">
      <c r="A29" s="197"/>
      <c r="B29" s="197"/>
      <c r="C29" s="198" t="s">
        <v>109</v>
      </c>
      <c r="D29" s="199" t="s">
        <v>774</v>
      </c>
      <c r="E29" s="198" t="s">
        <v>110</v>
      </c>
      <c r="F29" s="197" t="s">
        <v>269</v>
      </c>
      <c r="G29" s="204" t="s">
        <v>775</v>
      </c>
      <c r="H29" s="201">
        <v>45473</v>
      </c>
      <c r="I29" s="197" t="s">
        <v>20</v>
      </c>
      <c r="J29" s="200"/>
      <c r="K29" s="200"/>
      <c r="L29" s="200"/>
      <c r="M29" s="200"/>
      <c r="N29" s="200"/>
      <c r="O29" s="200"/>
      <c r="P29" s="200"/>
    </row>
    <row r="30" spans="1:16" ht="45.6" x14ac:dyDescent="0.3">
      <c r="A30" s="197"/>
      <c r="B30" s="197"/>
      <c r="C30" s="198" t="s">
        <v>774</v>
      </c>
      <c r="D30" s="199" t="s">
        <v>774</v>
      </c>
      <c r="E30" s="198" t="s">
        <v>34</v>
      </c>
      <c r="F30" s="197" t="s">
        <v>269</v>
      </c>
      <c r="G30" s="204" t="s">
        <v>775</v>
      </c>
      <c r="H30" s="201">
        <v>46203</v>
      </c>
      <c r="I30" s="197" t="s">
        <v>33</v>
      </c>
      <c r="J30" s="199"/>
      <c r="K30" s="199"/>
      <c r="L30" s="199"/>
      <c r="M30" s="199"/>
      <c r="N30" s="199" t="s">
        <v>665</v>
      </c>
      <c r="O30" s="200"/>
      <c r="P30" s="200"/>
    </row>
    <row r="31" spans="1:16" ht="91.2" x14ac:dyDescent="0.3">
      <c r="A31" s="197" t="s">
        <v>111</v>
      </c>
      <c r="B31" s="197" t="s">
        <v>157</v>
      </c>
      <c r="C31" s="198" t="s">
        <v>570</v>
      </c>
      <c r="D31" s="199" t="s">
        <v>774</v>
      </c>
      <c r="E31" s="198" t="s">
        <v>163</v>
      </c>
      <c r="F31" s="197" t="s">
        <v>115</v>
      </c>
      <c r="G31" s="205">
        <v>46080</v>
      </c>
      <c r="H31" s="201">
        <v>46080</v>
      </c>
      <c r="I31" s="197" t="s">
        <v>20</v>
      </c>
      <c r="J31" s="200"/>
      <c r="K31" s="200"/>
      <c r="L31" s="200"/>
      <c r="M31" s="200"/>
      <c r="N31" s="200"/>
      <c r="O31" s="200"/>
      <c r="P31" s="200"/>
    </row>
    <row r="32" spans="1:16" ht="34.200000000000003" x14ac:dyDescent="0.3">
      <c r="A32" s="197"/>
      <c r="B32" s="197"/>
      <c r="C32" s="198" t="s">
        <v>166</v>
      </c>
      <c r="D32" s="199" t="s">
        <v>774</v>
      </c>
      <c r="E32" s="198" t="s">
        <v>631</v>
      </c>
      <c r="F32" s="197" t="s">
        <v>118</v>
      </c>
      <c r="G32" s="204" t="s">
        <v>169</v>
      </c>
      <c r="H32" s="197" t="s">
        <v>169</v>
      </c>
      <c r="I32" s="197" t="s">
        <v>20</v>
      </c>
      <c r="J32" s="200"/>
      <c r="K32" s="200"/>
      <c r="L32" s="200"/>
      <c r="M32" s="200"/>
      <c r="N32" s="200"/>
      <c r="O32" s="200"/>
      <c r="P32" s="200"/>
    </row>
    <row r="33" spans="1:16" ht="114" x14ac:dyDescent="0.3">
      <c r="A33" s="197"/>
      <c r="B33" s="197"/>
      <c r="C33" s="198" t="s">
        <v>569</v>
      </c>
      <c r="D33" s="199" t="s">
        <v>774</v>
      </c>
      <c r="E33" s="198" t="s">
        <v>159</v>
      </c>
      <c r="F33" s="197" t="s">
        <v>115</v>
      </c>
      <c r="G33" s="205">
        <v>46080</v>
      </c>
      <c r="H33" s="201">
        <v>46080</v>
      </c>
      <c r="I33" s="197" t="s">
        <v>20</v>
      </c>
      <c r="J33" s="200"/>
      <c r="K33" s="200"/>
      <c r="L33" s="200"/>
      <c r="M33" s="200"/>
      <c r="N33" s="200"/>
      <c r="O33" s="200"/>
      <c r="P33" s="200"/>
    </row>
    <row r="34" spans="1:16" ht="34.200000000000003" x14ac:dyDescent="0.3">
      <c r="A34" s="197"/>
      <c r="B34" s="197"/>
      <c r="C34" s="198" t="s">
        <v>774</v>
      </c>
      <c r="D34" s="199" t="s">
        <v>774</v>
      </c>
      <c r="E34" s="198" t="s">
        <v>173</v>
      </c>
      <c r="F34" s="197" t="s">
        <v>148</v>
      </c>
      <c r="G34" s="204" t="s">
        <v>775</v>
      </c>
      <c r="H34" s="201">
        <v>45736</v>
      </c>
      <c r="I34" s="197" t="s">
        <v>20</v>
      </c>
      <c r="J34" s="200"/>
      <c r="K34" s="200"/>
      <c r="L34" s="200"/>
      <c r="M34" s="200"/>
      <c r="N34" s="200"/>
      <c r="O34" s="200"/>
      <c r="P34" s="200"/>
    </row>
    <row r="35" spans="1:16" ht="68.400000000000006" x14ac:dyDescent="0.3">
      <c r="A35" s="197"/>
      <c r="B35" s="197"/>
      <c r="C35" s="198"/>
      <c r="D35" s="199"/>
      <c r="E35" s="198" t="s">
        <v>176</v>
      </c>
      <c r="F35" s="197" t="s">
        <v>148</v>
      </c>
      <c r="G35" s="204" t="s">
        <v>775</v>
      </c>
      <c r="H35" s="201">
        <v>45736</v>
      </c>
      <c r="I35" s="197" t="s">
        <v>20</v>
      </c>
      <c r="J35" s="200"/>
      <c r="K35" s="200"/>
      <c r="L35" s="200"/>
      <c r="M35" s="200"/>
      <c r="N35" s="200"/>
      <c r="O35" s="200"/>
      <c r="P35" s="200"/>
    </row>
    <row r="36" spans="1:16" ht="22.8" x14ac:dyDescent="0.3">
      <c r="A36" s="197"/>
      <c r="B36" s="197"/>
      <c r="C36" s="198"/>
      <c r="D36" s="199"/>
      <c r="E36" s="198" t="s">
        <v>178</v>
      </c>
      <c r="F36" s="197" t="s">
        <v>179</v>
      </c>
      <c r="G36" s="204" t="s">
        <v>775</v>
      </c>
      <c r="H36" s="201">
        <v>46023</v>
      </c>
      <c r="I36" s="197" t="s">
        <v>20</v>
      </c>
      <c r="J36" s="200"/>
      <c r="K36" s="200"/>
      <c r="L36" s="200"/>
      <c r="M36" s="200"/>
      <c r="N36" s="200"/>
      <c r="O36" s="200"/>
      <c r="P36" s="200"/>
    </row>
    <row r="37" spans="1:16" ht="114" x14ac:dyDescent="0.3">
      <c r="A37" s="197"/>
      <c r="B37" s="197" t="s">
        <v>142</v>
      </c>
      <c r="C37" s="198" t="s">
        <v>568</v>
      </c>
      <c r="D37" s="199" t="s">
        <v>774</v>
      </c>
      <c r="E37" s="198" t="s">
        <v>542</v>
      </c>
      <c r="F37" s="197" t="s">
        <v>148</v>
      </c>
      <c r="G37" s="204" t="s">
        <v>775</v>
      </c>
      <c r="H37" s="201">
        <v>45712</v>
      </c>
      <c r="I37" s="197" t="s">
        <v>20</v>
      </c>
      <c r="J37" s="200"/>
      <c r="K37" s="200"/>
      <c r="L37" s="200"/>
      <c r="M37" s="200"/>
      <c r="N37" s="200"/>
      <c r="O37" s="200"/>
      <c r="P37" s="200"/>
    </row>
    <row r="38" spans="1:16" ht="57" x14ac:dyDescent="0.3">
      <c r="A38" s="197"/>
      <c r="B38" s="197"/>
      <c r="C38" s="198" t="s">
        <v>565</v>
      </c>
      <c r="D38" s="199" t="s">
        <v>774</v>
      </c>
      <c r="E38" s="198" t="s">
        <v>143</v>
      </c>
      <c r="F38" s="197" t="s">
        <v>144</v>
      </c>
      <c r="G38" s="204" t="s">
        <v>775</v>
      </c>
      <c r="H38" s="201">
        <v>46081</v>
      </c>
      <c r="I38" s="197" t="s">
        <v>20</v>
      </c>
      <c r="J38" s="200"/>
      <c r="K38" s="200"/>
      <c r="L38" s="200"/>
      <c r="M38" s="200"/>
      <c r="N38" s="200"/>
      <c r="O38" s="200"/>
      <c r="P38" s="200"/>
    </row>
    <row r="39" spans="1:16" ht="57" x14ac:dyDescent="0.3">
      <c r="A39" s="197"/>
      <c r="B39" s="197"/>
      <c r="C39" s="198" t="s">
        <v>566</v>
      </c>
      <c r="D39" s="199" t="s">
        <v>774</v>
      </c>
      <c r="E39" s="198" t="s">
        <v>143</v>
      </c>
      <c r="F39" s="197" t="s">
        <v>144</v>
      </c>
      <c r="G39" s="204" t="s">
        <v>775</v>
      </c>
      <c r="H39" s="201">
        <v>46081</v>
      </c>
      <c r="I39" s="197" t="s">
        <v>20</v>
      </c>
      <c r="J39" s="200"/>
      <c r="K39" s="200"/>
      <c r="L39" s="200"/>
      <c r="M39" s="200"/>
      <c r="N39" s="200"/>
      <c r="O39" s="200"/>
      <c r="P39" s="200"/>
    </row>
    <row r="40" spans="1:16" ht="57" x14ac:dyDescent="0.3">
      <c r="A40" s="197"/>
      <c r="B40" s="197"/>
      <c r="C40" s="198" t="s">
        <v>567</v>
      </c>
      <c r="D40" s="199" t="s">
        <v>774</v>
      </c>
      <c r="E40" s="198" t="s">
        <v>143</v>
      </c>
      <c r="F40" s="197" t="s">
        <v>144</v>
      </c>
      <c r="G40" s="204" t="s">
        <v>775</v>
      </c>
      <c r="H40" s="201">
        <v>46081</v>
      </c>
      <c r="I40" s="197" t="s">
        <v>20</v>
      </c>
      <c r="J40" s="200"/>
      <c r="K40" s="200"/>
      <c r="L40" s="200"/>
      <c r="M40" s="200"/>
      <c r="N40" s="200"/>
      <c r="O40" s="200"/>
      <c r="P40" s="200"/>
    </row>
    <row r="41" spans="1:16" ht="57" x14ac:dyDescent="0.3">
      <c r="A41" s="197"/>
      <c r="B41" s="197"/>
      <c r="C41" s="198" t="s">
        <v>774</v>
      </c>
      <c r="D41" s="199" t="s">
        <v>774</v>
      </c>
      <c r="E41" s="198" t="s">
        <v>151</v>
      </c>
      <c r="F41" s="197" t="s">
        <v>148</v>
      </c>
      <c r="G41" s="204" t="s">
        <v>775</v>
      </c>
      <c r="H41" s="201">
        <v>45712</v>
      </c>
      <c r="I41" s="197" t="s">
        <v>20</v>
      </c>
      <c r="J41" s="200"/>
      <c r="K41" s="200"/>
      <c r="L41" s="200"/>
      <c r="M41" s="200"/>
      <c r="N41" s="200"/>
      <c r="O41" s="200"/>
      <c r="P41" s="200"/>
    </row>
    <row r="42" spans="1:16" ht="114" x14ac:dyDescent="0.3">
      <c r="A42" s="197"/>
      <c r="B42" s="197"/>
      <c r="C42" s="198"/>
      <c r="D42" s="199"/>
      <c r="E42" s="198" t="s">
        <v>154</v>
      </c>
      <c r="F42" s="197" t="s">
        <v>148</v>
      </c>
      <c r="G42" s="204" t="s">
        <v>775</v>
      </c>
      <c r="H42" s="201">
        <v>45712</v>
      </c>
      <c r="I42" s="197" t="s">
        <v>20</v>
      </c>
      <c r="J42" s="200"/>
      <c r="K42" s="200"/>
      <c r="L42" s="200"/>
      <c r="M42" s="200"/>
      <c r="N42" s="200"/>
      <c r="O42" s="200"/>
      <c r="P42" s="200"/>
    </row>
    <row r="43" spans="1:16" ht="79.8" x14ac:dyDescent="0.3">
      <c r="A43" s="197"/>
      <c r="B43" s="197" t="s">
        <v>112</v>
      </c>
      <c r="C43" s="198" t="s">
        <v>561</v>
      </c>
      <c r="D43" s="199" t="s">
        <v>774</v>
      </c>
      <c r="E43" s="198" t="s">
        <v>127</v>
      </c>
      <c r="F43" s="197" t="s">
        <v>128</v>
      </c>
      <c r="G43" s="204" t="s">
        <v>775</v>
      </c>
      <c r="H43" s="201">
        <v>45681</v>
      </c>
      <c r="I43" s="197" t="s">
        <v>20</v>
      </c>
      <c r="J43" s="200"/>
      <c r="K43" s="200"/>
      <c r="L43" s="200"/>
      <c r="M43" s="200"/>
      <c r="N43" s="200"/>
      <c r="O43" s="200"/>
      <c r="P43" s="200"/>
    </row>
    <row r="44" spans="1:16" ht="193.8" x14ac:dyDescent="0.3">
      <c r="A44" s="197"/>
      <c r="B44" s="197"/>
      <c r="C44" s="198" t="s">
        <v>122</v>
      </c>
      <c r="D44" s="199" t="s">
        <v>774</v>
      </c>
      <c r="E44" s="198" t="s">
        <v>451</v>
      </c>
      <c r="F44" s="197" t="s">
        <v>118</v>
      </c>
      <c r="G44" s="204" t="s">
        <v>775</v>
      </c>
      <c r="H44" s="201">
        <v>46203</v>
      </c>
      <c r="I44" s="197" t="s">
        <v>33</v>
      </c>
      <c r="J44" s="199"/>
      <c r="K44" s="199"/>
      <c r="L44" s="199"/>
      <c r="M44" s="199"/>
      <c r="N44" s="199" t="s">
        <v>665</v>
      </c>
      <c r="O44" s="200"/>
      <c r="P44" s="200"/>
    </row>
    <row r="45" spans="1:16" ht="57" x14ac:dyDescent="0.3">
      <c r="A45" s="197"/>
      <c r="B45" s="197"/>
      <c r="C45" s="198" t="s">
        <v>560</v>
      </c>
      <c r="D45" s="199" t="s">
        <v>774</v>
      </c>
      <c r="E45" s="198" t="s">
        <v>117</v>
      </c>
      <c r="F45" s="197" t="s">
        <v>118</v>
      </c>
      <c r="G45" s="204" t="s">
        <v>119</v>
      </c>
      <c r="H45" s="197" t="s">
        <v>119</v>
      </c>
      <c r="I45" s="197" t="s">
        <v>20</v>
      </c>
      <c r="J45" s="200"/>
      <c r="K45" s="200"/>
      <c r="L45" s="200"/>
      <c r="M45" s="200"/>
      <c r="N45" s="200"/>
      <c r="O45" s="200"/>
      <c r="P45" s="200"/>
    </row>
    <row r="46" spans="1:16" ht="45.6" x14ac:dyDescent="0.3">
      <c r="A46" s="197"/>
      <c r="B46" s="197"/>
      <c r="C46" s="198" t="s">
        <v>563</v>
      </c>
      <c r="D46" s="199" t="s">
        <v>774</v>
      </c>
      <c r="E46" s="198" t="s">
        <v>137</v>
      </c>
      <c r="F46" s="197" t="s">
        <v>115</v>
      </c>
      <c r="G46" s="204" t="s">
        <v>775</v>
      </c>
      <c r="H46" s="201">
        <v>45747</v>
      </c>
      <c r="I46" s="197" t="s">
        <v>20</v>
      </c>
      <c r="J46" s="200"/>
      <c r="K46" s="200"/>
      <c r="L46" s="200"/>
      <c r="M46" s="200"/>
      <c r="N46" s="200"/>
      <c r="O46" s="200"/>
      <c r="P46" s="200"/>
    </row>
    <row r="47" spans="1:16" ht="57" x14ac:dyDescent="0.3">
      <c r="A47" s="197"/>
      <c r="B47" s="197"/>
      <c r="C47" s="198" t="s">
        <v>564</v>
      </c>
      <c r="D47" s="199" t="s">
        <v>774</v>
      </c>
      <c r="E47" s="198" t="s">
        <v>141</v>
      </c>
      <c r="F47" s="197" t="s">
        <v>128</v>
      </c>
      <c r="G47" s="204" t="s">
        <v>775</v>
      </c>
      <c r="H47" s="201">
        <v>45681</v>
      </c>
      <c r="I47" s="197" t="s">
        <v>20</v>
      </c>
      <c r="J47" s="200"/>
      <c r="K47" s="200"/>
      <c r="L47" s="200"/>
      <c r="M47" s="200"/>
      <c r="N47" s="200"/>
      <c r="O47" s="200"/>
      <c r="P47" s="200"/>
    </row>
    <row r="48" spans="1:16" ht="79.8" x14ac:dyDescent="0.3">
      <c r="A48" s="197"/>
      <c r="B48" s="197"/>
      <c r="C48" s="198" t="s">
        <v>562</v>
      </c>
      <c r="D48" s="199" t="s">
        <v>774</v>
      </c>
      <c r="E48" s="198" t="s">
        <v>131</v>
      </c>
      <c r="F48" s="197" t="s">
        <v>118</v>
      </c>
      <c r="G48" s="204" t="s">
        <v>775</v>
      </c>
      <c r="H48" s="201">
        <v>45747</v>
      </c>
      <c r="I48" s="197" t="s">
        <v>20</v>
      </c>
      <c r="J48" s="200"/>
      <c r="K48" s="200"/>
      <c r="L48" s="200"/>
      <c r="M48" s="200"/>
      <c r="N48" s="200"/>
      <c r="O48" s="200"/>
      <c r="P48" s="200"/>
    </row>
    <row r="49" spans="1:16" ht="182.4" x14ac:dyDescent="0.3">
      <c r="A49" s="197"/>
      <c r="B49" s="197"/>
      <c r="C49" s="198" t="s">
        <v>559</v>
      </c>
      <c r="D49" s="199" t="s">
        <v>774</v>
      </c>
      <c r="E49" s="198" t="s">
        <v>114</v>
      </c>
      <c r="F49" s="197" t="s">
        <v>115</v>
      </c>
      <c r="G49" s="204" t="s">
        <v>775</v>
      </c>
      <c r="H49" s="201">
        <v>45709</v>
      </c>
      <c r="I49" s="197" t="s">
        <v>20</v>
      </c>
      <c r="J49" s="200"/>
      <c r="K49" s="200"/>
      <c r="L49" s="200"/>
      <c r="M49" s="200"/>
      <c r="N49" s="200"/>
      <c r="O49" s="200"/>
      <c r="P49" s="200"/>
    </row>
    <row r="50" spans="1:16" ht="34.200000000000003" x14ac:dyDescent="0.3">
      <c r="A50" s="197"/>
      <c r="B50" s="197"/>
      <c r="C50" s="198" t="s">
        <v>774</v>
      </c>
      <c r="D50" s="199" t="s">
        <v>774</v>
      </c>
      <c r="E50" s="198" t="s">
        <v>134</v>
      </c>
      <c r="F50" s="197" t="s">
        <v>128</v>
      </c>
      <c r="G50" s="204" t="s">
        <v>775</v>
      </c>
      <c r="H50" s="201">
        <v>45777</v>
      </c>
      <c r="I50" s="197" t="s">
        <v>20</v>
      </c>
      <c r="J50" s="200"/>
      <c r="K50" s="200"/>
      <c r="L50" s="200"/>
      <c r="M50" s="200"/>
      <c r="N50" s="200"/>
      <c r="O50" s="200"/>
      <c r="P50" s="200"/>
    </row>
    <row r="51" spans="1:16" ht="148.19999999999999" x14ac:dyDescent="0.3">
      <c r="A51" s="197" t="s">
        <v>180</v>
      </c>
      <c r="B51" s="197" t="s">
        <v>306</v>
      </c>
      <c r="C51" s="198" t="s">
        <v>313</v>
      </c>
      <c r="D51" s="199" t="s">
        <v>280</v>
      </c>
      <c r="E51" s="198" t="s">
        <v>872</v>
      </c>
      <c r="F51" s="197" t="s">
        <v>310</v>
      </c>
      <c r="G51" s="205">
        <v>46129</v>
      </c>
      <c r="H51" s="201">
        <v>46129</v>
      </c>
      <c r="I51" s="197" t="s">
        <v>33</v>
      </c>
      <c r="J51" s="199"/>
      <c r="K51" s="199"/>
      <c r="L51" s="199"/>
      <c r="M51" s="199"/>
      <c r="N51" s="199" t="s">
        <v>665</v>
      </c>
      <c r="O51" s="200"/>
      <c r="P51" s="200"/>
    </row>
    <row r="52" spans="1:16" ht="68.400000000000006" x14ac:dyDescent="0.3">
      <c r="A52" s="197"/>
      <c r="B52" s="197"/>
      <c r="C52" s="198" t="s">
        <v>318</v>
      </c>
      <c r="D52" s="199" t="s">
        <v>280</v>
      </c>
      <c r="E52" s="198" t="s">
        <v>320</v>
      </c>
      <c r="F52" s="197" t="s">
        <v>310</v>
      </c>
      <c r="G52" s="204" t="s">
        <v>775</v>
      </c>
      <c r="H52" s="201">
        <v>45992</v>
      </c>
      <c r="I52" s="197" t="s">
        <v>20</v>
      </c>
      <c r="J52" s="200"/>
      <c r="K52" s="200"/>
      <c r="L52" s="200"/>
      <c r="M52" s="200"/>
      <c r="N52" s="200"/>
      <c r="O52" s="200"/>
      <c r="P52" s="200"/>
    </row>
    <row r="53" spans="1:16" ht="34.200000000000003" x14ac:dyDescent="0.3">
      <c r="A53" s="197"/>
      <c r="B53" s="197"/>
      <c r="C53" s="198"/>
      <c r="D53" s="199" t="s">
        <v>774</v>
      </c>
      <c r="E53" s="198" t="s">
        <v>323</v>
      </c>
      <c r="F53" s="197" t="s">
        <v>310</v>
      </c>
      <c r="G53" s="205">
        <v>46127</v>
      </c>
      <c r="H53" s="201">
        <v>46127</v>
      </c>
      <c r="I53" s="206" t="s">
        <v>33</v>
      </c>
      <c r="J53" s="199"/>
      <c r="K53" s="199"/>
      <c r="L53" s="199"/>
      <c r="M53" s="199"/>
      <c r="N53" s="199" t="s">
        <v>665</v>
      </c>
      <c r="O53" s="200"/>
      <c r="P53" s="200"/>
    </row>
    <row r="54" spans="1:16" ht="125.4" x14ac:dyDescent="0.3">
      <c r="A54" s="197"/>
      <c r="B54" s="197"/>
      <c r="C54" s="198"/>
      <c r="D54" s="199"/>
      <c r="E54" s="198" t="s">
        <v>324</v>
      </c>
      <c r="F54" s="197" t="s">
        <v>17</v>
      </c>
      <c r="G54" s="205">
        <v>46129</v>
      </c>
      <c r="H54" s="201">
        <v>46129</v>
      </c>
      <c r="I54" s="197" t="s">
        <v>20</v>
      </c>
      <c r="J54" s="200"/>
      <c r="K54" s="200"/>
      <c r="L54" s="200"/>
      <c r="M54" s="200"/>
      <c r="N54" s="200"/>
      <c r="O54" s="200"/>
      <c r="P54" s="200"/>
    </row>
    <row r="55" spans="1:16" ht="34.200000000000003" x14ac:dyDescent="0.3">
      <c r="A55" s="197"/>
      <c r="B55" s="197"/>
      <c r="C55" s="198"/>
      <c r="D55" s="199"/>
      <c r="E55" s="198" t="s">
        <v>325</v>
      </c>
      <c r="F55" s="197" t="s">
        <v>17</v>
      </c>
      <c r="G55" s="204" t="s">
        <v>775</v>
      </c>
      <c r="H55" s="201">
        <v>45992</v>
      </c>
      <c r="I55" s="197" t="s">
        <v>20</v>
      </c>
      <c r="J55" s="200"/>
      <c r="K55" s="200"/>
      <c r="L55" s="200"/>
      <c r="M55" s="200"/>
      <c r="N55" s="200"/>
      <c r="O55" s="200"/>
      <c r="P55" s="200"/>
    </row>
    <row r="56" spans="1:16" ht="193.8" x14ac:dyDescent="0.3">
      <c r="A56" s="197"/>
      <c r="B56" s="197"/>
      <c r="C56" s="198" t="s">
        <v>307</v>
      </c>
      <c r="D56" s="199" t="s">
        <v>280</v>
      </c>
      <c r="E56" s="198" t="s">
        <v>309</v>
      </c>
      <c r="F56" s="197" t="s">
        <v>310</v>
      </c>
      <c r="G56" s="204" t="s">
        <v>775</v>
      </c>
      <c r="H56" s="201">
        <v>45988</v>
      </c>
      <c r="I56" s="197" t="s">
        <v>20</v>
      </c>
      <c r="J56" s="200"/>
      <c r="K56" s="200"/>
      <c r="L56" s="200"/>
      <c r="M56" s="200"/>
      <c r="N56" s="200"/>
      <c r="O56" s="200"/>
      <c r="P56" s="200"/>
    </row>
    <row r="57" spans="1:16" ht="102.6" x14ac:dyDescent="0.3">
      <c r="A57" s="197"/>
      <c r="B57" s="197" t="s">
        <v>471</v>
      </c>
      <c r="C57" s="198" t="s">
        <v>450</v>
      </c>
      <c r="D57" s="199" t="s">
        <v>188</v>
      </c>
      <c r="E57" s="198" t="s">
        <v>472</v>
      </c>
      <c r="F57" s="197" t="s">
        <v>179</v>
      </c>
      <c r="G57" s="205">
        <v>46171</v>
      </c>
      <c r="H57" s="201">
        <v>46171</v>
      </c>
      <c r="I57" s="197" t="s">
        <v>33</v>
      </c>
      <c r="J57" s="199"/>
      <c r="K57" s="199"/>
      <c r="L57" s="199"/>
      <c r="M57" s="199"/>
      <c r="N57" s="199" t="s">
        <v>665</v>
      </c>
      <c r="O57" s="200"/>
      <c r="P57" s="200"/>
    </row>
    <row r="58" spans="1:16" ht="102.6" x14ac:dyDescent="0.3">
      <c r="A58" s="197"/>
      <c r="B58" s="197"/>
      <c r="C58" s="198"/>
      <c r="D58" s="199" t="s">
        <v>774</v>
      </c>
      <c r="E58" s="198" t="s">
        <v>474</v>
      </c>
      <c r="F58" s="197" t="s">
        <v>179</v>
      </c>
      <c r="G58" s="205">
        <v>46171</v>
      </c>
      <c r="H58" s="201">
        <v>46171</v>
      </c>
      <c r="I58" s="197" t="s">
        <v>33</v>
      </c>
      <c r="J58" s="199"/>
      <c r="K58" s="199"/>
      <c r="L58" s="199"/>
      <c r="M58" s="199"/>
      <c r="N58" s="199" t="s">
        <v>665</v>
      </c>
      <c r="O58" s="200"/>
      <c r="P58" s="200"/>
    </row>
    <row r="59" spans="1:16" ht="57" x14ac:dyDescent="0.3">
      <c r="A59" s="197"/>
      <c r="B59" s="197"/>
      <c r="C59" s="198" t="s">
        <v>476</v>
      </c>
      <c r="D59" s="199" t="s">
        <v>188</v>
      </c>
      <c r="E59" s="198" t="s">
        <v>645</v>
      </c>
      <c r="F59" s="197" t="s">
        <v>118</v>
      </c>
      <c r="G59" s="205">
        <v>46295</v>
      </c>
      <c r="H59" s="201">
        <v>46295</v>
      </c>
      <c r="I59" s="197" t="s">
        <v>201</v>
      </c>
      <c r="J59" s="199"/>
      <c r="K59" s="199"/>
      <c r="L59" s="199"/>
      <c r="M59" s="199"/>
      <c r="N59" s="199" t="s">
        <v>665</v>
      </c>
      <c r="O59" s="200"/>
      <c r="P59" s="200"/>
    </row>
    <row r="60" spans="1:16" ht="193.8" x14ac:dyDescent="0.3">
      <c r="A60" s="197"/>
      <c r="B60" s="197" t="s">
        <v>449</v>
      </c>
      <c r="C60" s="198" t="s">
        <v>450</v>
      </c>
      <c r="D60" s="199" t="s">
        <v>254</v>
      </c>
      <c r="E60" s="198" t="s">
        <v>451</v>
      </c>
      <c r="F60" s="197" t="s">
        <v>179</v>
      </c>
      <c r="G60" s="205">
        <v>46171</v>
      </c>
      <c r="H60" s="201">
        <v>46171</v>
      </c>
      <c r="I60" s="197" t="s">
        <v>33</v>
      </c>
      <c r="J60" s="199"/>
      <c r="K60" s="199"/>
      <c r="L60" s="199"/>
      <c r="M60" s="199"/>
      <c r="N60" s="199" t="s">
        <v>665</v>
      </c>
      <c r="O60" s="200"/>
      <c r="P60" s="200"/>
    </row>
    <row r="61" spans="1:16" ht="68.400000000000006" x14ac:dyDescent="0.3">
      <c r="A61" s="197"/>
      <c r="B61" s="197"/>
      <c r="C61" s="198" t="s">
        <v>459</v>
      </c>
      <c r="D61" s="199" t="s">
        <v>280</v>
      </c>
      <c r="E61" s="198" t="s">
        <v>646</v>
      </c>
      <c r="F61" s="197" t="s">
        <v>118</v>
      </c>
      <c r="G61" s="205">
        <v>46118</v>
      </c>
      <c r="H61" s="201">
        <v>46118</v>
      </c>
      <c r="I61" s="197" t="s">
        <v>20</v>
      </c>
      <c r="J61" s="200"/>
      <c r="K61" s="200"/>
      <c r="L61" s="200"/>
      <c r="M61" s="200"/>
      <c r="N61" s="200"/>
      <c r="O61" s="200"/>
      <c r="P61" s="200"/>
    </row>
    <row r="62" spans="1:16" ht="102.6" x14ac:dyDescent="0.3">
      <c r="A62" s="197"/>
      <c r="B62" s="197"/>
      <c r="C62" s="198" t="s">
        <v>456</v>
      </c>
      <c r="D62" s="199" t="s">
        <v>188</v>
      </c>
      <c r="E62" s="198" t="s">
        <v>457</v>
      </c>
      <c r="F62" s="197" t="s">
        <v>115</v>
      </c>
      <c r="G62" s="204" t="s">
        <v>775</v>
      </c>
      <c r="H62" s="201">
        <v>45715</v>
      </c>
      <c r="I62" s="197" t="s">
        <v>20</v>
      </c>
      <c r="J62" s="200"/>
      <c r="K62" s="200"/>
      <c r="L62" s="200"/>
      <c r="M62" s="200"/>
      <c r="N62" s="200"/>
      <c r="O62" s="200"/>
      <c r="P62" s="200"/>
    </row>
    <row r="63" spans="1:16" ht="68.400000000000006" x14ac:dyDescent="0.3">
      <c r="A63" s="197"/>
      <c r="B63" s="197"/>
      <c r="C63" s="198" t="s">
        <v>453</v>
      </c>
      <c r="D63" s="199" t="s">
        <v>188</v>
      </c>
      <c r="E63" s="198" t="s">
        <v>454</v>
      </c>
      <c r="F63" s="197" t="s">
        <v>115</v>
      </c>
      <c r="G63" s="204" t="s">
        <v>775</v>
      </c>
      <c r="H63" s="201">
        <v>45715</v>
      </c>
      <c r="I63" s="197" t="s">
        <v>20</v>
      </c>
      <c r="J63" s="200"/>
      <c r="K63" s="200"/>
      <c r="L63" s="200"/>
      <c r="M63" s="200"/>
      <c r="N63" s="200"/>
      <c r="O63" s="200"/>
      <c r="P63" s="200"/>
    </row>
    <row r="64" spans="1:16" ht="45.6" x14ac:dyDescent="0.3">
      <c r="A64" s="197"/>
      <c r="B64" s="197" t="s">
        <v>399</v>
      </c>
      <c r="C64" s="198" t="s">
        <v>403</v>
      </c>
      <c r="D64" s="199" t="s">
        <v>188</v>
      </c>
      <c r="E64" s="198" t="s">
        <v>404</v>
      </c>
      <c r="F64" s="197" t="s">
        <v>269</v>
      </c>
      <c r="G64" s="205">
        <v>46115</v>
      </c>
      <c r="H64" s="201">
        <v>46115</v>
      </c>
      <c r="I64" s="197" t="s">
        <v>20</v>
      </c>
      <c r="J64" s="200"/>
      <c r="K64" s="200"/>
      <c r="L64" s="200"/>
      <c r="M64" s="200"/>
      <c r="N64" s="200"/>
      <c r="O64" s="200"/>
      <c r="P64" s="200"/>
    </row>
    <row r="65" spans="1:16" ht="91.2" x14ac:dyDescent="0.3">
      <c r="A65" s="197"/>
      <c r="B65" s="197"/>
      <c r="C65" s="198"/>
      <c r="D65" s="199" t="s">
        <v>774</v>
      </c>
      <c r="E65" s="198" t="s">
        <v>406</v>
      </c>
      <c r="F65" s="197" t="s">
        <v>179</v>
      </c>
      <c r="G65" s="205">
        <v>46387</v>
      </c>
      <c r="H65" s="201">
        <v>46387</v>
      </c>
      <c r="I65" s="197" t="s">
        <v>201</v>
      </c>
      <c r="J65" s="199"/>
      <c r="K65" s="199"/>
      <c r="L65" s="199"/>
      <c r="M65" s="199"/>
      <c r="N65" s="199" t="s">
        <v>665</v>
      </c>
      <c r="O65" s="200"/>
      <c r="P65" s="200"/>
    </row>
    <row r="66" spans="1:16" ht="68.400000000000006" x14ac:dyDescent="0.3">
      <c r="A66" s="197"/>
      <c r="B66" s="197"/>
      <c r="C66" s="198" t="s">
        <v>409</v>
      </c>
      <c r="D66" s="199" t="s">
        <v>188</v>
      </c>
      <c r="E66" s="198" t="s">
        <v>410</v>
      </c>
      <c r="F66" s="197" t="s">
        <v>179</v>
      </c>
      <c r="G66" s="205">
        <v>46295</v>
      </c>
      <c r="H66" s="201">
        <v>46295</v>
      </c>
      <c r="I66" s="197" t="s">
        <v>201</v>
      </c>
      <c r="J66" s="199"/>
      <c r="K66" s="199"/>
      <c r="L66" s="199"/>
      <c r="M66" s="199"/>
      <c r="N66" s="199" t="s">
        <v>665</v>
      </c>
      <c r="O66" s="200"/>
      <c r="P66" s="200"/>
    </row>
    <row r="67" spans="1:16" ht="22.8" x14ac:dyDescent="0.3">
      <c r="A67" s="197"/>
      <c r="B67" s="197"/>
      <c r="C67" s="198"/>
      <c r="D67" s="199" t="s">
        <v>774</v>
      </c>
      <c r="E67" s="198" t="s">
        <v>774</v>
      </c>
      <c r="F67" s="197" t="s">
        <v>118</v>
      </c>
      <c r="G67" s="204" t="s">
        <v>774</v>
      </c>
      <c r="H67" s="197" t="s">
        <v>774</v>
      </c>
      <c r="I67" s="197" t="s">
        <v>171</v>
      </c>
      <c r="J67" s="199"/>
      <c r="K67" s="199"/>
      <c r="L67" s="199"/>
      <c r="M67" s="199"/>
      <c r="N67" s="199" t="s">
        <v>665</v>
      </c>
      <c r="O67" s="200"/>
      <c r="P67" s="200"/>
    </row>
    <row r="68" spans="1:16" ht="91.2" x14ac:dyDescent="0.3">
      <c r="A68" s="197"/>
      <c r="B68" s="197"/>
      <c r="C68" s="198" t="s">
        <v>411</v>
      </c>
      <c r="D68" s="199" t="s">
        <v>188</v>
      </c>
      <c r="E68" s="198" t="s">
        <v>412</v>
      </c>
      <c r="F68" s="197" t="s">
        <v>413</v>
      </c>
      <c r="G68" s="205">
        <v>46295</v>
      </c>
      <c r="H68" s="201">
        <v>46295</v>
      </c>
      <c r="I68" s="197" t="s">
        <v>201</v>
      </c>
      <c r="J68" s="199"/>
      <c r="K68" s="199"/>
      <c r="L68" s="199"/>
      <c r="M68" s="199"/>
      <c r="N68" s="199" t="s">
        <v>665</v>
      </c>
      <c r="O68" s="200"/>
      <c r="P68" s="200"/>
    </row>
    <row r="69" spans="1:16" ht="57" x14ac:dyDescent="0.3">
      <c r="A69" s="197"/>
      <c r="B69" s="197"/>
      <c r="C69" s="198"/>
      <c r="D69" s="199" t="s">
        <v>774</v>
      </c>
      <c r="E69" s="198" t="s">
        <v>415</v>
      </c>
      <c r="F69" s="197" t="s">
        <v>179</v>
      </c>
      <c r="G69" s="205">
        <v>46295</v>
      </c>
      <c r="H69" s="201">
        <v>46295</v>
      </c>
      <c r="I69" s="197" t="s">
        <v>201</v>
      </c>
      <c r="J69" s="199"/>
      <c r="K69" s="199"/>
      <c r="L69" s="199"/>
      <c r="M69" s="199"/>
      <c r="N69" s="199" t="s">
        <v>665</v>
      </c>
      <c r="O69" s="200"/>
      <c r="P69" s="200"/>
    </row>
    <row r="70" spans="1:16" ht="68.400000000000006" x14ac:dyDescent="0.3">
      <c r="A70" s="197"/>
      <c r="B70" s="197"/>
      <c r="C70" s="198" t="s">
        <v>416</v>
      </c>
      <c r="D70" s="199" t="s">
        <v>280</v>
      </c>
      <c r="E70" s="198" t="s">
        <v>417</v>
      </c>
      <c r="F70" s="197" t="s">
        <v>179</v>
      </c>
      <c r="G70" s="205">
        <v>46173</v>
      </c>
      <c r="H70" s="201">
        <v>46173</v>
      </c>
      <c r="I70" s="197" t="s">
        <v>20</v>
      </c>
      <c r="J70" s="200"/>
      <c r="K70" s="200"/>
      <c r="L70" s="200"/>
      <c r="M70" s="200"/>
      <c r="N70" s="200"/>
      <c r="O70" s="200"/>
      <c r="P70" s="200"/>
    </row>
    <row r="71" spans="1:16" ht="79.8" x14ac:dyDescent="0.3">
      <c r="A71" s="197"/>
      <c r="B71" s="197"/>
      <c r="C71" s="198" t="s">
        <v>400</v>
      </c>
      <c r="D71" s="199" t="s">
        <v>188</v>
      </c>
      <c r="E71" s="198" t="s">
        <v>401</v>
      </c>
      <c r="F71" s="197" t="s">
        <v>179</v>
      </c>
      <c r="G71" s="205">
        <v>46173</v>
      </c>
      <c r="H71" s="201">
        <v>46173</v>
      </c>
      <c r="I71" s="197" t="s">
        <v>20</v>
      </c>
      <c r="J71" s="200"/>
      <c r="K71" s="200"/>
      <c r="L71" s="200"/>
      <c r="M71" s="200"/>
      <c r="N71" s="200"/>
      <c r="O71" s="200"/>
      <c r="P71" s="200"/>
    </row>
    <row r="72" spans="1:16" ht="57" x14ac:dyDescent="0.3">
      <c r="A72" s="197"/>
      <c r="B72" s="197" t="s">
        <v>251</v>
      </c>
      <c r="C72" s="198" t="s">
        <v>261</v>
      </c>
      <c r="D72" s="199" t="s">
        <v>188</v>
      </c>
      <c r="E72" s="198" t="s">
        <v>263</v>
      </c>
      <c r="F72" s="197" t="s">
        <v>148</v>
      </c>
      <c r="G72" s="204" t="s">
        <v>775</v>
      </c>
      <c r="H72" s="201">
        <v>46022</v>
      </c>
      <c r="I72" s="197" t="s">
        <v>20</v>
      </c>
      <c r="J72" s="200"/>
      <c r="K72" s="200"/>
      <c r="L72" s="200"/>
      <c r="M72" s="200"/>
      <c r="N72" s="200"/>
      <c r="O72" s="200"/>
      <c r="P72" s="200"/>
    </row>
    <row r="73" spans="1:16" ht="114" x14ac:dyDescent="0.3">
      <c r="A73" s="197"/>
      <c r="B73" s="197"/>
      <c r="C73" s="198" t="s">
        <v>284</v>
      </c>
      <c r="D73" s="199" t="s">
        <v>280</v>
      </c>
      <c r="E73" s="198" t="s">
        <v>1007</v>
      </c>
      <c r="F73" s="197" t="s">
        <v>256</v>
      </c>
      <c r="G73" s="204" t="s">
        <v>775</v>
      </c>
      <c r="H73" s="201">
        <v>46053</v>
      </c>
      <c r="I73" s="197" t="s">
        <v>20</v>
      </c>
      <c r="J73" s="200"/>
      <c r="K73" s="200"/>
      <c r="L73" s="200"/>
      <c r="M73" s="200"/>
      <c r="N73" s="200"/>
      <c r="O73" s="200"/>
      <c r="P73" s="200"/>
    </row>
    <row r="74" spans="1:16" ht="57" x14ac:dyDescent="0.3">
      <c r="A74" s="197"/>
      <c r="B74" s="197"/>
      <c r="C74" s="198"/>
      <c r="D74" s="199" t="s">
        <v>774</v>
      </c>
      <c r="E74" s="198" t="s">
        <v>1008</v>
      </c>
      <c r="F74" s="197" t="s">
        <v>256</v>
      </c>
      <c r="G74" s="204" t="s">
        <v>775</v>
      </c>
      <c r="H74" s="201">
        <v>45989</v>
      </c>
      <c r="I74" s="197" t="s">
        <v>20</v>
      </c>
      <c r="J74" s="200"/>
      <c r="K74" s="200"/>
      <c r="L74" s="200"/>
      <c r="M74" s="200"/>
      <c r="N74" s="200"/>
      <c r="O74" s="200"/>
      <c r="P74" s="200"/>
    </row>
    <row r="75" spans="1:16" ht="68.400000000000006" x14ac:dyDescent="0.3">
      <c r="A75" s="197"/>
      <c r="B75" s="197"/>
      <c r="C75" s="198" t="s">
        <v>266</v>
      </c>
      <c r="D75" s="199" t="s">
        <v>188</v>
      </c>
      <c r="E75" s="198" t="s">
        <v>268</v>
      </c>
      <c r="F75" s="197" t="s">
        <v>269</v>
      </c>
      <c r="G75" s="204" t="s">
        <v>775</v>
      </c>
      <c r="H75" s="201">
        <v>46022</v>
      </c>
      <c r="I75" s="197" t="s">
        <v>20</v>
      </c>
      <c r="J75" s="200"/>
      <c r="K75" s="200"/>
      <c r="L75" s="200"/>
      <c r="M75" s="200"/>
      <c r="N75" s="200"/>
      <c r="O75" s="200"/>
      <c r="P75" s="200"/>
    </row>
    <row r="76" spans="1:16" ht="57" x14ac:dyDescent="0.3">
      <c r="A76" s="197"/>
      <c r="B76" s="197"/>
      <c r="C76" s="198" t="s">
        <v>299</v>
      </c>
      <c r="D76" s="199" t="s">
        <v>280</v>
      </c>
      <c r="E76" s="198" t="s">
        <v>1009</v>
      </c>
      <c r="F76" s="197" t="s">
        <v>148</v>
      </c>
      <c r="G76" s="204" t="s">
        <v>775</v>
      </c>
      <c r="H76" s="201">
        <v>46025</v>
      </c>
      <c r="I76" s="197" t="s">
        <v>20</v>
      </c>
      <c r="J76" s="200"/>
      <c r="K76" s="200"/>
      <c r="L76" s="200"/>
      <c r="M76" s="200"/>
      <c r="N76" s="200"/>
      <c r="O76" s="200"/>
      <c r="P76" s="200"/>
    </row>
    <row r="77" spans="1:16" ht="79.8" x14ac:dyDescent="0.3">
      <c r="A77" s="197"/>
      <c r="B77" s="197"/>
      <c r="C77" s="198"/>
      <c r="D77" s="199" t="s">
        <v>774</v>
      </c>
      <c r="E77" s="198" t="s">
        <v>1010</v>
      </c>
      <c r="F77" s="197" t="s">
        <v>256</v>
      </c>
      <c r="G77" s="204" t="s">
        <v>775</v>
      </c>
      <c r="H77" s="201">
        <v>46053</v>
      </c>
      <c r="I77" s="197" t="s">
        <v>20</v>
      </c>
      <c r="J77" s="200"/>
      <c r="K77" s="200"/>
      <c r="L77" s="200"/>
      <c r="M77" s="200"/>
      <c r="N77" s="200"/>
      <c r="O77" s="200"/>
      <c r="P77" s="200"/>
    </row>
    <row r="78" spans="1:16" ht="79.8" x14ac:dyDescent="0.3">
      <c r="A78" s="197"/>
      <c r="B78" s="197"/>
      <c r="C78" s="198" t="s">
        <v>278</v>
      </c>
      <c r="D78" s="199" t="s">
        <v>280</v>
      </c>
      <c r="E78" s="198" t="s">
        <v>281</v>
      </c>
      <c r="F78" s="197" t="s">
        <v>502</v>
      </c>
      <c r="G78" s="204" t="s">
        <v>775</v>
      </c>
      <c r="H78" s="201">
        <v>46053</v>
      </c>
      <c r="I78" s="197" t="s">
        <v>20</v>
      </c>
      <c r="J78" s="200"/>
      <c r="K78" s="200"/>
      <c r="L78" s="200"/>
      <c r="M78" s="200"/>
      <c r="N78" s="200"/>
      <c r="O78" s="200"/>
      <c r="P78" s="200"/>
    </row>
    <row r="79" spans="1:16" ht="79.8" x14ac:dyDescent="0.3">
      <c r="A79" s="197"/>
      <c r="B79" s="197"/>
      <c r="C79" s="198" t="s">
        <v>272</v>
      </c>
      <c r="D79" s="199" t="s">
        <v>188</v>
      </c>
      <c r="E79" s="198" t="s">
        <v>274</v>
      </c>
      <c r="F79" s="197" t="s">
        <v>275</v>
      </c>
      <c r="G79" s="204" t="s">
        <v>775</v>
      </c>
      <c r="H79" s="201">
        <v>46053</v>
      </c>
      <c r="I79" s="197" t="s">
        <v>20</v>
      </c>
      <c r="J79" s="200"/>
      <c r="K79" s="200"/>
      <c r="L79" s="200"/>
      <c r="M79" s="200"/>
      <c r="N79" s="200"/>
      <c r="O79" s="200"/>
      <c r="P79" s="200"/>
    </row>
    <row r="80" spans="1:16" ht="57" x14ac:dyDescent="0.3">
      <c r="A80" s="197"/>
      <c r="B80" s="197"/>
      <c r="C80" s="198" t="s">
        <v>252</v>
      </c>
      <c r="D80" s="199" t="s">
        <v>254</v>
      </c>
      <c r="E80" s="198" t="s">
        <v>1011</v>
      </c>
      <c r="F80" s="197" t="s">
        <v>256</v>
      </c>
      <c r="G80" s="204" t="s">
        <v>775</v>
      </c>
      <c r="H80" s="201">
        <v>45961</v>
      </c>
      <c r="I80" s="197" t="s">
        <v>20</v>
      </c>
      <c r="J80" s="200"/>
      <c r="K80" s="200"/>
      <c r="L80" s="200"/>
      <c r="M80" s="200"/>
      <c r="N80" s="200"/>
      <c r="O80" s="200"/>
      <c r="P80" s="200"/>
    </row>
    <row r="81" spans="1:16" ht="45.6" x14ac:dyDescent="0.3">
      <c r="A81" s="197"/>
      <c r="B81" s="197"/>
      <c r="C81" s="198"/>
      <c r="D81" s="199" t="s">
        <v>774</v>
      </c>
      <c r="E81" s="198" t="s">
        <v>1012</v>
      </c>
      <c r="F81" s="197" t="s">
        <v>269</v>
      </c>
      <c r="G81" s="204" t="s">
        <v>775</v>
      </c>
      <c r="H81" s="201">
        <v>45961</v>
      </c>
      <c r="I81" s="197" t="s">
        <v>20</v>
      </c>
      <c r="J81" s="200"/>
      <c r="K81" s="200"/>
      <c r="L81" s="200"/>
      <c r="M81" s="200"/>
      <c r="N81" s="200"/>
      <c r="O81" s="200"/>
      <c r="P81" s="200"/>
    </row>
    <row r="82" spans="1:16" ht="79.8" x14ac:dyDescent="0.3">
      <c r="A82" s="197"/>
      <c r="B82" s="197"/>
      <c r="C82" s="198" t="s">
        <v>294</v>
      </c>
      <c r="D82" s="199" t="s">
        <v>280</v>
      </c>
      <c r="E82" s="198" t="s">
        <v>296</v>
      </c>
      <c r="F82" s="197" t="s">
        <v>275</v>
      </c>
      <c r="G82" s="204" t="s">
        <v>775</v>
      </c>
      <c r="H82" s="201">
        <v>46053</v>
      </c>
      <c r="I82" s="197" t="s">
        <v>20</v>
      </c>
      <c r="J82" s="200"/>
      <c r="K82" s="200"/>
      <c r="L82" s="200"/>
      <c r="M82" s="200"/>
      <c r="N82" s="200"/>
      <c r="O82" s="200"/>
      <c r="P82" s="200"/>
    </row>
    <row r="83" spans="1:16" ht="45.6" x14ac:dyDescent="0.3">
      <c r="A83" s="197"/>
      <c r="B83" s="197"/>
      <c r="C83" s="198" t="s">
        <v>634</v>
      </c>
      <c r="D83" s="199" t="s">
        <v>280</v>
      </c>
      <c r="E83" s="198" t="s">
        <v>291</v>
      </c>
      <c r="F83" s="197" t="s">
        <v>269</v>
      </c>
      <c r="G83" s="204" t="s">
        <v>775</v>
      </c>
      <c r="H83" s="201">
        <v>46022</v>
      </c>
      <c r="I83" s="197" t="s">
        <v>20</v>
      </c>
      <c r="J83" s="200"/>
      <c r="K83" s="200"/>
      <c r="L83" s="200"/>
      <c r="M83" s="200"/>
      <c r="N83" s="200"/>
      <c r="O83" s="200"/>
      <c r="P83" s="200"/>
    </row>
    <row r="84" spans="1:16" ht="34.200000000000003" x14ac:dyDescent="0.3">
      <c r="A84" s="197"/>
      <c r="B84" s="197" t="s">
        <v>461</v>
      </c>
      <c r="C84" s="198" t="s">
        <v>465</v>
      </c>
      <c r="D84" s="199" t="s">
        <v>774</v>
      </c>
      <c r="E84" s="198" t="s">
        <v>466</v>
      </c>
      <c r="F84" s="197" t="s">
        <v>148</v>
      </c>
      <c r="G84" s="205">
        <v>46310</v>
      </c>
      <c r="H84" s="201">
        <v>46310</v>
      </c>
      <c r="I84" s="197" t="s">
        <v>201</v>
      </c>
      <c r="J84" s="199"/>
      <c r="K84" s="199"/>
      <c r="L84" s="199"/>
      <c r="M84" s="199"/>
      <c r="N84" s="199" t="s">
        <v>665</v>
      </c>
      <c r="O84" s="200"/>
      <c r="P84" s="200"/>
    </row>
    <row r="85" spans="1:16" ht="34.200000000000003" x14ac:dyDescent="0.3">
      <c r="A85" s="197"/>
      <c r="B85" s="197"/>
      <c r="C85" s="198"/>
      <c r="D85" s="199"/>
      <c r="E85" s="198" t="s">
        <v>468</v>
      </c>
      <c r="F85" s="197" t="s">
        <v>148</v>
      </c>
      <c r="G85" s="205">
        <v>46310</v>
      </c>
      <c r="H85" s="201">
        <v>46310</v>
      </c>
      <c r="I85" s="197" t="s">
        <v>201</v>
      </c>
      <c r="J85" s="199"/>
      <c r="K85" s="199"/>
      <c r="L85" s="199"/>
      <c r="M85" s="199"/>
      <c r="N85" s="199" t="s">
        <v>665</v>
      </c>
      <c r="O85" s="200"/>
      <c r="P85" s="200"/>
    </row>
    <row r="86" spans="1:16" ht="34.200000000000003" x14ac:dyDescent="0.3">
      <c r="A86" s="197"/>
      <c r="B86" s="197"/>
      <c r="C86" s="198"/>
      <c r="D86" s="199"/>
      <c r="E86" s="198" t="s">
        <v>469</v>
      </c>
      <c r="F86" s="197" t="s">
        <v>148</v>
      </c>
      <c r="G86" s="205">
        <v>46310</v>
      </c>
      <c r="H86" s="201">
        <v>46310</v>
      </c>
      <c r="I86" s="197" t="s">
        <v>201</v>
      </c>
      <c r="J86" s="199"/>
      <c r="K86" s="199"/>
      <c r="L86" s="199"/>
      <c r="M86" s="199"/>
      <c r="N86" s="199" t="s">
        <v>665</v>
      </c>
      <c r="O86" s="200"/>
      <c r="P86" s="200"/>
    </row>
    <row r="87" spans="1:16" ht="34.200000000000003" x14ac:dyDescent="0.3">
      <c r="A87" s="197"/>
      <c r="B87" s="197"/>
      <c r="C87" s="198"/>
      <c r="D87" s="199"/>
      <c r="E87" s="198" t="s">
        <v>470</v>
      </c>
      <c r="F87" s="197" t="s">
        <v>148</v>
      </c>
      <c r="G87" s="205">
        <v>46300</v>
      </c>
      <c r="H87" s="201">
        <v>46300</v>
      </c>
      <c r="I87" s="197" t="s">
        <v>201</v>
      </c>
      <c r="J87" s="199"/>
      <c r="K87" s="199"/>
      <c r="L87" s="199"/>
      <c r="M87" s="199"/>
      <c r="N87" s="199" t="s">
        <v>665</v>
      </c>
      <c r="O87" s="200"/>
      <c r="P87" s="200"/>
    </row>
    <row r="88" spans="1:16" ht="34.200000000000003" x14ac:dyDescent="0.3">
      <c r="A88" s="197"/>
      <c r="B88" s="197"/>
      <c r="C88" s="198" t="s">
        <v>462</v>
      </c>
      <c r="D88" s="199" t="s">
        <v>774</v>
      </c>
      <c r="E88" s="198" t="s">
        <v>463</v>
      </c>
      <c r="F88" s="197" t="s">
        <v>148</v>
      </c>
      <c r="G88" s="205">
        <v>46293</v>
      </c>
      <c r="H88" s="201">
        <v>46293</v>
      </c>
      <c r="I88" s="197" t="s">
        <v>201</v>
      </c>
      <c r="J88" s="199"/>
      <c r="K88" s="199"/>
      <c r="L88" s="199"/>
      <c r="M88" s="199"/>
      <c r="N88" s="199" t="s">
        <v>665</v>
      </c>
      <c r="O88" s="200"/>
      <c r="P88" s="200"/>
    </row>
    <row r="89" spans="1:16" ht="68.400000000000006" x14ac:dyDescent="0.3">
      <c r="A89" s="197"/>
      <c r="B89" s="197" t="s">
        <v>419</v>
      </c>
      <c r="C89" s="198" t="s">
        <v>420</v>
      </c>
      <c r="D89" s="199" t="s">
        <v>188</v>
      </c>
      <c r="E89" s="198" t="s">
        <v>422</v>
      </c>
      <c r="F89" s="197" t="s">
        <v>17</v>
      </c>
      <c r="G89" s="205">
        <v>46218</v>
      </c>
      <c r="H89" s="201">
        <v>46218</v>
      </c>
      <c r="I89" s="197" t="s">
        <v>33</v>
      </c>
      <c r="J89" s="199"/>
      <c r="K89" s="199"/>
      <c r="L89" s="199"/>
      <c r="M89" s="199"/>
      <c r="N89" s="199" t="s">
        <v>665</v>
      </c>
      <c r="O89" s="200"/>
      <c r="P89" s="200"/>
    </row>
    <row r="90" spans="1:16" ht="34.200000000000003" x14ac:dyDescent="0.3">
      <c r="A90" s="197"/>
      <c r="B90" s="197"/>
      <c r="C90" s="198"/>
      <c r="D90" s="199" t="s">
        <v>774</v>
      </c>
      <c r="E90" s="198" t="s">
        <v>424</v>
      </c>
      <c r="F90" s="197" t="s">
        <v>17</v>
      </c>
      <c r="G90" s="205">
        <v>46218</v>
      </c>
      <c r="H90" s="201">
        <v>46218</v>
      </c>
      <c r="I90" s="197" t="s">
        <v>33</v>
      </c>
      <c r="J90" s="199"/>
      <c r="K90" s="199"/>
      <c r="L90" s="199"/>
      <c r="M90" s="199"/>
      <c r="N90" s="199" t="s">
        <v>665</v>
      </c>
      <c r="O90" s="200"/>
      <c r="P90" s="200"/>
    </row>
    <row r="91" spans="1:16" ht="34.200000000000003" x14ac:dyDescent="0.3">
      <c r="A91" s="197"/>
      <c r="B91" s="197"/>
      <c r="C91" s="198"/>
      <c r="D91" s="199"/>
      <c r="E91" s="198" t="s">
        <v>425</v>
      </c>
      <c r="F91" s="197" t="s">
        <v>17</v>
      </c>
      <c r="G91" s="205">
        <v>46218</v>
      </c>
      <c r="H91" s="201">
        <v>46218</v>
      </c>
      <c r="I91" s="197" t="s">
        <v>33</v>
      </c>
      <c r="J91" s="199"/>
      <c r="K91" s="199"/>
      <c r="L91" s="199"/>
      <c r="M91" s="199"/>
      <c r="N91" s="199" t="s">
        <v>665</v>
      </c>
      <c r="O91" s="200"/>
      <c r="P91" s="200"/>
    </row>
    <row r="92" spans="1:16" ht="34.200000000000003" x14ac:dyDescent="0.3">
      <c r="A92" s="197"/>
      <c r="B92" s="197"/>
      <c r="C92" s="198"/>
      <c r="D92" s="199"/>
      <c r="E92" s="198" t="s">
        <v>426</v>
      </c>
      <c r="F92" s="197" t="s">
        <v>17</v>
      </c>
      <c r="G92" s="205">
        <v>46218</v>
      </c>
      <c r="H92" s="201">
        <v>46218</v>
      </c>
      <c r="I92" s="197" t="s">
        <v>33</v>
      </c>
      <c r="J92" s="199"/>
      <c r="K92" s="199"/>
      <c r="L92" s="199"/>
      <c r="M92" s="199"/>
      <c r="N92" s="199" t="s">
        <v>665</v>
      </c>
      <c r="O92" s="200"/>
      <c r="P92" s="200"/>
    </row>
    <row r="93" spans="1:16" ht="34.200000000000003" x14ac:dyDescent="0.3">
      <c r="A93" s="197"/>
      <c r="B93" s="197"/>
      <c r="C93" s="198"/>
      <c r="D93" s="199"/>
      <c r="E93" s="198" t="s">
        <v>427</v>
      </c>
      <c r="F93" s="197" t="s">
        <v>17</v>
      </c>
      <c r="G93" s="205">
        <v>46218</v>
      </c>
      <c r="H93" s="201">
        <v>46218</v>
      </c>
      <c r="I93" s="197" t="s">
        <v>33</v>
      </c>
      <c r="J93" s="199"/>
      <c r="K93" s="199"/>
      <c r="L93" s="199"/>
      <c r="M93" s="199"/>
      <c r="N93" s="199" t="s">
        <v>665</v>
      </c>
      <c r="O93" s="200"/>
      <c r="P93" s="200"/>
    </row>
    <row r="94" spans="1:16" ht="57" x14ac:dyDescent="0.3">
      <c r="A94" s="197"/>
      <c r="B94" s="197"/>
      <c r="C94" s="198"/>
      <c r="D94" s="199"/>
      <c r="E94" s="198" t="s">
        <v>428</v>
      </c>
      <c r="F94" s="197" t="s">
        <v>17</v>
      </c>
      <c r="G94" s="205">
        <v>46218</v>
      </c>
      <c r="H94" s="201">
        <v>46218</v>
      </c>
      <c r="I94" s="197" t="s">
        <v>33</v>
      </c>
      <c r="J94" s="199"/>
      <c r="K94" s="199"/>
      <c r="L94" s="199"/>
      <c r="M94" s="199"/>
      <c r="N94" s="199" t="s">
        <v>665</v>
      </c>
      <c r="O94" s="200"/>
      <c r="P94" s="200"/>
    </row>
    <row r="95" spans="1:16" ht="68.400000000000006" x14ac:dyDescent="0.3">
      <c r="A95" s="197"/>
      <c r="B95" s="197"/>
      <c r="C95" s="198" t="s">
        <v>443</v>
      </c>
      <c r="D95" s="199" t="s">
        <v>188</v>
      </c>
      <c r="E95" s="198" t="s">
        <v>444</v>
      </c>
      <c r="F95" s="197" t="s">
        <v>445</v>
      </c>
      <c r="G95" s="204" t="s">
        <v>1274</v>
      </c>
      <c r="H95" s="197" t="s">
        <v>1274</v>
      </c>
      <c r="I95" s="197" t="s">
        <v>33</v>
      </c>
      <c r="J95" s="199"/>
      <c r="K95" s="199"/>
      <c r="L95" s="199"/>
      <c r="M95" s="199"/>
      <c r="N95" s="199" t="s">
        <v>665</v>
      </c>
      <c r="O95" s="200"/>
      <c r="P95" s="200"/>
    </row>
    <row r="96" spans="1:16" ht="68.400000000000006" x14ac:dyDescent="0.3">
      <c r="A96" s="197"/>
      <c r="B96" s="197"/>
      <c r="C96" s="198"/>
      <c r="D96" s="199" t="s">
        <v>774</v>
      </c>
      <c r="E96" s="198" t="s">
        <v>447</v>
      </c>
      <c r="F96" s="197" t="s">
        <v>445</v>
      </c>
      <c r="G96" s="204" t="s">
        <v>775</v>
      </c>
      <c r="H96" s="201">
        <v>46142</v>
      </c>
      <c r="I96" s="197" t="s">
        <v>33</v>
      </c>
      <c r="J96" s="199"/>
      <c r="K96" s="199"/>
      <c r="L96" s="199"/>
      <c r="M96" s="199"/>
      <c r="N96" s="199" t="s">
        <v>665</v>
      </c>
      <c r="O96" s="200"/>
      <c r="P96" s="200"/>
    </row>
    <row r="97" spans="1:16" ht="68.400000000000006" x14ac:dyDescent="0.3">
      <c r="A97" s="197"/>
      <c r="B97" s="197"/>
      <c r="C97" s="198"/>
      <c r="D97" s="199"/>
      <c r="E97" s="198" t="s">
        <v>448</v>
      </c>
      <c r="F97" s="197" t="s">
        <v>445</v>
      </c>
      <c r="G97" s="204" t="s">
        <v>775</v>
      </c>
      <c r="H97" s="201">
        <v>46142</v>
      </c>
      <c r="I97" s="197" t="s">
        <v>33</v>
      </c>
      <c r="J97" s="199"/>
      <c r="K97" s="199"/>
      <c r="L97" s="199"/>
      <c r="M97" s="199"/>
      <c r="N97" s="199" t="s">
        <v>665</v>
      </c>
      <c r="O97" s="200"/>
      <c r="P97" s="200"/>
    </row>
    <row r="98" spans="1:16" ht="182.4" x14ac:dyDescent="0.3">
      <c r="A98" s="197"/>
      <c r="B98" s="197"/>
      <c r="C98" s="198" t="s">
        <v>429</v>
      </c>
      <c r="D98" s="199" t="s">
        <v>188</v>
      </c>
      <c r="E98" s="198" t="s">
        <v>431</v>
      </c>
      <c r="F98" s="197" t="s">
        <v>534</v>
      </c>
      <c r="G98" s="204" t="s">
        <v>775</v>
      </c>
      <c r="H98" s="201">
        <v>46142</v>
      </c>
      <c r="I98" s="197" t="s">
        <v>33</v>
      </c>
      <c r="J98" s="199"/>
      <c r="K98" s="199"/>
      <c r="L98" s="199"/>
      <c r="M98" s="199"/>
      <c r="N98" s="199" t="s">
        <v>665</v>
      </c>
      <c r="O98" s="200"/>
      <c r="P98" s="200"/>
    </row>
    <row r="99" spans="1:16" ht="57" x14ac:dyDescent="0.3">
      <c r="A99" s="197"/>
      <c r="B99" s="197"/>
      <c r="C99" s="198"/>
      <c r="D99" s="199" t="s">
        <v>774</v>
      </c>
      <c r="E99" s="198" t="s">
        <v>433</v>
      </c>
      <c r="F99" s="197" t="s">
        <v>534</v>
      </c>
      <c r="G99" s="204" t="s">
        <v>775</v>
      </c>
      <c r="H99" s="201">
        <v>46142</v>
      </c>
      <c r="I99" s="197" t="s">
        <v>33</v>
      </c>
      <c r="J99" s="199"/>
      <c r="K99" s="199"/>
      <c r="L99" s="199"/>
      <c r="M99" s="199"/>
      <c r="N99" s="199" t="s">
        <v>665</v>
      </c>
      <c r="O99" s="200"/>
      <c r="P99" s="200"/>
    </row>
    <row r="100" spans="1:16" ht="57" x14ac:dyDescent="0.3">
      <c r="A100" s="197"/>
      <c r="B100" s="197"/>
      <c r="C100" s="198"/>
      <c r="D100" s="199"/>
      <c r="E100" s="198" t="s">
        <v>434</v>
      </c>
      <c r="F100" s="197" t="s">
        <v>534</v>
      </c>
      <c r="G100" s="204" t="s">
        <v>775</v>
      </c>
      <c r="H100" s="201">
        <v>46142</v>
      </c>
      <c r="I100" s="197" t="s">
        <v>33</v>
      </c>
      <c r="J100" s="199"/>
      <c r="K100" s="199"/>
      <c r="L100" s="199"/>
      <c r="M100" s="199"/>
      <c r="N100" s="199" t="s">
        <v>665</v>
      </c>
      <c r="O100" s="200"/>
      <c r="P100" s="200"/>
    </row>
    <row r="101" spans="1:16" ht="57" x14ac:dyDescent="0.3">
      <c r="A101" s="197"/>
      <c r="B101" s="197"/>
      <c r="C101" s="198"/>
      <c r="D101" s="199"/>
      <c r="E101" s="198" t="s">
        <v>435</v>
      </c>
      <c r="F101" s="197" t="s">
        <v>534</v>
      </c>
      <c r="G101" s="204" t="s">
        <v>775</v>
      </c>
      <c r="H101" s="201">
        <v>46142</v>
      </c>
      <c r="I101" s="197" t="s">
        <v>33</v>
      </c>
      <c r="J101" s="199"/>
      <c r="K101" s="199"/>
      <c r="L101" s="199"/>
      <c r="M101" s="199"/>
      <c r="N101" s="199" t="s">
        <v>665</v>
      </c>
      <c r="O101" s="200"/>
      <c r="P101" s="200"/>
    </row>
    <row r="102" spans="1:16" ht="34.200000000000003" x14ac:dyDescent="0.3">
      <c r="A102" s="197"/>
      <c r="B102" s="197"/>
      <c r="C102" s="198" t="s">
        <v>436</v>
      </c>
      <c r="D102" s="199" t="s">
        <v>188</v>
      </c>
      <c r="E102" s="198" t="s">
        <v>437</v>
      </c>
      <c r="F102" s="197" t="s">
        <v>115</v>
      </c>
      <c r="G102" s="205">
        <v>46386</v>
      </c>
      <c r="H102" s="201">
        <v>46386</v>
      </c>
      <c r="I102" s="197" t="s">
        <v>201</v>
      </c>
      <c r="J102" s="199"/>
      <c r="K102" s="199"/>
      <c r="L102" s="199"/>
      <c r="M102" s="199"/>
      <c r="N102" s="199" t="s">
        <v>665</v>
      </c>
      <c r="O102" s="200"/>
      <c r="P102" s="200"/>
    </row>
    <row r="103" spans="1:16" ht="45.6" x14ac:dyDescent="0.3">
      <c r="A103" s="197"/>
      <c r="B103" s="197"/>
      <c r="C103" s="198"/>
      <c r="D103" s="199" t="s">
        <v>774</v>
      </c>
      <c r="E103" s="198" t="s">
        <v>439</v>
      </c>
      <c r="F103" s="197" t="s">
        <v>115</v>
      </c>
      <c r="G103" s="205">
        <v>46386</v>
      </c>
      <c r="H103" s="201">
        <v>46386</v>
      </c>
      <c r="I103" s="197" t="s">
        <v>201</v>
      </c>
      <c r="J103" s="199"/>
      <c r="K103" s="199"/>
      <c r="L103" s="199"/>
      <c r="M103" s="199"/>
      <c r="N103" s="199" t="s">
        <v>665</v>
      </c>
      <c r="O103" s="200"/>
      <c r="P103" s="200"/>
    </row>
    <row r="104" spans="1:16" ht="45.6" x14ac:dyDescent="0.3">
      <c r="A104" s="197"/>
      <c r="B104" s="197"/>
      <c r="C104" s="198"/>
      <c r="D104" s="199"/>
      <c r="E104" s="198" t="s">
        <v>440</v>
      </c>
      <c r="F104" s="197" t="s">
        <v>115</v>
      </c>
      <c r="G104" s="205">
        <v>46386</v>
      </c>
      <c r="H104" s="201">
        <v>46386</v>
      </c>
      <c r="I104" s="197" t="s">
        <v>201</v>
      </c>
      <c r="J104" s="199"/>
      <c r="K104" s="199"/>
      <c r="L104" s="199"/>
      <c r="M104" s="199"/>
      <c r="N104" s="199" t="s">
        <v>665</v>
      </c>
      <c r="O104" s="200"/>
      <c r="P104" s="200"/>
    </row>
    <row r="105" spans="1:16" ht="45.6" x14ac:dyDescent="0.3">
      <c r="A105" s="197"/>
      <c r="B105" s="197"/>
      <c r="C105" s="198"/>
      <c r="D105" s="199"/>
      <c r="E105" s="198" t="s">
        <v>441</v>
      </c>
      <c r="F105" s="197" t="s">
        <v>115</v>
      </c>
      <c r="G105" s="205">
        <v>46386</v>
      </c>
      <c r="H105" s="201">
        <v>46386</v>
      </c>
      <c r="I105" s="197" t="s">
        <v>201</v>
      </c>
      <c r="J105" s="199"/>
      <c r="K105" s="199"/>
      <c r="L105" s="199"/>
      <c r="M105" s="199"/>
      <c r="N105" s="199" t="s">
        <v>665</v>
      </c>
      <c r="O105" s="200"/>
      <c r="P105" s="200"/>
    </row>
    <row r="106" spans="1:16" ht="57" x14ac:dyDescent="0.3">
      <c r="A106" s="197"/>
      <c r="B106" s="197"/>
      <c r="C106" s="198"/>
      <c r="D106" s="199"/>
      <c r="E106" s="198" t="s">
        <v>442</v>
      </c>
      <c r="F106" s="197" t="s">
        <v>115</v>
      </c>
      <c r="G106" s="205">
        <v>46386</v>
      </c>
      <c r="H106" s="201">
        <v>46386</v>
      </c>
      <c r="I106" s="197" t="s">
        <v>201</v>
      </c>
      <c r="J106" s="199"/>
      <c r="K106" s="199"/>
      <c r="L106" s="199"/>
      <c r="M106" s="199"/>
      <c r="N106" s="199" t="s">
        <v>665</v>
      </c>
      <c r="O106" s="200"/>
      <c r="P106" s="200"/>
    </row>
    <row r="107" spans="1:16" ht="285" x14ac:dyDescent="0.3">
      <c r="A107" s="197"/>
      <c r="B107" s="197" t="s">
        <v>181</v>
      </c>
      <c r="C107" s="198" t="s">
        <v>231</v>
      </c>
      <c r="D107" s="199" t="s">
        <v>188</v>
      </c>
      <c r="E107" s="198" t="s">
        <v>883</v>
      </c>
      <c r="F107" s="197" t="s">
        <v>210</v>
      </c>
      <c r="G107" s="204" t="s">
        <v>775</v>
      </c>
      <c r="H107" s="201">
        <v>46203</v>
      </c>
      <c r="I107" s="197" t="s">
        <v>33</v>
      </c>
      <c r="J107" s="199"/>
      <c r="K107" s="199"/>
      <c r="L107" s="199"/>
      <c r="M107" s="199"/>
      <c r="N107" s="199" t="s">
        <v>665</v>
      </c>
      <c r="O107" s="200"/>
      <c r="P107" s="200"/>
    </row>
    <row r="108" spans="1:16" ht="45.6" x14ac:dyDescent="0.3">
      <c r="A108" s="197"/>
      <c r="B108" s="197"/>
      <c r="C108" s="198"/>
      <c r="D108" s="199" t="s">
        <v>774</v>
      </c>
      <c r="E108" s="198" t="s">
        <v>236</v>
      </c>
      <c r="F108" s="197" t="s">
        <v>210</v>
      </c>
      <c r="G108" s="204" t="s">
        <v>775</v>
      </c>
      <c r="H108" s="201">
        <v>46203</v>
      </c>
      <c r="I108" s="197" t="s">
        <v>33</v>
      </c>
      <c r="J108" s="199"/>
      <c r="K108" s="199"/>
      <c r="L108" s="199"/>
      <c r="M108" s="199"/>
      <c r="N108" s="199" t="s">
        <v>665</v>
      </c>
      <c r="O108" s="200"/>
      <c r="P108" s="200"/>
    </row>
    <row r="109" spans="1:16" ht="34.200000000000003" x14ac:dyDescent="0.3">
      <c r="A109" s="197"/>
      <c r="B109" s="197"/>
      <c r="C109" s="198" t="s">
        <v>186</v>
      </c>
      <c r="D109" s="199" t="s">
        <v>188</v>
      </c>
      <c r="E109" s="198" t="s">
        <v>189</v>
      </c>
      <c r="F109" s="197" t="s">
        <v>190</v>
      </c>
      <c r="G109" s="204" t="s">
        <v>775</v>
      </c>
      <c r="H109" s="201">
        <v>45945</v>
      </c>
      <c r="I109" s="197" t="s">
        <v>20</v>
      </c>
      <c r="J109" s="200"/>
      <c r="K109" s="200"/>
      <c r="L109" s="200"/>
      <c r="M109" s="200"/>
      <c r="N109" s="200"/>
      <c r="O109" s="200"/>
      <c r="P109" s="200"/>
    </row>
    <row r="110" spans="1:16" ht="45.6" x14ac:dyDescent="0.3">
      <c r="A110" s="197"/>
      <c r="B110" s="197"/>
      <c r="C110" s="198"/>
      <c r="D110" s="199" t="s">
        <v>774</v>
      </c>
      <c r="E110" s="198" t="s">
        <v>209</v>
      </c>
      <c r="F110" s="197" t="s">
        <v>210</v>
      </c>
      <c r="G110" s="205">
        <v>46079</v>
      </c>
      <c r="H110" s="201">
        <v>46079</v>
      </c>
      <c r="I110" s="197" t="s">
        <v>20</v>
      </c>
      <c r="J110" s="200"/>
      <c r="K110" s="200"/>
      <c r="L110" s="200"/>
      <c r="M110" s="200"/>
      <c r="N110" s="200"/>
      <c r="O110" s="200"/>
      <c r="P110" s="200"/>
    </row>
    <row r="111" spans="1:16" ht="68.400000000000006" x14ac:dyDescent="0.3">
      <c r="A111" s="197"/>
      <c r="B111" s="197"/>
      <c r="C111" s="198"/>
      <c r="D111" s="199"/>
      <c r="E111" s="198" t="s">
        <v>198</v>
      </c>
      <c r="F111" s="197" t="s">
        <v>199</v>
      </c>
      <c r="G111" s="205">
        <v>46387</v>
      </c>
      <c r="H111" s="201">
        <v>46387</v>
      </c>
      <c r="I111" s="197" t="s">
        <v>20</v>
      </c>
      <c r="J111" s="200"/>
      <c r="K111" s="200"/>
      <c r="L111" s="200"/>
      <c r="M111" s="200"/>
      <c r="N111" s="200"/>
      <c r="O111" s="200"/>
      <c r="P111" s="200"/>
    </row>
    <row r="112" spans="1:16" ht="79.8" x14ac:dyDescent="0.3">
      <c r="A112" s="197"/>
      <c r="B112" s="197"/>
      <c r="C112" s="198" t="s">
        <v>211</v>
      </c>
      <c r="D112" s="199" t="s">
        <v>188</v>
      </c>
      <c r="E112" s="198" t="s">
        <v>213</v>
      </c>
      <c r="F112" s="197" t="s">
        <v>210</v>
      </c>
      <c r="G112" s="204" t="s">
        <v>775</v>
      </c>
      <c r="H112" s="201">
        <v>45875</v>
      </c>
      <c r="I112" s="197" t="s">
        <v>20</v>
      </c>
      <c r="J112" s="200"/>
      <c r="K112" s="200"/>
      <c r="L112" s="200"/>
      <c r="M112" s="200"/>
      <c r="N112" s="200"/>
      <c r="O112" s="200"/>
      <c r="P112" s="200"/>
    </row>
    <row r="113" spans="1:16" ht="34.200000000000003" x14ac:dyDescent="0.3">
      <c r="A113" s="197"/>
      <c r="B113" s="197"/>
      <c r="C113" s="198" t="s">
        <v>206</v>
      </c>
      <c r="D113" s="199" t="s">
        <v>188</v>
      </c>
      <c r="E113" s="198" t="s">
        <v>651</v>
      </c>
      <c r="F113" s="197" t="s">
        <v>148</v>
      </c>
      <c r="G113" s="204" t="s">
        <v>169</v>
      </c>
      <c r="H113" s="197" t="s">
        <v>169</v>
      </c>
      <c r="I113" s="197" t="s">
        <v>20</v>
      </c>
      <c r="J113" s="200"/>
      <c r="K113" s="200"/>
      <c r="L113" s="200"/>
      <c r="M113" s="200"/>
      <c r="N113" s="200"/>
      <c r="O113" s="200"/>
      <c r="P113" s="200"/>
    </row>
    <row r="114" spans="1:16" ht="57" x14ac:dyDescent="0.3">
      <c r="A114" s="197"/>
      <c r="B114" s="197"/>
      <c r="C114" s="198" t="s">
        <v>216</v>
      </c>
      <c r="D114" s="199" t="s">
        <v>188</v>
      </c>
      <c r="E114" s="198" t="s">
        <v>218</v>
      </c>
      <c r="F114" s="197" t="s">
        <v>210</v>
      </c>
      <c r="G114" s="204" t="s">
        <v>775</v>
      </c>
      <c r="H114" s="201">
        <v>45875</v>
      </c>
      <c r="I114" s="197" t="s">
        <v>20</v>
      </c>
      <c r="J114" s="200"/>
      <c r="K114" s="200"/>
      <c r="L114" s="200"/>
      <c r="M114" s="200"/>
      <c r="N114" s="200"/>
      <c r="O114" s="200"/>
      <c r="P114" s="200"/>
    </row>
    <row r="115" spans="1:16" ht="68.400000000000006" x14ac:dyDescent="0.3">
      <c r="A115" s="197"/>
      <c r="B115" s="197"/>
      <c r="C115" s="198" t="s">
        <v>226</v>
      </c>
      <c r="D115" s="199" t="s">
        <v>188</v>
      </c>
      <c r="E115" s="198" t="s">
        <v>228</v>
      </c>
      <c r="F115" s="197" t="s">
        <v>210</v>
      </c>
      <c r="G115" s="204" t="s">
        <v>775</v>
      </c>
      <c r="H115" s="201">
        <v>45960</v>
      </c>
      <c r="I115" s="197" t="s">
        <v>20</v>
      </c>
      <c r="J115" s="200"/>
      <c r="K115" s="200"/>
      <c r="L115" s="200"/>
      <c r="M115" s="200"/>
      <c r="N115" s="200"/>
      <c r="O115" s="200"/>
      <c r="P115" s="200"/>
    </row>
    <row r="116" spans="1:16" ht="34.200000000000003" x14ac:dyDescent="0.3">
      <c r="A116" s="197"/>
      <c r="B116" s="197"/>
      <c r="C116" s="198" t="s">
        <v>193</v>
      </c>
      <c r="D116" s="199" t="s">
        <v>188</v>
      </c>
      <c r="E116" s="198" t="s">
        <v>195</v>
      </c>
      <c r="F116" s="197" t="s">
        <v>190</v>
      </c>
      <c r="G116" s="204" t="s">
        <v>775</v>
      </c>
      <c r="H116" s="201">
        <v>45945</v>
      </c>
      <c r="I116" s="197" t="s">
        <v>20</v>
      </c>
      <c r="J116" s="200"/>
      <c r="K116" s="200"/>
      <c r="L116" s="200"/>
      <c r="M116" s="200"/>
      <c r="N116" s="200"/>
      <c r="O116" s="200"/>
      <c r="P116" s="200"/>
    </row>
    <row r="117" spans="1:16" ht="57" x14ac:dyDescent="0.3">
      <c r="A117" s="197"/>
      <c r="B117" s="197"/>
      <c r="C117" s="198" t="s">
        <v>221</v>
      </c>
      <c r="D117" s="199" t="s">
        <v>188</v>
      </c>
      <c r="E117" s="198" t="s">
        <v>223</v>
      </c>
      <c r="F117" s="197" t="s">
        <v>210</v>
      </c>
      <c r="G117" s="204" t="s">
        <v>775</v>
      </c>
      <c r="H117" s="201">
        <v>45881</v>
      </c>
      <c r="I117" s="197" t="s">
        <v>20</v>
      </c>
      <c r="J117" s="200"/>
      <c r="K117" s="200"/>
      <c r="L117" s="200"/>
      <c r="M117" s="200"/>
      <c r="N117" s="200"/>
      <c r="O117" s="200"/>
      <c r="P117" s="200"/>
    </row>
    <row r="118" spans="1:16" ht="57" x14ac:dyDescent="0.3">
      <c r="A118" s="197"/>
      <c r="B118" s="197"/>
      <c r="C118" s="198" t="s">
        <v>182</v>
      </c>
      <c r="D118" s="199" t="s">
        <v>188</v>
      </c>
      <c r="E118" s="198" t="s">
        <v>243</v>
      </c>
      <c r="F118" s="197" t="s">
        <v>17</v>
      </c>
      <c r="G118" s="204" t="s">
        <v>775</v>
      </c>
      <c r="H118" s="201">
        <v>45853</v>
      </c>
      <c r="I118" s="197" t="s">
        <v>20</v>
      </c>
      <c r="J118" s="200"/>
      <c r="K118" s="200"/>
      <c r="L118" s="200"/>
      <c r="M118" s="200"/>
      <c r="N118" s="200"/>
      <c r="O118" s="200"/>
      <c r="P118" s="200"/>
    </row>
    <row r="119" spans="1:16" ht="125.4" x14ac:dyDescent="0.3">
      <c r="A119" s="197"/>
      <c r="B119" s="197"/>
      <c r="C119" s="198"/>
      <c r="D119" s="199" t="s">
        <v>774</v>
      </c>
      <c r="E119" s="198" t="s">
        <v>202</v>
      </c>
      <c r="F119" s="197" t="s">
        <v>203</v>
      </c>
      <c r="G119" s="204" t="s">
        <v>775</v>
      </c>
      <c r="H119" s="201">
        <v>45992</v>
      </c>
      <c r="I119" s="197" t="s">
        <v>20</v>
      </c>
      <c r="J119" s="200"/>
      <c r="K119" s="200"/>
      <c r="L119" s="200"/>
      <c r="M119" s="200"/>
      <c r="N119" s="200"/>
      <c r="O119" s="200"/>
      <c r="P119" s="200"/>
    </row>
    <row r="120" spans="1:16" ht="57" x14ac:dyDescent="0.3">
      <c r="A120" s="197"/>
      <c r="B120" s="197"/>
      <c r="C120" s="198"/>
      <c r="D120" s="199"/>
      <c r="E120" s="198" t="s">
        <v>238</v>
      </c>
      <c r="F120" s="197" t="s">
        <v>239</v>
      </c>
      <c r="G120" s="204" t="s">
        <v>775</v>
      </c>
      <c r="H120" s="201">
        <v>46006</v>
      </c>
      <c r="I120" s="197" t="s">
        <v>20</v>
      </c>
      <c r="J120" s="200"/>
      <c r="K120" s="200"/>
      <c r="L120" s="200"/>
      <c r="M120" s="200"/>
      <c r="N120" s="200"/>
      <c r="O120" s="200"/>
      <c r="P120" s="200"/>
    </row>
    <row r="121" spans="1:16" ht="34.200000000000003" x14ac:dyDescent="0.3">
      <c r="A121" s="197"/>
      <c r="B121" s="197"/>
      <c r="C121" s="198"/>
      <c r="D121" s="199"/>
      <c r="E121" s="198" t="s">
        <v>246</v>
      </c>
      <c r="F121" s="197" t="s">
        <v>17</v>
      </c>
      <c r="G121" s="204" t="s">
        <v>775</v>
      </c>
      <c r="H121" s="201">
        <v>46032</v>
      </c>
      <c r="I121" s="197" t="s">
        <v>20</v>
      </c>
      <c r="J121" s="200"/>
      <c r="K121" s="200"/>
      <c r="L121" s="200"/>
      <c r="M121" s="200"/>
      <c r="N121" s="200"/>
      <c r="O121" s="200"/>
      <c r="P121" s="200"/>
    </row>
    <row r="122" spans="1:16" ht="34.200000000000003" x14ac:dyDescent="0.3">
      <c r="A122" s="197"/>
      <c r="B122" s="197"/>
      <c r="C122" s="198"/>
      <c r="D122" s="199"/>
      <c r="E122" s="198" t="s">
        <v>249</v>
      </c>
      <c r="F122" s="197" t="s">
        <v>17</v>
      </c>
      <c r="G122" s="204" t="s">
        <v>775</v>
      </c>
      <c r="H122" s="201">
        <v>46052</v>
      </c>
      <c r="I122" s="197" t="s">
        <v>20</v>
      </c>
      <c r="J122" s="200"/>
      <c r="K122" s="200"/>
      <c r="L122" s="200"/>
      <c r="M122" s="200"/>
      <c r="N122" s="200"/>
      <c r="O122" s="200"/>
      <c r="P122" s="200"/>
    </row>
    <row r="123" spans="1:16" ht="57" x14ac:dyDescent="0.3">
      <c r="A123" s="197"/>
      <c r="B123" s="197"/>
      <c r="C123" s="198"/>
      <c r="D123" s="199"/>
      <c r="E123" s="198" t="s">
        <v>183</v>
      </c>
      <c r="F123" s="197" t="s">
        <v>144</v>
      </c>
      <c r="G123" s="204" t="s">
        <v>775</v>
      </c>
      <c r="H123" s="201">
        <v>46081</v>
      </c>
      <c r="I123" s="197" t="s">
        <v>20</v>
      </c>
      <c r="J123" s="200"/>
      <c r="K123" s="200"/>
      <c r="L123" s="200"/>
      <c r="M123" s="200"/>
      <c r="N123" s="200"/>
      <c r="O123" s="200"/>
      <c r="P123" s="200"/>
    </row>
    <row r="124" spans="1:16" ht="57" x14ac:dyDescent="0.3">
      <c r="A124" s="197"/>
      <c r="B124" s="197" t="s">
        <v>486</v>
      </c>
      <c r="C124" s="198" t="s">
        <v>487</v>
      </c>
      <c r="D124" s="199" t="s">
        <v>254</v>
      </c>
      <c r="E124" s="198" t="s">
        <v>488</v>
      </c>
      <c r="F124" s="197" t="s">
        <v>269</v>
      </c>
      <c r="G124" s="204" t="s">
        <v>775</v>
      </c>
      <c r="H124" s="201">
        <v>46203</v>
      </c>
      <c r="I124" s="197" t="s">
        <v>20</v>
      </c>
      <c r="J124" s="200"/>
      <c r="K124" s="200"/>
      <c r="L124" s="200"/>
      <c r="M124" s="200"/>
      <c r="N124" s="200"/>
      <c r="O124" s="200"/>
      <c r="P124" s="200"/>
    </row>
    <row r="125" spans="1:16" ht="79.8" x14ac:dyDescent="0.3">
      <c r="A125" s="197"/>
      <c r="B125" s="197"/>
      <c r="C125" s="198"/>
      <c r="D125" s="199" t="s">
        <v>774</v>
      </c>
      <c r="E125" s="198" t="s">
        <v>490</v>
      </c>
      <c r="F125" s="197" t="s">
        <v>269</v>
      </c>
      <c r="G125" s="204" t="s">
        <v>775</v>
      </c>
      <c r="H125" s="201">
        <v>46203</v>
      </c>
      <c r="I125" s="197" t="s">
        <v>20</v>
      </c>
      <c r="J125" s="200"/>
      <c r="K125" s="200"/>
      <c r="L125" s="200"/>
      <c r="M125" s="200"/>
      <c r="N125" s="200"/>
      <c r="O125" s="200"/>
      <c r="P125" s="200"/>
    </row>
    <row r="126" spans="1:16" ht="148.19999999999999" x14ac:dyDescent="0.3">
      <c r="A126" s="197"/>
      <c r="B126" s="197"/>
      <c r="C126" s="198" t="s">
        <v>491</v>
      </c>
      <c r="D126" s="199" t="s">
        <v>188</v>
      </c>
      <c r="E126" s="198" t="s">
        <v>492</v>
      </c>
      <c r="F126" s="197" t="s">
        <v>269</v>
      </c>
      <c r="G126" s="205">
        <v>46295</v>
      </c>
      <c r="H126" s="201">
        <v>46295</v>
      </c>
      <c r="I126" s="197" t="s">
        <v>201</v>
      </c>
      <c r="J126" s="199"/>
      <c r="K126" s="199"/>
      <c r="L126" s="199"/>
      <c r="M126" s="199"/>
      <c r="N126" s="199" t="s">
        <v>665</v>
      </c>
      <c r="O126" s="200"/>
      <c r="P126" s="200"/>
    </row>
    <row r="127" spans="1:16" ht="45.6" x14ac:dyDescent="0.3">
      <c r="A127" s="197"/>
      <c r="B127" s="197"/>
      <c r="C127" s="198" t="s">
        <v>494</v>
      </c>
      <c r="D127" s="199" t="s">
        <v>188</v>
      </c>
      <c r="E127" s="198" t="s">
        <v>495</v>
      </c>
      <c r="F127" s="197" t="s">
        <v>269</v>
      </c>
      <c r="G127" s="204" t="s">
        <v>775</v>
      </c>
      <c r="H127" s="201">
        <v>46203</v>
      </c>
      <c r="I127" s="197" t="s">
        <v>20</v>
      </c>
      <c r="J127" s="200"/>
      <c r="K127" s="200"/>
      <c r="L127" s="200"/>
      <c r="M127" s="200"/>
      <c r="N127" s="200"/>
      <c r="O127" s="200"/>
      <c r="P127" s="200"/>
    </row>
    <row r="128" spans="1:16" ht="45.6" x14ac:dyDescent="0.3">
      <c r="A128" s="197"/>
      <c r="B128" s="197"/>
      <c r="C128" s="198"/>
      <c r="D128" s="199" t="s">
        <v>774</v>
      </c>
      <c r="E128" s="198" t="s">
        <v>497</v>
      </c>
      <c r="F128" s="197" t="s">
        <v>269</v>
      </c>
      <c r="G128" s="204" t="s">
        <v>775</v>
      </c>
      <c r="H128" s="201">
        <v>46203</v>
      </c>
      <c r="I128" s="197" t="s">
        <v>20</v>
      </c>
      <c r="J128" s="200"/>
      <c r="K128" s="200"/>
      <c r="L128" s="200"/>
      <c r="M128" s="200"/>
      <c r="N128" s="200"/>
      <c r="O128" s="200"/>
      <c r="P128" s="200"/>
    </row>
    <row r="129" spans="1:16" ht="79.8" x14ac:dyDescent="0.3">
      <c r="A129" s="197"/>
      <c r="B129" s="197"/>
      <c r="C129" s="198" t="s">
        <v>498</v>
      </c>
      <c r="D129" s="199" t="s">
        <v>280</v>
      </c>
      <c r="E129" s="198" t="s">
        <v>500</v>
      </c>
      <c r="F129" s="197" t="s">
        <v>269</v>
      </c>
      <c r="G129" s="204" t="s">
        <v>775</v>
      </c>
      <c r="H129" s="201">
        <v>46203</v>
      </c>
      <c r="I129" s="197" t="s">
        <v>33</v>
      </c>
      <c r="J129" s="199"/>
      <c r="K129" s="199"/>
      <c r="L129" s="199"/>
      <c r="M129" s="199"/>
      <c r="N129" s="199" t="s">
        <v>665</v>
      </c>
      <c r="O129" s="200"/>
      <c r="P129" s="200"/>
    </row>
    <row r="130" spans="1:16" ht="79.8" x14ac:dyDescent="0.3">
      <c r="A130" s="197"/>
      <c r="B130" s="197" t="s">
        <v>327</v>
      </c>
      <c r="C130" s="198" t="s">
        <v>348</v>
      </c>
      <c r="D130" s="199" t="s">
        <v>280</v>
      </c>
      <c r="E130" s="198" t="s">
        <v>350</v>
      </c>
      <c r="F130" s="197" t="s">
        <v>256</v>
      </c>
      <c r="G130" s="204" t="s">
        <v>775</v>
      </c>
      <c r="H130" s="201">
        <v>45915</v>
      </c>
      <c r="I130" s="197" t="s">
        <v>20</v>
      </c>
      <c r="J130" s="200"/>
      <c r="K130" s="200"/>
      <c r="L130" s="200"/>
      <c r="M130" s="200"/>
      <c r="N130" s="200"/>
      <c r="O130" s="200"/>
      <c r="P130" s="200"/>
    </row>
    <row r="131" spans="1:16" ht="79.8" x14ac:dyDescent="0.3">
      <c r="A131" s="197"/>
      <c r="B131" s="197"/>
      <c r="C131" s="198" t="s">
        <v>328</v>
      </c>
      <c r="D131" s="199" t="s">
        <v>254</v>
      </c>
      <c r="E131" s="198" t="s">
        <v>330</v>
      </c>
      <c r="F131" s="197" t="s">
        <v>256</v>
      </c>
      <c r="G131" s="204" t="s">
        <v>775</v>
      </c>
      <c r="H131" s="201">
        <v>45884</v>
      </c>
      <c r="I131" s="197" t="s">
        <v>20</v>
      </c>
      <c r="J131" s="200"/>
      <c r="K131" s="200"/>
      <c r="L131" s="200"/>
      <c r="M131" s="200"/>
      <c r="N131" s="200"/>
      <c r="O131" s="200"/>
      <c r="P131" s="200"/>
    </row>
    <row r="132" spans="1:16" ht="102.6" x14ac:dyDescent="0.3">
      <c r="A132" s="197"/>
      <c r="B132" s="197"/>
      <c r="C132" s="198" t="s">
        <v>332</v>
      </c>
      <c r="D132" s="199" t="s">
        <v>254</v>
      </c>
      <c r="E132" s="198" t="s">
        <v>1013</v>
      </c>
      <c r="F132" s="197" t="s">
        <v>256</v>
      </c>
      <c r="G132" s="204" t="s">
        <v>775</v>
      </c>
      <c r="H132" s="201">
        <v>46022</v>
      </c>
      <c r="I132" s="197" t="s">
        <v>20</v>
      </c>
      <c r="J132" s="200"/>
      <c r="K132" s="200"/>
      <c r="L132" s="200"/>
      <c r="M132" s="200"/>
      <c r="N132" s="200"/>
      <c r="O132" s="200"/>
      <c r="P132" s="200"/>
    </row>
    <row r="133" spans="1:16" ht="102.6" x14ac:dyDescent="0.3">
      <c r="A133" s="197"/>
      <c r="B133" s="197"/>
      <c r="C133" s="198"/>
      <c r="D133" s="199" t="s">
        <v>774</v>
      </c>
      <c r="E133" s="198" t="s">
        <v>1014</v>
      </c>
      <c r="F133" s="197" t="s">
        <v>256</v>
      </c>
      <c r="G133" s="204" t="s">
        <v>775</v>
      </c>
      <c r="H133" s="201">
        <v>46022</v>
      </c>
      <c r="I133" s="197" t="s">
        <v>20</v>
      </c>
      <c r="J133" s="200"/>
      <c r="K133" s="200"/>
      <c r="L133" s="200"/>
      <c r="M133" s="200"/>
      <c r="N133" s="200"/>
      <c r="O133" s="200"/>
      <c r="P133" s="200"/>
    </row>
    <row r="134" spans="1:16" ht="136.80000000000001" x14ac:dyDescent="0.3">
      <c r="A134" s="197"/>
      <c r="B134" s="197"/>
      <c r="C134" s="198" t="s">
        <v>339</v>
      </c>
      <c r="D134" s="199" t="s">
        <v>188</v>
      </c>
      <c r="E134" s="198" t="s">
        <v>341</v>
      </c>
      <c r="F134" s="197" t="s">
        <v>256</v>
      </c>
      <c r="G134" s="204" t="s">
        <v>775</v>
      </c>
      <c r="H134" s="201">
        <v>45915</v>
      </c>
      <c r="I134" s="197" t="s">
        <v>20</v>
      </c>
      <c r="J134" s="200"/>
      <c r="K134" s="200"/>
      <c r="L134" s="200"/>
      <c r="M134" s="200"/>
      <c r="N134" s="200"/>
      <c r="O134" s="200"/>
      <c r="P134" s="200"/>
    </row>
    <row r="135" spans="1:16" ht="57" x14ac:dyDescent="0.3">
      <c r="A135" s="197"/>
      <c r="B135" s="197"/>
      <c r="C135" s="198" t="s">
        <v>344</v>
      </c>
      <c r="D135" s="199" t="s">
        <v>188</v>
      </c>
      <c r="E135" s="198" t="s">
        <v>346</v>
      </c>
      <c r="F135" s="197" t="s">
        <v>256</v>
      </c>
      <c r="G135" s="204" t="s">
        <v>775</v>
      </c>
      <c r="H135" s="201">
        <v>46022</v>
      </c>
      <c r="I135" s="197" t="s">
        <v>20</v>
      </c>
      <c r="J135" s="200"/>
      <c r="K135" s="200"/>
      <c r="L135" s="200"/>
      <c r="M135" s="200"/>
      <c r="N135" s="200"/>
      <c r="O135" s="200"/>
      <c r="P135" s="200"/>
    </row>
    <row r="136" spans="1:16" ht="91.2" x14ac:dyDescent="0.3">
      <c r="A136" s="197"/>
      <c r="B136" s="197"/>
      <c r="C136" s="198" t="s">
        <v>353</v>
      </c>
      <c r="D136" s="199" t="s">
        <v>280</v>
      </c>
      <c r="E136" s="198" t="s">
        <v>354</v>
      </c>
      <c r="F136" s="197" t="s">
        <v>256</v>
      </c>
      <c r="G136" s="204" t="s">
        <v>775</v>
      </c>
      <c r="H136" s="201">
        <v>46022</v>
      </c>
      <c r="I136" s="197" t="s">
        <v>20</v>
      </c>
      <c r="J136" s="200"/>
      <c r="K136" s="200"/>
      <c r="L136" s="200"/>
      <c r="M136" s="200"/>
      <c r="N136" s="200"/>
      <c r="O136" s="200"/>
      <c r="P136" s="200"/>
    </row>
    <row r="137" spans="1:16" ht="45.6" x14ac:dyDescent="0.3">
      <c r="A137" s="197"/>
      <c r="B137" s="197"/>
      <c r="C137" s="198" t="s">
        <v>356</v>
      </c>
      <c r="D137" s="199" t="s">
        <v>280</v>
      </c>
      <c r="E137" s="198" t="s">
        <v>358</v>
      </c>
      <c r="F137" s="197" t="s">
        <v>256</v>
      </c>
      <c r="G137" s="204" t="s">
        <v>775</v>
      </c>
      <c r="H137" s="201">
        <v>46001</v>
      </c>
      <c r="I137" s="197" t="s">
        <v>20</v>
      </c>
      <c r="J137" s="200"/>
      <c r="K137" s="200"/>
      <c r="L137" s="200"/>
      <c r="M137" s="200"/>
      <c r="N137" s="200"/>
      <c r="O137" s="200"/>
      <c r="P137" s="200"/>
    </row>
    <row r="138" spans="1:16" ht="57" x14ac:dyDescent="0.3">
      <c r="A138" s="197"/>
      <c r="B138" s="197" t="s">
        <v>477</v>
      </c>
      <c r="C138" s="198" t="s">
        <v>478</v>
      </c>
      <c r="D138" s="199" t="s">
        <v>188</v>
      </c>
      <c r="E138" s="198" t="s">
        <v>480</v>
      </c>
      <c r="F138" s="197" t="s">
        <v>190</v>
      </c>
      <c r="G138" s="204" t="s">
        <v>775</v>
      </c>
      <c r="H138" s="201">
        <v>46052</v>
      </c>
      <c r="I138" s="197" t="s">
        <v>20</v>
      </c>
      <c r="J138" s="200"/>
      <c r="K138" s="200"/>
      <c r="L138" s="200"/>
      <c r="M138" s="200"/>
      <c r="N138" s="200"/>
      <c r="O138" s="200"/>
      <c r="P138" s="200"/>
    </row>
    <row r="139" spans="1:16" ht="57" x14ac:dyDescent="0.3">
      <c r="A139" s="197"/>
      <c r="B139" s="197"/>
      <c r="C139" s="198" t="s">
        <v>482</v>
      </c>
      <c r="D139" s="199" t="s">
        <v>188</v>
      </c>
      <c r="E139" s="198" t="s">
        <v>484</v>
      </c>
      <c r="F139" s="197" t="s">
        <v>190</v>
      </c>
      <c r="G139" s="204" t="s">
        <v>775</v>
      </c>
      <c r="H139" s="201">
        <v>46052</v>
      </c>
      <c r="I139" s="197" t="s">
        <v>20</v>
      </c>
      <c r="J139" s="200"/>
      <c r="K139" s="200"/>
      <c r="L139" s="200"/>
      <c r="M139" s="200"/>
      <c r="N139" s="200"/>
      <c r="O139" s="200"/>
      <c r="P139" s="200"/>
    </row>
    <row r="140" spans="1:16" ht="57" x14ac:dyDescent="0.3">
      <c r="A140" s="197"/>
      <c r="B140" s="197" t="s">
        <v>360</v>
      </c>
      <c r="C140" s="198" t="s">
        <v>393</v>
      </c>
      <c r="D140" s="199" t="s">
        <v>280</v>
      </c>
      <c r="E140" s="198" t="s">
        <v>394</v>
      </c>
      <c r="F140" s="197" t="s">
        <v>210</v>
      </c>
      <c r="G140" s="204" t="s">
        <v>775</v>
      </c>
      <c r="H140" s="201">
        <v>46053</v>
      </c>
      <c r="I140" s="197" t="s">
        <v>20</v>
      </c>
      <c r="J140" s="200"/>
      <c r="K140" s="200"/>
      <c r="L140" s="200"/>
      <c r="M140" s="200"/>
      <c r="N140" s="200"/>
      <c r="O140" s="200"/>
      <c r="P140" s="200"/>
    </row>
    <row r="141" spans="1:16" ht="34.200000000000003" x14ac:dyDescent="0.3">
      <c r="A141" s="197"/>
      <c r="B141" s="197"/>
      <c r="C141" s="198" t="s">
        <v>385</v>
      </c>
      <c r="D141" s="199" t="s">
        <v>188</v>
      </c>
      <c r="E141" s="198" t="s">
        <v>386</v>
      </c>
      <c r="F141" s="197" t="s">
        <v>210</v>
      </c>
      <c r="G141" s="204" t="s">
        <v>775</v>
      </c>
      <c r="H141" s="201">
        <v>46006</v>
      </c>
      <c r="I141" s="197" t="s">
        <v>20</v>
      </c>
      <c r="J141" s="200"/>
      <c r="K141" s="200"/>
      <c r="L141" s="200"/>
      <c r="M141" s="200"/>
      <c r="N141" s="200"/>
      <c r="O141" s="200"/>
      <c r="P141" s="200"/>
    </row>
    <row r="142" spans="1:16" ht="57" x14ac:dyDescent="0.3">
      <c r="A142" s="197"/>
      <c r="B142" s="197"/>
      <c r="C142" s="198" t="s">
        <v>397</v>
      </c>
      <c r="D142" s="199" t="s">
        <v>280</v>
      </c>
      <c r="E142" s="198" t="s">
        <v>394</v>
      </c>
      <c r="F142" s="197" t="s">
        <v>210</v>
      </c>
      <c r="G142" s="204" t="s">
        <v>775</v>
      </c>
      <c r="H142" s="201">
        <v>46053</v>
      </c>
      <c r="I142" s="197" t="s">
        <v>20</v>
      </c>
      <c r="J142" s="200"/>
      <c r="K142" s="200"/>
      <c r="L142" s="200"/>
      <c r="M142" s="200"/>
      <c r="N142" s="200"/>
      <c r="O142" s="200"/>
      <c r="P142" s="200"/>
    </row>
    <row r="143" spans="1:16" ht="57" x14ac:dyDescent="0.3">
      <c r="A143" s="197"/>
      <c r="B143" s="197"/>
      <c r="C143" s="198" t="s">
        <v>365</v>
      </c>
      <c r="D143" s="199" t="s">
        <v>188</v>
      </c>
      <c r="E143" s="198" t="s">
        <v>366</v>
      </c>
      <c r="F143" s="197" t="s">
        <v>210</v>
      </c>
      <c r="G143" s="204" t="s">
        <v>775</v>
      </c>
      <c r="H143" s="201">
        <v>46203</v>
      </c>
      <c r="I143" s="197" t="s">
        <v>20</v>
      </c>
      <c r="J143" s="200"/>
      <c r="K143" s="200"/>
      <c r="L143" s="200"/>
      <c r="M143" s="200"/>
      <c r="N143" s="200"/>
      <c r="O143" s="200"/>
      <c r="P143" s="200"/>
    </row>
    <row r="144" spans="1:16" ht="91.2" x14ac:dyDescent="0.3">
      <c r="A144" s="197"/>
      <c r="B144" s="197"/>
      <c r="C144" s="198" t="s">
        <v>361</v>
      </c>
      <c r="D144" s="199" t="s">
        <v>254</v>
      </c>
      <c r="E144" s="198" t="s">
        <v>362</v>
      </c>
      <c r="F144" s="197" t="s">
        <v>210</v>
      </c>
      <c r="G144" s="204" t="s">
        <v>775</v>
      </c>
      <c r="H144" s="201">
        <v>46063</v>
      </c>
      <c r="I144" s="197" t="s">
        <v>20</v>
      </c>
      <c r="J144" s="200"/>
      <c r="K144" s="200"/>
      <c r="L144" s="200"/>
      <c r="M144" s="200"/>
      <c r="N144" s="200"/>
      <c r="O144" s="200"/>
      <c r="P144" s="200"/>
    </row>
    <row r="145" spans="1:16" ht="45.6" x14ac:dyDescent="0.3">
      <c r="A145" s="197"/>
      <c r="B145" s="197"/>
      <c r="C145" s="198" t="s">
        <v>377</v>
      </c>
      <c r="D145" s="207" t="s">
        <v>188</v>
      </c>
      <c r="E145" s="198" t="s">
        <v>378</v>
      </c>
      <c r="F145" s="197" t="s">
        <v>210</v>
      </c>
      <c r="G145" s="205">
        <v>46127</v>
      </c>
      <c r="H145" s="201">
        <v>46127</v>
      </c>
      <c r="I145" s="197" t="s">
        <v>20</v>
      </c>
      <c r="J145" s="200"/>
      <c r="K145" s="200"/>
      <c r="L145" s="200"/>
      <c r="M145" s="200"/>
      <c r="N145" s="200"/>
      <c r="O145" s="200"/>
      <c r="P145" s="200"/>
    </row>
    <row r="146" spans="1:16" ht="68.400000000000006" x14ac:dyDescent="0.3">
      <c r="A146" s="197"/>
      <c r="B146" s="197"/>
      <c r="C146" s="198" t="s">
        <v>369</v>
      </c>
      <c r="D146" s="199" t="s">
        <v>188</v>
      </c>
      <c r="E146" s="198" t="s">
        <v>370</v>
      </c>
      <c r="F146" s="197" t="s">
        <v>371</v>
      </c>
      <c r="G146" s="204" t="s">
        <v>1274</v>
      </c>
      <c r="H146" s="197" t="s">
        <v>1274</v>
      </c>
      <c r="I146" s="197" t="s">
        <v>33</v>
      </c>
      <c r="J146" s="199"/>
      <c r="K146" s="199"/>
      <c r="L146" s="199"/>
      <c r="M146" s="199"/>
      <c r="N146" s="199" t="s">
        <v>665</v>
      </c>
      <c r="O146" s="200"/>
      <c r="P146" s="200"/>
    </row>
    <row r="147" spans="1:16" ht="68.400000000000006" x14ac:dyDescent="0.3">
      <c r="A147" s="197"/>
      <c r="B147" s="197"/>
      <c r="C147" s="198"/>
      <c r="D147" s="199" t="s">
        <v>774</v>
      </c>
      <c r="E147" s="198" t="s">
        <v>373</v>
      </c>
      <c r="F147" s="197" t="s">
        <v>371</v>
      </c>
      <c r="G147" s="204" t="s">
        <v>775</v>
      </c>
      <c r="H147" s="201">
        <v>46142</v>
      </c>
      <c r="I147" s="197" t="s">
        <v>20</v>
      </c>
      <c r="J147" s="200"/>
      <c r="K147" s="200"/>
      <c r="L147" s="200"/>
      <c r="M147" s="200"/>
      <c r="N147" s="200"/>
      <c r="O147" s="200"/>
      <c r="P147" s="200"/>
    </row>
    <row r="148" spans="1:16" ht="57" x14ac:dyDescent="0.3">
      <c r="A148" s="197"/>
      <c r="B148" s="197"/>
      <c r="C148" s="198"/>
      <c r="D148" s="199"/>
      <c r="E148" s="198" t="s">
        <v>375</v>
      </c>
      <c r="F148" s="197" t="s">
        <v>210</v>
      </c>
      <c r="G148" s="204" t="s">
        <v>775</v>
      </c>
      <c r="H148" s="201">
        <v>46142</v>
      </c>
      <c r="I148" s="197" t="s">
        <v>20</v>
      </c>
      <c r="J148" s="200"/>
      <c r="K148" s="200"/>
      <c r="L148" s="200"/>
      <c r="M148" s="200"/>
      <c r="N148" s="200"/>
      <c r="O148" s="200"/>
      <c r="P148" s="200"/>
    </row>
    <row r="149" spans="1:16" ht="34.200000000000003" x14ac:dyDescent="0.3">
      <c r="A149" s="197"/>
      <c r="B149" s="197"/>
      <c r="C149" s="198" t="s">
        <v>389</v>
      </c>
      <c r="D149" s="199" t="s">
        <v>280</v>
      </c>
      <c r="E149" s="198" t="s">
        <v>390</v>
      </c>
      <c r="F149" s="197" t="s">
        <v>210</v>
      </c>
      <c r="G149" s="204" t="s">
        <v>775</v>
      </c>
      <c r="H149" s="201">
        <v>45992</v>
      </c>
      <c r="I149" s="197" t="s">
        <v>20</v>
      </c>
      <c r="J149" s="200"/>
      <c r="K149" s="200"/>
      <c r="L149" s="200"/>
      <c r="M149" s="200"/>
      <c r="N149" s="200"/>
      <c r="O149" s="200"/>
      <c r="P149" s="200"/>
    </row>
    <row r="150" spans="1:16" ht="68.400000000000006" x14ac:dyDescent="0.3">
      <c r="A150" s="197"/>
      <c r="B150" s="197"/>
      <c r="C150" s="198" t="s">
        <v>381</v>
      </c>
      <c r="D150" s="199" t="s">
        <v>188</v>
      </c>
      <c r="E150" s="198" t="s">
        <v>382</v>
      </c>
      <c r="F150" s="197" t="s">
        <v>210</v>
      </c>
      <c r="G150" s="204" t="s">
        <v>775</v>
      </c>
      <c r="H150" s="201">
        <v>46053</v>
      </c>
      <c r="I150" s="197" t="s">
        <v>20</v>
      </c>
      <c r="J150" s="200"/>
      <c r="K150" s="200"/>
      <c r="L150" s="200"/>
      <c r="M150" s="200"/>
      <c r="N150" s="200"/>
      <c r="O150" s="200"/>
      <c r="P150" s="200"/>
    </row>
    <row r="151" spans="1:16" x14ac:dyDescent="0.3">
      <c r="A151" s="200" t="s">
        <v>571</v>
      </c>
      <c r="B151" s="200"/>
      <c r="C151" s="200"/>
      <c r="D151" s="200"/>
      <c r="E151" s="200"/>
      <c r="F151" s="200"/>
      <c r="G151" s="200"/>
      <c r="H151" s="200"/>
      <c r="I151" s="200"/>
      <c r="J151" s="200"/>
      <c r="K151" s="200"/>
      <c r="L151" s="200"/>
      <c r="M151" s="200"/>
      <c r="N151" s="200"/>
      <c r="O151" s="200"/>
      <c r="P151" s="200"/>
    </row>
    <row r="152" spans="1:16" x14ac:dyDescent="0.3">
      <c r="A152"/>
      <c r="B152"/>
      <c r="C152"/>
      <c r="D152"/>
      <c r="E152"/>
      <c r="F152"/>
      <c r="G152"/>
      <c r="H152"/>
      <c r="I152"/>
      <c r="J152"/>
      <c r="K152"/>
    </row>
    <row r="153" spans="1:16" x14ac:dyDescent="0.3">
      <c r="A153"/>
      <c r="B153"/>
      <c r="C153"/>
      <c r="D153"/>
      <c r="E153"/>
      <c r="F153"/>
      <c r="G153"/>
      <c r="H153"/>
      <c r="I153"/>
      <c r="J153"/>
      <c r="K153"/>
    </row>
    <row r="154" spans="1:16" x14ac:dyDescent="0.3">
      <c r="A154"/>
      <c r="B154"/>
      <c r="C154"/>
      <c r="D154"/>
      <c r="E154"/>
      <c r="F154"/>
      <c r="G154"/>
      <c r="H154"/>
      <c r="I154"/>
      <c r="J154"/>
      <c r="K154"/>
    </row>
    <row r="155" spans="1:16" x14ac:dyDescent="0.3">
      <c r="A155"/>
      <c r="B155"/>
      <c r="C155"/>
      <c r="D155"/>
      <c r="E155"/>
      <c r="F155"/>
      <c r="G155"/>
      <c r="H155"/>
      <c r="I155"/>
      <c r="J155"/>
      <c r="K155"/>
    </row>
    <row r="156" spans="1:16" x14ac:dyDescent="0.3">
      <c r="A156"/>
      <c r="B156"/>
      <c r="C156"/>
      <c r="D156"/>
      <c r="E156"/>
      <c r="F156"/>
      <c r="G156"/>
      <c r="H156"/>
      <c r="I156"/>
      <c r="J156"/>
      <c r="K156"/>
    </row>
    <row r="157" spans="1:16" x14ac:dyDescent="0.3">
      <c r="A157"/>
      <c r="B157"/>
      <c r="C157"/>
      <c r="D157"/>
      <c r="E157"/>
      <c r="F157"/>
      <c r="G157"/>
      <c r="H157"/>
      <c r="I157"/>
      <c r="J157"/>
      <c r="K157"/>
    </row>
    <row r="158" spans="1:16" x14ac:dyDescent="0.3">
      <c r="A158"/>
      <c r="B158"/>
      <c r="C158"/>
      <c r="D158"/>
      <c r="E158"/>
      <c r="F158"/>
      <c r="G158"/>
      <c r="H158"/>
      <c r="I158"/>
      <c r="J158"/>
      <c r="K158"/>
    </row>
    <row r="159" spans="1:16" x14ac:dyDescent="0.3">
      <c r="A159"/>
      <c r="B159"/>
      <c r="C159"/>
      <c r="D159"/>
      <c r="E159"/>
      <c r="F159"/>
      <c r="G159"/>
      <c r="H159"/>
      <c r="I159"/>
      <c r="J159"/>
      <c r="K159"/>
    </row>
    <row r="160" spans="1:16" x14ac:dyDescent="0.3">
      <c r="A160"/>
      <c r="B160"/>
      <c r="C160"/>
      <c r="D160"/>
      <c r="E160"/>
      <c r="F160"/>
      <c r="G160"/>
      <c r="H160"/>
      <c r="I160"/>
      <c r="J160"/>
      <c r="K160"/>
    </row>
    <row r="161" spans="1:11" x14ac:dyDescent="0.3">
      <c r="A161"/>
      <c r="B161"/>
      <c r="C161"/>
      <c r="D161"/>
      <c r="E161"/>
      <c r="F161"/>
      <c r="G161"/>
      <c r="H161"/>
      <c r="I161"/>
      <c r="J161"/>
      <c r="K161"/>
    </row>
    <row r="162" spans="1:11" x14ac:dyDescent="0.3">
      <c r="A162"/>
      <c r="B162"/>
      <c r="C162"/>
      <c r="D162"/>
      <c r="E162"/>
      <c r="F162"/>
      <c r="G162"/>
      <c r="H162"/>
      <c r="I162"/>
      <c r="J162"/>
      <c r="K162"/>
    </row>
    <row r="163" spans="1:11" x14ac:dyDescent="0.3">
      <c r="A163"/>
      <c r="B163"/>
      <c r="C163"/>
      <c r="D163"/>
      <c r="E163"/>
      <c r="F163"/>
      <c r="G163"/>
      <c r="H163"/>
      <c r="I163"/>
      <c r="J163"/>
      <c r="K163"/>
    </row>
    <row r="164" spans="1:11" x14ac:dyDescent="0.3">
      <c r="A164"/>
      <c r="B164"/>
      <c r="C164"/>
      <c r="D164"/>
      <c r="E164"/>
      <c r="F164"/>
      <c r="G164"/>
      <c r="H164"/>
      <c r="I164"/>
      <c r="J164"/>
      <c r="K164"/>
    </row>
    <row r="165" spans="1:11" x14ac:dyDescent="0.3">
      <c r="A165"/>
      <c r="B165"/>
      <c r="C165"/>
      <c r="D165"/>
      <c r="E165"/>
      <c r="F165"/>
      <c r="G165"/>
      <c r="H165"/>
      <c r="I165"/>
      <c r="J165"/>
      <c r="K165"/>
    </row>
    <row r="166" spans="1:11" x14ac:dyDescent="0.3">
      <c r="A166"/>
      <c r="B166"/>
      <c r="C166"/>
      <c r="D166"/>
      <c r="E166"/>
      <c r="F166"/>
      <c r="G166"/>
      <c r="H166"/>
      <c r="I166"/>
      <c r="J166"/>
      <c r="K166"/>
    </row>
    <row r="167" spans="1:11" x14ac:dyDescent="0.3">
      <c r="A167"/>
      <c r="B167"/>
      <c r="C167"/>
      <c r="D167"/>
      <c r="E167"/>
      <c r="F167"/>
      <c r="G167"/>
      <c r="H167"/>
      <c r="I167"/>
      <c r="J167"/>
      <c r="K167"/>
    </row>
    <row r="168" spans="1:11" x14ac:dyDescent="0.3">
      <c r="A168"/>
      <c r="B168"/>
      <c r="C168"/>
      <c r="D168"/>
      <c r="E168"/>
      <c r="F168"/>
      <c r="G168"/>
      <c r="H168"/>
      <c r="I168"/>
      <c r="J168"/>
      <c r="K168"/>
    </row>
    <row r="169" spans="1:11" x14ac:dyDescent="0.3">
      <c r="A169"/>
      <c r="B169"/>
      <c r="C169"/>
      <c r="D169"/>
      <c r="E169"/>
      <c r="F169"/>
      <c r="G169"/>
      <c r="H169"/>
      <c r="I169"/>
      <c r="J169"/>
      <c r="K169"/>
    </row>
    <row r="170" spans="1:11" x14ac:dyDescent="0.3">
      <c r="A170"/>
      <c r="B170"/>
      <c r="C170"/>
      <c r="D170"/>
      <c r="E170"/>
      <c r="F170"/>
      <c r="G170"/>
      <c r="H170"/>
      <c r="I170"/>
      <c r="J170"/>
      <c r="K170"/>
    </row>
    <row r="171" spans="1:11" x14ac:dyDescent="0.3">
      <c r="A171"/>
      <c r="B171"/>
      <c r="C171"/>
      <c r="D171"/>
      <c r="E171"/>
      <c r="F171"/>
      <c r="G171"/>
      <c r="H171"/>
      <c r="I171"/>
      <c r="J171"/>
      <c r="K171"/>
    </row>
    <row r="172" spans="1:11" x14ac:dyDescent="0.3">
      <c r="A172"/>
      <c r="B172"/>
      <c r="C172"/>
      <c r="D172"/>
      <c r="E172"/>
      <c r="F172"/>
      <c r="G172"/>
      <c r="H172"/>
      <c r="I172"/>
      <c r="J172"/>
      <c r="K172"/>
    </row>
    <row r="173" spans="1:11" x14ac:dyDescent="0.3">
      <c r="A173"/>
      <c r="B173"/>
      <c r="C173"/>
      <c r="D173"/>
      <c r="E173"/>
      <c r="F173"/>
      <c r="G173"/>
      <c r="H173"/>
      <c r="I173"/>
      <c r="J173"/>
      <c r="K173"/>
    </row>
    <row r="174" spans="1:11" x14ac:dyDescent="0.3">
      <c r="A174"/>
      <c r="B174"/>
      <c r="C174"/>
      <c r="D174"/>
      <c r="E174"/>
      <c r="F174"/>
      <c r="G174"/>
      <c r="H174"/>
      <c r="I174"/>
      <c r="J174"/>
      <c r="K174"/>
    </row>
    <row r="175" spans="1:11" x14ac:dyDescent="0.3">
      <c r="A175"/>
      <c r="B175"/>
      <c r="C175"/>
      <c r="D175"/>
      <c r="E175"/>
      <c r="F175"/>
      <c r="G175"/>
      <c r="H175"/>
      <c r="I175"/>
      <c r="J175"/>
      <c r="K175"/>
    </row>
    <row r="176" spans="1:11" x14ac:dyDescent="0.3">
      <c r="A176"/>
      <c r="B176"/>
      <c r="C176"/>
      <c r="D176"/>
      <c r="E176"/>
      <c r="F176"/>
      <c r="G176"/>
      <c r="H176"/>
      <c r="I176"/>
      <c r="J176"/>
      <c r="K176"/>
    </row>
    <row r="177" spans="1:11" x14ac:dyDescent="0.3">
      <c r="A177"/>
      <c r="B177"/>
      <c r="C177"/>
      <c r="D177"/>
      <c r="E177"/>
      <c r="F177"/>
      <c r="G177"/>
      <c r="H177"/>
      <c r="I177"/>
      <c r="J177"/>
      <c r="K177"/>
    </row>
    <row r="178" spans="1:11" x14ac:dyDescent="0.3">
      <c r="A178"/>
      <c r="B178"/>
      <c r="C178"/>
      <c r="D178"/>
      <c r="E178"/>
      <c r="F178"/>
      <c r="G178"/>
      <c r="H178"/>
      <c r="I178"/>
      <c r="J178"/>
      <c r="K178"/>
    </row>
    <row r="179" spans="1:11" x14ac:dyDescent="0.3">
      <c r="A179"/>
      <c r="B179"/>
      <c r="C179"/>
      <c r="D179"/>
      <c r="E179"/>
      <c r="F179"/>
      <c r="G179"/>
      <c r="H179"/>
      <c r="I179"/>
      <c r="J179"/>
      <c r="K179"/>
    </row>
    <row r="180" spans="1:11" x14ac:dyDescent="0.3">
      <c r="A180"/>
      <c r="B180"/>
      <c r="C180"/>
      <c r="D180"/>
      <c r="E180"/>
      <c r="F180"/>
      <c r="G180"/>
      <c r="H180"/>
      <c r="I180"/>
      <c r="J180"/>
      <c r="K180"/>
    </row>
    <row r="181" spans="1:11" x14ac:dyDescent="0.3">
      <c r="A181"/>
      <c r="B181"/>
      <c r="C181"/>
      <c r="D181"/>
      <c r="E181"/>
      <c r="F181"/>
      <c r="G181"/>
      <c r="H181"/>
      <c r="I181"/>
      <c r="J181"/>
      <c r="K181"/>
    </row>
    <row r="182" spans="1:11" x14ac:dyDescent="0.3">
      <c r="A182"/>
      <c r="B182"/>
      <c r="C182"/>
      <c r="D182"/>
      <c r="E182"/>
      <c r="F182"/>
      <c r="G182"/>
      <c r="H182"/>
      <c r="I182"/>
      <c r="J182"/>
      <c r="K182"/>
    </row>
    <row r="183" spans="1:11" x14ac:dyDescent="0.3">
      <c r="A183"/>
      <c r="B183"/>
      <c r="C183"/>
      <c r="D183"/>
      <c r="E183"/>
      <c r="F183"/>
      <c r="G183"/>
      <c r="H183"/>
      <c r="I183"/>
      <c r="J183"/>
      <c r="K183"/>
    </row>
    <row r="184" spans="1:11" x14ac:dyDescent="0.3">
      <c r="A184"/>
      <c r="B184"/>
      <c r="C184"/>
      <c r="D184"/>
      <c r="E184"/>
      <c r="F184"/>
      <c r="G184"/>
      <c r="H184"/>
      <c r="I184"/>
      <c r="J184"/>
      <c r="K184"/>
    </row>
    <row r="185" spans="1:11" x14ac:dyDescent="0.3">
      <c r="A185"/>
      <c r="B185"/>
      <c r="C185"/>
      <c r="D185"/>
      <c r="E185"/>
      <c r="F185"/>
      <c r="G185"/>
      <c r="H185"/>
      <c r="I185"/>
      <c r="J185"/>
      <c r="K185"/>
    </row>
    <row r="186" spans="1:11" x14ac:dyDescent="0.3">
      <c r="A186"/>
      <c r="B186"/>
      <c r="C186"/>
      <c r="D186"/>
      <c r="E186"/>
      <c r="F186"/>
      <c r="G186"/>
      <c r="H186"/>
      <c r="I186"/>
      <c r="J186"/>
      <c r="K186"/>
    </row>
    <row r="187" spans="1:11" x14ac:dyDescent="0.3">
      <c r="A187"/>
      <c r="B187"/>
      <c r="C187"/>
      <c r="D187"/>
      <c r="E187"/>
      <c r="F187"/>
      <c r="G187"/>
      <c r="H187"/>
      <c r="I187"/>
      <c r="J187"/>
      <c r="K187"/>
    </row>
    <row r="188" spans="1:11" x14ac:dyDescent="0.3">
      <c r="A188"/>
      <c r="B188"/>
      <c r="C188"/>
      <c r="D188"/>
      <c r="E188"/>
      <c r="F188"/>
      <c r="G188"/>
      <c r="H188"/>
      <c r="I188"/>
      <c r="J188"/>
      <c r="K188"/>
    </row>
    <row r="189" spans="1:11" x14ac:dyDescent="0.3">
      <c r="A189"/>
      <c r="B189"/>
      <c r="C189"/>
      <c r="D189"/>
      <c r="E189"/>
      <c r="F189"/>
      <c r="G189"/>
      <c r="H189"/>
      <c r="I189"/>
      <c r="J189"/>
      <c r="K189"/>
    </row>
    <row r="190" spans="1:11" x14ac:dyDescent="0.3">
      <c r="A190"/>
      <c r="B190"/>
      <c r="C190"/>
      <c r="D190"/>
      <c r="E190"/>
      <c r="F190"/>
      <c r="G190"/>
      <c r="H190"/>
      <c r="I190"/>
      <c r="J190"/>
      <c r="K190"/>
    </row>
    <row r="191" spans="1:11" x14ac:dyDescent="0.3">
      <c r="A191"/>
      <c r="B191"/>
      <c r="C191"/>
      <c r="D191"/>
      <c r="E191"/>
      <c r="F191"/>
      <c r="G191"/>
      <c r="H191"/>
      <c r="I191"/>
      <c r="J191"/>
      <c r="K191"/>
    </row>
    <row r="192" spans="1:11" x14ac:dyDescent="0.3">
      <c r="A192"/>
      <c r="B192"/>
      <c r="C192"/>
      <c r="D192"/>
      <c r="E192"/>
      <c r="F192"/>
      <c r="G192"/>
      <c r="H192"/>
      <c r="I192"/>
      <c r="J192"/>
      <c r="K192"/>
    </row>
    <row r="193" spans="1:11" x14ac:dyDescent="0.3">
      <c r="A193"/>
      <c r="B193"/>
      <c r="C193"/>
      <c r="D193"/>
      <c r="E193"/>
      <c r="F193"/>
      <c r="G193"/>
      <c r="H193"/>
      <c r="I193"/>
      <c r="J193"/>
      <c r="K193"/>
    </row>
    <row r="194" spans="1:11" x14ac:dyDescent="0.3">
      <c r="A194"/>
      <c r="B194"/>
      <c r="C194"/>
      <c r="D194"/>
      <c r="E194"/>
      <c r="F194"/>
      <c r="G194"/>
      <c r="H194"/>
      <c r="I194"/>
      <c r="J194"/>
      <c r="K194"/>
    </row>
    <row r="195" spans="1:11" x14ac:dyDescent="0.3">
      <c r="A195"/>
      <c r="B195"/>
      <c r="C195"/>
      <c r="D195"/>
      <c r="E195"/>
      <c r="F195"/>
      <c r="G195"/>
      <c r="H195"/>
      <c r="I195"/>
      <c r="J195"/>
      <c r="K195"/>
    </row>
    <row r="196" spans="1:11" x14ac:dyDescent="0.3">
      <c r="A196"/>
      <c r="B196"/>
      <c r="C196"/>
      <c r="D196"/>
      <c r="E196"/>
      <c r="F196"/>
      <c r="G196"/>
      <c r="H196"/>
      <c r="I196"/>
      <c r="J196"/>
      <c r="K196"/>
    </row>
    <row r="197" spans="1:11" x14ac:dyDescent="0.3">
      <c r="A197"/>
      <c r="B197"/>
      <c r="C197"/>
      <c r="D197"/>
      <c r="E197"/>
      <c r="F197"/>
      <c r="G197"/>
      <c r="H197"/>
      <c r="I197"/>
      <c r="J197"/>
      <c r="K197"/>
    </row>
    <row r="198" spans="1:11" x14ac:dyDescent="0.3">
      <c r="A198"/>
      <c r="B198"/>
      <c r="C198"/>
      <c r="D198"/>
      <c r="E198"/>
      <c r="F198"/>
      <c r="G198"/>
      <c r="H198"/>
      <c r="I198"/>
      <c r="J198"/>
      <c r="K198"/>
    </row>
    <row r="199" spans="1:11" x14ac:dyDescent="0.3">
      <c r="A199"/>
      <c r="B199"/>
      <c r="C199"/>
      <c r="D199"/>
      <c r="E199"/>
      <c r="F199"/>
      <c r="G199"/>
      <c r="H199"/>
      <c r="I199"/>
      <c r="J199"/>
      <c r="K199"/>
    </row>
    <row r="200" spans="1:11" x14ac:dyDescent="0.3">
      <c r="A200"/>
      <c r="B200"/>
      <c r="C200"/>
      <c r="D200"/>
      <c r="E200"/>
      <c r="F200"/>
      <c r="G200"/>
      <c r="H200"/>
      <c r="I200"/>
      <c r="J200"/>
      <c r="K200"/>
    </row>
    <row r="201" spans="1:11" x14ac:dyDescent="0.3">
      <c r="A201"/>
      <c r="B201"/>
      <c r="C201"/>
      <c r="D201"/>
      <c r="E201"/>
      <c r="F201"/>
      <c r="G201"/>
      <c r="H201"/>
      <c r="I201"/>
      <c r="J201"/>
      <c r="K201"/>
    </row>
    <row r="202" spans="1:11" x14ac:dyDescent="0.3">
      <c r="A202"/>
      <c r="B202"/>
      <c r="C202"/>
      <c r="D202"/>
      <c r="E202"/>
      <c r="F202"/>
      <c r="G202"/>
      <c r="H202"/>
      <c r="I202"/>
      <c r="J202"/>
      <c r="K202"/>
    </row>
    <row r="203" spans="1:11" x14ac:dyDescent="0.3">
      <c r="A203"/>
      <c r="B203"/>
      <c r="C203"/>
      <c r="D203"/>
      <c r="E203"/>
      <c r="F203"/>
      <c r="G203"/>
      <c r="H203"/>
      <c r="I203"/>
      <c r="J203"/>
      <c r="K203"/>
    </row>
    <row r="204" spans="1:11" x14ac:dyDescent="0.3">
      <c r="A204"/>
      <c r="B204"/>
      <c r="C204"/>
      <c r="D204"/>
      <c r="E204"/>
      <c r="F204"/>
      <c r="G204"/>
      <c r="H204"/>
      <c r="I204"/>
      <c r="J204"/>
      <c r="K204"/>
    </row>
    <row r="205" spans="1:11" x14ac:dyDescent="0.3">
      <c r="A205"/>
      <c r="B205"/>
      <c r="C205"/>
      <c r="D205"/>
      <c r="E205"/>
      <c r="F205"/>
      <c r="G205"/>
      <c r="H205"/>
      <c r="I205"/>
      <c r="J205"/>
      <c r="K205"/>
    </row>
    <row r="206" spans="1:11" x14ac:dyDescent="0.3">
      <c r="A206"/>
      <c r="B206"/>
      <c r="C206"/>
      <c r="D206"/>
      <c r="E206"/>
      <c r="F206"/>
      <c r="G206"/>
      <c r="H206"/>
      <c r="I206"/>
      <c r="J206"/>
      <c r="K206"/>
    </row>
    <row r="207" spans="1:11" x14ac:dyDescent="0.3">
      <c r="A207"/>
      <c r="B207"/>
      <c r="C207"/>
      <c r="D207"/>
      <c r="E207"/>
      <c r="F207"/>
      <c r="G207"/>
      <c r="H207"/>
      <c r="I207"/>
      <c r="J207"/>
      <c r="K207"/>
    </row>
    <row r="208" spans="1:11" x14ac:dyDescent="0.3">
      <c r="A208"/>
      <c r="B208"/>
      <c r="C208"/>
      <c r="D208"/>
      <c r="E208"/>
      <c r="F208"/>
      <c r="G208"/>
      <c r="H208"/>
      <c r="I208"/>
      <c r="J208"/>
      <c r="K208"/>
    </row>
    <row r="209" spans="1:11" x14ac:dyDescent="0.3">
      <c r="A209"/>
      <c r="B209"/>
      <c r="C209"/>
      <c r="D209"/>
      <c r="E209"/>
      <c r="F209"/>
      <c r="G209"/>
      <c r="H209"/>
      <c r="I209"/>
      <c r="J209"/>
      <c r="K209"/>
    </row>
    <row r="210" spans="1:11" x14ac:dyDescent="0.3">
      <c r="A210"/>
      <c r="B210"/>
      <c r="C210"/>
      <c r="D210"/>
      <c r="E210"/>
      <c r="F210"/>
      <c r="G210"/>
      <c r="H210"/>
      <c r="I210"/>
      <c r="J210"/>
      <c r="K210"/>
    </row>
    <row r="211" spans="1:11" x14ac:dyDescent="0.3">
      <c r="A211"/>
      <c r="B211"/>
      <c r="C211"/>
      <c r="D211"/>
      <c r="E211"/>
      <c r="F211"/>
      <c r="G211"/>
      <c r="H211"/>
      <c r="I211"/>
      <c r="J211"/>
      <c r="K211"/>
    </row>
    <row r="212" spans="1:11" x14ac:dyDescent="0.3">
      <c r="A212"/>
      <c r="B212"/>
      <c r="C212"/>
      <c r="D212"/>
      <c r="E212"/>
      <c r="F212"/>
      <c r="G212"/>
      <c r="H212"/>
      <c r="I212"/>
      <c r="J212"/>
      <c r="K212"/>
    </row>
    <row r="213" spans="1:11" x14ac:dyDescent="0.3">
      <c r="A213"/>
      <c r="B213"/>
      <c r="C213"/>
      <c r="D213"/>
      <c r="E213"/>
      <c r="F213"/>
      <c r="G213"/>
      <c r="H213"/>
      <c r="I213"/>
      <c r="J213"/>
      <c r="K213"/>
    </row>
    <row r="214" spans="1:11" x14ac:dyDescent="0.3">
      <c r="A214"/>
      <c r="B214"/>
      <c r="C214"/>
      <c r="D214"/>
      <c r="E214"/>
      <c r="F214"/>
      <c r="G214"/>
      <c r="H214"/>
      <c r="I214"/>
      <c r="J214"/>
      <c r="K214"/>
    </row>
    <row r="215" spans="1:11" x14ac:dyDescent="0.3">
      <c r="A215"/>
      <c r="B215"/>
      <c r="C215"/>
      <c r="D215"/>
      <c r="E215"/>
      <c r="F215"/>
      <c r="G215"/>
      <c r="H215"/>
      <c r="I215"/>
      <c r="J215"/>
      <c r="K215"/>
    </row>
    <row r="216" spans="1:11" x14ac:dyDescent="0.3">
      <c r="A216"/>
      <c r="B216"/>
      <c r="C216"/>
      <c r="D216"/>
      <c r="E216"/>
      <c r="F216"/>
      <c r="G216"/>
      <c r="H216"/>
      <c r="I216"/>
      <c r="J216"/>
      <c r="K216"/>
    </row>
    <row r="217" spans="1:11" x14ac:dyDescent="0.3">
      <c r="A217"/>
      <c r="B217"/>
      <c r="C217"/>
      <c r="D217"/>
      <c r="E217"/>
      <c r="F217"/>
      <c r="G217"/>
      <c r="H217"/>
      <c r="I217"/>
      <c r="J217"/>
      <c r="K217"/>
    </row>
    <row r="218" spans="1:11" x14ac:dyDescent="0.3">
      <c r="A218"/>
      <c r="B218"/>
      <c r="C218"/>
      <c r="D218"/>
      <c r="E218"/>
      <c r="F218"/>
      <c r="G218"/>
      <c r="H218"/>
      <c r="I218"/>
      <c r="J218"/>
      <c r="K218"/>
    </row>
    <row r="219" spans="1:11" x14ac:dyDescent="0.3">
      <c r="A219"/>
      <c r="B219"/>
      <c r="C219"/>
      <c r="D219"/>
      <c r="E219"/>
      <c r="F219"/>
      <c r="G219"/>
      <c r="H219"/>
      <c r="I219"/>
      <c r="J219"/>
      <c r="K219"/>
    </row>
    <row r="220" spans="1:11" x14ac:dyDescent="0.3">
      <c r="A220"/>
      <c r="B220"/>
      <c r="C220"/>
      <c r="D220"/>
      <c r="E220"/>
      <c r="F220"/>
      <c r="G220"/>
      <c r="H220"/>
      <c r="I220"/>
      <c r="J220"/>
      <c r="K220"/>
    </row>
    <row r="221" spans="1:11" x14ac:dyDescent="0.3">
      <c r="A221"/>
      <c r="B221"/>
      <c r="C221"/>
      <c r="D221"/>
      <c r="E221"/>
      <c r="F221"/>
      <c r="G221"/>
      <c r="H221"/>
      <c r="I221"/>
      <c r="J221"/>
      <c r="K221"/>
    </row>
    <row r="222" spans="1:11" x14ac:dyDescent="0.3">
      <c r="A222"/>
      <c r="B222"/>
      <c r="C222"/>
      <c r="D222"/>
      <c r="E222"/>
      <c r="F222"/>
      <c r="G222"/>
      <c r="H222"/>
      <c r="I222"/>
      <c r="J222"/>
      <c r="K222"/>
    </row>
    <row r="223" spans="1:11" x14ac:dyDescent="0.3">
      <c r="A223"/>
      <c r="B223"/>
      <c r="C223"/>
      <c r="D223"/>
      <c r="E223"/>
      <c r="F223"/>
      <c r="G223"/>
      <c r="H223"/>
      <c r="I223"/>
      <c r="J223"/>
      <c r="K223"/>
    </row>
    <row r="224" spans="1:11" x14ac:dyDescent="0.3">
      <c r="A224"/>
      <c r="B224"/>
      <c r="C224"/>
      <c r="D224"/>
      <c r="E224"/>
      <c r="F224"/>
      <c r="G224"/>
      <c r="H224"/>
      <c r="I224"/>
      <c r="J224"/>
      <c r="K224"/>
    </row>
    <row r="225" spans="1:11" x14ac:dyDescent="0.3">
      <c r="A225"/>
      <c r="B225"/>
      <c r="C225"/>
      <c r="D225"/>
      <c r="E225"/>
      <c r="F225"/>
      <c r="G225"/>
      <c r="H225"/>
      <c r="I225"/>
      <c r="J225"/>
      <c r="K225"/>
    </row>
    <row r="226" spans="1:11" x14ac:dyDescent="0.3">
      <c r="A226"/>
      <c r="B226"/>
      <c r="C226"/>
      <c r="D226"/>
      <c r="E226"/>
      <c r="F226"/>
      <c r="G226"/>
      <c r="H226"/>
      <c r="I226"/>
      <c r="J226"/>
      <c r="K226"/>
    </row>
    <row r="227" spans="1:11" x14ac:dyDescent="0.3">
      <c r="A227"/>
      <c r="B227"/>
      <c r="C227"/>
      <c r="D227"/>
      <c r="E227"/>
      <c r="F227"/>
      <c r="G227"/>
      <c r="H227"/>
      <c r="I227"/>
      <c r="J227"/>
      <c r="K227"/>
    </row>
    <row r="228" spans="1:11" x14ac:dyDescent="0.3">
      <c r="A228"/>
      <c r="B228"/>
      <c r="C228"/>
      <c r="D228"/>
      <c r="E228"/>
      <c r="F228"/>
      <c r="G228"/>
      <c r="H228"/>
      <c r="I228"/>
      <c r="J228"/>
      <c r="K228"/>
    </row>
    <row r="229" spans="1:11" x14ac:dyDescent="0.3">
      <c r="A229"/>
      <c r="B229"/>
      <c r="C229"/>
      <c r="D229"/>
      <c r="E229"/>
      <c r="F229"/>
      <c r="G229"/>
      <c r="H229"/>
      <c r="I229"/>
      <c r="J229"/>
      <c r="K229"/>
    </row>
    <row r="230" spans="1:11" x14ac:dyDescent="0.3">
      <c r="A230"/>
      <c r="B230"/>
      <c r="C230"/>
      <c r="D230"/>
      <c r="E230"/>
      <c r="F230"/>
      <c r="G230"/>
      <c r="H230"/>
      <c r="I230"/>
      <c r="J230"/>
      <c r="K230"/>
    </row>
    <row r="231" spans="1:11" x14ac:dyDescent="0.3">
      <c r="A231"/>
      <c r="B231"/>
      <c r="C231"/>
      <c r="D231"/>
      <c r="E231"/>
      <c r="F231"/>
      <c r="G231"/>
      <c r="H231"/>
      <c r="I231"/>
      <c r="J231"/>
      <c r="K231"/>
    </row>
    <row r="232" spans="1:11" x14ac:dyDescent="0.3">
      <c r="A232"/>
      <c r="B232"/>
      <c r="C232"/>
      <c r="D232"/>
      <c r="E232"/>
      <c r="F232"/>
      <c r="G232"/>
      <c r="H232"/>
      <c r="I232"/>
      <c r="J232"/>
      <c r="K232"/>
    </row>
    <row r="233" spans="1:11" x14ac:dyDescent="0.3">
      <c r="A233"/>
      <c r="B233"/>
      <c r="C233"/>
      <c r="D233"/>
      <c r="E233"/>
      <c r="F233"/>
      <c r="G233"/>
      <c r="H233"/>
      <c r="I233"/>
      <c r="J233"/>
      <c r="K233"/>
    </row>
    <row r="234" spans="1:11" x14ac:dyDescent="0.3">
      <c r="A234"/>
      <c r="B234"/>
      <c r="C234"/>
      <c r="D234"/>
      <c r="E234"/>
      <c r="F234"/>
      <c r="G234"/>
      <c r="H234"/>
      <c r="I234"/>
      <c r="J234"/>
      <c r="K234"/>
    </row>
    <row r="235" spans="1:11" x14ac:dyDescent="0.3">
      <c r="A235"/>
      <c r="B235"/>
      <c r="C235"/>
      <c r="D235"/>
      <c r="E235"/>
      <c r="F235"/>
      <c r="G235"/>
      <c r="H235"/>
      <c r="I235"/>
      <c r="J235"/>
      <c r="K235"/>
    </row>
    <row r="236" spans="1:11" x14ac:dyDescent="0.3">
      <c r="A236"/>
      <c r="B236"/>
      <c r="C236"/>
      <c r="D236"/>
      <c r="E236"/>
      <c r="F236"/>
      <c r="G236"/>
      <c r="H236"/>
      <c r="I236"/>
      <c r="J236"/>
      <c r="K236"/>
    </row>
    <row r="237" spans="1:11" x14ac:dyDescent="0.3">
      <c r="A237"/>
      <c r="B237"/>
      <c r="C237"/>
      <c r="D237"/>
      <c r="E237"/>
      <c r="F237"/>
      <c r="G237"/>
      <c r="H237"/>
      <c r="I237"/>
      <c r="J237"/>
      <c r="K237"/>
    </row>
    <row r="238" spans="1:11" x14ac:dyDescent="0.3">
      <c r="A238"/>
      <c r="B238"/>
      <c r="C238"/>
      <c r="D238"/>
      <c r="E238"/>
      <c r="F238"/>
      <c r="G238"/>
      <c r="H238"/>
      <c r="I238"/>
      <c r="J238"/>
      <c r="K238"/>
    </row>
    <row r="239" spans="1:11" x14ac:dyDescent="0.3">
      <c r="A239"/>
      <c r="B239"/>
      <c r="C239"/>
      <c r="D239"/>
      <c r="E239"/>
      <c r="F239"/>
      <c r="G239"/>
      <c r="H239"/>
      <c r="I239"/>
      <c r="J239"/>
      <c r="K239"/>
    </row>
    <row r="240" spans="1:11" x14ac:dyDescent="0.3">
      <c r="A240"/>
      <c r="B240"/>
      <c r="C240"/>
      <c r="D240"/>
      <c r="E240"/>
      <c r="F240"/>
      <c r="G240"/>
      <c r="H240"/>
      <c r="I240"/>
      <c r="J240"/>
      <c r="K240"/>
    </row>
    <row r="241" spans="1:11" x14ac:dyDescent="0.3">
      <c r="A241"/>
      <c r="B241"/>
      <c r="C241"/>
      <c r="D241"/>
      <c r="E241"/>
      <c r="F241"/>
      <c r="G241"/>
      <c r="H241"/>
      <c r="I241"/>
      <c r="J241"/>
      <c r="K241"/>
    </row>
    <row r="242" spans="1:11" x14ac:dyDescent="0.3">
      <c r="A242"/>
      <c r="B242"/>
      <c r="C242"/>
      <c r="D242"/>
      <c r="E242"/>
      <c r="F242"/>
      <c r="G242"/>
      <c r="H242"/>
      <c r="I242"/>
      <c r="J242"/>
      <c r="K242"/>
    </row>
    <row r="243" spans="1:11" x14ac:dyDescent="0.3">
      <c r="A243"/>
      <c r="B243"/>
      <c r="C243"/>
      <c r="D243"/>
      <c r="E243"/>
      <c r="F243"/>
      <c r="G243"/>
      <c r="H243"/>
      <c r="I243"/>
      <c r="J243"/>
      <c r="K243"/>
    </row>
    <row r="244" spans="1:11" x14ac:dyDescent="0.3">
      <c r="A244"/>
      <c r="B244"/>
      <c r="C244"/>
      <c r="D244"/>
      <c r="E244"/>
      <c r="F244"/>
      <c r="G244"/>
      <c r="H244"/>
      <c r="I244"/>
      <c r="J244"/>
      <c r="K244"/>
    </row>
    <row r="245" spans="1:11" x14ac:dyDescent="0.3">
      <c r="A245"/>
      <c r="B245"/>
      <c r="C245"/>
      <c r="D245"/>
      <c r="E245"/>
      <c r="F245"/>
      <c r="G245"/>
      <c r="H245"/>
      <c r="I245"/>
      <c r="J245"/>
      <c r="K245"/>
    </row>
    <row r="246" spans="1:11" x14ac:dyDescent="0.3">
      <c r="A246"/>
      <c r="B246"/>
      <c r="C246"/>
      <c r="D246"/>
      <c r="E246"/>
      <c r="F246"/>
      <c r="G246"/>
      <c r="H246"/>
      <c r="I246"/>
      <c r="J246"/>
      <c r="K246"/>
    </row>
    <row r="247" spans="1:11" x14ac:dyDescent="0.3">
      <c r="A247"/>
      <c r="B247"/>
      <c r="C247"/>
      <c r="D247"/>
      <c r="E247"/>
      <c r="F247"/>
      <c r="G247"/>
      <c r="H247"/>
      <c r="I247"/>
      <c r="J247"/>
      <c r="K247"/>
    </row>
    <row r="248" spans="1:11" x14ac:dyDescent="0.3">
      <c r="A248"/>
      <c r="B248"/>
      <c r="C248"/>
      <c r="D248"/>
      <c r="E248"/>
      <c r="F248"/>
      <c r="G248"/>
      <c r="H248"/>
      <c r="I248"/>
      <c r="J248"/>
      <c r="K248"/>
    </row>
    <row r="249" spans="1:11" x14ac:dyDescent="0.3">
      <c r="A249"/>
      <c r="B249"/>
      <c r="C249"/>
      <c r="D249"/>
      <c r="E249"/>
      <c r="F249"/>
      <c r="G249"/>
      <c r="H249"/>
      <c r="I249"/>
      <c r="J249"/>
      <c r="K249"/>
    </row>
    <row r="250" spans="1:11" x14ac:dyDescent="0.3">
      <c r="A250"/>
      <c r="B250"/>
      <c r="C250"/>
      <c r="D250"/>
      <c r="E250"/>
      <c r="F250"/>
      <c r="G250"/>
      <c r="H250"/>
      <c r="I250"/>
      <c r="J250"/>
      <c r="K250"/>
    </row>
    <row r="251" spans="1:11" x14ac:dyDescent="0.3">
      <c r="A251"/>
      <c r="B251"/>
      <c r="C251"/>
      <c r="D251"/>
      <c r="E251"/>
      <c r="F251"/>
      <c r="G251"/>
      <c r="H251"/>
      <c r="I251"/>
      <c r="J251"/>
      <c r="K251"/>
    </row>
    <row r="252" spans="1:11" x14ac:dyDescent="0.3">
      <c r="A252"/>
      <c r="B252"/>
      <c r="C252"/>
      <c r="D252"/>
      <c r="E252"/>
      <c r="F252"/>
      <c r="G252"/>
      <c r="H252"/>
      <c r="I252"/>
      <c r="J252"/>
      <c r="K252"/>
    </row>
    <row r="253" spans="1:11" x14ac:dyDescent="0.3">
      <c r="A253"/>
      <c r="B253"/>
      <c r="C253"/>
      <c r="D253"/>
      <c r="E253"/>
      <c r="F253"/>
      <c r="G253"/>
      <c r="H253"/>
      <c r="I253"/>
      <c r="J253"/>
      <c r="K253"/>
    </row>
    <row r="254" spans="1:11" x14ac:dyDescent="0.3">
      <c r="A254"/>
      <c r="B254"/>
      <c r="C254"/>
      <c r="D254"/>
      <c r="E254"/>
      <c r="F254"/>
      <c r="G254"/>
      <c r="H254"/>
      <c r="I254"/>
      <c r="J254"/>
      <c r="K254"/>
    </row>
    <row r="255" spans="1:11" x14ac:dyDescent="0.3">
      <c r="A255"/>
      <c r="B255"/>
      <c r="C255"/>
      <c r="D255"/>
      <c r="E255"/>
      <c r="F255"/>
      <c r="G255"/>
      <c r="H255"/>
      <c r="I255"/>
      <c r="J255"/>
      <c r="K255"/>
    </row>
    <row r="256" spans="1:11" x14ac:dyDescent="0.3">
      <c r="A256"/>
      <c r="B256"/>
      <c r="C256"/>
      <c r="D256"/>
      <c r="E256"/>
      <c r="F256"/>
      <c r="G256"/>
      <c r="H256"/>
      <c r="I256"/>
      <c r="J256"/>
      <c r="K256"/>
    </row>
    <row r="257" spans="1:11" x14ac:dyDescent="0.3">
      <c r="A257"/>
      <c r="B257"/>
      <c r="C257"/>
      <c r="D257"/>
      <c r="E257"/>
      <c r="F257"/>
      <c r="G257"/>
      <c r="H257"/>
      <c r="I257"/>
      <c r="J257"/>
      <c r="K257"/>
    </row>
    <row r="258" spans="1:11" x14ac:dyDescent="0.3">
      <c r="A258"/>
      <c r="B258"/>
      <c r="C258"/>
      <c r="D258"/>
      <c r="E258"/>
      <c r="F258"/>
      <c r="G258"/>
      <c r="H258"/>
      <c r="I258"/>
      <c r="J258"/>
      <c r="K258"/>
    </row>
    <row r="259" spans="1:11" x14ac:dyDescent="0.3">
      <c r="A259"/>
      <c r="B259"/>
      <c r="C259"/>
      <c r="D259"/>
      <c r="E259"/>
      <c r="F259"/>
      <c r="G259"/>
      <c r="H259"/>
      <c r="I259"/>
      <c r="J259"/>
      <c r="K259"/>
    </row>
    <row r="260" spans="1:11" x14ac:dyDescent="0.3">
      <c r="A260"/>
      <c r="B260"/>
      <c r="C260"/>
      <c r="D260"/>
      <c r="E260"/>
      <c r="F260"/>
      <c r="G260"/>
      <c r="H260"/>
      <c r="I260"/>
      <c r="J260"/>
      <c r="K260"/>
    </row>
    <row r="261" spans="1:11" x14ac:dyDescent="0.3">
      <c r="A261"/>
      <c r="B261"/>
      <c r="C261"/>
      <c r="D261"/>
      <c r="E261"/>
      <c r="F261"/>
      <c r="G261"/>
      <c r="H261"/>
      <c r="I261"/>
      <c r="J261"/>
      <c r="K261"/>
    </row>
    <row r="262" spans="1:11" x14ac:dyDescent="0.3">
      <c r="A262"/>
      <c r="B262"/>
      <c r="C262"/>
      <c r="D262"/>
      <c r="E262"/>
      <c r="F262"/>
      <c r="G262"/>
      <c r="H262"/>
      <c r="I262"/>
      <c r="J262"/>
      <c r="K262"/>
    </row>
    <row r="263" spans="1:11" x14ac:dyDescent="0.3">
      <c r="A263"/>
      <c r="B263"/>
      <c r="C263"/>
      <c r="D263"/>
      <c r="E263"/>
      <c r="F263"/>
      <c r="G263"/>
      <c r="H263"/>
      <c r="I263"/>
      <c r="J263"/>
      <c r="K263"/>
    </row>
    <row r="264" spans="1:11" x14ac:dyDescent="0.3">
      <c r="A264"/>
      <c r="B264"/>
      <c r="C264"/>
      <c r="D264"/>
      <c r="E264"/>
      <c r="F264"/>
      <c r="G264"/>
      <c r="H264"/>
      <c r="I264"/>
      <c r="J264"/>
      <c r="K264"/>
    </row>
    <row r="265" spans="1:11" x14ac:dyDescent="0.3">
      <c r="A265"/>
      <c r="B265"/>
      <c r="C265"/>
      <c r="D265"/>
      <c r="E265"/>
      <c r="F265"/>
      <c r="G265"/>
      <c r="H265"/>
      <c r="I265"/>
      <c r="J265"/>
      <c r="K265"/>
    </row>
    <row r="266" spans="1:11" x14ac:dyDescent="0.3">
      <c r="A266"/>
      <c r="B266"/>
      <c r="C266"/>
      <c r="D266"/>
      <c r="E266"/>
      <c r="F266"/>
      <c r="G266"/>
      <c r="H266"/>
      <c r="I266"/>
      <c r="J266"/>
      <c r="K266"/>
    </row>
    <row r="267" spans="1:11" x14ac:dyDescent="0.3">
      <c r="A267"/>
      <c r="B267"/>
      <c r="C267"/>
      <c r="D267"/>
      <c r="E267"/>
      <c r="F267"/>
      <c r="G267"/>
      <c r="H267"/>
      <c r="I267"/>
      <c r="J267"/>
      <c r="K267"/>
    </row>
    <row r="268" spans="1:11" x14ac:dyDescent="0.3">
      <c r="A268"/>
      <c r="B268"/>
      <c r="C268"/>
      <c r="D268"/>
      <c r="E268"/>
      <c r="F268"/>
      <c r="G268"/>
      <c r="H268"/>
      <c r="I268"/>
      <c r="J268"/>
      <c r="K268"/>
    </row>
    <row r="269" spans="1:11" x14ac:dyDescent="0.3">
      <c r="A269"/>
      <c r="B269"/>
      <c r="C269"/>
      <c r="D269"/>
      <c r="E269"/>
      <c r="F269"/>
      <c r="G269"/>
      <c r="H269"/>
      <c r="I269"/>
      <c r="J269"/>
      <c r="K269"/>
    </row>
    <row r="270" spans="1:11" x14ac:dyDescent="0.3">
      <c r="A270"/>
      <c r="B270"/>
      <c r="C270"/>
      <c r="D270"/>
      <c r="E270"/>
      <c r="F270"/>
      <c r="G270"/>
      <c r="H270"/>
      <c r="I270"/>
      <c r="J270"/>
      <c r="K270"/>
    </row>
    <row r="271" spans="1:11" x14ac:dyDescent="0.3">
      <c r="A271"/>
      <c r="B271"/>
      <c r="C271"/>
      <c r="D271"/>
      <c r="E271"/>
      <c r="F271"/>
      <c r="G271"/>
      <c r="H271"/>
      <c r="I271"/>
      <c r="J271"/>
      <c r="K271"/>
    </row>
    <row r="272" spans="1:11" x14ac:dyDescent="0.3">
      <c r="A272"/>
      <c r="B272"/>
      <c r="C272"/>
      <c r="D272"/>
      <c r="E272"/>
      <c r="F272"/>
      <c r="G272"/>
      <c r="H272"/>
      <c r="I272"/>
      <c r="J272"/>
      <c r="K272"/>
    </row>
    <row r="273" spans="1:11" x14ac:dyDescent="0.3">
      <c r="A273"/>
      <c r="B273"/>
      <c r="C273"/>
      <c r="D273"/>
      <c r="E273"/>
      <c r="F273"/>
      <c r="G273"/>
      <c r="H273"/>
      <c r="I273"/>
      <c r="J273"/>
      <c r="K273"/>
    </row>
    <row r="274" spans="1:11" x14ac:dyDescent="0.3">
      <c r="A274"/>
      <c r="B274"/>
      <c r="C274"/>
      <c r="D274"/>
      <c r="E274"/>
      <c r="F274"/>
      <c r="G274"/>
      <c r="H274"/>
      <c r="I274"/>
      <c r="J274"/>
      <c r="K274"/>
    </row>
    <row r="275" spans="1:11" x14ac:dyDescent="0.3">
      <c r="A275"/>
      <c r="B275"/>
      <c r="C275"/>
      <c r="D275"/>
      <c r="E275"/>
      <c r="F275"/>
      <c r="G275"/>
      <c r="H275"/>
      <c r="I275"/>
      <c r="J275"/>
      <c r="K275"/>
    </row>
    <row r="276" spans="1:11" x14ac:dyDescent="0.3">
      <c r="A276"/>
      <c r="B276"/>
      <c r="C276"/>
      <c r="D276"/>
      <c r="E276"/>
      <c r="F276"/>
      <c r="G276"/>
      <c r="H276"/>
      <c r="I276"/>
      <c r="J276"/>
      <c r="K276"/>
    </row>
    <row r="277" spans="1:11" x14ac:dyDescent="0.3">
      <c r="A277"/>
      <c r="B277"/>
      <c r="C277"/>
      <c r="D277"/>
      <c r="E277"/>
      <c r="F277"/>
      <c r="G277"/>
      <c r="H277"/>
      <c r="I277"/>
      <c r="J277"/>
      <c r="K277"/>
    </row>
    <row r="278" spans="1:11" x14ac:dyDescent="0.3">
      <c r="A278"/>
      <c r="B278"/>
      <c r="C278"/>
      <c r="D278"/>
      <c r="E278"/>
      <c r="F278"/>
      <c r="G278"/>
      <c r="H278"/>
      <c r="I278"/>
      <c r="J278"/>
      <c r="K278"/>
    </row>
    <row r="279" spans="1:11" x14ac:dyDescent="0.3">
      <c r="A279"/>
      <c r="B279"/>
      <c r="C279"/>
      <c r="D279"/>
      <c r="E279"/>
      <c r="F279"/>
      <c r="G279"/>
      <c r="H279"/>
      <c r="I279"/>
      <c r="J279"/>
      <c r="K279"/>
    </row>
    <row r="280" spans="1:11" x14ac:dyDescent="0.3">
      <c r="A280"/>
      <c r="B280"/>
      <c r="C280"/>
      <c r="D280"/>
      <c r="E280"/>
      <c r="F280"/>
      <c r="G280"/>
      <c r="H280"/>
      <c r="I280"/>
      <c r="J280"/>
      <c r="K280"/>
    </row>
    <row r="281" spans="1:11" x14ac:dyDescent="0.3">
      <c r="A281"/>
      <c r="B281"/>
      <c r="C281"/>
      <c r="D281"/>
      <c r="E281"/>
      <c r="F281"/>
      <c r="G281"/>
      <c r="H281"/>
      <c r="I281"/>
      <c r="J281"/>
      <c r="K281"/>
    </row>
    <row r="282" spans="1:11" x14ac:dyDescent="0.3">
      <c r="A282"/>
      <c r="B282"/>
      <c r="C282"/>
      <c r="D282"/>
      <c r="E282"/>
      <c r="F282"/>
      <c r="G282"/>
      <c r="H282"/>
      <c r="I282"/>
      <c r="J282"/>
      <c r="K282"/>
    </row>
    <row r="283" spans="1:11" x14ac:dyDescent="0.3">
      <c r="A283"/>
      <c r="B283"/>
      <c r="C283"/>
      <c r="D283"/>
      <c r="E283"/>
      <c r="F283"/>
      <c r="G283"/>
      <c r="H283"/>
      <c r="I283"/>
      <c r="J283"/>
      <c r="K283"/>
    </row>
    <row r="284" spans="1:11" x14ac:dyDescent="0.3">
      <c r="A284"/>
      <c r="B284"/>
      <c r="C284"/>
      <c r="D284"/>
      <c r="E284"/>
      <c r="F284"/>
      <c r="G284"/>
      <c r="H284"/>
      <c r="I284"/>
      <c r="J284"/>
      <c r="K284"/>
    </row>
    <row r="285" spans="1:11" x14ac:dyDescent="0.3">
      <c r="A285"/>
      <c r="B285"/>
      <c r="C285"/>
      <c r="D285"/>
      <c r="E285"/>
      <c r="F285"/>
      <c r="G285"/>
      <c r="H285"/>
      <c r="I285"/>
      <c r="J285"/>
      <c r="K285"/>
    </row>
    <row r="286" spans="1:11" x14ac:dyDescent="0.3">
      <c r="A286"/>
      <c r="B286"/>
      <c r="C286"/>
      <c r="D286"/>
      <c r="E286"/>
      <c r="F286"/>
      <c r="G286"/>
      <c r="H286"/>
      <c r="I286"/>
      <c r="J286"/>
      <c r="K286"/>
    </row>
    <row r="287" spans="1:11" x14ac:dyDescent="0.3">
      <c r="A287"/>
      <c r="B287"/>
      <c r="C287"/>
      <c r="D287"/>
      <c r="E287"/>
      <c r="F287"/>
      <c r="G287"/>
      <c r="H287"/>
      <c r="I287"/>
      <c r="J287"/>
      <c r="K287"/>
    </row>
    <row r="288" spans="1:11" x14ac:dyDescent="0.3">
      <c r="A288"/>
      <c r="B288"/>
      <c r="C288"/>
      <c r="D288"/>
      <c r="E288"/>
      <c r="F288"/>
      <c r="G288"/>
      <c r="H288"/>
      <c r="I288"/>
      <c r="J288"/>
      <c r="K288"/>
    </row>
    <row r="289" spans="1:11" x14ac:dyDescent="0.3">
      <c r="A289"/>
      <c r="B289"/>
      <c r="C289"/>
      <c r="D289"/>
      <c r="E289"/>
      <c r="F289"/>
      <c r="G289"/>
      <c r="H289"/>
      <c r="I289"/>
      <c r="J289"/>
      <c r="K289"/>
    </row>
    <row r="290" spans="1:11" x14ac:dyDescent="0.3">
      <c r="A290"/>
      <c r="B290"/>
      <c r="C290"/>
      <c r="D290"/>
      <c r="E290"/>
      <c r="F290"/>
      <c r="G290"/>
      <c r="H290"/>
      <c r="I290"/>
      <c r="J290"/>
      <c r="K290"/>
    </row>
    <row r="291" spans="1:11" x14ac:dyDescent="0.3">
      <c r="A291"/>
      <c r="B291"/>
      <c r="C291"/>
      <c r="D291"/>
      <c r="E291"/>
      <c r="F291"/>
      <c r="G291"/>
      <c r="H291"/>
      <c r="I291"/>
      <c r="J291"/>
      <c r="K291"/>
    </row>
    <row r="292" spans="1:11" x14ac:dyDescent="0.3">
      <c r="A292"/>
      <c r="B292"/>
      <c r="C292"/>
      <c r="D292"/>
      <c r="E292"/>
      <c r="F292"/>
      <c r="G292"/>
      <c r="H292"/>
      <c r="I292"/>
      <c r="J292"/>
      <c r="K292"/>
    </row>
    <row r="293" spans="1:11" x14ac:dyDescent="0.3">
      <c r="A293"/>
      <c r="B293"/>
      <c r="C293"/>
      <c r="D293"/>
      <c r="E293"/>
      <c r="F293"/>
      <c r="G293"/>
      <c r="H293"/>
      <c r="I293"/>
      <c r="J293"/>
      <c r="K293"/>
    </row>
    <row r="294" spans="1:11" x14ac:dyDescent="0.3">
      <c r="A294"/>
      <c r="B294"/>
      <c r="C294"/>
      <c r="D294"/>
      <c r="E294"/>
      <c r="F294"/>
      <c r="G294"/>
      <c r="H294"/>
      <c r="I294"/>
      <c r="J294"/>
      <c r="K294"/>
    </row>
    <row r="295" spans="1:11" x14ac:dyDescent="0.3">
      <c r="A295"/>
      <c r="B295"/>
      <c r="C295"/>
      <c r="D295"/>
      <c r="E295"/>
      <c r="F295"/>
      <c r="G295"/>
      <c r="H295"/>
      <c r="I295"/>
      <c r="J295"/>
      <c r="K295"/>
    </row>
    <row r="296" spans="1:11" x14ac:dyDescent="0.3">
      <c r="A296"/>
      <c r="B296"/>
      <c r="C296"/>
      <c r="D296"/>
      <c r="E296"/>
      <c r="F296"/>
      <c r="G296"/>
      <c r="H296"/>
      <c r="I296"/>
      <c r="J296"/>
      <c r="K296"/>
    </row>
    <row r="297" spans="1:11" x14ac:dyDescent="0.3">
      <c r="A297"/>
      <c r="B297"/>
      <c r="C297"/>
      <c r="D297"/>
      <c r="E297"/>
      <c r="F297"/>
      <c r="G297"/>
      <c r="H297"/>
      <c r="I297"/>
      <c r="J297"/>
      <c r="K297"/>
    </row>
    <row r="298" spans="1:11" x14ac:dyDescent="0.3">
      <c r="A298"/>
      <c r="B298"/>
      <c r="C298"/>
      <c r="D298"/>
      <c r="E298"/>
      <c r="F298"/>
      <c r="G298"/>
      <c r="H298"/>
      <c r="I298"/>
      <c r="J298"/>
      <c r="K298"/>
    </row>
    <row r="299" spans="1:11" x14ac:dyDescent="0.3">
      <c r="A299"/>
      <c r="B299"/>
      <c r="C299"/>
      <c r="D299"/>
      <c r="E299"/>
      <c r="F299"/>
      <c r="G299"/>
      <c r="H299"/>
      <c r="I299"/>
      <c r="J299"/>
      <c r="K299"/>
    </row>
    <row r="300" spans="1:11" x14ac:dyDescent="0.3">
      <c r="A300"/>
      <c r="B300"/>
      <c r="C300"/>
      <c r="D300"/>
      <c r="E300"/>
      <c r="F300"/>
      <c r="G300"/>
      <c r="H300"/>
      <c r="I300"/>
      <c r="J300"/>
      <c r="K300"/>
    </row>
    <row r="301" spans="1:11" x14ac:dyDescent="0.3">
      <c r="A301"/>
      <c r="B301"/>
      <c r="C301"/>
      <c r="D301"/>
      <c r="E301"/>
      <c r="F301"/>
      <c r="G301"/>
      <c r="H301"/>
      <c r="I301"/>
      <c r="J301"/>
      <c r="K301"/>
    </row>
    <row r="302" spans="1:11" x14ac:dyDescent="0.3">
      <c r="A302"/>
      <c r="B302"/>
      <c r="C302"/>
      <c r="D302"/>
      <c r="E302"/>
      <c r="F302"/>
      <c r="G302"/>
      <c r="H302"/>
      <c r="I302"/>
      <c r="J302"/>
      <c r="K302"/>
    </row>
    <row r="303" spans="1:11" x14ac:dyDescent="0.3">
      <c r="A303"/>
      <c r="B303"/>
      <c r="C303"/>
      <c r="D303"/>
      <c r="E303"/>
      <c r="F303"/>
      <c r="G303"/>
      <c r="H303"/>
      <c r="I303"/>
      <c r="J303"/>
      <c r="K303"/>
    </row>
    <row r="304" spans="1:11" x14ac:dyDescent="0.3">
      <c r="A304"/>
      <c r="B304"/>
      <c r="C304"/>
      <c r="D304"/>
      <c r="E304"/>
      <c r="F304"/>
      <c r="G304"/>
      <c r="H304"/>
      <c r="I304"/>
      <c r="J304"/>
      <c r="K304"/>
    </row>
    <row r="305" spans="1:11" x14ac:dyDescent="0.3">
      <c r="A305"/>
      <c r="B305"/>
      <c r="C305"/>
      <c r="D305"/>
      <c r="E305"/>
      <c r="F305"/>
      <c r="G305"/>
      <c r="H305"/>
      <c r="I305"/>
      <c r="J305"/>
      <c r="K305"/>
    </row>
    <row r="306" spans="1:11" x14ac:dyDescent="0.3">
      <c r="A306"/>
      <c r="B306"/>
      <c r="C306"/>
      <c r="D306"/>
      <c r="E306"/>
      <c r="F306"/>
      <c r="G306"/>
      <c r="H306"/>
      <c r="I306"/>
      <c r="J306"/>
      <c r="K306"/>
    </row>
    <row r="307" spans="1:11" x14ac:dyDescent="0.3">
      <c r="A307"/>
      <c r="B307"/>
      <c r="C307"/>
      <c r="D307"/>
      <c r="E307"/>
      <c r="F307"/>
      <c r="G307"/>
      <c r="H307"/>
      <c r="I307"/>
      <c r="J307"/>
      <c r="K307"/>
    </row>
    <row r="308" spans="1:11" x14ac:dyDescent="0.3">
      <c r="A308"/>
      <c r="B308"/>
      <c r="C308"/>
      <c r="D308"/>
      <c r="E308"/>
      <c r="F308"/>
      <c r="G308"/>
      <c r="H308"/>
      <c r="I308"/>
      <c r="J308"/>
      <c r="K308"/>
    </row>
    <row r="309" spans="1:11" x14ac:dyDescent="0.3">
      <c r="A309"/>
      <c r="B309"/>
      <c r="C309"/>
      <c r="D309"/>
      <c r="E309"/>
      <c r="F309"/>
      <c r="G309"/>
      <c r="H309"/>
      <c r="I309"/>
      <c r="J309"/>
      <c r="K309"/>
    </row>
    <row r="310" spans="1:11" x14ac:dyDescent="0.3">
      <c r="A310"/>
      <c r="B310"/>
      <c r="C310"/>
      <c r="D310"/>
      <c r="E310"/>
      <c r="F310"/>
      <c r="G310"/>
      <c r="H310"/>
      <c r="I310"/>
      <c r="J310"/>
      <c r="K310"/>
    </row>
    <row r="311" spans="1:11" x14ac:dyDescent="0.3">
      <c r="A311"/>
      <c r="B311"/>
      <c r="C311"/>
      <c r="D311"/>
      <c r="E311"/>
      <c r="F311"/>
      <c r="G311"/>
      <c r="H311"/>
      <c r="I311"/>
      <c r="J311"/>
      <c r="K311"/>
    </row>
    <row r="312" spans="1:11" x14ac:dyDescent="0.3">
      <c r="A312"/>
      <c r="B312"/>
      <c r="C312"/>
      <c r="D312"/>
      <c r="E312"/>
      <c r="F312"/>
      <c r="G312"/>
      <c r="H312"/>
      <c r="I312"/>
      <c r="J312"/>
      <c r="K312"/>
    </row>
    <row r="313" spans="1:11" x14ac:dyDescent="0.3">
      <c r="A313"/>
      <c r="B313"/>
      <c r="C313"/>
      <c r="D313"/>
      <c r="E313"/>
      <c r="F313"/>
      <c r="G313"/>
      <c r="H313"/>
      <c r="I313"/>
      <c r="J313"/>
      <c r="K313"/>
    </row>
    <row r="314" spans="1:11" x14ac:dyDescent="0.3">
      <c r="A314"/>
      <c r="B314"/>
      <c r="C314"/>
      <c r="D314"/>
      <c r="E314"/>
      <c r="F314"/>
      <c r="G314"/>
      <c r="H314"/>
      <c r="I314"/>
      <c r="J314"/>
      <c r="K314"/>
    </row>
    <row r="315" spans="1:11" x14ac:dyDescent="0.3">
      <c r="A315"/>
      <c r="B315"/>
      <c r="C315"/>
      <c r="D315"/>
      <c r="E315"/>
      <c r="F315"/>
      <c r="G315"/>
      <c r="H315"/>
      <c r="I315"/>
      <c r="J315"/>
      <c r="K315"/>
    </row>
    <row r="316" spans="1:11" x14ac:dyDescent="0.3">
      <c r="A316"/>
      <c r="B316"/>
      <c r="C316"/>
      <c r="D316"/>
      <c r="E316"/>
      <c r="F316"/>
      <c r="G316"/>
      <c r="H316"/>
      <c r="I316"/>
      <c r="J316"/>
      <c r="K316"/>
    </row>
    <row r="317" spans="1:11" x14ac:dyDescent="0.3">
      <c r="A317"/>
      <c r="B317"/>
      <c r="C317"/>
      <c r="D317"/>
      <c r="E317"/>
      <c r="F317"/>
      <c r="G317"/>
      <c r="H317"/>
      <c r="I317"/>
      <c r="J317"/>
      <c r="K317"/>
    </row>
    <row r="318" spans="1:11" x14ac:dyDescent="0.3">
      <c r="A318"/>
      <c r="B318"/>
      <c r="C318"/>
      <c r="D318"/>
      <c r="E318"/>
      <c r="F318"/>
      <c r="G318"/>
      <c r="H318"/>
      <c r="I318"/>
      <c r="J318"/>
      <c r="K318"/>
    </row>
    <row r="319" spans="1:11" x14ac:dyDescent="0.3">
      <c r="A319"/>
      <c r="B319"/>
      <c r="C319"/>
      <c r="D319"/>
      <c r="E319"/>
      <c r="F319"/>
      <c r="G319"/>
      <c r="H319"/>
      <c r="I319"/>
      <c r="J319"/>
      <c r="K319"/>
    </row>
    <row r="320" spans="1:11" x14ac:dyDescent="0.3">
      <c r="A320"/>
      <c r="B320"/>
      <c r="C320"/>
      <c r="D320"/>
      <c r="E320"/>
      <c r="F320"/>
      <c r="G320"/>
      <c r="H320"/>
      <c r="I320"/>
      <c r="J320"/>
      <c r="K320"/>
    </row>
    <row r="321" spans="1:11" x14ac:dyDescent="0.3">
      <c r="A321"/>
      <c r="B321"/>
      <c r="C321"/>
      <c r="D321"/>
      <c r="E321"/>
      <c r="F321"/>
      <c r="G321"/>
      <c r="H321"/>
      <c r="I321"/>
      <c r="J321"/>
      <c r="K321"/>
    </row>
    <row r="322" spans="1:11" x14ac:dyDescent="0.3">
      <c r="A322"/>
      <c r="B322"/>
      <c r="C322"/>
      <c r="D322"/>
      <c r="E322"/>
      <c r="F322"/>
      <c r="G322"/>
      <c r="H322"/>
      <c r="I322"/>
      <c r="J322"/>
      <c r="K322"/>
    </row>
    <row r="323" spans="1:11" x14ac:dyDescent="0.3">
      <c r="A323"/>
      <c r="B323"/>
      <c r="C323"/>
      <c r="D323"/>
      <c r="E323"/>
      <c r="F323"/>
      <c r="G323"/>
      <c r="H323"/>
      <c r="I323"/>
      <c r="J323"/>
      <c r="K323"/>
    </row>
    <row r="324" spans="1:11" x14ac:dyDescent="0.3">
      <c r="A324"/>
      <c r="B324"/>
      <c r="C324"/>
      <c r="D324"/>
      <c r="E324"/>
      <c r="F324"/>
      <c r="G324"/>
      <c r="H324"/>
      <c r="I324"/>
      <c r="J324"/>
      <c r="K324"/>
    </row>
    <row r="325" spans="1:11" x14ac:dyDescent="0.3">
      <c r="A325"/>
      <c r="B325"/>
      <c r="C325"/>
      <c r="D325"/>
      <c r="E325"/>
      <c r="F325"/>
      <c r="G325"/>
      <c r="H325"/>
      <c r="I325"/>
      <c r="J325"/>
      <c r="K325"/>
    </row>
    <row r="326" spans="1:11" x14ac:dyDescent="0.3">
      <c r="A326"/>
      <c r="B326"/>
      <c r="C326"/>
      <c r="D326"/>
      <c r="E326"/>
      <c r="F326"/>
      <c r="G326"/>
      <c r="H326"/>
      <c r="I326"/>
      <c r="J326"/>
      <c r="K326"/>
    </row>
    <row r="327" spans="1:11" x14ac:dyDescent="0.3">
      <c r="A327"/>
      <c r="B327"/>
      <c r="C327"/>
      <c r="D327"/>
      <c r="E327"/>
      <c r="F327"/>
      <c r="G327"/>
      <c r="H327"/>
      <c r="I327"/>
      <c r="J327"/>
      <c r="K327"/>
    </row>
    <row r="328" spans="1:11" x14ac:dyDescent="0.3">
      <c r="A328"/>
      <c r="B328"/>
      <c r="C328"/>
      <c r="D328"/>
      <c r="E328"/>
      <c r="F328"/>
      <c r="G328"/>
      <c r="H328"/>
      <c r="I328"/>
      <c r="J328"/>
      <c r="K328"/>
    </row>
    <row r="329" spans="1:11" x14ac:dyDescent="0.3">
      <c r="A329"/>
      <c r="B329"/>
      <c r="C329"/>
      <c r="D329"/>
      <c r="E329"/>
      <c r="F329"/>
      <c r="G329"/>
      <c r="H329"/>
      <c r="I329"/>
      <c r="J329"/>
      <c r="K329"/>
    </row>
    <row r="330" spans="1:11" x14ac:dyDescent="0.3">
      <c r="A330"/>
      <c r="B330"/>
      <c r="C330"/>
      <c r="D330"/>
      <c r="E330"/>
      <c r="F330"/>
      <c r="G330"/>
      <c r="H330"/>
      <c r="I330"/>
      <c r="J330"/>
      <c r="K330"/>
    </row>
    <row r="331" spans="1:11" x14ac:dyDescent="0.3">
      <c r="A331"/>
      <c r="B331"/>
      <c r="C331"/>
      <c r="D331"/>
      <c r="E331"/>
      <c r="F331"/>
      <c r="G331"/>
      <c r="H331"/>
      <c r="I331"/>
      <c r="J331"/>
      <c r="K331"/>
    </row>
    <row r="332" spans="1:11" x14ac:dyDescent="0.3">
      <c r="A332"/>
      <c r="B332"/>
      <c r="C332"/>
      <c r="D332"/>
      <c r="E332"/>
      <c r="F332"/>
      <c r="G332"/>
      <c r="H332"/>
      <c r="I332"/>
      <c r="J332"/>
      <c r="K332"/>
    </row>
    <row r="333" spans="1:11" x14ac:dyDescent="0.3">
      <c r="A333"/>
      <c r="B333"/>
      <c r="C333"/>
      <c r="D333"/>
      <c r="E333"/>
      <c r="F333"/>
      <c r="G333"/>
      <c r="H333"/>
      <c r="I333"/>
      <c r="J333"/>
      <c r="K333"/>
    </row>
    <row r="334" spans="1:11" x14ac:dyDescent="0.3">
      <c r="A334"/>
      <c r="B334"/>
      <c r="C334"/>
      <c r="D334"/>
      <c r="E334"/>
      <c r="F334"/>
      <c r="G334"/>
      <c r="H334"/>
      <c r="I334"/>
      <c r="J334"/>
      <c r="K334"/>
    </row>
    <row r="335" spans="1:11" x14ac:dyDescent="0.3">
      <c r="A335"/>
      <c r="B335"/>
      <c r="C335"/>
      <c r="D335"/>
      <c r="E335"/>
      <c r="F335"/>
      <c r="G335"/>
      <c r="H335"/>
      <c r="I335"/>
      <c r="J335"/>
      <c r="K335"/>
    </row>
    <row r="336" spans="1:11" x14ac:dyDescent="0.3">
      <c r="A336"/>
      <c r="B336"/>
      <c r="C336"/>
      <c r="D336"/>
      <c r="E336"/>
      <c r="F336"/>
      <c r="G336"/>
      <c r="H336"/>
      <c r="I336"/>
      <c r="J336"/>
      <c r="K336"/>
    </row>
    <row r="337" spans="1:11" x14ac:dyDescent="0.3">
      <c r="A337"/>
      <c r="B337"/>
      <c r="C337"/>
      <c r="D337"/>
      <c r="E337"/>
      <c r="F337"/>
      <c r="G337"/>
      <c r="H337"/>
      <c r="I337"/>
      <c r="J337"/>
      <c r="K337"/>
    </row>
    <row r="338" spans="1:11" x14ac:dyDescent="0.3">
      <c r="A338"/>
      <c r="B338"/>
      <c r="C338"/>
      <c r="D338"/>
      <c r="E338"/>
      <c r="F338"/>
      <c r="G338"/>
      <c r="H338"/>
      <c r="I338"/>
      <c r="J338"/>
      <c r="K338"/>
    </row>
    <row r="339" spans="1:11" x14ac:dyDescent="0.3">
      <c r="A339"/>
      <c r="B339"/>
      <c r="C339"/>
      <c r="D339"/>
      <c r="E339"/>
      <c r="F339"/>
      <c r="G339"/>
      <c r="H339"/>
      <c r="I339"/>
      <c r="J339"/>
      <c r="K339"/>
    </row>
    <row r="340" spans="1:11" x14ac:dyDescent="0.3">
      <c r="A340"/>
      <c r="B340"/>
      <c r="C340"/>
      <c r="D340"/>
      <c r="E340"/>
      <c r="F340"/>
      <c r="G340"/>
      <c r="H340"/>
      <c r="I340"/>
      <c r="J340"/>
      <c r="K340"/>
    </row>
    <row r="341" spans="1:11" x14ac:dyDescent="0.3">
      <c r="A341"/>
      <c r="B341"/>
      <c r="C341"/>
      <c r="D341"/>
      <c r="E341"/>
      <c r="F341"/>
      <c r="G341"/>
      <c r="H341"/>
      <c r="I341"/>
      <c r="J341"/>
      <c r="K341"/>
    </row>
    <row r="342" spans="1:11" x14ac:dyDescent="0.3">
      <c r="A342"/>
      <c r="B342"/>
      <c r="C342"/>
      <c r="D342"/>
      <c r="E342"/>
      <c r="F342"/>
      <c r="G342"/>
      <c r="H342"/>
      <c r="I342"/>
      <c r="J342"/>
      <c r="K342"/>
    </row>
    <row r="343" spans="1:11" x14ac:dyDescent="0.3">
      <c r="A343"/>
      <c r="B343"/>
      <c r="C343"/>
      <c r="D343"/>
      <c r="E343"/>
      <c r="F343"/>
      <c r="G343"/>
      <c r="H343"/>
      <c r="I343"/>
      <c r="J343"/>
      <c r="K343"/>
    </row>
    <row r="344" spans="1:11" x14ac:dyDescent="0.3">
      <c r="A344"/>
      <c r="B344"/>
      <c r="C344"/>
      <c r="D344"/>
      <c r="E344"/>
      <c r="F344"/>
      <c r="G344"/>
      <c r="H344"/>
      <c r="I344"/>
      <c r="J344"/>
      <c r="K344"/>
    </row>
    <row r="345" spans="1:11" x14ac:dyDescent="0.3">
      <c r="A345"/>
      <c r="B345"/>
      <c r="C345"/>
      <c r="D345"/>
      <c r="E345"/>
      <c r="F345"/>
      <c r="G345"/>
      <c r="H345"/>
      <c r="I345"/>
      <c r="J345"/>
      <c r="K345"/>
    </row>
    <row r="346" spans="1:11" x14ac:dyDescent="0.3">
      <c r="A346"/>
      <c r="B346"/>
      <c r="C346"/>
      <c r="D346"/>
      <c r="E346"/>
      <c r="F346"/>
      <c r="G346"/>
      <c r="H346"/>
      <c r="I346"/>
      <c r="J346"/>
      <c r="K346"/>
    </row>
    <row r="347" spans="1:11" x14ac:dyDescent="0.3">
      <c r="A347"/>
      <c r="B347"/>
      <c r="C347"/>
      <c r="D347"/>
      <c r="E347"/>
      <c r="F347"/>
      <c r="G347"/>
      <c r="H347"/>
      <c r="I347"/>
      <c r="J347"/>
      <c r="K347"/>
    </row>
    <row r="348" spans="1:11" x14ac:dyDescent="0.3">
      <c r="A348"/>
      <c r="B348"/>
      <c r="C348"/>
      <c r="D348"/>
      <c r="E348"/>
      <c r="F348"/>
      <c r="G348"/>
      <c r="H348"/>
      <c r="I348"/>
      <c r="J348"/>
      <c r="K348"/>
    </row>
    <row r="349" spans="1:11" x14ac:dyDescent="0.3">
      <c r="A349"/>
      <c r="B349"/>
      <c r="C349"/>
      <c r="D349"/>
      <c r="E349"/>
      <c r="F349"/>
      <c r="G349"/>
      <c r="H349"/>
      <c r="I349"/>
      <c r="J349"/>
      <c r="K349"/>
    </row>
    <row r="350" spans="1:11" x14ac:dyDescent="0.3">
      <c r="A350"/>
      <c r="B350"/>
      <c r="C350"/>
      <c r="D350"/>
      <c r="E350"/>
      <c r="F350"/>
      <c r="G350"/>
      <c r="H350"/>
      <c r="I350"/>
      <c r="J350"/>
      <c r="K350"/>
    </row>
    <row r="351" spans="1:11" x14ac:dyDescent="0.3">
      <c r="A351"/>
      <c r="B351"/>
      <c r="C351"/>
      <c r="D351"/>
      <c r="E351"/>
      <c r="F351"/>
      <c r="G351"/>
      <c r="H351"/>
      <c r="I351"/>
      <c r="J351"/>
      <c r="K351"/>
    </row>
    <row r="352" spans="1:11" x14ac:dyDescent="0.3">
      <c r="A352"/>
      <c r="B352"/>
      <c r="C352"/>
      <c r="D352"/>
      <c r="E352"/>
      <c r="F352"/>
      <c r="G352"/>
      <c r="H352"/>
      <c r="I352"/>
      <c r="J352"/>
      <c r="K352"/>
    </row>
    <row r="353" spans="1:11" x14ac:dyDescent="0.3">
      <c r="A353"/>
      <c r="B353"/>
      <c r="C353"/>
      <c r="D353"/>
      <c r="E353"/>
      <c r="F353"/>
      <c r="G353"/>
      <c r="H353"/>
      <c r="I353"/>
      <c r="J353"/>
      <c r="K353"/>
    </row>
    <row r="354" spans="1:11" x14ac:dyDescent="0.3">
      <c r="A354"/>
      <c r="B354"/>
      <c r="C354"/>
      <c r="D354"/>
      <c r="E354"/>
      <c r="F354"/>
      <c r="G354"/>
      <c r="H354"/>
      <c r="I354"/>
      <c r="J354"/>
      <c r="K354"/>
    </row>
    <row r="355" spans="1:11" x14ac:dyDescent="0.3">
      <c r="A355"/>
      <c r="B355"/>
      <c r="C355"/>
      <c r="D355"/>
      <c r="E355"/>
      <c r="F355"/>
      <c r="G355"/>
      <c r="H355"/>
      <c r="I355"/>
      <c r="J355"/>
      <c r="K355"/>
    </row>
    <row r="356" spans="1:11" x14ac:dyDescent="0.3">
      <c r="A356"/>
      <c r="B356"/>
      <c r="C356"/>
      <c r="D356"/>
      <c r="E356"/>
      <c r="F356"/>
      <c r="G356"/>
      <c r="H356"/>
      <c r="I356"/>
      <c r="J356"/>
      <c r="K356"/>
    </row>
    <row r="357" spans="1:11" x14ac:dyDescent="0.3">
      <c r="A357"/>
      <c r="B357"/>
      <c r="C357"/>
      <c r="D357"/>
      <c r="E357"/>
      <c r="F357"/>
      <c r="G357"/>
      <c r="H357"/>
      <c r="I357"/>
      <c r="J357"/>
      <c r="K357"/>
    </row>
    <row r="358" spans="1:11" x14ac:dyDescent="0.3">
      <c r="A358"/>
      <c r="B358"/>
      <c r="C358"/>
      <c r="D358"/>
      <c r="E358"/>
      <c r="F358"/>
      <c r="G358"/>
      <c r="H358"/>
      <c r="I358"/>
      <c r="J358"/>
      <c r="K358"/>
    </row>
    <row r="359" spans="1:11" x14ac:dyDescent="0.3">
      <c r="A359"/>
      <c r="B359"/>
      <c r="C359"/>
      <c r="D359"/>
      <c r="E359"/>
      <c r="F359"/>
      <c r="G359"/>
      <c r="H359"/>
      <c r="I359"/>
      <c r="J359"/>
      <c r="K359"/>
    </row>
    <row r="360" spans="1:11" x14ac:dyDescent="0.3">
      <c r="A360"/>
      <c r="B360"/>
      <c r="C360"/>
      <c r="D360"/>
      <c r="E360"/>
      <c r="F360"/>
      <c r="G360"/>
      <c r="H360"/>
      <c r="I360"/>
      <c r="J360"/>
      <c r="K360"/>
    </row>
    <row r="361" spans="1:11" x14ac:dyDescent="0.3">
      <c r="A361"/>
      <c r="B361"/>
      <c r="C361"/>
      <c r="D361"/>
      <c r="E361"/>
      <c r="F361"/>
      <c r="G361"/>
      <c r="H361"/>
      <c r="I361"/>
      <c r="J361"/>
      <c r="K361"/>
    </row>
    <row r="362" spans="1:11" x14ac:dyDescent="0.3">
      <c r="A362"/>
      <c r="B362"/>
      <c r="C362"/>
      <c r="D362"/>
      <c r="E362"/>
      <c r="F362"/>
      <c r="G362"/>
      <c r="H362"/>
      <c r="I362"/>
      <c r="J362"/>
      <c r="K362"/>
    </row>
    <row r="363" spans="1:11" x14ac:dyDescent="0.3">
      <c r="A363"/>
      <c r="B363"/>
      <c r="C363"/>
      <c r="D363"/>
      <c r="E363"/>
      <c r="F363"/>
      <c r="G363"/>
      <c r="H363"/>
      <c r="I363"/>
      <c r="J363"/>
      <c r="K363"/>
    </row>
    <row r="364" spans="1:11" x14ac:dyDescent="0.3">
      <c r="A364"/>
      <c r="B364"/>
      <c r="C364"/>
      <c r="D364"/>
      <c r="E364"/>
      <c r="F364"/>
      <c r="G364"/>
      <c r="H364"/>
      <c r="I364"/>
      <c r="J364"/>
      <c r="K364"/>
    </row>
    <row r="365" spans="1:11" x14ac:dyDescent="0.3">
      <c r="A365"/>
      <c r="B365"/>
      <c r="C365"/>
      <c r="D365"/>
      <c r="E365"/>
      <c r="F365"/>
      <c r="G365"/>
      <c r="H365"/>
      <c r="I365"/>
      <c r="J365"/>
      <c r="K365"/>
    </row>
    <row r="366" spans="1:11" x14ac:dyDescent="0.3">
      <c r="A366"/>
      <c r="B366"/>
      <c r="C366"/>
      <c r="D366"/>
      <c r="E366"/>
      <c r="F366"/>
      <c r="G366"/>
      <c r="H366"/>
      <c r="I366"/>
      <c r="J366"/>
      <c r="K366"/>
    </row>
    <row r="367" spans="1:11" x14ac:dyDescent="0.3">
      <c r="A367"/>
      <c r="B367"/>
      <c r="C367"/>
      <c r="D367"/>
      <c r="E367"/>
      <c r="F367"/>
      <c r="G367"/>
      <c r="H367"/>
      <c r="I367"/>
      <c r="J367"/>
      <c r="K367"/>
    </row>
    <row r="368" spans="1:11" x14ac:dyDescent="0.3">
      <c r="A368"/>
      <c r="B368"/>
      <c r="C368"/>
      <c r="D368"/>
      <c r="E368"/>
      <c r="F368"/>
      <c r="G368"/>
      <c r="H368"/>
      <c r="I368"/>
      <c r="J368"/>
      <c r="K368"/>
    </row>
    <row r="369" spans="1:11" x14ac:dyDescent="0.3">
      <c r="A369"/>
      <c r="B369"/>
      <c r="C369"/>
      <c r="D369"/>
      <c r="E369"/>
      <c r="F369"/>
      <c r="G369"/>
      <c r="H369"/>
      <c r="I369"/>
      <c r="J369"/>
      <c r="K369"/>
    </row>
    <row r="370" spans="1:11" x14ac:dyDescent="0.3">
      <c r="A370"/>
      <c r="B370"/>
      <c r="C370"/>
      <c r="D370"/>
      <c r="E370"/>
      <c r="F370"/>
      <c r="G370"/>
      <c r="H370"/>
      <c r="I370"/>
      <c r="J370"/>
      <c r="K370"/>
    </row>
    <row r="371" spans="1:11" x14ac:dyDescent="0.3">
      <c r="A371"/>
      <c r="B371"/>
      <c r="C371"/>
      <c r="D371"/>
      <c r="E371"/>
      <c r="F371"/>
      <c r="G371"/>
      <c r="H371"/>
      <c r="I371"/>
      <c r="J371"/>
      <c r="K371"/>
    </row>
    <row r="372" spans="1:11" x14ac:dyDescent="0.3">
      <c r="A372"/>
      <c r="B372"/>
      <c r="C372"/>
      <c r="D372"/>
      <c r="E372"/>
      <c r="F372"/>
      <c r="G372"/>
      <c r="H372"/>
      <c r="I372"/>
      <c r="J372"/>
      <c r="K372"/>
    </row>
    <row r="373" spans="1:11" x14ac:dyDescent="0.3">
      <c r="A373"/>
      <c r="B373"/>
      <c r="C373"/>
      <c r="D373"/>
      <c r="E373"/>
      <c r="F373"/>
      <c r="G373"/>
      <c r="H373"/>
      <c r="I373"/>
      <c r="J373"/>
      <c r="K373"/>
    </row>
    <row r="374" spans="1:11" x14ac:dyDescent="0.3">
      <c r="A374"/>
      <c r="B374"/>
      <c r="C374"/>
      <c r="D374"/>
      <c r="E374"/>
      <c r="F374"/>
      <c r="G374"/>
      <c r="H374"/>
      <c r="I374"/>
      <c r="J374"/>
      <c r="K374"/>
    </row>
    <row r="375" spans="1:11" x14ac:dyDescent="0.3">
      <c r="A375"/>
      <c r="B375"/>
      <c r="C375"/>
      <c r="D375"/>
      <c r="E375"/>
      <c r="F375"/>
      <c r="G375"/>
      <c r="H375"/>
      <c r="I375"/>
      <c r="J375"/>
      <c r="K375"/>
    </row>
    <row r="376" spans="1:11" x14ac:dyDescent="0.3">
      <c r="A376"/>
      <c r="B376"/>
      <c r="C376"/>
      <c r="D376"/>
      <c r="E376"/>
      <c r="F376"/>
      <c r="G376"/>
      <c r="H376"/>
      <c r="I376"/>
      <c r="J376"/>
      <c r="K376"/>
    </row>
    <row r="377" spans="1:11" x14ac:dyDescent="0.3">
      <c r="A377"/>
      <c r="B377"/>
      <c r="C377"/>
      <c r="D377"/>
      <c r="E377"/>
      <c r="F377"/>
      <c r="G377"/>
      <c r="H377"/>
      <c r="I377"/>
      <c r="J377"/>
      <c r="K377"/>
    </row>
    <row r="378" spans="1:11" x14ac:dyDescent="0.3">
      <c r="A378"/>
      <c r="B378"/>
      <c r="C378"/>
      <c r="D378"/>
      <c r="E378"/>
      <c r="F378"/>
      <c r="G378"/>
      <c r="H378"/>
      <c r="I378"/>
      <c r="J378"/>
      <c r="K378"/>
    </row>
    <row r="379" spans="1:11" x14ac:dyDescent="0.3">
      <c r="A379"/>
      <c r="B379"/>
      <c r="C379"/>
      <c r="D379"/>
      <c r="E379"/>
      <c r="F379"/>
      <c r="G379"/>
      <c r="H379"/>
      <c r="I379"/>
      <c r="J379"/>
      <c r="K379"/>
    </row>
    <row r="380" spans="1:11" x14ac:dyDescent="0.3">
      <c r="A380"/>
      <c r="B380"/>
      <c r="C380"/>
      <c r="D380"/>
      <c r="E380"/>
      <c r="F380"/>
      <c r="G380"/>
      <c r="H380"/>
      <c r="I380"/>
      <c r="J380"/>
      <c r="K380"/>
    </row>
    <row r="381" spans="1:11" x14ac:dyDescent="0.3">
      <c r="A381"/>
      <c r="B381"/>
      <c r="C381"/>
      <c r="D381"/>
      <c r="E381"/>
      <c r="F381"/>
      <c r="G381"/>
      <c r="H381"/>
      <c r="I381"/>
      <c r="J381"/>
      <c r="K381"/>
    </row>
    <row r="382" spans="1:11" x14ac:dyDescent="0.3">
      <c r="A382"/>
      <c r="B382"/>
      <c r="C382"/>
      <c r="D382"/>
      <c r="E382"/>
      <c r="F382"/>
      <c r="G382"/>
      <c r="H382"/>
      <c r="I382"/>
      <c r="J382"/>
      <c r="K382"/>
    </row>
    <row r="383" spans="1:11" x14ac:dyDescent="0.3">
      <c r="A383"/>
      <c r="B383"/>
      <c r="C383"/>
      <c r="D383"/>
      <c r="E383"/>
      <c r="F383"/>
      <c r="G383"/>
      <c r="H383"/>
      <c r="I383"/>
      <c r="J383"/>
      <c r="K383"/>
    </row>
    <row r="384" spans="1:11" x14ac:dyDescent="0.3">
      <c r="A384"/>
      <c r="B384"/>
      <c r="C384"/>
      <c r="D384"/>
      <c r="E384"/>
      <c r="F384"/>
      <c r="G384"/>
      <c r="H384"/>
      <c r="I384"/>
      <c r="J384"/>
      <c r="K384"/>
    </row>
    <row r="385" spans="1:11" x14ac:dyDescent="0.3">
      <c r="A385"/>
      <c r="B385"/>
      <c r="C385"/>
      <c r="D385"/>
      <c r="E385"/>
      <c r="F385"/>
      <c r="G385"/>
      <c r="H385"/>
      <c r="I385"/>
      <c r="J385"/>
      <c r="K385"/>
    </row>
    <row r="386" spans="1:11" x14ac:dyDescent="0.3">
      <c r="A386"/>
      <c r="B386"/>
      <c r="C386"/>
      <c r="D386"/>
      <c r="E386"/>
      <c r="F386"/>
      <c r="G386"/>
      <c r="H386"/>
      <c r="I386"/>
      <c r="J386"/>
      <c r="K386"/>
    </row>
    <row r="387" spans="1:11" x14ac:dyDescent="0.3">
      <c r="A387"/>
      <c r="B387"/>
      <c r="C387"/>
      <c r="D387"/>
      <c r="E387"/>
      <c r="F387"/>
      <c r="G387"/>
      <c r="H387"/>
      <c r="I387"/>
      <c r="J387"/>
      <c r="K387"/>
    </row>
    <row r="388" spans="1:11" x14ac:dyDescent="0.3">
      <c r="A388"/>
      <c r="B388"/>
      <c r="C388"/>
      <c r="D388"/>
      <c r="E388"/>
      <c r="F388"/>
      <c r="G388"/>
      <c r="H388"/>
      <c r="I388"/>
      <c r="J388"/>
      <c r="K388"/>
    </row>
    <row r="389" spans="1:11" x14ac:dyDescent="0.3">
      <c r="A389"/>
      <c r="B389"/>
      <c r="C389"/>
      <c r="D389"/>
      <c r="E389"/>
      <c r="F389"/>
      <c r="G389"/>
      <c r="H389"/>
      <c r="I389"/>
      <c r="J389"/>
      <c r="K389"/>
    </row>
    <row r="390" spans="1:11" x14ac:dyDescent="0.3">
      <c r="A390"/>
      <c r="B390"/>
      <c r="C390"/>
      <c r="D390"/>
      <c r="E390"/>
      <c r="F390"/>
      <c r="G390"/>
      <c r="H390"/>
      <c r="I390"/>
      <c r="J390"/>
      <c r="K390"/>
    </row>
    <row r="391" spans="1:11" x14ac:dyDescent="0.3">
      <c r="A391"/>
      <c r="B391"/>
      <c r="C391"/>
      <c r="D391"/>
      <c r="E391"/>
      <c r="F391"/>
      <c r="G391"/>
      <c r="H391"/>
      <c r="I391"/>
      <c r="J391"/>
      <c r="K391"/>
    </row>
    <row r="392" spans="1:11" x14ac:dyDescent="0.3">
      <c r="A392"/>
      <c r="B392"/>
      <c r="C392"/>
      <c r="D392"/>
      <c r="E392"/>
      <c r="F392"/>
      <c r="G392"/>
      <c r="H392"/>
      <c r="I392"/>
      <c r="J392"/>
      <c r="K392"/>
    </row>
    <row r="393" spans="1:11" x14ac:dyDescent="0.3">
      <c r="A393"/>
      <c r="B393"/>
      <c r="C393"/>
      <c r="D393"/>
      <c r="E393"/>
      <c r="F393"/>
      <c r="G393"/>
      <c r="H393"/>
      <c r="I393"/>
      <c r="J393"/>
      <c r="K393"/>
    </row>
    <row r="394" spans="1:11" x14ac:dyDescent="0.3">
      <c r="A394"/>
      <c r="B394"/>
      <c r="C394"/>
      <c r="D394"/>
      <c r="E394"/>
      <c r="F394"/>
      <c r="G394"/>
      <c r="H394"/>
      <c r="I394"/>
      <c r="J394"/>
      <c r="K394"/>
    </row>
    <row r="395" spans="1:11" x14ac:dyDescent="0.3">
      <c r="A395"/>
      <c r="B395"/>
      <c r="C395"/>
      <c r="D395"/>
      <c r="E395"/>
      <c r="F395"/>
      <c r="G395"/>
      <c r="H395"/>
      <c r="I395"/>
      <c r="J395"/>
      <c r="K395"/>
    </row>
    <row r="396" spans="1:11" x14ac:dyDescent="0.3">
      <c r="A396"/>
      <c r="B396"/>
      <c r="C396"/>
      <c r="D396"/>
      <c r="E396"/>
      <c r="F396"/>
      <c r="G396"/>
      <c r="H396"/>
      <c r="I396"/>
      <c r="J396"/>
      <c r="K396"/>
    </row>
    <row r="397" spans="1:11" x14ac:dyDescent="0.3">
      <c r="A397"/>
      <c r="B397"/>
      <c r="C397"/>
      <c r="D397"/>
      <c r="E397"/>
      <c r="F397"/>
      <c r="G397"/>
      <c r="H397"/>
      <c r="I397"/>
      <c r="J397"/>
      <c r="K397"/>
    </row>
    <row r="398" spans="1:11" x14ac:dyDescent="0.3">
      <c r="A398"/>
      <c r="B398"/>
      <c r="C398"/>
      <c r="D398"/>
      <c r="E398"/>
      <c r="F398"/>
      <c r="G398"/>
      <c r="H398"/>
      <c r="I398"/>
      <c r="J398"/>
      <c r="K398"/>
    </row>
    <row r="399" spans="1:11" x14ac:dyDescent="0.3">
      <c r="A399"/>
      <c r="B399"/>
      <c r="C399"/>
      <c r="D399"/>
      <c r="E399"/>
      <c r="F399"/>
      <c r="G399"/>
      <c r="H399"/>
      <c r="I399"/>
      <c r="J399"/>
      <c r="K399"/>
    </row>
    <row r="400" spans="1:11" x14ac:dyDescent="0.3">
      <c r="A400"/>
      <c r="B400"/>
      <c r="C400"/>
      <c r="D400"/>
      <c r="E400"/>
      <c r="F400"/>
      <c r="G400"/>
      <c r="H400"/>
      <c r="I400"/>
      <c r="J400"/>
      <c r="K400"/>
    </row>
    <row r="401" spans="1:11" x14ac:dyDescent="0.3">
      <c r="A401"/>
      <c r="B401"/>
      <c r="C401"/>
      <c r="D401"/>
      <c r="E401"/>
      <c r="F401"/>
      <c r="G401"/>
      <c r="H401"/>
      <c r="I401"/>
      <c r="J401"/>
      <c r="K401"/>
    </row>
    <row r="402" spans="1:11" x14ac:dyDescent="0.3">
      <c r="A402"/>
      <c r="B402"/>
      <c r="C402"/>
      <c r="D402"/>
      <c r="E402"/>
      <c r="F402"/>
      <c r="G402"/>
      <c r="H402"/>
      <c r="I402"/>
      <c r="J402"/>
      <c r="K402"/>
    </row>
    <row r="403" spans="1:11" x14ac:dyDescent="0.3">
      <c r="A403"/>
      <c r="B403"/>
      <c r="C403"/>
      <c r="D403"/>
      <c r="E403"/>
      <c r="F403"/>
      <c r="G403"/>
      <c r="H403"/>
      <c r="I403"/>
      <c r="J403"/>
      <c r="K403"/>
    </row>
    <row r="404" spans="1:11" x14ac:dyDescent="0.3">
      <c r="A404"/>
      <c r="B404"/>
      <c r="C404"/>
      <c r="D404"/>
      <c r="E404"/>
      <c r="F404"/>
      <c r="G404"/>
      <c r="H404"/>
      <c r="I404"/>
      <c r="J404"/>
      <c r="K404"/>
    </row>
    <row r="405" spans="1:11" x14ac:dyDescent="0.3">
      <c r="A405"/>
      <c r="B405"/>
      <c r="C405"/>
      <c r="D405"/>
      <c r="E405"/>
      <c r="F405"/>
      <c r="G405"/>
      <c r="H405"/>
      <c r="I405"/>
      <c r="J405"/>
      <c r="K405"/>
    </row>
    <row r="406" spans="1:11" x14ac:dyDescent="0.3">
      <c r="A406"/>
      <c r="B406"/>
      <c r="C406"/>
      <c r="D406"/>
      <c r="E406"/>
      <c r="F406"/>
      <c r="G406"/>
      <c r="H406"/>
      <c r="I406"/>
      <c r="J406"/>
      <c r="K406"/>
    </row>
    <row r="407" spans="1:11" x14ac:dyDescent="0.3">
      <c r="A407"/>
      <c r="B407"/>
      <c r="C407"/>
      <c r="D407"/>
      <c r="E407"/>
      <c r="F407"/>
      <c r="G407"/>
      <c r="H407"/>
      <c r="I407"/>
      <c r="J407"/>
      <c r="K407"/>
    </row>
    <row r="408" spans="1:11" x14ac:dyDescent="0.3">
      <c r="A408"/>
      <c r="B408"/>
      <c r="C408"/>
      <c r="D408"/>
      <c r="E408"/>
      <c r="F408"/>
      <c r="G408"/>
      <c r="H408"/>
      <c r="I408"/>
      <c r="J408"/>
      <c r="K408"/>
    </row>
    <row r="409" spans="1:11" x14ac:dyDescent="0.3">
      <c r="A409"/>
      <c r="B409"/>
      <c r="C409"/>
      <c r="D409"/>
      <c r="E409"/>
      <c r="F409"/>
      <c r="G409"/>
      <c r="H409"/>
      <c r="I409"/>
      <c r="J409"/>
      <c r="K409"/>
    </row>
    <row r="410" spans="1:11" x14ac:dyDescent="0.3">
      <c r="A410"/>
      <c r="B410"/>
      <c r="C410"/>
      <c r="D410"/>
      <c r="E410"/>
      <c r="F410"/>
      <c r="G410"/>
      <c r="H410"/>
      <c r="I410"/>
      <c r="J410"/>
      <c r="K410"/>
    </row>
    <row r="411" spans="1:11" x14ac:dyDescent="0.3">
      <c r="A411"/>
      <c r="B411"/>
      <c r="C411"/>
      <c r="D411"/>
      <c r="E411"/>
      <c r="F411"/>
      <c r="G411"/>
      <c r="H411"/>
      <c r="I411"/>
      <c r="J411"/>
      <c r="K411"/>
    </row>
    <row r="412" spans="1:11" x14ac:dyDescent="0.3">
      <c r="A412"/>
      <c r="B412"/>
      <c r="C412"/>
      <c r="D412"/>
      <c r="E412"/>
      <c r="F412"/>
      <c r="G412"/>
      <c r="H412"/>
      <c r="I412"/>
      <c r="J412"/>
      <c r="K412"/>
    </row>
    <row r="413" spans="1:11" x14ac:dyDescent="0.3">
      <c r="A413"/>
      <c r="B413"/>
      <c r="C413"/>
      <c r="D413"/>
      <c r="E413"/>
      <c r="F413"/>
      <c r="G413"/>
      <c r="H413"/>
      <c r="I413"/>
      <c r="J413"/>
      <c r="K413"/>
    </row>
    <row r="414" spans="1:11" x14ac:dyDescent="0.3">
      <c r="A414"/>
      <c r="B414"/>
      <c r="C414"/>
      <c r="D414"/>
      <c r="E414"/>
      <c r="F414"/>
      <c r="G414"/>
      <c r="H414"/>
      <c r="I414"/>
      <c r="J414"/>
      <c r="K414"/>
    </row>
    <row r="415" spans="1:11" x14ac:dyDescent="0.3">
      <c r="A415"/>
      <c r="B415"/>
      <c r="C415"/>
      <c r="D415"/>
      <c r="E415"/>
      <c r="F415"/>
      <c r="G415"/>
      <c r="H415"/>
      <c r="I415"/>
      <c r="J415"/>
      <c r="K415"/>
    </row>
    <row r="416" spans="1:11" x14ac:dyDescent="0.3">
      <c r="A416"/>
      <c r="B416"/>
      <c r="C416"/>
      <c r="D416"/>
      <c r="E416"/>
      <c r="F416"/>
      <c r="G416"/>
      <c r="H416"/>
      <c r="I416"/>
      <c r="J416"/>
      <c r="K416"/>
    </row>
    <row r="417" spans="1:11" x14ac:dyDescent="0.3">
      <c r="A417"/>
      <c r="B417"/>
      <c r="C417"/>
      <c r="D417"/>
      <c r="E417"/>
      <c r="F417"/>
      <c r="G417"/>
      <c r="H417"/>
      <c r="I417"/>
      <c r="J417"/>
      <c r="K417"/>
    </row>
    <row r="418" spans="1:11" x14ac:dyDescent="0.3">
      <c r="A418"/>
      <c r="B418"/>
      <c r="C418"/>
      <c r="D418"/>
      <c r="E418"/>
      <c r="F418"/>
      <c r="G418"/>
      <c r="H418"/>
      <c r="I418"/>
      <c r="J418"/>
      <c r="K418"/>
    </row>
    <row r="419" spans="1:11" x14ac:dyDescent="0.3">
      <c r="A419"/>
      <c r="B419"/>
      <c r="C419"/>
      <c r="D419"/>
      <c r="E419"/>
      <c r="F419"/>
      <c r="G419"/>
      <c r="H419"/>
      <c r="I419"/>
      <c r="J419"/>
      <c r="K419"/>
    </row>
    <row r="420" spans="1:11" x14ac:dyDescent="0.3">
      <c r="A420"/>
      <c r="B420"/>
      <c r="C420"/>
      <c r="D420"/>
      <c r="E420"/>
      <c r="F420"/>
      <c r="G420"/>
      <c r="H420"/>
      <c r="I420"/>
      <c r="J420"/>
      <c r="K420"/>
    </row>
    <row r="421" spans="1:11" x14ac:dyDescent="0.3">
      <c r="A421"/>
      <c r="B421"/>
      <c r="C421"/>
      <c r="D421"/>
      <c r="E421"/>
      <c r="F421"/>
      <c r="G421"/>
      <c r="H421"/>
      <c r="I421"/>
      <c r="J421"/>
      <c r="K421"/>
    </row>
    <row r="422" spans="1:11" x14ac:dyDescent="0.3">
      <c r="A422"/>
      <c r="B422"/>
      <c r="C422"/>
      <c r="D422"/>
      <c r="E422"/>
      <c r="F422"/>
      <c r="G422"/>
      <c r="H422"/>
      <c r="I422"/>
      <c r="J422"/>
      <c r="K422"/>
    </row>
    <row r="423" spans="1:11" x14ac:dyDescent="0.3">
      <c r="A423"/>
      <c r="B423"/>
      <c r="C423"/>
      <c r="D423"/>
      <c r="E423"/>
      <c r="F423"/>
      <c r="G423"/>
      <c r="H423"/>
      <c r="I423"/>
      <c r="J423"/>
      <c r="K423"/>
    </row>
    <row r="424" spans="1:11" x14ac:dyDescent="0.3">
      <c r="A424"/>
      <c r="B424"/>
      <c r="C424"/>
      <c r="D424"/>
      <c r="E424"/>
      <c r="F424"/>
      <c r="G424"/>
      <c r="H424"/>
      <c r="I424"/>
      <c r="J424"/>
      <c r="K424"/>
    </row>
    <row r="425" spans="1:11" x14ac:dyDescent="0.3">
      <c r="A425"/>
      <c r="B425"/>
      <c r="C425"/>
      <c r="D425"/>
      <c r="E425"/>
      <c r="F425"/>
      <c r="G425"/>
      <c r="H425"/>
      <c r="I425"/>
      <c r="J425"/>
      <c r="K425"/>
    </row>
    <row r="426" spans="1:11" x14ac:dyDescent="0.3">
      <c r="A426"/>
      <c r="B426"/>
      <c r="C426"/>
      <c r="D426"/>
      <c r="E426"/>
      <c r="F426"/>
      <c r="G426"/>
      <c r="H426"/>
      <c r="I426"/>
      <c r="J426"/>
      <c r="K426"/>
    </row>
    <row r="427" spans="1:11" x14ac:dyDescent="0.3">
      <c r="A427"/>
      <c r="B427"/>
      <c r="C427"/>
      <c r="D427"/>
      <c r="E427"/>
      <c r="F427"/>
      <c r="G427"/>
      <c r="H427"/>
      <c r="I427"/>
      <c r="J427"/>
      <c r="K427"/>
    </row>
    <row r="428" spans="1:11" x14ac:dyDescent="0.3">
      <c r="A428"/>
      <c r="B428"/>
      <c r="C428"/>
      <c r="D428"/>
      <c r="E428"/>
      <c r="F428"/>
      <c r="G428"/>
      <c r="H428"/>
      <c r="I428"/>
      <c r="J428"/>
      <c r="K428"/>
    </row>
    <row r="429" spans="1:11" x14ac:dyDescent="0.3">
      <c r="A429"/>
      <c r="B429"/>
      <c r="C429"/>
      <c r="D429"/>
      <c r="E429"/>
      <c r="F429"/>
      <c r="G429"/>
      <c r="H429"/>
      <c r="I429"/>
      <c r="J429"/>
      <c r="K429"/>
    </row>
    <row r="430" spans="1:11" x14ac:dyDescent="0.3">
      <c r="A430"/>
      <c r="B430"/>
      <c r="C430"/>
      <c r="D430"/>
      <c r="E430"/>
      <c r="F430"/>
      <c r="G430"/>
      <c r="H430"/>
      <c r="I430"/>
      <c r="J430"/>
      <c r="K430"/>
    </row>
    <row r="431" spans="1:11" x14ac:dyDescent="0.3">
      <c r="A431"/>
      <c r="B431"/>
      <c r="C431"/>
      <c r="D431"/>
      <c r="E431"/>
      <c r="F431"/>
      <c r="G431"/>
      <c r="H431"/>
      <c r="I431"/>
      <c r="J431"/>
      <c r="K431"/>
    </row>
    <row r="432" spans="1:11" x14ac:dyDescent="0.3">
      <c r="A432"/>
      <c r="B432"/>
      <c r="C432"/>
      <c r="D432"/>
      <c r="E432"/>
      <c r="F432"/>
      <c r="G432"/>
      <c r="H432"/>
      <c r="I432"/>
      <c r="J432"/>
      <c r="K432"/>
    </row>
    <row r="433" spans="1:11" x14ac:dyDescent="0.3">
      <c r="A433"/>
      <c r="B433"/>
      <c r="C433"/>
      <c r="D433"/>
      <c r="E433"/>
      <c r="F433"/>
      <c r="G433"/>
      <c r="H433"/>
      <c r="I433"/>
      <c r="J433"/>
      <c r="K433"/>
    </row>
    <row r="434" spans="1:11" x14ac:dyDescent="0.3">
      <c r="A434"/>
      <c r="B434"/>
      <c r="C434"/>
      <c r="D434"/>
      <c r="E434"/>
      <c r="F434"/>
      <c r="G434"/>
      <c r="H434"/>
      <c r="I434"/>
      <c r="J434"/>
      <c r="K434"/>
    </row>
    <row r="435" spans="1:11" x14ac:dyDescent="0.3">
      <c r="A435"/>
      <c r="B435"/>
      <c r="C435"/>
      <c r="D435"/>
      <c r="E435"/>
      <c r="F435"/>
      <c r="G435"/>
      <c r="H435"/>
      <c r="I435"/>
      <c r="J435"/>
      <c r="K435"/>
    </row>
    <row r="436" spans="1:11" x14ac:dyDescent="0.3">
      <c r="A436"/>
      <c r="B436"/>
      <c r="C436"/>
      <c r="D436"/>
      <c r="E436"/>
      <c r="F436"/>
      <c r="G436"/>
      <c r="H436"/>
      <c r="I436"/>
      <c r="J436"/>
      <c r="K436"/>
    </row>
    <row r="437" spans="1:11" x14ac:dyDescent="0.3">
      <c r="A437"/>
      <c r="B437"/>
      <c r="C437"/>
      <c r="D437"/>
      <c r="E437"/>
      <c r="F437"/>
      <c r="G437"/>
      <c r="H437"/>
      <c r="I437"/>
      <c r="J437"/>
      <c r="K437"/>
    </row>
    <row r="438" spans="1:11" x14ac:dyDescent="0.3">
      <c r="A438"/>
      <c r="B438"/>
      <c r="C438"/>
      <c r="D438"/>
      <c r="E438"/>
      <c r="F438"/>
      <c r="G438"/>
      <c r="H438"/>
      <c r="I438"/>
      <c r="J438"/>
      <c r="K438"/>
    </row>
    <row r="439" spans="1:11" x14ac:dyDescent="0.3">
      <c r="A439"/>
      <c r="B439"/>
      <c r="C439"/>
      <c r="D439"/>
      <c r="E439"/>
      <c r="F439"/>
      <c r="G439"/>
      <c r="H439"/>
      <c r="I439"/>
      <c r="J439"/>
      <c r="K439"/>
    </row>
    <row r="440" spans="1:11" x14ac:dyDescent="0.3">
      <c r="A440"/>
      <c r="B440"/>
      <c r="C440"/>
      <c r="D440"/>
      <c r="E440"/>
      <c r="F440"/>
      <c r="G440"/>
      <c r="H440"/>
      <c r="I440"/>
      <c r="J440"/>
      <c r="K440"/>
    </row>
    <row r="441" spans="1:11" x14ac:dyDescent="0.3">
      <c r="A441"/>
      <c r="B441"/>
      <c r="C441"/>
      <c r="D441"/>
      <c r="E441"/>
      <c r="F441"/>
      <c r="G441"/>
      <c r="H441"/>
      <c r="I441"/>
      <c r="J441"/>
      <c r="K441"/>
    </row>
    <row r="442" spans="1:11" x14ac:dyDescent="0.3">
      <c r="A442"/>
      <c r="B442"/>
      <c r="C442"/>
      <c r="D442"/>
      <c r="E442"/>
      <c r="F442"/>
      <c r="G442"/>
      <c r="H442"/>
      <c r="I442"/>
      <c r="J442"/>
      <c r="K442"/>
    </row>
    <row r="443" spans="1:11" x14ac:dyDescent="0.3">
      <c r="A443"/>
      <c r="B443"/>
      <c r="C443"/>
      <c r="D443"/>
      <c r="E443"/>
      <c r="F443"/>
      <c r="G443"/>
      <c r="H443"/>
      <c r="I443"/>
      <c r="J443"/>
      <c r="K443"/>
    </row>
    <row r="444" spans="1:11" x14ac:dyDescent="0.3">
      <c r="A444"/>
      <c r="B444"/>
      <c r="C444"/>
      <c r="D444"/>
      <c r="E444"/>
      <c r="F444"/>
      <c r="G444"/>
      <c r="H444"/>
      <c r="I444"/>
      <c r="J444"/>
      <c r="K444"/>
    </row>
    <row r="445" spans="1:11" x14ac:dyDescent="0.3">
      <c r="A445"/>
      <c r="B445"/>
      <c r="C445"/>
      <c r="D445"/>
      <c r="E445"/>
      <c r="F445"/>
      <c r="G445"/>
      <c r="H445"/>
      <c r="I445"/>
      <c r="J445"/>
      <c r="K445"/>
    </row>
    <row r="446" spans="1:11" x14ac:dyDescent="0.3">
      <c r="A446"/>
      <c r="B446"/>
      <c r="C446"/>
      <c r="D446"/>
      <c r="E446"/>
      <c r="F446"/>
      <c r="G446"/>
      <c r="H446"/>
      <c r="I446"/>
      <c r="J446"/>
      <c r="K446"/>
    </row>
    <row r="447" spans="1:11" x14ac:dyDescent="0.3">
      <c r="A447"/>
      <c r="B447"/>
      <c r="C447"/>
      <c r="D447"/>
      <c r="E447"/>
      <c r="F447"/>
      <c r="G447"/>
      <c r="H447"/>
      <c r="I447"/>
      <c r="J447"/>
      <c r="K447"/>
    </row>
    <row r="448" spans="1:11" x14ac:dyDescent="0.3">
      <c r="A448"/>
      <c r="B448"/>
      <c r="C448"/>
      <c r="D448"/>
      <c r="E448"/>
      <c r="F448"/>
      <c r="G448"/>
      <c r="H448"/>
      <c r="I448"/>
      <c r="J448"/>
      <c r="K448"/>
    </row>
    <row r="449" spans="1:11" x14ac:dyDescent="0.3">
      <c r="A449"/>
      <c r="B449"/>
      <c r="C449"/>
      <c r="D449"/>
      <c r="E449"/>
      <c r="F449"/>
      <c r="G449"/>
      <c r="H449"/>
      <c r="I449"/>
      <c r="J449"/>
      <c r="K449"/>
    </row>
    <row r="450" spans="1:11" x14ac:dyDescent="0.3">
      <c r="A450"/>
      <c r="B450"/>
      <c r="C450"/>
      <c r="D450"/>
      <c r="E450"/>
      <c r="F450"/>
      <c r="G450"/>
      <c r="H450"/>
      <c r="I450"/>
      <c r="J450"/>
      <c r="K450"/>
    </row>
    <row r="451" spans="1:11" x14ac:dyDescent="0.3">
      <c r="A451"/>
      <c r="B451"/>
      <c r="C451"/>
      <c r="D451"/>
      <c r="E451"/>
      <c r="F451"/>
      <c r="G451"/>
      <c r="H451"/>
      <c r="I451"/>
      <c r="J451"/>
      <c r="K451"/>
    </row>
    <row r="452" spans="1:11" x14ac:dyDescent="0.3">
      <c r="A452"/>
      <c r="B452"/>
      <c r="C452"/>
      <c r="D452"/>
      <c r="E452"/>
      <c r="F452"/>
      <c r="G452"/>
      <c r="H452"/>
      <c r="I452"/>
      <c r="J452"/>
      <c r="K452"/>
    </row>
    <row r="453" spans="1:11" x14ac:dyDescent="0.3">
      <c r="A453"/>
      <c r="B453"/>
      <c r="C453"/>
      <c r="D453"/>
      <c r="E453"/>
      <c r="F453"/>
      <c r="G453"/>
      <c r="H453"/>
      <c r="I453"/>
      <c r="J453"/>
      <c r="K453"/>
    </row>
    <row r="454" spans="1:11" x14ac:dyDescent="0.3">
      <c r="A454"/>
      <c r="B454"/>
      <c r="C454"/>
      <c r="D454"/>
      <c r="E454"/>
      <c r="F454"/>
      <c r="G454"/>
      <c r="H454"/>
      <c r="I454"/>
      <c r="J454"/>
      <c r="K454"/>
    </row>
    <row r="455" spans="1:11" x14ac:dyDescent="0.3">
      <c r="A455"/>
      <c r="B455"/>
      <c r="C455"/>
      <c r="D455"/>
      <c r="E455"/>
      <c r="F455"/>
      <c r="G455"/>
      <c r="H455"/>
      <c r="I455"/>
      <c r="J455"/>
      <c r="K455"/>
    </row>
    <row r="456" spans="1:11" x14ac:dyDescent="0.3">
      <c r="A456"/>
      <c r="B456"/>
      <c r="C456"/>
      <c r="D456"/>
      <c r="E456"/>
      <c r="F456"/>
      <c r="G456"/>
      <c r="H456"/>
      <c r="I456"/>
      <c r="J456"/>
      <c r="K456"/>
    </row>
    <row r="457" spans="1:11" x14ac:dyDescent="0.3">
      <c r="A457"/>
      <c r="B457"/>
      <c r="C457"/>
      <c r="D457"/>
      <c r="E457"/>
      <c r="F457"/>
      <c r="G457"/>
      <c r="H457"/>
      <c r="I457"/>
      <c r="J457"/>
      <c r="K457"/>
    </row>
    <row r="458" spans="1:11" x14ac:dyDescent="0.3">
      <c r="A458"/>
      <c r="B458"/>
      <c r="C458"/>
      <c r="D458"/>
      <c r="E458"/>
      <c r="F458"/>
      <c r="G458"/>
      <c r="H458"/>
      <c r="I458"/>
      <c r="J458"/>
      <c r="K458"/>
    </row>
    <row r="459" spans="1:11" x14ac:dyDescent="0.3">
      <c r="A459"/>
      <c r="B459"/>
      <c r="C459"/>
      <c r="D459"/>
      <c r="E459"/>
      <c r="F459"/>
      <c r="G459"/>
      <c r="H459"/>
      <c r="I459"/>
      <c r="J459"/>
      <c r="K459"/>
    </row>
    <row r="460" spans="1:11" x14ac:dyDescent="0.3">
      <c r="A460"/>
      <c r="B460"/>
      <c r="C460"/>
      <c r="D460"/>
      <c r="E460"/>
      <c r="F460"/>
      <c r="G460"/>
      <c r="H460"/>
      <c r="I460"/>
      <c r="J460"/>
      <c r="K460"/>
    </row>
    <row r="461" spans="1:11" x14ac:dyDescent="0.3">
      <c r="A461"/>
      <c r="B461"/>
      <c r="C461"/>
      <c r="D461"/>
      <c r="E461"/>
      <c r="F461"/>
      <c r="G461"/>
      <c r="H461"/>
      <c r="I461"/>
      <c r="J461"/>
      <c r="K461"/>
    </row>
    <row r="462" spans="1:11" x14ac:dyDescent="0.3">
      <c r="A462"/>
      <c r="B462"/>
      <c r="C462"/>
      <c r="D462"/>
      <c r="E462"/>
      <c r="F462"/>
      <c r="G462"/>
      <c r="H462"/>
      <c r="I462"/>
      <c r="J462"/>
      <c r="K462"/>
    </row>
    <row r="463" spans="1:11" x14ac:dyDescent="0.3">
      <c r="A463"/>
      <c r="B463"/>
      <c r="C463"/>
      <c r="D463"/>
      <c r="E463"/>
      <c r="F463"/>
      <c r="G463"/>
      <c r="H463"/>
      <c r="I463"/>
      <c r="J463"/>
      <c r="K463"/>
    </row>
    <row r="464" spans="1:11" x14ac:dyDescent="0.3">
      <c r="A464"/>
      <c r="B464"/>
      <c r="C464"/>
      <c r="D464"/>
      <c r="E464"/>
      <c r="F464"/>
      <c r="G464"/>
      <c r="H464"/>
      <c r="I464"/>
      <c r="J464"/>
      <c r="K464"/>
    </row>
    <row r="465" spans="1:11" x14ac:dyDescent="0.3">
      <c r="A465"/>
      <c r="B465"/>
      <c r="C465"/>
      <c r="D465"/>
      <c r="E465"/>
      <c r="F465"/>
      <c r="G465"/>
      <c r="H465"/>
      <c r="I465"/>
      <c r="J465"/>
      <c r="K465"/>
    </row>
    <row r="466" spans="1:11" x14ac:dyDescent="0.3">
      <c r="A466"/>
      <c r="B466"/>
      <c r="C466"/>
      <c r="D466"/>
      <c r="E466"/>
      <c r="F466"/>
      <c r="G466"/>
      <c r="H466"/>
      <c r="I466"/>
      <c r="J466"/>
      <c r="K466"/>
    </row>
    <row r="467" spans="1:11" x14ac:dyDescent="0.3">
      <c r="A467"/>
      <c r="B467"/>
      <c r="C467"/>
      <c r="D467"/>
      <c r="E467"/>
      <c r="F467"/>
      <c r="G467"/>
      <c r="H467"/>
      <c r="I467"/>
      <c r="J467"/>
      <c r="K467"/>
    </row>
    <row r="468" spans="1:11" x14ac:dyDescent="0.3">
      <c r="A468"/>
      <c r="B468"/>
      <c r="C468"/>
      <c r="D468"/>
      <c r="E468"/>
      <c r="F468"/>
      <c r="G468"/>
      <c r="H468"/>
      <c r="I468"/>
      <c r="J468"/>
      <c r="K468"/>
    </row>
    <row r="469" spans="1:11" x14ac:dyDescent="0.3">
      <c r="A469"/>
      <c r="B469"/>
      <c r="C469"/>
      <c r="D469"/>
      <c r="E469"/>
      <c r="F469"/>
      <c r="G469"/>
      <c r="H469"/>
      <c r="I469"/>
      <c r="J469"/>
      <c r="K469"/>
    </row>
    <row r="470" spans="1:11" x14ac:dyDescent="0.3">
      <c r="A470"/>
      <c r="B470"/>
      <c r="C470"/>
      <c r="D470"/>
      <c r="E470"/>
      <c r="F470"/>
      <c r="G470"/>
      <c r="H470"/>
      <c r="I470"/>
      <c r="J470"/>
      <c r="K470"/>
    </row>
    <row r="471" spans="1:11" x14ac:dyDescent="0.3">
      <c r="A471"/>
      <c r="B471"/>
      <c r="C471"/>
      <c r="D471"/>
      <c r="E471"/>
      <c r="F471"/>
      <c r="G471"/>
      <c r="H471"/>
      <c r="I471"/>
      <c r="J471"/>
      <c r="K471"/>
    </row>
    <row r="472" spans="1:11" x14ac:dyDescent="0.3">
      <c r="A472"/>
      <c r="B472"/>
      <c r="C472"/>
      <c r="D472"/>
      <c r="E472"/>
      <c r="F472"/>
      <c r="G472"/>
      <c r="H472"/>
      <c r="I472"/>
      <c r="J472"/>
      <c r="K472"/>
    </row>
    <row r="473" spans="1:11" x14ac:dyDescent="0.3">
      <c r="A473"/>
      <c r="B473"/>
      <c r="C473"/>
      <c r="D473"/>
      <c r="E473"/>
      <c r="F473"/>
      <c r="G473"/>
      <c r="H473"/>
      <c r="I473"/>
      <c r="J473"/>
      <c r="K473"/>
    </row>
    <row r="474" spans="1:11" x14ac:dyDescent="0.3">
      <c r="A474"/>
      <c r="B474"/>
      <c r="C474"/>
      <c r="D474"/>
      <c r="E474"/>
      <c r="F474"/>
      <c r="G474"/>
      <c r="H474"/>
      <c r="I474"/>
      <c r="J474"/>
      <c r="K474"/>
    </row>
    <row r="475" spans="1:11" x14ac:dyDescent="0.3">
      <c r="A475"/>
      <c r="B475"/>
      <c r="C475"/>
      <c r="D475"/>
      <c r="E475"/>
      <c r="F475"/>
      <c r="G475"/>
      <c r="H475"/>
      <c r="I475"/>
      <c r="J475"/>
      <c r="K475"/>
    </row>
    <row r="476" spans="1:11" x14ac:dyDescent="0.3">
      <c r="A476"/>
      <c r="B476"/>
      <c r="C476"/>
      <c r="D476"/>
      <c r="E476"/>
      <c r="F476"/>
      <c r="G476"/>
      <c r="H476"/>
      <c r="I476"/>
      <c r="J476"/>
      <c r="K476"/>
    </row>
    <row r="477" spans="1:11" x14ac:dyDescent="0.3">
      <c r="A477"/>
      <c r="B477"/>
      <c r="C477"/>
      <c r="D477"/>
      <c r="E477"/>
      <c r="F477"/>
      <c r="G477"/>
      <c r="H477"/>
      <c r="I477"/>
      <c r="J477"/>
      <c r="K477"/>
    </row>
    <row r="478" spans="1:11" x14ac:dyDescent="0.3">
      <c r="A478"/>
      <c r="B478"/>
      <c r="C478"/>
      <c r="D478"/>
      <c r="E478"/>
      <c r="F478"/>
      <c r="G478"/>
      <c r="H478"/>
      <c r="I478"/>
      <c r="J478"/>
      <c r="K478"/>
    </row>
    <row r="479" spans="1:11" x14ac:dyDescent="0.3">
      <c r="A479"/>
      <c r="B479"/>
      <c r="C479"/>
      <c r="D479"/>
      <c r="E479"/>
      <c r="F479"/>
      <c r="G479"/>
      <c r="H479"/>
      <c r="I479"/>
      <c r="J479"/>
      <c r="K479"/>
    </row>
    <row r="480" spans="1:11" x14ac:dyDescent="0.3">
      <c r="A480"/>
      <c r="B480"/>
      <c r="C480"/>
      <c r="D480"/>
      <c r="E480"/>
      <c r="F480"/>
      <c r="G480"/>
      <c r="H480"/>
      <c r="I480"/>
      <c r="J480"/>
      <c r="K480"/>
    </row>
    <row r="481" spans="1:11" x14ac:dyDescent="0.3">
      <c r="A481"/>
      <c r="B481"/>
      <c r="C481"/>
      <c r="D481"/>
      <c r="E481"/>
      <c r="F481"/>
      <c r="G481"/>
      <c r="H481"/>
      <c r="I481"/>
      <c r="J481"/>
      <c r="K481"/>
    </row>
    <row r="482" spans="1:11" x14ac:dyDescent="0.3">
      <c r="A482"/>
      <c r="B482"/>
      <c r="C482"/>
      <c r="D482"/>
      <c r="E482"/>
      <c r="F482"/>
      <c r="G482"/>
      <c r="H482"/>
      <c r="I482"/>
      <c r="J482"/>
      <c r="K482"/>
    </row>
    <row r="483" spans="1:11" x14ac:dyDescent="0.3">
      <c r="A483"/>
      <c r="B483"/>
      <c r="C483"/>
      <c r="D483"/>
      <c r="E483"/>
      <c r="F483"/>
      <c r="G483"/>
      <c r="H483"/>
      <c r="I483"/>
      <c r="J483"/>
      <c r="K483"/>
    </row>
    <row r="484" spans="1:11" x14ac:dyDescent="0.3">
      <c r="A484"/>
      <c r="B484"/>
      <c r="C484"/>
      <c r="D484"/>
      <c r="E484"/>
      <c r="F484"/>
      <c r="G484"/>
      <c r="H484"/>
      <c r="I484"/>
      <c r="J484"/>
      <c r="K484"/>
    </row>
    <row r="485" spans="1:11" x14ac:dyDescent="0.3">
      <c r="A485"/>
      <c r="B485"/>
      <c r="C485"/>
      <c r="D485"/>
      <c r="E485"/>
      <c r="F485"/>
      <c r="G485"/>
      <c r="H485"/>
      <c r="I485"/>
      <c r="J485"/>
      <c r="K485"/>
    </row>
    <row r="486" spans="1:11" x14ac:dyDescent="0.3">
      <c r="A486"/>
      <c r="B486"/>
      <c r="C486"/>
      <c r="D486"/>
      <c r="E486"/>
      <c r="F486"/>
      <c r="G486"/>
      <c r="H486"/>
      <c r="I486"/>
      <c r="J486"/>
      <c r="K486"/>
    </row>
    <row r="487" spans="1:11" x14ac:dyDescent="0.3">
      <c r="A487"/>
      <c r="B487"/>
      <c r="C487"/>
      <c r="D487"/>
      <c r="E487"/>
      <c r="F487"/>
      <c r="G487"/>
      <c r="H487"/>
      <c r="I487"/>
      <c r="J487"/>
      <c r="K487"/>
    </row>
    <row r="488" spans="1:11" x14ac:dyDescent="0.3">
      <c r="A488"/>
      <c r="B488"/>
      <c r="C488"/>
      <c r="D488"/>
      <c r="E488"/>
      <c r="F488"/>
      <c r="G488"/>
      <c r="H488"/>
      <c r="I488"/>
      <c r="J488"/>
      <c r="K488"/>
    </row>
    <row r="489" spans="1:11" x14ac:dyDescent="0.3">
      <c r="A489"/>
      <c r="B489"/>
      <c r="C489"/>
      <c r="D489"/>
      <c r="E489"/>
      <c r="F489"/>
      <c r="G489"/>
      <c r="H489"/>
      <c r="I489"/>
      <c r="J489"/>
      <c r="K489"/>
    </row>
    <row r="490" spans="1:11" x14ac:dyDescent="0.3">
      <c r="A490"/>
      <c r="B490"/>
      <c r="C490"/>
      <c r="D490"/>
      <c r="E490"/>
      <c r="F490"/>
      <c r="G490"/>
      <c r="H490"/>
      <c r="I490"/>
      <c r="J490"/>
      <c r="K490"/>
    </row>
    <row r="491" spans="1:11" x14ac:dyDescent="0.3">
      <c r="A491"/>
      <c r="B491"/>
      <c r="C491"/>
      <c r="D491"/>
      <c r="E491"/>
      <c r="F491"/>
      <c r="G491"/>
      <c r="H491"/>
      <c r="I491"/>
      <c r="J491"/>
      <c r="K491"/>
    </row>
    <row r="492" spans="1:11" x14ac:dyDescent="0.3">
      <c r="A492"/>
      <c r="B492"/>
      <c r="C492"/>
      <c r="D492"/>
      <c r="E492"/>
      <c r="F492"/>
      <c r="G492"/>
      <c r="H492"/>
      <c r="I492"/>
      <c r="J492"/>
      <c r="K492"/>
    </row>
    <row r="493" spans="1:11" x14ac:dyDescent="0.3">
      <c r="A493"/>
      <c r="B493"/>
      <c r="C493"/>
      <c r="D493"/>
      <c r="E493"/>
      <c r="F493"/>
      <c r="G493"/>
      <c r="H493"/>
      <c r="I493"/>
      <c r="J493"/>
      <c r="K493"/>
    </row>
    <row r="494" spans="1:11" x14ac:dyDescent="0.3">
      <c r="A494"/>
      <c r="B494"/>
      <c r="C494"/>
      <c r="D494"/>
      <c r="E494"/>
      <c r="F494"/>
      <c r="G494"/>
      <c r="H494"/>
      <c r="I494"/>
      <c r="J494"/>
      <c r="K494"/>
    </row>
    <row r="495" spans="1:11" x14ac:dyDescent="0.3">
      <c r="A495"/>
      <c r="B495"/>
      <c r="C495"/>
      <c r="D495"/>
      <c r="E495"/>
      <c r="F495"/>
      <c r="G495"/>
      <c r="H495"/>
      <c r="I495"/>
      <c r="J495"/>
      <c r="K495"/>
    </row>
    <row r="496" spans="1:11" x14ac:dyDescent="0.3">
      <c r="A496"/>
      <c r="B496"/>
      <c r="C496"/>
      <c r="D496"/>
      <c r="E496"/>
      <c r="F496"/>
      <c r="G496"/>
      <c r="H496"/>
      <c r="I496"/>
      <c r="J496"/>
      <c r="K496"/>
    </row>
    <row r="497" spans="1:11" x14ac:dyDescent="0.3">
      <c r="A497"/>
      <c r="B497"/>
      <c r="C497"/>
      <c r="D497"/>
      <c r="E497"/>
      <c r="F497"/>
      <c r="G497"/>
      <c r="H497"/>
      <c r="I497"/>
      <c r="J497"/>
      <c r="K497"/>
    </row>
    <row r="498" spans="1:11" x14ac:dyDescent="0.3">
      <c r="A498"/>
      <c r="B498"/>
      <c r="C498"/>
      <c r="D498"/>
      <c r="E498"/>
      <c r="F498"/>
      <c r="G498"/>
      <c r="H498"/>
      <c r="I498"/>
      <c r="J498"/>
      <c r="K498"/>
    </row>
    <row r="499" spans="1:11" x14ac:dyDescent="0.3">
      <c r="A499"/>
      <c r="B499"/>
      <c r="C499"/>
      <c r="D499"/>
      <c r="E499"/>
      <c r="F499"/>
      <c r="G499"/>
      <c r="H499"/>
      <c r="I499"/>
      <c r="J499"/>
      <c r="K499"/>
    </row>
    <row r="500" spans="1:11" x14ac:dyDescent="0.3">
      <c r="A500"/>
      <c r="B500"/>
      <c r="C500"/>
      <c r="D500"/>
      <c r="E500"/>
      <c r="F500"/>
      <c r="G500"/>
      <c r="H500"/>
      <c r="I500"/>
      <c r="J500"/>
      <c r="K500"/>
    </row>
    <row r="501" spans="1:11" x14ac:dyDescent="0.3">
      <c r="A501"/>
      <c r="B501"/>
      <c r="C501"/>
      <c r="D501"/>
      <c r="E501"/>
      <c r="F501"/>
      <c r="G501"/>
      <c r="H501"/>
      <c r="I501"/>
      <c r="J501"/>
      <c r="K501"/>
    </row>
    <row r="502" spans="1:11" x14ac:dyDescent="0.3">
      <c r="A502"/>
      <c r="B502"/>
      <c r="C502"/>
      <c r="D502"/>
      <c r="E502"/>
      <c r="F502"/>
      <c r="G502"/>
      <c r="H502"/>
      <c r="I502"/>
      <c r="J502"/>
      <c r="K502"/>
    </row>
    <row r="503" spans="1:11" x14ac:dyDescent="0.3">
      <c r="A503"/>
      <c r="B503"/>
      <c r="C503"/>
      <c r="D503"/>
      <c r="E503"/>
      <c r="F503"/>
      <c r="G503"/>
      <c r="H503"/>
      <c r="I503"/>
      <c r="J503"/>
      <c r="K503"/>
    </row>
    <row r="504" spans="1:11" x14ac:dyDescent="0.3">
      <c r="A504"/>
      <c r="B504"/>
      <c r="C504"/>
      <c r="D504"/>
      <c r="E504"/>
      <c r="F504"/>
      <c r="G504"/>
      <c r="H504"/>
      <c r="I504"/>
      <c r="J504"/>
      <c r="K504"/>
    </row>
    <row r="505" spans="1:11" x14ac:dyDescent="0.3">
      <c r="A505"/>
      <c r="B505"/>
      <c r="C505"/>
      <c r="D505"/>
      <c r="E505"/>
      <c r="F505"/>
      <c r="G505"/>
      <c r="H505"/>
      <c r="I505"/>
      <c r="J505"/>
      <c r="K505"/>
    </row>
    <row r="506" spans="1:11" x14ac:dyDescent="0.3">
      <c r="A506"/>
      <c r="B506"/>
      <c r="C506"/>
      <c r="D506"/>
      <c r="E506"/>
      <c r="F506"/>
      <c r="G506"/>
      <c r="H506"/>
      <c r="I506"/>
      <c r="J506"/>
      <c r="K506"/>
    </row>
    <row r="507" spans="1:11" x14ac:dyDescent="0.3">
      <c r="A507"/>
      <c r="B507"/>
      <c r="C507"/>
      <c r="D507"/>
      <c r="E507"/>
      <c r="F507"/>
      <c r="G507"/>
      <c r="H507"/>
      <c r="I507"/>
      <c r="J507"/>
      <c r="K507"/>
    </row>
    <row r="508" spans="1:11" x14ac:dyDescent="0.3">
      <c r="A508"/>
      <c r="B508"/>
      <c r="C508"/>
      <c r="D508"/>
      <c r="E508"/>
      <c r="F508"/>
      <c r="G508"/>
      <c r="H508"/>
      <c r="I508"/>
      <c r="J508"/>
      <c r="K508"/>
    </row>
    <row r="509" spans="1:11" x14ac:dyDescent="0.3">
      <c r="A509"/>
      <c r="B509"/>
      <c r="C509"/>
      <c r="D509"/>
      <c r="E509"/>
      <c r="F509"/>
      <c r="G509"/>
      <c r="H509"/>
      <c r="I509"/>
      <c r="J509"/>
      <c r="K509"/>
    </row>
    <row r="510" spans="1:11" x14ac:dyDescent="0.3">
      <c r="A510"/>
      <c r="B510"/>
      <c r="C510"/>
      <c r="D510"/>
      <c r="E510"/>
      <c r="F510"/>
      <c r="G510"/>
      <c r="H510"/>
      <c r="I510"/>
      <c r="J510"/>
      <c r="K510"/>
    </row>
    <row r="511" spans="1:11" x14ac:dyDescent="0.3">
      <c r="A511"/>
      <c r="B511"/>
      <c r="C511"/>
      <c r="D511"/>
      <c r="E511"/>
      <c r="F511"/>
      <c r="G511"/>
      <c r="H511"/>
      <c r="I511"/>
      <c r="J511"/>
      <c r="K511"/>
    </row>
    <row r="512" spans="1:11" x14ac:dyDescent="0.3">
      <c r="A512"/>
      <c r="B512"/>
      <c r="C512"/>
      <c r="D512"/>
      <c r="E512"/>
      <c r="F512"/>
      <c r="G512"/>
      <c r="H512"/>
      <c r="I512"/>
      <c r="J512"/>
      <c r="K512"/>
    </row>
    <row r="513" spans="1:11" x14ac:dyDescent="0.3">
      <c r="A513"/>
      <c r="B513"/>
      <c r="C513"/>
      <c r="D513"/>
      <c r="E513"/>
      <c r="F513"/>
      <c r="G513"/>
      <c r="H513"/>
      <c r="I513"/>
      <c r="J513"/>
      <c r="K513"/>
    </row>
    <row r="514" spans="1:11" x14ac:dyDescent="0.3">
      <c r="A514"/>
      <c r="B514"/>
      <c r="C514"/>
      <c r="D514"/>
      <c r="E514"/>
      <c r="F514"/>
      <c r="G514"/>
      <c r="H514"/>
      <c r="I514"/>
      <c r="J514"/>
      <c r="K514"/>
    </row>
    <row r="515" spans="1:11" x14ac:dyDescent="0.3">
      <c r="A515"/>
      <c r="B515"/>
      <c r="C515"/>
      <c r="D515"/>
      <c r="E515"/>
      <c r="F515"/>
      <c r="G515"/>
      <c r="H515"/>
      <c r="I515"/>
      <c r="J515"/>
      <c r="K515"/>
    </row>
    <row r="516" spans="1:11" x14ac:dyDescent="0.3">
      <c r="A516"/>
      <c r="B516"/>
      <c r="C516"/>
      <c r="D516"/>
      <c r="E516"/>
      <c r="F516"/>
      <c r="G516"/>
      <c r="H516"/>
      <c r="I516"/>
      <c r="J516"/>
      <c r="K516"/>
    </row>
    <row r="517" spans="1:11" x14ac:dyDescent="0.3">
      <c r="A517"/>
      <c r="B517"/>
      <c r="C517"/>
      <c r="D517"/>
      <c r="E517"/>
      <c r="F517"/>
      <c r="G517"/>
      <c r="H517"/>
      <c r="I517"/>
      <c r="J517"/>
      <c r="K517"/>
    </row>
    <row r="518" spans="1:11" x14ac:dyDescent="0.3">
      <c r="A518"/>
      <c r="B518"/>
      <c r="C518"/>
      <c r="D518"/>
      <c r="E518"/>
      <c r="F518"/>
      <c r="G518"/>
      <c r="H518"/>
      <c r="I518"/>
      <c r="J518"/>
      <c r="K518"/>
    </row>
    <row r="519" spans="1:11" x14ac:dyDescent="0.3">
      <c r="A519"/>
      <c r="B519"/>
      <c r="C519"/>
      <c r="D519"/>
      <c r="E519"/>
      <c r="F519"/>
      <c r="G519"/>
      <c r="H519"/>
      <c r="I519"/>
      <c r="J519"/>
      <c r="K519"/>
    </row>
    <row r="520" spans="1:11" x14ac:dyDescent="0.3">
      <c r="A520"/>
      <c r="B520"/>
      <c r="C520"/>
      <c r="D520"/>
      <c r="E520"/>
      <c r="F520"/>
      <c r="G520"/>
      <c r="H520"/>
      <c r="I520"/>
      <c r="J520"/>
      <c r="K520"/>
    </row>
    <row r="521" spans="1:11" x14ac:dyDescent="0.3">
      <c r="A521"/>
      <c r="B521"/>
      <c r="C521"/>
      <c r="D521"/>
      <c r="E521"/>
      <c r="F521"/>
      <c r="G521"/>
      <c r="H521"/>
      <c r="I521"/>
      <c r="J521"/>
      <c r="K521"/>
    </row>
    <row r="522" spans="1:11" x14ac:dyDescent="0.3">
      <c r="A522"/>
      <c r="B522"/>
      <c r="C522"/>
      <c r="D522"/>
      <c r="E522"/>
      <c r="F522"/>
      <c r="G522"/>
      <c r="H522"/>
      <c r="I522"/>
      <c r="J522"/>
      <c r="K522"/>
    </row>
    <row r="523" spans="1:11" x14ac:dyDescent="0.3">
      <c r="A523"/>
      <c r="B523"/>
      <c r="C523"/>
      <c r="D523"/>
      <c r="E523"/>
      <c r="F523"/>
      <c r="G523"/>
      <c r="H523"/>
      <c r="I523"/>
      <c r="J523"/>
      <c r="K523"/>
    </row>
    <row r="524" spans="1:11" x14ac:dyDescent="0.3">
      <c r="A524"/>
      <c r="B524"/>
      <c r="C524"/>
      <c r="D524"/>
      <c r="E524"/>
      <c r="F524"/>
      <c r="G524"/>
      <c r="H524"/>
      <c r="I524"/>
      <c r="J524"/>
      <c r="K524"/>
    </row>
    <row r="525" spans="1:11" x14ac:dyDescent="0.3">
      <c r="A525"/>
      <c r="B525"/>
      <c r="C525"/>
      <c r="D525"/>
      <c r="E525"/>
      <c r="F525"/>
      <c r="G525"/>
      <c r="H525"/>
      <c r="I525"/>
      <c r="J525"/>
      <c r="K525"/>
    </row>
    <row r="526" spans="1:11" x14ac:dyDescent="0.3">
      <c r="A526"/>
      <c r="B526"/>
      <c r="C526"/>
      <c r="D526"/>
      <c r="E526"/>
      <c r="F526"/>
      <c r="G526"/>
      <c r="H526"/>
      <c r="I526"/>
      <c r="J526"/>
      <c r="K526"/>
    </row>
    <row r="527" spans="1:11" x14ac:dyDescent="0.3">
      <c r="A527"/>
      <c r="B527"/>
      <c r="C527"/>
      <c r="D527"/>
      <c r="E527"/>
      <c r="F527"/>
      <c r="G527"/>
      <c r="H527"/>
      <c r="I527"/>
      <c r="J527"/>
      <c r="K527"/>
    </row>
    <row r="528" spans="1:11" x14ac:dyDescent="0.3">
      <c r="A528"/>
      <c r="B528"/>
      <c r="C528"/>
      <c r="D528"/>
      <c r="E528"/>
      <c r="F528"/>
      <c r="G528"/>
      <c r="H528"/>
      <c r="I528"/>
      <c r="J528"/>
      <c r="K528"/>
    </row>
    <row r="529" spans="1:11" x14ac:dyDescent="0.3">
      <c r="A529"/>
      <c r="B529"/>
      <c r="C529"/>
      <c r="D529"/>
      <c r="E529"/>
      <c r="F529"/>
      <c r="G529"/>
      <c r="H529"/>
      <c r="I529"/>
      <c r="J529"/>
      <c r="K529"/>
    </row>
    <row r="530" spans="1:11" x14ac:dyDescent="0.3">
      <c r="A530"/>
      <c r="B530"/>
      <c r="C530"/>
      <c r="D530"/>
      <c r="E530"/>
      <c r="F530"/>
      <c r="G530"/>
      <c r="H530"/>
      <c r="I530"/>
      <c r="J530"/>
      <c r="K530"/>
    </row>
    <row r="531" spans="1:11" x14ac:dyDescent="0.3">
      <c r="A531"/>
      <c r="B531"/>
      <c r="C531"/>
      <c r="D531"/>
      <c r="E531"/>
      <c r="F531"/>
      <c r="G531"/>
      <c r="H531"/>
      <c r="I531"/>
      <c r="J531"/>
      <c r="K531"/>
    </row>
    <row r="532" spans="1:11" x14ac:dyDescent="0.3">
      <c r="A532"/>
      <c r="B532"/>
      <c r="C532"/>
      <c r="D532"/>
      <c r="E532"/>
      <c r="F532"/>
      <c r="G532"/>
      <c r="H532"/>
      <c r="I532"/>
      <c r="J532"/>
      <c r="K532"/>
    </row>
    <row r="533" spans="1:11" x14ac:dyDescent="0.3">
      <c r="A533"/>
      <c r="B533"/>
      <c r="C533"/>
      <c r="D533"/>
      <c r="E533"/>
      <c r="F533"/>
      <c r="G533"/>
      <c r="H533"/>
      <c r="I533"/>
      <c r="J533"/>
      <c r="K533"/>
    </row>
    <row r="534" spans="1:11" x14ac:dyDescent="0.3">
      <c r="A534"/>
      <c r="B534"/>
      <c r="C534"/>
      <c r="D534"/>
      <c r="E534"/>
      <c r="F534"/>
      <c r="G534"/>
      <c r="H534"/>
      <c r="I534"/>
      <c r="J534"/>
      <c r="K534"/>
    </row>
    <row r="535" spans="1:11" x14ac:dyDescent="0.3">
      <c r="A535"/>
      <c r="B535"/>
      <c r="C535"/>
      <c r="D535"/>
      <c r="E535"/>
      <c r="F535"/>
      <c r="G535"/>
      <c r="H535"/>
      <c r="I535"/>
      <c r="J535"/>
      <c r="K535"/>
    </row>
    <row r="536" spans="1:11" x14ac:dyDescent="0.3">
      <c r="A536"/>
      <c r="B536"/>
      <c r="C536"/>
      <c r="D536"/>
      <c r="E536"/>
      <c r="F536"/>
      <c r="G536"/>
      <c r="H536"/>
      <c r="I536"/>
      <c r="J536"/>
      <c r="K536"/>
    </row>
    <row r="537" spans="1:11" x14ac:dyDescent="0.3">
      <c r="A537"/>
      <c r="B537"/>
      <c r="C537"/>
      <c r="D537"/>
      <c r="E537"/>
      <c r="F537"/>
      <c r="G537"/>
      <c r="H537"/>
      <c r="I537"/>
      <c r="J537"/>
      <c r="K537"/>
    </row>
    <row r="538" spans="1:11" x14ac:dyDescent="0.3">
      <c r="A538"/>
      <c r="B538"/>
      <c r="C538"/>
      <c r="D538"/>
      <c r="E538"/>
      <c r="F538"/>
      <c r="G538"/>
      <c r="H538"/>
      <c r="I538"/>
      <c r="J538"/>
      <c r="K538"/>
    </row>
    <row r="539" spans="1:11" x14ac:dyDescent="0.3">
      <c r="A539"/>
      <c r="B539"/>
      <c r="C539"/>
      <c r="D539"/>
      <c r="E539"/>
      <c r="F539"/>
      <c r="G539"/>
      <c r="H539"/>
      <c r="I539"/>
      <c r="J539"/>
      <c r="K539"/>
    </row>
    <row r="540" spans="1:11" x14ac:dyDescent="0.3">
      <c r="A540"/>
      <c r="B540"/>
      <c r="C540"/>
      <c r="D540"/>
      <c r="E540"/>
      <c r="F540"/>
      <c r="G540"/>
      <c r="H540"/>
      <c r="I540"/>
      <c r="J540"/>
      <c r="K540"/>
    </row>
    <row r="541" spans="1:11" x14ac:dyDescent="0.3">
      <c r="A541"/>
      <c r="B541"/>
      <c r="C541"/>
      <c r="D541"/>
      <c r="E541"/>
      <c r="F541"/>
      <c r="G541"/>
      <c r="H541"/>
      <c r="I541"/>
      <c r="J541"/>
      <c r="K541"/>
    </row>
    <row r="542" spans="1:11" x14ac:dyDescent="0.3">
      <c r="A542"/>
      <c r="B542"/>
      <c r="C542"/>
      <c r="D542"/>
      <c r="E542"/>
      <c r="F542"/>
      <c r="G542"/>
      <c r="H542"/>
      <c r="I542"/>
      <c r="J542"/>
      <c r="K542"/>
    </row>
    <row r="543" spans="1:11" x14ac:dyDescent="0.3">
      <c r="A543"/>
      <c r="B543"/>
      <c r="C543"/>
      <c r="D543"/>
      <c r="E543"/>
      <c r="F543"/>
      <c r="G543"/>
      <c r="H543"/>
      <c r="I543"/>
      <c r="J543"/>
      <c r="K543"/>
    </row>
    <row r="544" spans="1:11" x14ac:dyDescent="0.3">
      <c r="A544"/>
      <c r="B544"/>
      <c r="C544"/>
      <c r="D544"/>
      <c r="E544"/>
      <c r="F544"/>
      <c r="G544"/>
      <c r="H544"/>
      <c r="I544"/>
      <c r="J544"/>
      <c r="K544"/>
    </row>
    <row r="545" spans="1:11" x14ac:dyDescent="0.3">
      <c r="A545"/>
      <c r="B545"/>
      <c r="C545"/>
      <c r="D545"/>
      <c r="E545"/>
      <c r="F545"/>
      <c r="G545"/>
      <c r="H545"/>
      <c r="I545"/>
      <c r="J545"/>
      <c r="K545"/>
    </row>
    <row r="546" spans="1:11" x14ac:dyDescent="0.3">
      <c r="A546"/>
      <c r="B546"/>
      <c r="C546"/>
      <c r="D546"/>
      <c r="E546"/>
      <c r="F546"/>
      <c r="G546"/>
      <c r="H546"/>
      <c r="I546"/>
      <c r="J546"/>
      <c r="K546"/>
    </row>
    <row r="547" spans="1:11" x14ac:dyDescent="0.3">
      <c r="A547"/>
      <c r="B547"/>
      <c r="C547"/>
      <c r="D547"/>
      <c r="E547"/>
      <c r="F547"/>
      <c r="G547"/>
      <c r="H547"/>
      <c r="I547"/>
      <c r="J547"/>
      <c r="K547"/>
    </row>
    <row r="548" spans="1:11" x14ac:dyDescent="0.3">
      <c r="A548"/>
      <c r="B548"/>
      <c r="C548"/>
      <c r="D548"/>
      <c r="E548"/>
      <c r="F548"/>
      <c r="G548"/>
      <c r="H548"/>
      <c r="I548"/>
      <c r="J548"/>
      <c r="K548"/>
    </row>
    <row r="549" spans="1:11" x14ac:dyDescent="0.3">
      <c r="A549"/>
      <c r="B549"/>
      <c r="C549"/>
      <c r="D549"/>
      <c r="E549"/>
      <c r="F549"/>
      <c r="G549"/>
      <c r="H549"/>
      <c r="I549"/>
      <c r="J549"/>
      <c r="K549"/>
    </row>
    <row r="550" spans="1:11" x14ac:dyDescent="0.3">
      <c r="A550"/>
      <c r="B550"/>
      <c r="C550"/>
      <c r="D550"/>
      <c r="E550"/>
      <c r="F550"/>
      <c r="G550"/>
      <c r="H550"/>
      <c r="I550"/>
      <c r="J550"/>
      <c r="K550"/>
    </row>
    <row r="551" spans="1:11" x14ac:dyDescent="0.3">
      <c r="A551"/>
      <c r="B551"/>
      <c r="C551"/>
      <c r="D551"/>
      <c r="E551"/>
      <c r="F551"/>
      <c r="G551"/>
      <c r="H551"/>
      <c r="I551"/>
      <c r="J551"/>
      <c r="K551"/>
    </row>
    <row r="552" spans="1:11" x14ac:dyDescent="0.3">
      <c r="A552"/>
      <c r="B552"/>
      <c r="C552"/>
      <c r="D552"/>
      <c r="E552"/>
      <c r="F552"/>
      <c r="G552"/>
      <c r="H552"/>
      <c r="I552"/>
      <c r="J552"/>
      <c r="K552"/>
    </row>
    <row r="553" spans="1:11" x14ac:dyDescent="0.3">
      <c r="A553"/>
      <c r="B553"/>
      <c r="C553"/>
      <c r="D553"/>
      <c r="E553"/>
      <c r="F553"/>
      <c r="G553"/>
      <c r="H553"/>
      <c r="I553"/>
      <c r="J553"/>
      <c r="K553"/>
    </row>
    <row r="554" spans="1:11" x14ac:dyDescent="0.3">
      <c r="A554"/>
      <c r="B554"/>
      <c r="C554"/>
      <c r="D554"/>
      <c r="E554"/>
      <c r="F554"/>
      <c r="G554"/>
      <c r="H554"/>
      <c r="I554"/>
      <c r="J554"/>
      <c r="K554"/>
    </row>
    <row r="555" spans="1:11" x14ac:dyDescent="0.3">
      <c r="A555"/>
      <c r="B555"/>
      <c r="C555"/>
      <c r="D555"/>
      <c r="E555"/>
      <c r="F555"/>
      <c r="G555"/>
      <c r="H555"/>
      <c r="I555"/>
      <c r="J555"/>
      <c r="K555"/>
    </row>
    <row r="556" spans="1:11" x14ac:dyDescent="0.3">
      <c r="A556"/>
      <c r="B556"/>
      <c r="C556"/>
      <c r="D556"/>
      <c r="E556"/>
      <c r="F556"/>
      <c r="G556"/>
      <c r="H556"/>
      <c r="I556"/>
      <c r="J556"/>
      <c r="K556"/>
    </row>
    <row r="557" spans="1:11" x14ac:dyDescent="0.3">
      <c r="A557"/>
      <c r="B557"/>
      <c r="C557"/>
      <c r="D557"/>
      <c r="E557"/>
      <c r="F557"/>
      <c r="G557"/>
      <c r="H557"/>
      <c r="I557"/>
      <c r="J557"/>
      <c r="K557"/>
    </row>
    <row r="558" spans="1:11" x14ac:dyDescent="0.3">
      <c r="A558"/>
      <c r="B558"/>
      <c r="C558"/>
      <c r="D558"/>
      <c r="E558"/>
      <c r="F558"/>
      <c r="G558"/>
      <c r="H558"/>
      <c r="I558"/>
      <c r="J558"/>
      <c r="K558"/>
    </row>
    <row r="559" spans="1:11" x14ac:dyDescent="0.3">
      <c r="A559"/>
      <c r="B559"/>
      <c r="C559"/>
      <c r="D559"/>
      <c r="E559"/>
      <c r="F559"/>
      <c r="G559"/>
      <c r="H559"/>
      <c r="I559"/>
      <c r="J559"/>
      <c r="K559"/>
    </row>
    <row r="560" spans="1:11" x14ac:dyDescent="0.3">
      <c r="A560"/>
      <c r="B560"/>
      <c r="C560"/>
      <c r="D560"/>
      <c r="E560"/>
      <c r="F560"/>
      <c r="G560"/>
      <c r="H560"/>
      <c r="I560"/>
      <c r="J560"/>
      <c r="K560"/>
    </row>
    <row r="561" spans="1:11" x14ac:dyDescent="0.3">
      <c r="A561"/>
      <c r="B561"/>
      <c r="C561"/>
      <c r="D561"/>
      <c r="E561"/>
      <c r="F561"/>
      <c r="G561"/>
      <c r="H561"/>
      <c r="I561"/>
      <c r="J561"/>
      <c r="K561"/>
    </row>
    <row r="562" spans="1:11" x14ac:dyDescent="0.3">
      <c r="A562"/>
      <c r="B562"/>
      <c r="C562"/>
      <c r="D562"/>
      <c r="E562"/>
      <c r="F562"/>
      <c r="G562"/>
      <c r="H562"/>
      <c r="I562"/>
      <c r="J562"/>
      <c r="K562"/>
    </row>
    <row r="563" spans="1:11" x14ac:dyDescent="0.3">
      <c r="A563"/>
      <c r="B563"/>
      <c r="C563"/>
      <c r="D563"/>
      <c r="E563"/>
      <c r="F563"/>
      <c r="G563"/>
      <c r="H563"/>
      <c r="I563"/>
      <c r="J563"/>
      <c r="K563"/>
    </row>
    <row r="564" spans="1:11" x14ac:dyDescent="0.3">
      <c r="A564"/>
      <c r="B564"/>
      <c r="C564"/>
      <c r="D564"/>
      <c r="E564"/>
      <c r="F564"/>
      <c r="G564"/>
      <c r="H564"/>
      <c r="I564"/>
      <c r="J564"/>
      <c r="K564"/>
    </row>
    <row r="565" spans="1:11" x14ac:dyDescent="0.3">
      <c r="A565"/>
      <c r="B565"/>
      <c r="C565"/>
      <c r="D565"/>
      <c r="E565"/>
      <c r="F565"/>
      <c r="G565"/>
      <c r="H565"/>
      <c r="I565"/>
      <c r="J565"/>
      <c r="K565"/>
    </row>
    <row r="566" spans="1:11" x14ac:dyDescent="0.3">
      <c r="A566"/>
      <c r="B566"/>
      <c r="C566"/>
      <c r="D566"/>
      <c r="E566"/>
      <c r="F566"/>
      <c r="G566"/>
      <c r="H566"/>
      <c r="I566"/>
      <c r="J566"/>
      <c r="K566"/>
    </row>
    <row r="567" spans="1:11" x14ac:dyDescent="0.3">
      <c r="A567"/>
      <c r="B567"/>
      <c r="C567"/>
      <c r="D567"/>
      <c r="E567"/>
      <c r="F567"/>
      <c r="G567"/>
      <c r="H567"/>
      <c r="I567"/>
      <c r="J567"/>
      <c r="K567"/>
    </row>
    <row r="568" spans="1:11" x14ac:dyDescent="0.3">
      <c r="A568"/>
      <c r="B568"/>
      <c r="C568"/>
      <c r="D568"/>
      <c r="E568"/>
      <c r="F568"/>
      <c r="G568"/>
      <c r="H568"/>
      <c r="I568"/>
      <c r="J568"/>
      <c r="K568"/>
    </row>
    <row r="569" spans="1:11" x14ac:dyDescent="0.3">
      <c r="A569"/>
      <c r="B569"/>
      <c r="C569"/>
      <c r="D569"/>
      <c r="E569"/>
      <c r="F569"/>
      <c r="G569"/>
      <c r="H569"/>
      <c r="I569"/>
      <c r="J569"/>
      <c r="K569"/>
    </row>
    <row r="570" spans="1:11" x14ac:dyDescent="0.3">
      <c r="A570"/>
      <c r="B570"/>
      <c r="C570"/>
      <c r="D570"/>
      <c r="E570"/>
      <c r="F570"/>
      <c r="G570"/>
      <c r="H570"/>
      <c r="I570"/>
      <c r="J570"/>
      <c r="K570"/>
    </row>
    <row r="571" spans="1:11" x14ac:dyDescent="0.3">
      <c r="A571"/>
      <c r="B571"/>
      <c r="C571"/>
      <c r="D571"/>
      <c r="E571"/>
      <c r="F571"/>
      <c r="G571"/>
      <c r="H571"/>
      <c r="I571"/>
      <c r="J571"/>
      <c r="K571"/>
    </row>
    <row r="572" spans="1:11" x14ac:dyDescent="0.3">
      <c r="A572"/>
      <c r="B572"/>
      <c r="C572"/>
      <c r="D572"/>
      <c r="E572"/>
      <c r="F572"/>
      <c r="G572"/>
      <c r="H572"/>
      <c r="I572"/>
      <c r="J572"/>
      <c r="K572"/>
    </row>
    <row r="573" spans="1:11" x14ac:dyDescent="0.3">
      <c r="A573"/>
      <c r="B573"/>
      <c r="C573"/>
      <c r="D573"/>
      <c r="E573"/>
      <c r="F573"/>
      <c r="G573"/>
      <c r="H573"/>
      <c r="I573"/>
      <c r="J573"/>
      <c r="K573"/>
    </row>
    <row r="574" spans="1:11" x14ac:dyDescent="0.3">
      <c r="A574"/>
      <c r="B574"/>
      <c r="C574"/>
      <c r="D574"/>
      <c r="E574"/>
      <c r="F574"/>
      <c r="G574"/>
      <c r="H574"/>
      <c r="I574"/>
      <c r="J574"/>
      <c r="K574"/>
    </row>
    <row r="575" spans="1:11" x14ac:dyDescent="0.3">
      <c r="A575"/>
      <c r="B575"/>
      <c r="C575"/>
      <c r="D575"/>
      <c r="E575"/>
      <c r="F575"/>
      <c r="G575"/>
      <c r="H575"/>
      <c r="I575"/>
      <c r="J575"/>
      <c r="K575"/>
    </row>
    <row r="576" spans="1:11" x14ac:dyDescent="0.3">
      <c r="A576"/>
      <c r="B576"/>
      <c r="C576"/>
      <c r="D576"/>
      <c r="E576"/>
      <c r="F576"/>
      <c r="G576"/>
      <c r="H576"/>
      <c r="I576"/>
      <c r="J576"/>
      <c r="K576"/>
    </row>
    <row r="577" spans="1:11" x14ac:dyDescent="0.3">
      <c r="A577"/>
      <c r="B577"/>
      <c r="C577"/>
      <c r="D577"/>
      <c r="E577"/>
      <c r="F577"/>
      <c r="G577"/>
      <c r="H577"/>
      <c r="I577"/>
      <c r="J577"/>
      <c r="K577"/>
    </row>
    <row r="578" spans="1:11" x14ac:dyDescent="0.3">
      <c r="A578"/>
      <c r="B578"/>
      <c r="C578"/>
      <c r="D578"/>
      <c r="E578"/>
      <c r="F578"/>
      <c r="G578"/>
      <c r="H578"/>
      <c r="I578"/>
      <c r="J578"/>
      <c r="K578"/>
    </row>
    <row r="579" spans="1:11" x14ac:dyDescent="0.3">
      <c r="A579"/>
      <c r="B579"/>
      <c r="C579"/>
      <c r="D579"/>
      <c r="E579"/>
      <c r="F579"/>
      <c r="G579"/>
      <c r="H579"/>
      <c r="I579"/>
      <c r="J579"/>
      <c r="K579"/>
    </row>
    <row r="580" spans="1:11" x14ac:dyDescent="0.3">
      <c r="A580"/>
      <c r="B580"/>
      <c r="C580"/>
      <c r="D580"/>
      <c r="E580"/>
      <c r="F580"/>
      <c r="G580"/>
      <c r="H580"/>
      <c r="I580"/>
      <c r="J580"/>
      <c r="K580"/>
    </row>
    <row r="581" spans="1:11" x14ac:dyDescent="0.3">
      <c r="A581"/>
      <c r="B581"/>
      <c r="C581"/>
      <c r="D581"/>
      <c r="E581"/>
      <c r="F581"/>
      <c r="G581"/>
      <c r="H581"/>
      <c r="I581"/>
      <c r="J581"/>
      <c r="K581"/>
    </row>
    <row r="582" spans="1:11" x14ac:dyDescent="0.3">
      <c r="A582"/>
      <c r="B582"/>
      <c r="C582"/>
      <c r="D582"/>
      <c r="E582"/>
      <c r="F582"/>
      <c r="G582"/>
      <c r="H582"/>
      <c r="I582"/>
      <c r="J582"/>
      <c r="K582"/>
    </row>
    <row r="583" spans="1:11" x14ac:dyDescent="0.3">
      <c r="A583"/>
      <c r="B583"/>
      <c r="C583"/>
      <c r="D583"/>
      <c r="E583"/>
      <c r="F583"/>
      <c r="G583"/>
      <c r="H583"/>
      <c r="I583"/>
      <c r="J583"/>
      <c r="K583"/>
    </row>
    <row r="584" spans="1:11" x14ac:dyDescent="0.3">
      <c r="A584"/>
      <c r="B584"/>
      <c r="C584"/>
      <c r="D584"/>
      <c r="E584"/>
      <c r="F584"/>
      <c r="G584"/>
      <c r="H584"/>
      <c r="I584"/>
      <c r="J584"/>
      <c r="K584"/>
    </row>
    <row r="585" spans="1:11" x14ac:dyDescent="0.3">
      <c r="A585"/>
      <c r="B585"/>
      <c r="C585"/>
      <c r="D585"/>
      <c r="E585"/>
      <c r="F585"/>
      <c r="G585"/>
      <c r="H585"/>
      <c r="I585"/>
      <c r="J585"/>
      <c r="K585"/>
    </row>
    <row r="586" spans="1:11" x14ac:dyDescent="0.3">
      <c r="A586"/>
      <c r="B586"/>
      <c r="C586"/>
      <c r="D586"/>
      <c r="E586"/>
      <c r="F586"/>
      <c r="G586"/>
      <c r="H586"/>
      <c r="I586"/>
      <c r="J586"/>
      <c r="K586"/>
    </row>
    <row r="587" spans="1:11" x14ac:dyDescent="0.3">
      <c r="A587"/>
      <c r="B587"/>
      <c r="C587"/>
      <c r="D587"/>
      <c r="E587"/>
      <c r="F587"/>
      <c r="G587"/>
      <c r="H587"/>
      <c r="I587"/>
      <c r="J587"/>
      <c r="K587"/>
    </row>
    <row r="588" spans="1:11" x14ac:dyDescent="0.3">
      <c r="A588"/>
      <c r="B588"/>
      <c r="C588"/>
      <c r="D588"/>
      <c r="E588"/>
      <c r="F588"/>
      <c r="G588"/>
      <c r="H588"/>
      <c r="I588"/>
      <c r="J588"/>
      <c r="K588"/>
    </row>
    <row r="589" spans="1:11" x14ac:dyDescent="0.3">
      <c r="A589"/>
      <c r="B589"/>
      <c r="C589"/>
      <c r="D589"/>
      <c r="E589"/>
      <c r="F589"/>
      <c r="G589"/>
      <c r="H589"/>
      <c r="I589"/>
      <c r="J589"/>
      <c r="K589"/>
    </row>
    <row r="590" spans="1:11" x14ac:dyDescent="0.3">
      <c r="A590"/>
      <c r="B590"/>
      <c r="C590"/>
      <c r="D590"/>
      <c r="E590"/>
      <c r="F590"/>
      <c r="G590"/>
      <c r="H590"/>
      <c r="I590"/>
      <c r="J590"/>
      <c r="K590"/>
    </row>
    <row r="591" spans="1:11" x14ac:dyDescent="0.3">
      <c r="A591"/>
      <c r="B591"/>
      <c r="C591"/>
      <c r="D591"/>
      <c r="E591"/>
      <c r="F591"/>
      <c r="G591"/>
      <c r="H591"/>
      <c r="I591"/>
      <c r="J591"/>
      <c r="K591"/>
    </row>
    <row r="592" spans="1:11" x14ac:dyDescent="0.3">
      <c r="A592"/>
      <c r="B592"/>
      <c r="C592"/>
      <c r="D592"/>
      <c r="E592"/>
      <c r="F592"/>
      <c r="G592"/>
      <c r="H592"/>
      <c r="I592"/>
      <c r="J592"/>
      <c r="K592"/>
    </row>
    <row r="593" spans="1:11" x14ac:dyDescent="0.3">
      <c r="A593"/>
      <c r="B593"/>
      <c r="C593"/>
      <c r="D593"/>
      <c r="E593"/>
      <c r="F593"/>
      <c r="G593"/>
      <c r="H593"/>
      <c r="I593"/>
      <c r="J593"/>
      <c r="K593"/>
    </row>
    <row r="594" spans="1:11" x14ac:dyDescent="0.3">
      <c r="A594"/>
      <c r="B594"/>
      <c r="C594"/>
      <c r="D594"/>
      <c r="E594"/>
      <c r="F594"/>
      <c r="G594"/>
      <c r="H594"/>
      <c r="I594"/>
      <c r="J594"/>
      <c r="K594"/>
    </row>
    <row r="595" spans="1:11" x14ac:dyDescent="0.3">
      <c r="A595"/>
      <c r="B595"/>
      <c r="C595"/>
      <c r="D595"/>
      <c r="E595"/>
      <c r="F595"/>
      <c r="G595"/>
      <c r="H595"/>
      <c r="I595"/>
      <c r="J595"/>
      <c r="K595"/>
    </row>
    <row r="596" spans="1:11" x14ac:dyDescent="0.3">
      <c r="A596"/>
      <c r="B596"/>
      <c r="C596"/>
      <c r="D596"/>
      <c r="E596"/>
      <c r="F596"/>
      <c r="G596"/>
      <c r="H596"/>
      <c r="I596"/>
      <c r="J596"/>
      <c r="K596"/>
    </row>
    <row r="597" spans="1:11" x14ac:dyDescent="0.3">
      <c r="A597"/>
      <c r="B597"/>
      <c r="C597"/>
      <c r="D597"/>
      <c r="E597"/>
      <c r="F597"/>
      <c r="G597"/>
      <c r="H597"/>
      <c r="I597"/>
      <c r="J597"/>
      <c r="K597"/>
    </row>
    <row r="598" spans="1:11" x14ac:dyDescent="0.3">
      <c r="A598"/>
      <c r="B598"/>
      <c r="C598"/>
      <c r="D598"/>
      <c r="E598"/>
      <c r="F598"/>
      <c r="G598"/>
      <c r="H598"/>
      <c r="I598"/>
      <c r="J598"/>
      <c r="K598"/>
    </row>
    <row r="599" spans="1:11" x14ac:dyDescent="0.3">
      <c r="A599"/>
      <c r="B599"/>
      <c r="C599"/>
      <c r="D599"/>
      <c r="E599"/>
      <c r="F599"/>
      <c r="G599"/>
      <c r="H599"/>
      <c r="I599"/>
      <c r="J599"/>
      <c r="K599"/>
    </row>
    <row r="600" spans="1:11" x14ac:dyDescent="0.3">
      <c r="A600"/>
      <c r="B600"/>
      <c r="C600"/>
      <c r="D600"/>
      <c r="E600"/>
      <c r="F600"/>
      <c r="G600"/>
      <c r="H600"/>
      <c r="I600"/>
      <c r="J600"/>
      <c r="K600"/>
    </row>
    <row r="601" spans="1:11" x14ac:dyDescent="0.3">
      <c r="A601"/>
      <c r="B601"/>
      <c r="C601"/>
      <c r="D601"/>
      <c r="E601"/>
      <c r="F601"/>
      <c r="G601"/>
      <c r="H601"/>
      <c r="I601"/>
      <c r="J601"/>
      <c r="K601"/>
    </row>
    <row r="602" spans="1:11" x14ac:dyDescent="0.3">
      <c r="A602"/>
      <c r="B602"/>
      <c r="C602"/>
      <c r="D602"/>
      <c r="E602"/>
      <c r="F602"/>
      <c r="G602"/>
      <c r="H602"/>
      <c r="I602"/>
      <c r="J602"/>
      <c r="K602"/>
    </row>
    <row r="603" spans="1:11" x14ac:dyDescent="0.3">
      <c r="A603"/>
      <c r="B603"/>
      <c r="C603"/>
      <c r="D603"/>
      <c r="E603"/>
      <c r="F603"/>
      <c r="G603"/>
      <c r="H603"/>
      <c r="I603"/>
      <c r="J603"/>
      <c r="K603"/>
    </row>
    <row r="604" spans="1:11" x14ac:dyDescent="0.3">
      <c r="A604"/>
      <c r="B604"/>
      <c r="C604"/>
      <c r="D604"/>
      <c r="E604"/>
      <c r="F604"/>
      <c r="G604"/>
      <c r="H604"/>
      <c r="I604"/>
      <c r="J604"/>
      <c r="K604"/>
    </row>
    <row r="605" spans="1:11" x14ac:dyDescent="0.3">
      <c r="A605"/>
      <c r="B605"/>
      <c r="C605"/>
      <c r="D605"/>
      <c r="E605"/>
      <c r="F605"/>
      <c r="G605"/>
      <c r="H605"/>
      <c r="I605"/>
      <c r="J605"/>
      <c r="K605"/>
    </row>
    <row r="606" spans="1:11" x14ac:dyDescent="0.3">
      <c r="A606"/>
      <c r="B606"/>
      <c r="C606"/>
      <c r="D606"/>
      <c r="E606"/>
      <c r="F606"/>
      <c r="G606"/>
      <c r="H606"/>
      <c r="I606"/>
      <c r="J606"/>
      <c r="K606"/>
    </row>
    <row r="607" spans="1:11" x14ac:dyDescent="0.3">
      <c r="A607"/>
      <c r="B607"/>
      <c r="C607"/>
      <c r="D607"/>
      <c r="E607"/>
      <c r="F607"/>
      <c r="G607"/>
      <c r="H607"/>
      <c r="I607"/>
      <c r="J607"/>
      <c r="K607"/>
    </row>
    <row r="608" spans="1:11" x14ac:dyDescent="0.3">
      <c r="A608"/>
      <c r="B608"/>
      <c r="C608"/>
      <c r="D608"/>
      <c r="E608"/>
      <c r="F608"/>
      <c r="G608"/>
      <c r="H608"/>
      <c r="I608"/>
      <c r="J608"/>
      <c r="K608"/>
    </row>
    <row r="609" spans="1:11" x14ac:dyDescent="0.3">
      <c r="A609"/>
      <c r="B609"/>
      <c r="C609"/>
      <c r="D609"/>
      <c r="E609"/>
      <c r="F609"/>
      <c r="G609"/>
      <c r="H609"/>
      <c r="I609"/>
      <c r="J609"/>
      <c r="K609"/>
    </row>
    <row r="610" spans="1:11" x14ac:dyDescent="0.3">
      <c r="A610"/>
      <c r="B610"/>
      <c r="C610"/>
      <c r="D610"/>
      <c r="E610"/>
      <c r="F610"/>
      <c r="G610"/>
      <c r="H610"/>
      <c r="I610"/>
      <c r="J610"/>
      <c r="K610"/>
    </row>
    <row r="611" spans="1:11" x14ac:dyDescent="0.3">
      <c r="A611"/>
      <c r="B611"/>
      <c r="C611"/>
      <c r="D611"/>
      <c r="E611"/>
      <c r="F611"/>
      <c r="G611"/>
      <c r="H611"/>
      <c r="I611"/>
      <c r="J611"/>
      <c r="K611"/>
    </row>
    <row r="612" spans="1:11" x14ac:dyDescent="0.3">
      <c r="A612"/>
      <c r="B612"/>
      <c r="C612"/>
      <c r="D612"/>
      <c r="E612"/>
      <c r="F612"/>
      <c r="G612"/>
      <c r="H612"/>
      <c r="I612"/>
      <c r="J612"/>
      <c r="K612"/>
    </row>
    <row r="613" spans="1:11" x14ac:dyDescent="0.3">
      <c r="A613"/>
      <c r="B613"/>
      <c r="C613"/>
      <c r="D613"/>
      <c r="E613"/>
      <c r="F613"/>
      <c r="G613"/>
      <c r="H613"/>
      <c r="I613"/>
      <c r="J613"/>
      <c r="K613"/>
    </row>
    <row r="614" spans="1:11" x14ac:dyDescent="0.3">
      <c r="A614"/>
      <c r="B614"/>
      <c r="C614"/>
      <c r="D614"/>
      <c r="E614"/>
      <c r="F614"/>
      <c r="G614"/>
      <c r="H614"/>
      <c r="I614"/>
      <c r="J614"/>
      <c r="K614"/>
    </row>
    <row r="615" spans="1:11" x14ac:dyDescent="0.3">
      <c r="A615"/>
      <c r="B615"/>
      <c r="C615"/>
      <c r="D615"/>
      <c r="E615"/>
      <c r="F615"/>
      <c r="G615"/>
      <c r="H615"/>
      <c r="I615"/>
      <c r="J615"/>
      <c r="K615"/>
    </row>
    <row r="616" spans="1:11" x14ac:dyDescent="0.3">
      <c r="A616"/>
      <c r="B616"/>
      <c r="C616"/>
      <c r="D616"/>
      <c r="E616"/>
      <c r="F616"/>
      <c r="G616"/>
      <c r="H616"/>
      <c r="I616"/>
      <c r="J616"/>
      <c r="K616"/>
    </row>
    <row r="617" spans="1:11" x14ac:dyDescent="0.3">
      <c r="A617"/>
      <c r="B617"/>
      <c r="C617"/>
      <c r="D617"/>
      <c r="E617"/>
      <c r="F617"/>
      <c r="G617"/>
      <c r="H617"/>
      <c r="I617"/>
      <c r="J617"/>
      <c r="K617"/>
    </row>
    <row r="618" spans="1:11" x14ac:dyDescent="0.3">
      <c r="A618"/>
      <c r="B618"/>
      <c r="C618"/>
      <c r="D618"/>
      <c r="E618"/>
      <c r="F618"/>
      <c r="G618"/>
      <c r="H618"/>
      <c r="I618"/>
      <c r="J618"/>
      <c r="K618"/>
    </row>
    <row r="619" spans="1:11" x14ac:dyDescent="0.3">
      <c r="A619"/>
      <c r="B619"/>
      <c r="C619"/>
      <c r="D619"/>
      <c r="E619"/>
      <c r="F619"/>
      <c r="G619"/>
      <c r="H619"/>
      <c r="I619"/>
      <c r="J619"/>
      <c r="K619"/>
    </row>
    <row r="620" spans="1:11" x14ac:dyDescent="0.3">
      <c r="A620"/>
      <c r="B620"/>
      <c r="C620"/>
      <c r="D620"/>
      <c r="E620"/>
      <c r="F620"/>
      <c r="G620"/>
      <c r="H620"/>
      <c r="I620"/>
      <c r="J620"/>
      <c r="K620"/>
    </row>
    <row r="621" spans="1:11" x14ac:dyDescent="0.3">
      <c r="A621"/>
      <c r="B621"/>
      <c r="C621"/>
      <c r="D621"/>
      <c r="E621"/>
      <c r="F621"/>
      <c r="G621"/>
      <c r="H621"/>
      <c r="I621"/>
      <c r="J621"/>
      <c r="K621"/>
    </row>
    <row r="622" spans="1:11" x14ac:dyDescent="0.3">
      <c r="A622"/>
      <c r="B622"/>
      <c r="C622"/>
      <c r="D622"/>
      <c r="E622"/>
      <c r="F622"/>
      <c r="G622"/>
      <c r="H622"/>
      <c r="I622"/>
      <c r="J622"/>
      <c r="K622"/>
    </row>
    <row r="623" spans="1:11" x14ac:dyDescent="0.3">
      <c r="A623"/>
      <c r="B623"/>
      <c r="C623"/>
      <c r="D623"/>
      <c r="E623"/>
      <c r="F623"/>
      <c r="G623"/>
      <c r="H623"/>
      <c r="I623"/>
      <c r="J623"/>
      <c r="K623"/>
    </row>
    <row r="624" spans="1:11" x14ac:dyDescent="0.3">
      <c r="A624"/>
      <c r="B624"/>
      <c r="C624"/>
      <c r="D624"/>
      <c r="E624"/>
      <c r="F624"/>
      <c r="G624"/>
      <c r="H624"/>
      <c r="I624"/>
      <c r="J624"/>
      <c r="K624"/>
    </row>
    <row r="625" spans="1:11" x14ac:dyDescent="0.3">
      <c r="A625"/>
      <c r="B625"/>
      <c r="C625"/>
      <c r="D625"/>
      <c r="E625"/>
      <c r="F625"/>
      <c r="G625"/>
      <c r="H625"/>
      <c r="I625"/>
      <c r="J625"/>
      <c r="K625"/>
    </row>
    <row r="626" spans="1:11" x14ac:dyDescent="0.3">
      <c r="A626"/>
      <c r="B626"/>
      <c r="C626"/>
      <c r="D626"/>
      <c r="E626"/>
      <c r="F626"/>
      <c r="G626"/>
      <c r="H626"/>
      <c r="I626"/>
      <c r="J626"/>
      <c r="K626"/>
    </row>
    <row r="627" spans="1:11" x14ac:dyDescent="0.3">
      <c r="A627"/>
      <c r="B627"/>
      <c r="C627"/>
      <c r="D627"/>
      <c r="E627"/>
      <c r="F627"/>
      <c r="G627"/>
      <c r="H627"/>
      <c r="I627"/>
      <c r="J627"/>
      <c r="K627"/>
    </row>
    <row r="628" spans="1:11" x14ac:dyDescent="0.3">
      <c r="A628"/>
      <c r="B628"/>
      <c r="C628"/>
      <c r="D628"/>
      <c r="E628"/>
      <c r="F628"/>
      <c r="G628"/>
      <c r="H628"/>
      <c r="I628"/>
      <c r="J628"/>
      <c r="K628"/>
    </row>
    <row r="629" spans="1:11" x14ac:dyDescent="0.3">
      <c r="A629"/>
      <c r="B629"/>
      <c r="C629"/>
      <c r="D629"/>
      <c r="E629"/>
      <c r="F629"/>
      <c r="G629"/>
      <c r="H629"/>
      <c r="I629"/>
      <c r="J629"/>
      <c r="K629"/>
    </row>
    <row r="630" spans="1:11" x14ac:dyDescent="0.3">
      <c r="A630"/>
      <c r="B630"/>
      <c r="C630"/>
      <c r="D630"/>
      <c r="E630"/>
      <c r="F630"/>
      <c r="G630"/>
      <c r="H630"/>
      <c r="I630"/>
      <c r="J630"/>
      <c r="K630"/>
    </row>
    <row r="631" spans="1:11" x14ac:dyDescent="0.3">
      <c r="A631"/>
      <c r="B631"/>
      <c r="C631"/>
      <c r="D631"/>
      <c r="E631"/>
      <c r="F631"/>
      <c r="G631"/>
      <c r="H631"/>
      <c r="I631"/>
      <c r="J631"/>
      <c r="K631"/>
    </row>
    <row r="632" spans="1:11" x14ac:dyDescent="0.3">
      <c r="A632"/>
      <c r="B632"/>
      <c r="C632"/>
      <c r="D632"/>
      <c r="E632"/>
      <c r="F632"/>
      <c r="G632"/>
      <c r="H632"/>
      <c r="I632"/>
      <c r="J632"/>
      <c r="K632"/>
    </row>
    <row r="633" spans="1:11" x14ac:dyDescent="0.3">
      <c r="A633"/>
      <c r="B633"/>
      <c r="C633"/>
      <c r="D633"/>
      <c r="E633"/>
      <c r="F633"/>
      <c r="G633"/>
      <c r="H633"/>
      <c r="I633"/>
      <c r="J633"/>
      <c r="K633"/>
    </row>
    <row r="634" spans="1:11" x14ac:dyDescent="0.3">
      <c r="A634"/>
      <c r="B634"/>
      <c r="C634"/>
      <c r="D634"/>
      <c r="E634"/>
      <c r="F634"/>
      <c r="G634"/>
      <c r="H634"/>
      <c r="I634"/>
      <c r="J634"/>
      <c r="K634"/>
    </row>
    <row r="635" spans="1:11" x14ac:dyDescent="0.3">
      <c r="A635"/>
      <c r="B635"/>
      <c r="C635"/>
      <c r="D635"/>
      <c r="E635"/>
      <c r="F635"/>
      <c r="G635"/>
      <c r="H635"/>
      <c r="I635"/>
      <c r="J635"/>
      <c r="K635"/>
    </row>
    <row r="636" spans="1:11" x14ac:dyDescent="0.3">
      <c r="A636"/>
      <c r="B636"/>
      <c r="C636"/>
      <c r="D636"/>
      <c r="E636"/>
      <c r="F636"/>
      <c r="G636"/>
      <c r="H636"/>
      <c r="I636"/>
      <c r="J636"/>
      <c r="K636"/>
    </row>
    <row r="637" spans="1:11" x14ac:dyDescent="0.3">
      <c r="A637"/>
      <c r="B637"/>
      <c r="C637"/>
      <c r="D637"/>
      <c r="E637"/>
      <c r="F637"/>
      <c r="G637"/>
      <c r="H637"/>
      <c r="I637"/>
      <c r="J637"/>
      <c r="K637"/>
    </row>
    <row r="638" spans="1:11" x14ac:dyDescent="0.3">
      <c r="A638"/>
      <c r="B638"/>
      <c r="C638"/>
      <c r="D638"/>
      <c r="E638"/>
      <c r="F638"/>
      <c r="G638"/>
      <c r="H638"/>
      <c r="I638"/>
      <c r="J638"/>
      <c r="K638"/>
    </row>
    <row r="639" spans="1:11" x14ac:dyDescent="0.3">
      <c r="A639"/>
      <c r="B639"/>
      <c r="C639"/>
      <c r="D639"/>
      <c r="E639"/>
      <c r="F639"/>
      <c r="G639"/>
      <c r="H639"/>
      <c r="I639"/>
      <c r="J639"/>
      <c r="K639"/>
    </row>
    <row r="640" spans="1:11" x14ac:dyDescent="0.3">
      <c r="A640"/>
      <c r="B640"/>
      <c r="C640"/>
      <c r="D640"/>
      <c r="E640"/>
      <c r="F640"/>
      <c r="G640"/>
      <c r="H640"/>
      <c r="I640"/>
      <c r="J640"/>
      <c r="K640"/>
    </row>
    <row r="641" spans="1:11" x14ac:dyDescent="0.3">
      <c r="A641"/>
      <c r="B641"/>
      <c r="C641"/>
      <c r="D641"/>
      <c r="E641"/>
      <c r="F641"/>
      <c r="G641"/>
      <c r="H641"/>
      <c r="I641"/>
      <c r="J641"/>
      <c r="K641"/>
    </row>
    <row r="642" spans="1:11" x14ac:dyDescent="0.3">
      <c r="A642"/>
      <c r="B642"/>
      <c r="C642"/>
      <c r="D642"/>
      <c r="E642"/>
      <c r="F642"/>
      <c r="G642"/>
      <c r="H642"/>
      <c r="I642"/>
      <c r="J642"/>
      <c r="K642"/>
    </row>
    <row r="643" spans="1:11" x14ac:dyDescent="0.3">
      <c r="A643"/>
      <c r="B643"/>
      <c r="C643"/>
      <c r="D643"/>
      <c r="E643"/>
      <c r="F643"/>
      <c r="G643"/>
      <c r="H643"/>
      <c r="I643"/>
      <c r="J643"/>
      <c r="K643"/>
    </row>
    <row r="644" spans="1:11" x14ac:dyDescent="0.3">
      <c r="A644"/>
      <c r="B644"/>
      <c r="C644"/>
      <c r="D644"/>
      <c r="E644"/>
      <c r="F644"/>
      <c r="G644"/>
      <c r="H644"/>
      <c r="I644"/>
      <c r="J644"/>
      <c r="K644"/>
    </row>
    <row r="645" spans="1:11" x14ac:dyDescent="0.3">
      <c r="A645"/>
      <c r="B645"/>
      <c r="C645"/>
      <c r="D645"/>
      <c r="E645"/>
      <c r="F645"/>
      <c r="G645"/>
      <c r="H645"/>
      <c r="I645"/>
      <c r="J645"/>
      <c r="K645"/>
    </row>
    <row r="646" spans="1:11" x14ac:dyDescent="0.3">
      <c r="A646"/>
      <c r="B646"/>
      <c r="C646"/>
      <c r="D646"/>
      <c r="E646"/>
      <c r="F646"/>
      <c r="G646"/>
      <c r="H646"/>
      <c r="I646"/>
      <c r="J646"/>
      <c r="K646"/>
    </row>
    <row r="647" spans="1:11" x14ac:dyDescent="0.3">
      <c r="A647"/>
      <c r="B647"/>
      <c r="C647"/>
      <c r="D647"/>
      <c r="E647"/>
      <c r="F647"/>
      <c r="G647"/>
      <c r="H647"/>
      <c r="I647"/>
      <c r="J647"/>
      <c r="K647"/>
    </row>
    <row r="648" spans="1:11" x14ac:dyDescent="0.3">
      <c r="A648"/>
      <c r="B648"/>
      <c r="C648"/>
      <c r="D648"/>
      <c r="E648"/>
      <c r="F648"/>
      <c r="G648"/>
      <c r="H648"/>
      <c r="I648"/>
      <c r="J648"/>
      <c r="K648"/>
    </row>
    <row r="649" spans="1:11" x14ac:dyDescent="0.3">
      <c r="A649"/>
      <c r="B649"/>
      <c r="C649"/>
      <c r="D649"/>
      <c r="E649"/>
      <c r="F649"/>
      <c r="G649"/>
      <c r="H649"/>
      <c r="I649"/>
      <c r="J649"/>
      <c r="K649"/>
    </row>
    <row r="650" spans="1:11" x14ac:dyDescent="0.3">
      <c r="A650"/>
      <c r="B650"/>
      <c r="C650"/>
      <c r="D650"/>
      <c r="E650"/>
      <c r="F650"/>
      <c r="G650"/>
      <c r="H650"/>
      <c r="I650"/>
      <c r="J650"/>
      <c r="K650"/>
    </row>
    <row r="651" spans="1:11" x14ac:dyDescent="0.3">
      <c r="A651"/>
      <c r="B651"/>
      <c r="C651"/>
      <c r="D651"/>
      <c r="E651"/>
      <c r="F651"/>
      <c r="G651"/>
      <c r="H651"/>
      <c r="I651"/>
      <c r="J651"/>
      <c r="K651"/>
    </row>
    <row r="652" spans="1:11" x14ac:dyDescent="0.3">
      <c r="A652"/>
      <c r="B652"/>
      <c r="C652"/>
      <c r="D652"/>
      <c r="E652"/>
      <c r="F652"/>
      <c r="G652"/>
      <c r="H652"/>
      <c r="I652"/>
      <c r="J652"/>
      <c r="K652"/>
    </row>
    <row r="653" spans="1:11" x14ac:dyDescent="0.3">
      <c r="A653"/>
      <c r="B653"/>
      <c r="C653"/>
      <c r="D653"/>
      <c r="E653"/>
      <c r="F653"/>
      <c r="G653"/>
      <c r="H653"/>
      <c r="I653"/>
      <c r="J653"/>
      <c r="K653"/>
    </row>
    <row r="654" spans="1:11" x14ac:dyDescent="0.3">
      <c r="A654"/>
      <c r="B654"/>
      <c r="C654"/>
      <c r="D654"/>
      <c r="E654"/>
      <c r="F654"/>
      <c r="G654"/>
      <c r="H654"/>
      <c r="I654"/>
      <c r="J654"/>
      <c r="K654"/>
    </row>
    <row r="655" spans="1:11" x14ac:dyDescent="0.3">
      <c r="A655"/>
      <c r="B655"/>
      <c r="C655"/>
      <c r="D655"/>
      <c r="E655"/>
      <c r="F655"/>
      <c r="G655"/>
      <c r="H655"/>
      <c r="I655"/>
      <c r="J655"/>
      <c r="K655"/>
    </row>
    <row r="656" spans="1:11" x14ac:dyDescent="0.3">
      <c r="A656"/>
      <c r="B656"/>
      <c r="C656"/>
      <c r="D656"/>
      <c r="E656"/>
      <c r="F656"/>
      <c r="G656"/>
      <c r="H656"/>
      <c r="I656"/>
      <c r="J656"/>
      <c r="K656"/>
    </row>
    <row r="657" spans="1:11" x14ac:dyDescent="0.3">
      <c r="A657"/>
      <c r="B657"/>
      <c r="C657"/>
      <c r="D657"/>
      <c r="E657"/>
      <c r="F657"/>
      <c r="G657"/>
      <c r="H657"/>
      <c r="I657"/>
      <c r="J657"/>
      <c r="K657"/>
    </row>
    <row r="658" spans="1:11" x14ac:dyDescent="0.3">
      <c r="A658"/>
      <c r="B658"/>
      <c r="C658"/>
      <c r="D658"/>
      <c r="E658"/>
      <c r="F658"/>
      <c r="G658"/>
      <c r="H658"/>
      <c r="I658"/>
      <c r="J658"/>
      <c r="K658"/>
    </row>
    <row r="659" spans="1:11" x14ac:dyDescent="0.3">
      <c r="A659"/>
      <c r="B659"/>
      <c r="C659"/>
      <c r="D659"/>
      <c r="E659"/>
      <c r="F659"/>
      <c r="G659"/>
      <c r="H659"/>
      <c r="I659"/>
      <c r="J659"/>
      <c r="K659"/>
    </row>
    <row r="660" spans="1:11" x14ac:dyDescent="0.3">
      <c r="A660"/>
      <c r="B660"/>
      <c r="C660"/>
      <c r="D660"/>
      <c r="E660"/>
      <c r="F660"/>
      <c r="G660"/>
      <c r="H660"/>
      <c r="I660"/>
      <c r="J660"/>
      <c r="K660"/>
    </row>
    <row r="661" spans="1:11" x14ac:dyDescent="0.3">
      <c r="A661"/>
      <c r="B661"/>
      <c r="C661"/>
      <c r="D661"/>
      <c r="E661"/>
      <c r="F661"/>
      <c r="G661"/>
      <c r="H661"/>
      <c r="I661"/>
      <c r="J661"/>
      <c r="K661"/>
    </row>
    <row r="662" spans="1:11" x14ac:dyDescent="0.3">
      <c r="A662"/>
      <c r="B662"/>
      <c r="C662"/>
      <c r="D662"/>
      <c r="E662"/>
      <c r="F662"/>
      <c r="G662"/>
      <c r="H662"/>
      <c r="I662"/>
      <c r="J662"/>
      <c r="K662"/>
    </row>
    <row r="663" spans="1:11" x14ac:dyDescent="0.3">
      <c r="A663"/>
      <c r="B663"/>
      <c r="C663"/>
      <c r="D663"/>
      <c r="E663"/>
      <c r="F663"/>
      <c r="G663"/>
      <c r="H663"/>
      <c r="I663"/>
      <c r="J663"/>
      <c r="K663"/>
    </row>
    <row r="664" spans="1:11" x14ac:dyDescent="0.3">
      <c r="A664"/>
      <c r="B664"/>
      <c r="C664"/>
      <c r="D664"/>
      <c r="E664"/>
      <c r="F664"/>
      <c r="G664"/>
      <c r="H664"/>
      <c r="I664"/>
      <c r="J664"/>
      <c r="K664"/>
    </row>
    <row r="665" spans="1:11" x14ac:dyDescent="0.3">
      <c r="A665"/>
      <c r="B665"/>
      <c r="C665"/>
      <c r="D665"/>
      <c r="E665"/>
      <c r="F665"/>
      <c r="G665"/>
      <c r="H665"/>
      <c r="I665"/>
      <c r="J665"/>
      <c r="K665"/>
    </row>
    <row r="666" spans="1:11" x14ac:dyDescent="0.3">
      <c r="A666"/>
      <c r="B666"/>
      <c r="C666"/>
      <c r="D666"/>
      <c r="E666"/>
      <c r="F666"/>
      <c r="G666"/>
      <c r="H666"/>
      <c r="I666"/>
      <c r="J666"/>
      <c r="K666"/>
    </row>
    <row r="667" spans="1:11" x14ac:dyDescent="0.3">
      <c r="A667"/>
      <c r="B667"/>
      <c r="C667"/>
      <c r="D667"/>
      <c r="E667"/>
      <c r="F667"/>
      <c r="G667"/>
      <c r="H667"/>
      <c r="I667"/>
      <c r="J667"/>
      <c r="K667"/>
    </row>
    <row r="668" spans="1:11" x14ac:dyDescent="0.3">
      <c r="A668"/>
      <c r="B668"/>
      <c r="C668"/>
      <c r="D668"/>
      <c r="E668"/>
      <c r="F668"/>
      <c r="G668"/>
      <c r="H668"/>
      <c r="I668"/>
      <c r="J668"/>
      <c r="K668"/>
    </row>
    <row r="669" spans="1:11" x14ac:dyDescent="0.3">
      <c r="A669"/>
      <c r="B669"/>
      <c r="C669"/>
      <c r="D669"/>
      <c r="E669"/>
      <c r="F669"/>
      <c r="G669"/>
      <c r="H669"/>
      <c r="I669"/>
      <c r="J669"/>
      <c r="K669"/>
    </row>
    <row r="670" spans="1:11" x14ac:dyDescent="0.3">
      <c r="A670"/>
      <c r="B670"/>
      <c r="C670"/>
      <c r="D670"/>
      <c r="E670"/>
      <c r="F670"/>
      <c r="G670"/>
      <c r="H670"/>
      <c r="I670"/>
      <c r="J670"/>
      <c r="K670"/>
    </row>
    <row r="671" spans="1:11" x14ac:dyDescent="0.3">
      <c r="A671"/>
      <c r="B671"/>
      <c r="C671"/>
      <c r="D671"/>
      <c r="E671"/>
      <c r="F671"/>
      <c r="G671"/>
      <c r="H671"/>
      <c r="I671"/>
      <c r="J671"/>
      <c r="K671"/>
    </row>
    <row r="672" spans="1:11" x14ac:dyDescent="0.3">
      <c r="A672"/>
      <c r="B672"/>
      <c r="C672"/>
      <c r="D672"/>
      <c r="E672"/>
      <c r="F672"/>
      <c r="G672"/>
      <c r="H672"/>
      <c r="I672"/>
      <c r="J672"/>
      <c r="K672"/>
    </row>
    <row r="673" spans="1:11" x14ac:dyDescent="0.3">
      <c r="A673"/>
      <c r="B673"/>
      <c r="C673"/>
      <c r="D673"/>
      <c r="E673"/>
      <c r="F673"/>
      <c r="G673"/>
      <c r="H673"/>
      <c r="I673"/>
      <c r="J673"/>
      <c r="K673"/>
    </row>
    <row r="674" spans="1:11" x14ac:dyDescent="0.3">
      <c r="A674"/>
      <c r="B674"/>
      <c r="C674"/>
      <c r="D674"/>
      <c r="E674"/>
      <c r="F674"/>
      <c r="G674"/>
      <c r="H674"/>
      <c r="I674"/>
      <c r="J674"/>
      <c r="K674"/>
    </row>
    <row r="675" spans="1:11" x14ac:dyDescent="0.3">
      <c r="A675"/>
      <c r="B675"/>
      <c r="C675"/>
      <c r="D675"/>
      <c r="E675"/>
      <c r="F675"/>
      <c r="G675"/>
      <c r="H675"/>
      <c r="I675"/>
      <c r="J675"/>
      <c r="K675"/>
    </row>
    <row r="676" spans="1:11" x14ac:dyDescent="0.3">
      <c r="A676"/>
      <c r="B676"/>
      <c r="C676"/>
      <c r="D676"/>
      <c r="E676"/>
      <c r="F676"/>
      <c r="G676"/>
      <c r="H676"/>
      <c r="I676"/>
      <c r="J676"/>
      <c r="K676"/>
    </row>
    <row r="677" spans="1:11" x14ac:dyDescent="0.3">
      <c r="A677"/>
      <c r="B677"/>
      <c r="C677"/>
      <c r="D677"/>
      <c r="E677"/>
      <c r="F677"/>
      <c r="G677"/>
      <c r="H677"/>
      <c r="I677"/>
      <c r="J677"/>
      <c r="K677"/>
    </row>
    <row r="678" spans="1:11" x14ac:dyDescent="0.3">
      <c r="A678"/>
      <c r="B678"/>
      <c r="C678"/>
      <c r="D678"/>
      <c r="E678"/>
      <c r="F678"/>
      <c r="G678"/>
      <c r="H678"/>
      <c r="I678"/>
      <c r="J678"/>
      <c r="K678"/>
    </row>
    <row r="679" spans="1:11" x14ac:dyDescent="0.3">
      <c r="A679"/>
      <c r="B679"/>
      <c r="C679"/>
      <c r="D679"/>
      <c r="E679"/>
      <c r="F679"/>
      <c r="G679"/>
      <c r="H679"/>
      <c r="I679"/>
      <c r="J679"/>
      <c r="K679"/>
    </row>
    <row r="680" spans="1:11" x14ac:dyDescent="0.3">
      <c r="A680"/>
      <c r="B680"/>
      <c r="C680"/>
      <c r="D680"/>
      <c r="E680"/>
      <c r="F680"/>
      <c r="G680"/>
      <c r="H680"/>
      <c r="I680"/>
      <c r="J680"/>
      <c r="K680"/>
    </row>
    <row r="681" spans="1:11" x14ac:dyDescent="0.3">
      <c r="A681"/>
      <c r="B681"/>
      <c r="C681"/>
      <c r="D681"/>
      <c r="E681"/>
      <c r="F681"/>
      <c r="G681"/>
      <c r="H681"/>
      <c r="I681"/>
      <c r="J681"/>
      <c r="K681"/>
    </row>
    <row r="682" spans="1:11" x14ac:dyDescent="0.3">
      <c r="A682"/>
      <c r="B682"/>
      <c r="C682"/>
      <c r="D682"/>
      <c r="E682"/>
      <c r="F682"/>
      <c r="G682"/>
      <c r="H682"/>
      <c r="I682"/>
      <c r="J682"/>
      <c r="K682"/>
    </row>
    <row r="683" spans="1:11" x14ac:dyDescent="0.3">
      <c r="A683"/>
      <c r="B683"/>
      <c r="C683"/>
      <c r="D683"/>
      <c r="E683"/>
      <c r="F683"/>
      <c r="G683"/>
      <c r="H683"/>
      <c r="I683"/>
      <c r="J683"/>
      <c r="K683"/>
    </row>
    <row r="684" spans="1:11" x14ac:dyDescent="0.3">
      <c r="A684"/>
      <c r="B684"/>
      <c r="C684"/>
      <c r="D684"/>
      <c r="E684"/>
      <c r="F684"/>
      <c r="G684"/>
      <c r="H684"/>
      <c r="I684"/>
      <c r="J684"/>
      <c r="K684"/>
    </row>
    <row r="685" spans="1:11" x14ac:dyDescent="0.3">
      <c r="A685"/>
      <c r="B685"/>
      <c r="C685"/>
      <c r="D685"/>
      <c r="E685"/>
      <c r="F685"/>
      <c r="G685"/>
      <c r="H685"/>
      <c r="I685"/>
      <c r="J685"/>
      <c r="K685"/>
    </row>
    <row r="686" spans="1:11" x14ac:dyDescent="0.3">
      <c r="A686"/>
      <c r="B686"/>
      <c r="C686"/>
      <c r="D686"/>
      <c r="E686"/>
      <c r="F686"/>
      <c r="G686"/>
      <c r="H686"/>
      <c r="I686"/>
      <c r="J686"/>
      <c r="K686"/>
    </row>
    <row r="687" spans="1:11" x14ac:dyDescent="0.3">
      <c r="A687"/>
      <c r="B687"/>
      <c r="C687"/>
      <c r="D687"/>
      <c r="E687"/>
      <c r="F687"/>
      <c r="G687"/>
      <c r="H687"/>
      <c r="I687"/>
      <c r="J687"/>
      <c r="K687"/>
    </row>
    <row r="688" spans="1:11" x14ac:dyDescent="0.3">
      <c r="A688"/>
      <c r="B688"/>
      <c r="C688"/>
      <c r="D688"/>
      <c r="E688"/>
      <c r="F688"/>
      <c r="G688"/>
      <c r="H688"/>
      <c r="I688"/>
      <c r="J688"/>
      <c r="K688"/>
    </row>
    <row r="689" spans="1:11" x14ac:dyDescent="0.3">
      <c r="A689"/>
      <c r="B689"/>
      <c r="C689"/>
      <c r="D689"/>
      <c r="E689"/>
      <c r="F689"/>
      <c r="G689"/>
      <c r="H689"/>
      <c r="I689"/>
      <c r="J689"/>
      <c r="K689"/>
    </row>
    <row r="690" spans="1:11" x14ac:dyDescent="0.3">
      <c r="A690"/>
      <c r="B690"/>
      <c r="C690"/>
      <c r="D690"/>
      <c r="E690"/>
      <c r="F690"/>
      <c r="G690"/>
      <c r="H690"/>
      <c r="I690"/>
      <c r="J690"/>
      <c r="K690"/>
    </row>
    <row r="691" spans="1:11" x14ac:dyDescent="0.3">
      <c r="A691"/>
      <c r="B691"/>
      <c r="C691"/>
      <c r="D691"/>
      <c r="E691"/>
      <c r="F691"/>
      <c r="G691"/>
      <c r="H691"/>
      <c r="I691"/>
      <c r="J691"/>
      <c r="K691"/>
    </row>
    <row r="692" spans="1:11" x14ac:dyDescent="0.3">
      <c r="A692"/>
      <c r="B692"/>
      <c r="C692"/>
      <c r="D692"/>
      <c r="E692"/>
      <c r="F692"/>
      <c r="G692"/>
      <c r="H692"/>
      <c r="I692"/>
      <c r="J692"/>
      <c r="K692"/>
    </row>
    <row r="693" spans="1:11" x14ac:dyDescent="0.3">
      <c r="A693"/>
      <c r="B693"/>
      <c r="C693"/>
      <c r="D693"/>
      <c r="E693"/>
      <c r="F693"/>
      <c r="G693"/>
      <c r="H693"/>
      <c r="I693"/>
      <c r="J693"/>
      <c r="K693"/>
    </row>
    <row r="694" spans="1:11" x14ac:dyDescent="0.3">
      <c r="A694"/>
      <c r="B694"/>
      <c r="C694"/>
      <c r="D694"/>
      <c r="E694"/>
      <c r="F694"/>
      <c r="G694"/>
      <c r="H694"/>
      <c r="I694"/>
      <c r="J694"/>
      <c r="K694"/>
    </row>
    <row r="695" spans="1:11" x14ac:dyDescent="0.3">
      <c r="A695"/>
      <c r="B695"/>
      <c r="C695"/>
      <c r="D695"/>
      <c r="E695"/>
      <c r="F695"/>
      <c r="G695"/>
      <c r="H695"/>
      <c r="I695"/>
      <c r="J695"/>
      <c r="K695"/>
    </row>
    <row r="696" spans="1:11" x14ac:dyDescent="0.3">
      <c r="A696"/>
      <c r="B696"/>
      <c r="C696"/>
      <c r="D696"/>
      <c r="E696"/>
      <c r="F696"/>
      <c r="G696"/>
      <c r="H696"/>
      <c r="I696"/>
      <c r="J696"/>
      <c r="K696"/>
    </row>
    <row r="697" spans="1:11" x14ac:dyDescent="0.3">
      <c r="A697"/>
      <c r="B697"/>
      <c r="C697"/>
      <c r="D697"/>
      <c r="E697"/>
      <c r="F697"/>
      <c r="G697"/>
      <c r="H697"/>
      <c r="I697"/>
      <c r="J697"/>
      <c r="K697"/>
    </row>
    <row r="698" spans="1:11" x14ac:dyDescent="0.3">
      <c r="A698"/>
      <c r="B698"/>
      <c r="C698"/>
      <c r="D698"/>
      <c r="E698"/>
      <c r="F698"/>
      <c r="G698"/>
      <c r="H698"/>
      <c r="I698"/>
      <c r="J698"/>
      <c r="K698"/>
    </row>
    <row r="699" spans="1:11" x14ac:dyDescent="0.3">
      <c r="A699"/>
      <c r="B699"/>
      <c r="C699"/>
      <c r="D699"/>
      <c r="E699"/>
      <c r="F699"/>
      <c r="G699"/>
      <c r="H699"/>
      <c r="I699"/>
      <c r="J699"/>
      <c r="K699"/>
    </row>
    <row r="700" spans="1:11" x14ac:dyDescent="0.3">
      <c r="A700"/>
      <c r="B700"/>
      <c r="C700"/>
      <c r="D700"/>
      <c r="E700"/>
      <c r="F700"/>
      <c r="G700"/>
      <c r="H700"/>
      <c r="I700"/>
      <c r="J700"/>
      <c r="K700"/>
    </row>
    <row r="701" spans="1:11" x14ac:dyDescent="0.3">
      <c r="A701"/>
      <c r="B701"/>
      <c r="C701"/>
      <c r="D701"/>
      <c r="E701"/>
      <c r="F701"/>
      <c r="G701"/>
      <c r="H701"/>
      <c r="I701"/>
      <c r="J701"/>
      <c r="K701"/>
    </row>
    <row r="702" spans="1:11" x14ac:dyDescent="0.3">
      <c r="A702"/>
      <c r="B702"/>
      <c r="C702"/>
      <c r="D702"/>
      <c r="E702"/>
      <c r="F702"/>
      <c r="G702"/>
      <c r="H702"/>
      <c r="I702"/>
      <c r="J702"/>
      <c r="K702"/>
    </row>
    <row r="703" spans="1:11" x14ac:dyDescent="0.3">
      <c r="A703"/>
      <c r="B703"/>
      <c r="C703"/>
      <c r="D703"/>
      <c r="E703"/>
      <c r="F703"/>
      <c r="G703"/>
      <c r="H703"/>
      <c r="I703"/>
      <c r="J703"/>
      <c r="K703"/>
    </row>
    <row r="704" spans="1:11" x14ac:dyDescent="0.3">
      <c r="A704"/>
      <c r="B704"/>
      <c r="C704"/>
      <c r="D704"/>
      <c r="E704"/>
      <c r="F704"/>
      <c r="G704"/>
      <c r="H704"/>
      <c r="I704"/>
      <c r="J704"/>
      <c r="K704"/>
    </row>
    <row r="705" spans="1:11" x14ac:dyDescent="0.3">
      <c r="A705"/>
      <c r="B705"/>
      <c r="C705"/>
      <c r="D705"/>
      <c r="E705"/>
      <c r="F705"/>
      <c r="G705"/>
      <c r="H705"/>
      <c r="I705"/>
      <c r="J705"/>
      <c r="K705"/>
    </row>
    <row r="706" spans="1:11" x14ac:dyDescent="0.3">
      <c r="A706"/>
      <c r="B706"/>
      <c r="C706"/>
      <c r="D706"/>
      <c r="E706"/>
      <c r="F706"/>
      <c r="G706"/>
      <c r="H706"/>
      <c r="I706"/>
      <c r="J706"/>
      <c r="K706"/>
    </row>
    <row r="707" spans="1:11" x14ac:dyDescent="0.3">
      <c r="A707"/>
      <c r="B707"/>
      <c r="C707"/>
      <c r="D707"/>
      <c r="E707"/>
      <c r="F707"/>
      <c r="G707"/>
      <c r="H707"/>
      <c r="I707"/>
      <c r="J707"/>
      <c r="K707"/>
    </row>
    <row r="708" spans="1:11" x14ac:dyDescent="0.3">
      <c r="A708"/>
      <c r="B708"/>
      <c r="C708"/>
      <c r="D708"/>
      <c r="E708"/>
      <c r="F708"/>
      <c r="G708"/>
      <c r="H708"/>
      <c r="I708"/>
      <c r="J708"/>
      <c r="K708"/>
    </row>
    <row r="709" spans="1:11" x14ac:dyDescent="0.3">
      <c r="A709"/>
      <c r="B709"/>
      <c r="C709"/>
      <c r="D709"/>
      <c r="E709"/>
      <c r="F709"/>
      <c r="G709"/>
      <c r="H709"/>
      <c r="I709"/>
      <c r="J709"/>
      <c r="K709"/>
    </row>
    <row r="710" spans="1:11" x14ac:dyDescent="0.3">
      <c r="A710"/>
      <c r="B710"/>
      <c r="C710"/>
      <c r="D710"/>
      <c r="E710"/>
      <c r="F710"/>
      <c r="G710"/>
      <c r="H710"/>
      <c r="I710"/>
      <c r="J710"/>
      <c r="K710"/>
    </row>
    <row r="711" spans="1:11" x14ac:dyDescent="0.3">
      <c r="A711"/>
      <c r="B711"/>
      <c r="C711"/>
      <c r="D711"/>
      <c r="E711"/>
      <c r="F711"/>
      <c r="G711"/>
      <c r="H711"/>
      <c r="I711"/>
      <c r="J711"/>
      <c r="K711"/>
    </row>
    <row r="712" spans="1:11" x14ac:dyDescent="0.3">
      <c r="A712"/>
      <c r="B712"/>
      <c r="C712"/>
      <c r="D712"/>
      <c r="E712"/>
      <c r="F712"/>
      <c r="G712"/>
      <c r="H712"/>
      <c r="I712"/>
      <c r="J712"/>
      <c r="K712"/>
    </row>
    <row r="713" spans="1:11" x14ac:dyDescent="0.3">
      <c r="A713"/>
      <c r="B713"/>
      <c r="C713"/>
      <c r="D713"/>
      <c r="E713"/>
      <c r="F713"/>
      <c r="G713"/>
      <c r="H713"/>
      <c r="I713"/>
      <c r="J713"/>
      <c r="K713"/>
    </row>
    <row r="714" spans="1:11" x14ac:dyDescent="0.3">
      <c r="A714"/>
      <c r="B714"/>
      <c r="C714"/>
      <c r="D714"/>
      <c r="E714"/>
      <c r="F714"/>
      <c r="G714"/>
      <c r="H714"/>
      <c r="I714"/>
      <c r="J714"/>
      <c r="K714"/>
    </row>
    <row r="715" spans="1:11" x14ac:dyDescent="0.3">
      <c r="A715"/>
      <c r="B715"/>
      <c r="C715"/>
      <c r="D715"/>
      <c r="E715"/>
      <c r="F715"/>
      <c r="G715"/>
      <c r="H715"/>
      <c r="I715"/>
      <c r="J715"/>
      <c r="K715"/>
    </row>
    <row r="716" spans="1:11" x14ac:dyDescent="0.3">
      <c r="A716"/>
      <c r="B716"/>
      <c r="C716"/>
      <c r="D716"/>
      <c r="E716"/>
      <c r="F716"/>
      <c r="G716"/>
      <c r="H716"/>
      <c r="I716"/>
      <c r="J716"/>
      <c r="K716"/>
    </row>
    <row r="717" spans="1:11" x14ac:dyDescent="0.3">
      <c r="A717"/>
      <c r="B717"/>
      <c r="C717"/>
      <c r="D717"/>
      <c r="E717"/>
      <c r="F717"/>
      <c r="G717"/>
      <c r="H717"/>
      <c r="I717"/>
      <c r="J717"/>
      <c r="K717"/>
    </row>
    <row r="718" spans="1:11" x14ac:dyDescent="0.3">
      <c r="A718"/>
      <c r="B718"/>
      <c r="C718"/>
      <c r="D718"/>
      <c r="E718"/>
      <c r="F718"/>
      <c r="G718"/>
      <c r="H718"/>
      <c r="I718"/>
      <c r="J718"/>
      <c r="K718"/>
    </row>
    <row r="719" spans="1:11" x14ac:dyDescent="0.3">
      <c r="A719"/>
      <c r="B719"/>
      <c r="C719"/>
      <c r="D719"/>
      <c r="E719"/>
      <c r="F719"/>
      <c r="G719"/>
      <c r="H719"/>
      <c r="I719"/>
      <c r="J719"/>
      <c r="K719"/>
    </row>
    <row r="720" spans="1:11" x14ac:dyDescent="0.3">
      <c r="A720"/>
      <c r="B720"/>
      <c r="C720"/>
      <c r="D720"/>
      <c r="E720"/>
      <c r="F720"/>
      <c r="G720"/>
      <c r="H720"/>
      <c r="I720"/>
      <c r="J720"/>
      <c r="K720"/>
    </row>
    <row r="721" spans="1:11" x14ac:dyDescent="0.3">
      <c r="A721"/>
      <c r="B721"/>
      <c r="C721"/>
      <c r="D721"/>
      <c r="E721"/>
      <c r="F721"/>
      <c r="G721"/>
      <c r="H721"/>
      <c r="I721"/>
      <c r="J721"/>
      <c r="K721"/>
    </row>
    <row r="722" spans="1:11" x14ac:dyDescent="0.3">
      <c r="A722"/>
      <c r="B722"/>
      <c r="C722"/>
      <c r="D722"/>
      <c r="E722"/>
      <c r="F722"/>
      <c r="G722"/>
      <c r="H722"/>
      <c r="I722"/>
      <c r="J722"/>
      <c r="K722"/>
    </row>
    <row r="723" spans="1:11" x14ac:dyDescent="0.3">
      <c r="A723"/>
      <c r="B723"/>
      <c r="C723"/>
      <c r="D723"/>
      <c r="E723"/>
      <c r="F723"/>
      <c r="G723"/>
      <c r="H723"/>
      <c r="I723"/>
      <c r="J723"/>
      <c r="K723"/>
    </row>
    <row r="724" spans="1:11" x14ac:dyDescent="0.3">
      <c r="A724"/>
      <c r="B724"/>
      <c r="C724"/>
      <c r="D724"/>
      <c r="E724"/>
      <c r="F724"/>
      <c r="G724"/>
      <c r="H724"/>
      <c r="I724"/>
      <c r="J724"/>
      <c r="K724"/>
    </row>
    <row r="725" spans="1:11" x14ac:dyDescent="0.3">
      <c r="A725"/>
      <c r="B725"/>
      <c r="C725"/>
      <c r="D725"/>
      <c r="E725"/>
      <c r="F725"/>
      <c r="G725"/>
      <c r="H725"/>
      <c r="I725"/>
      <c r="J725"/>
      <c r="K725"/>
    </row>
    <row r="726" spans="1:11" x14ac:dyDescent="0.3">
      <c r="A726"/>
      <c r="B726"/>
      <c r="C726"/>
      <c r="D726"/>
      <c r="E726"/>
      <c r="F726"/>
      <c r="G726"/>
      <c r="H726"/>
      <c r="I726"/>
      <c r="J726"/>
      <c r="K726"/>
    </row>
    <row r="727" spans="1:11" x14ac:dyDescent="0.3">
      <c r="A727"/>
      <c r="B727"/>
      <c r="C727"/>
      <c r="D727"/>
      <c r="E727"/>
      <c r="F727"/>
      <c r="G727"/>
      <c r="H727"/>
      <c r="I727"/>
      <c r="J727"/>
      <c r="K727"/>
    </row>
    <row r="728" spans="1:11" x14ac:dyDescent="0.3">
      <c r="A728"/>
      <c r="B728"/>
      <c r="C728"/>
      <c r="D728"/>
      <c r="E728"/>
      <c r="F728"/>
      <c r="G728"/>
      <c r="H728"/>
      <c r="I728"/>
      <c r="J728"/>
      <c r="K728"/>
    </row>
    <row r="729" spans="1:11" x14ac:dyDescent="0.3">
      <c r="A729"/>
      <c r="B729"/>
      <c r="C729"/>
      <c r="D729"/>
      <c r="E729"/>
      <c r="F729"/>
      <c r="G729"/>
      <c r="H729"/>
      <c r="I729"/>
      <c r="J729"/>
      <c r="K729"/>
    </row>
    <row r="730" spans="1:11" x14ac:dyDescent="0.3">
      <c r="A730"/>
      <c r="B730"/>
      <c r="C730"/>
      <c r="D730"/>
      <c r="E730"/>
      <c r="F730"/>
      <c r="G730"/>
      <c r="H730"/>
      <c r="I730"/>
      <c r="J730"/>
      <c r="K730"/>
    </row>
    <row r="731" spans="1:11" x14ac:dyDescent="0.3">
      <c r="A731"/>
      <c r="B731"/>
      <c r="C731"/>
      <c r="D731"/>
      <c r="E731"/>
      <c r="F731"/>
      <c r="G731"/>
      <c r="H731"/>
      <c r="I731"/>
      <c r="J731"/>
      <c r="K731"/>
    </row>
    <row r="732" spans="1:11" x14ac:dyDescent="0.3">
      <c r="A732"/>
      <c r="B732"/>
      <c r="C732"/>
      <c r="D732"/>
      <c r="E732"/>
      <c r="F732"/>
      <c r="G732"/>
      <c r="H732"/>
      <c r="I732"/>
      <c r="J732"/>
      <c r="K732"/>
    </row>
    <row r="733" spans="1:11" x14ac:dyDescent="0.3">
      <c r="A733"/>
      <c r="B733"/>
      <c r="C733"/>
      <c r="D733"/>
      <c r="E733"/>
      <c r="F733"/>
      <c r="G733"/>
      <c r="H733"/>
      <c r="I733"/>
      <c r="J733"/>
      <c r="K733"/>
    </row>
    <row r="734" spans="1:11" x14ac:dyDescent="0.3">
      <c r="A734"/>
      <c r="B734"/>
      <c r="C734"/>
      <c r="D734"/>
      <c r="E734"/>
      <c r="F734"/>
      <c r="G734"/>
      <c r="H734"/>
      <c r="I734"/>
      <c r="J734"/>
      <c r="K734"/>
    </row>
    <row r="735" spans="1:11" x14ac:dyDescent="0.3">
      <c r="A735"/>
      <c r="B735"/>
      <c r="C735"/>
      <c r="D735"/>
      <c r="E735"/>
      <c r="F735"/>
      <c r="G735"/>
      <c r="H735"/>
      <c r="I735"/>
      <c r="J735"/>
      <c r="K735"/>
    </row>
    <row r="736" spans="1:11" x14ac:dyDescent="0.3">
      <c r="A736"/>
      <c r="B736"/>
      <c r="C736"/>
      <c r="D736"/>
      <c r="E736"/>
      <c r="F736"/>
      <c r="G736"/>
      <c r="H736"/>
      <c r="I736"/>
      <c r="J736"/>
      <c r="K736"/>
    </row>
    <row r="737" spans="1:11" x14ac:dyDescent="0.3">
      <c r="A737"/>
      <c r="B737"/>
      <c r="C737"/>
      <c r="D737"/>
      <c r="E737"/>
      <c r="F737"/>
      <c r="G737"/>
      <c r="H737"/>
      <c r="I737"/>
      <c r="J737"/>
      <c r="K737"/>
    </row>
    <row r="738" spans="1:11" x14ac:dyDescent="0.3">
      <c r="A738"/>
      <c r="B738"/>
      <c r="C738"/>
      <c r="D738"/>
      <c r="E738"/>
      <c r="F738"/>
      <c r="G738"/>
      <c r="H738"/>
      <c r="I738"/>
      <c r="J738"/>
      <c r="K738"/>
    </row>
    <row r="739" spans="1:11" x14ac:dyDescent="0.3">
      <c r="A739"/>
      <c r="B739"/>
      <c r="C739"/>
      <c r="D739"/>
      <c r="E739"/>
      <c r="F739"/>
      <c r="G739"/>
      <c r="H739"/>
      <c r="I739"/>
      <c r="J739"/>
      <c r="K739"/>
    </row>
    <row r="740" spans="1:11" x14ac:dyDescent="0.3">
      <c r="A740"/>
      <c r="B740"/>
      <c r="C740"/>
      <c r="D740"/>
      <c r="E740"/>
      <c r="F740"/>
      <c r="G740"/>
      <c r="H740"/>
      <c r="I740"/>
      <c r="J740"/>
      <c r="K740"/>
    </row>
    <row r="741" spans="1:11" x14ac:dyDescent="0.3">
      <c r="A741"/>
      <c r="B741"/>
      <c r="C741"/>
      <c r="D741"/>
      <c r="E741"/>
      <c r="F741"/>
      <c r="G741"/>
      <c r="H741"/>
      <c r="I741"/>
      <c r="J741"/>
      <c r="K741"/>
    </row>
    <row r="742" spans="1:11" x14ac:dyDescent="0.3">
      <c r="A742"/>
      <c r="B742"/>
      <c r="C742"/>
      <c r="D742"/>
      <c r="E742"/>
      <c r="F742"/>
      <c r="G742"/>
      <c r="H742"/>
      <c r="I742"/>
      <c r="J742"/>
      <c r="K742"/>
    </row>
    <row r="743" spans="1:11" x14ac:dyDescent="0.3">
      <c r="A743"/>
      <c r="B743"/>
      <c r="C743"/>
      <c r="D743"/>
      <c r="E743"/>
      <c r="F743"/>
      <c r="G743"/>
      <c r="H743"/>
      <c r="I743"/>
      <c r="J743"/>
      <c r="K743"/>
    </row>
    <row r="744" spans="1:11" x14ac:dyDescent="0.3">
      <c r="A744"/>
      <c r="B744"/>
      <c r="C744"/>
      <c r="D744"/>
      <c r="E744"/>
      <c r="F744"/>
      <c r="G744"/>
      <c r="H744"/>
      <c r="I744"/>
      <c r="J744"/>
      <c r="K744"/>
    </row>
    <row r="745" spans="1:11" x14ac:dyDescent="0.3">
      <c r="A745"/>
      <c r="B745"/>
      <c r="C745"/>
      <c r="D745"/>
      <c r="E745"/>
      <c r="F745"/>
      <c r="G745"/>
      <c r="H745"/>
      <c r="I745"/>
      <c r="J745"/>
      <c r="K745"/>
    </row>
    <row r="746" spans="1:11" x14ac:dyDescent="0.3">
      <c r="A746"/>
      <c r="B746"/>
      <c r="C746"/>
      <c r="D746"/>
      <c r="E746"/>
      <c r="F746"/>
      <c r="G746"/>
      <c r="H746"/>
      <c r="I746"/>
      <c r="J746"/>
      <c r="K746"/>
    </row>
    <row r="747" spans="1:11" x14ac:dyDescent="0.3">
      <c r="A747"/>
      <c r="B747"/>
      <c r="C747"/>
      <c r="D747"/>
      <c r="E747"/>
      <c r="F747"/>
      <c r="G747"/>
      <c r="H747"/>
      <c r="I747"/>
      <c r="J747"/>
      <c r="K747"/>
    </row>
    <row r="748" spans="1:11" x14ac:dyDescent="0.3">
      <c r="A748"/>
      <c r="B748"/>
      <c r="C748"/>
      <c r="D748"/>
      <c r="E748"/>
      <c r="F748"/>
      <c r="G748"/>
      <c r="H748"/>
      <c r="I748"/>
      <c r="J748"/>
      <c r="K748"/>
    </row>
    <row r="749" spans="1:11" x14ac:dyDescent="0.3">
      <c r="A749"/>
      <c r="B749"/>
      <c r="C749"/>
      <c r="D749"/>
      <c r="E749"/>
      <c r="F749"/>
      <c r="G749"/>
      <c r="H749"/>
      <c r="I749"/>
      <c r="J749"/>
      <c r="K749"/>
    </row>
    <row r="750" spans="1:11" x14ac:dyDescent="0.3">
      <c r="A750"/>
      <c r="B750"/>
      <c r="C750"/>
      <c r="D750"/>
      <c r="E750"/>
      <c r="F750"/>
      <c r="G750"/>
      <c r="H750"/>
      <c r="I750"/>
      <c r="J750"/>
      <c r="K750"/>
    </row>
    <row r="751" spans="1:11" x14ac:dyDescent="0.3">
      <c r="A751"/>
      <c r="B751"/>
      <c r="C751"/>
      <c r="D751"/>
      <c r="E751"/>
      <c r="F751"/>
      <c r="G751"/>
      <c r="H751"/>
      <c r="I751"/>
      <c r="J751"/>
      <c r="K751"/>
    </row>
    <row r="752" spans="1:11" x14ac:dyDescent="0.3">
      <c r="A752"/>
      <c r="B752"/>
      <c r="C752"/>
      <c r="D752"/>
      <c r="E752"/>
      <c r="F752"/>
      <c r="G752"/>
      <c r="H752"/>
      <c r="I752"/>
      <c r="J752"/>
      <c r="K752"/>
    </row>
    <row r="753" spans="1:11" x14ac:dyDescent="0.3">
      <c r="A753"/>
      <c r="B753"/>
      <c r="C753"/>
      <c r="D753"/>
      <c r="E753"/>
      <c r="F753"/>
      <c r="G753"/>
      <c r="H753"/>
      <c r="I753"/>
      <c r="J753"/>
      <c r="K753"/>
    </row>
    <row r="754" spans="1:11" x14ac:dyDescent="0.3">
      <c r="A754"/>
      <c r="B754"/>
      <c r="C754"/>
      <c r="D754"/>
      <c r="E754"/>
      <c r="F754"/>
      <c r="G754"/>
      <c r="H754"/>
      <c r="I754"/>
      <c r="J754"/>
      <c r="K754"/>
    </row>
    <row r="755" spans="1:11" x14ac:dyDescent="0.3">
      <c r="A755"/>
      <c r="B755"/>
      <c r="C755"/>
      <c r="D755"/>
      <c r="E755"/>
      <c r="F755"/>
      <c r="G755"/>
      <c r="H755"/>
      <c r="I755"/>
      <c r="J755"/>
      <c r="K755"/>
    </row>
    <row r="756" spans="1:11" x14ac:dyDescent="0.3">
      <c r="A756"/>
      <c r="B756"/>
      <c r="C756"/>
      <c r="D756"/>
      <c r="E756"/>
      <c r="F756"/>
      <c r="G756"/>
      <c r="H756"/>
      <c r="I756"/>
      <c r="J756"/>
      <c r="K756"/>
    </row>
    <row r="757" spans="1:11" x14ac:dyDescent="0.3">
      <c r="A757"/>
      <c r="B757"/>
      <c r="C757"/>
      <c r="D757"/>
      <c r="E757"/>
      <c r="F757"/>
      <c r="G757"/>
      <c r="H757"/>
      <c r="I757"/>
      <c r="J757"/>
      <c r="K757"/>
    </row>
    <row r="758" spans="1:11" x14ac:dyDescent="0.3">
      <c r="A758"/>
      <c r="B758"/>
      <c r="C758"/>
      <c r="D758"/>
      <c r="E758"/>
      <c r="F758"/>
      <c r="G758"/>
      <c r="H758"/>
      <c r="I758"/>
      <c r="J758"/>
      <c r="K758"/>
    </row>
    <row r="759" spans="1:11" x14ac:dyDescent="0.3">
      <c r="A759"/>
      <c r="B759"/>
      <c r="C759"/>
      <c r="D759"/>
      <c r="E759"/>
      <c r="F759"/>
      <c r="G759"/>
      <c r="H759"/>
      <c r="I759"/>
      <c r="J759"/>
      <c r="K759"/>
    </row>
    <row r="760" spans="1:11" x14ac:dyDescent="0.3">
      <c r="A760"/>
      <c r="B760"/>
      <c r="C760"/>
      <c r="D760"/>
      <c r="E760"/>
      <c r="F760"/>
      <c r="G760"/>
      <c r="H760"/>
      <c r="I760"/>
      <c r="J760"/>
      <c r="K760"/>
    </row>
    <row r="761" spans="1:11" x14ac:dyDescent="0.3">
      <c r="A761"/>
      <c r="B761"/>
      <c r="C761"/>
      <c r="D761"/>
      <c r="E761"/>
      <c r="F761"/>
      <c r="G761"/>
      <c r="H761"/>
      <c r="I761"/>
      <c r="J761"/>
      <c r="K761"/>
    </row>
    <row r="762" spans="1:11" x14ac:dyDescent="0.3">
      <c r="A762"/>
      <c r="B762"/>
      <c r="C762"/>
      <c r="D762"/>
      <c r="E762"/>
      <c r="F762"/>
      <c r="G762"/>
      <c r="H762"/>
      <c r="I762"/>
      <c r="J762"/>
      <c r="K762"/>
    </row>
    <row r="763" spans="1:11" x14ac:dyDescent="0.3">
      <c r="A763"/>
      <c r="B763"/>
      <c r="C763"/>
      <c r="D763"/>
      <c r="E763"/>
      <c r="F763"/>
      <c r="G763"/>
      <c r="H763"/>
      <c r="I763"/>
      <c r="J763"/>
      <c r="K763"/>
    </row>
    <row r="764" spans="1:11" x14ac:dyDescent="0.3">
      <c r="A764"/>
      <c r="B764"/>
      <c r="C764"/>
      <c r="D764"/>
      <c r="E764"/>
      <c r="F764"/>
      <c r="G764"/>
      <c r="H764"/>
      <c r="I764"/>
      <c r="J764"/>
      <c r="K764"/>
    </row>
    <row r="765" spans="1:11" x14ac:dyDescent="0.3">
      <c r="A765"/>
      <c r="B765"/>
      <c r="C765"/>
      <c r="D765"/>
      <c r="E765"/>
      <c r="F765"/>
      <c r="G765"/>
      <c r="H765"/>
      <c r="I765"/>
      <c r="J765"/>
      <c r="K765"/>
    </row>
    <row r="766" spans="1:11" x14ac:dyDescent="0.3">
      <c r="A766"/>
      <c r="B766"/>
      <c r="C766"/>
      <c r="D766"/>
      <c r="E766"/>
      <c r="F766"/>
      <c r="G766"/>
      <c r="H766"/>
      <c r="I766"/>
      <c r="J766"/>
      <c r="K766"/>
    </row>
    <row r="767" spans="1:11" x14ac:dyDescent="0.3">
      <c r="A767"/>
      <c r="B767"/>
      <c r="C767"/>
      <c r="D767"/>
      <c r="E767"/>
      <c r="F767"/>
      <c r="G767"/>
      <c r="H767"/>
      <c r="I767"/>
      <c r="J767"/>
      <c r="K767"/>
    </row>
    <row r="768" spans="1:11" x14ac:dyDescent="0.3">
      <c r="A768"/>
      <c r="B768"/>
      <c r="C768"/>
      <c r="D768"/>
      <c r="E768"/>
      <c r="F768"/>
      <c r="G768"/>
      <c r="H768"/>
      <c r="I768"/>
      <c r="J768"/>
      <c r="K768"/>
    </row>
    <row r="769" spans="1:11" x14ac:dyDescent="0.3">
      <c r="A769"/>
      <c r="B769"/>
      <c r="C769"/>
      <c r="D769"/>
      <c r="E769"/>
      <c r="F769"/>
      <c r="G769"/>
      <c r="H769"/>
      <c r="I769"/>
      <c r="J769"/>
      <c r="K769"/>
    </row>
    <row r="770" spans="1:11" x14ac:dyDescent="0.3">
      <c r="A770"/>
      <c r="B770"/>
      <c r="C770"/>
      <c r="D770"/>
      <c r="E770"/>
      <c r="F770"/>
      <c r="G770"/>
      <c r="H770"/>
      <c r="I770"/>
      <c r="J770"/>
      <c r="K770"/>
    </row>
    <row r="771" spans="1:11" x14ac:dyDescent="0.3">
      <c r="A771"/>
      <c r="B771"/>
      <c r="C771"/>
      <c r="D771"/>
      <c r="E771"/>
      <c r="F771"/>
      <c r="G771"/>
      <c r="H771"/>
      <c r="I771"/>
      <c r="J771"/>
      <c r="K771"/>
    </row>
    <row r="772" spans="1:11" x14ac:dyDescent="0.3">
      <c r="A772"/>
      <c r="B772"/>
      <c r="C772"/>
      <c r="D772"/>
      <c r="E772"/>
      <c r="F772"/>
      <c r="G772"/>
      <c r="H772"/>
      <c r="I772"/>
      <c r="J772"/>
      <c r="K772"/>
    </row>
    <row r="773" spans="1:11" x14ac:dyDescent="0.3">
      <c r="A773"/>
      <c r="B773"/>
      <c r="C773"/>
      <c r="D773"/>
      <c r="E773"/>
      <c r="F773"/>
      <c r="G773"/>
      <c r="H773"/>
      <c r="I773"/>
      <c r="J773"/>
      <c r="K773"/>
    </row>
    <row r="774" spans="1:11" x14ac:dyDescent="0.3">
      <c r="A774"/>
      <c r="B774"/>
      <c r="C774"/>
      <c r="D774"/>
      <c r="E774"/>
      <c r="F774"/>
      <c r="G774"/>
      <c r="H774"/>
      <c r="I774"/>
      <c r="J774"/>
      <c r="K774"/>
    </row>
    <row r="775" spans="1:11" x14ac:dyDescent="0.3">
      <c r="A775"/>
      <c r="B775"/>
      <c r="C775"/>
      <c r="D775"/>
      <c r="E775"/>
      <c r="F775"/>
      <c r="G775"/>
      <c r="H775"/>
      <c r="I775"/>
      <c r="J775"/>
      <c r="K775"/>
    </row>
    <row r="776" spans="1:11" x14ac:dyDescent="0.3">
      <c r="A776"/>
      <c r="B776"/>
      <c r="C776"/>
      <c r="D776"/>
      <c r="E776"/>
      <c r="F776"/>
      <c r="G776"/>
      <c r="H776"/>
      <c r="I776"/>
      <c r="J776"/>
      <c r="K776"/>
    </row>
    <row r="777" spans="1:11" x14ac:dyDescent="0.3">
      <c r="A777"/>
      <c r="B777"/>
      <c r="C777"/>
      <c r="D777"/>
      <c r="E777"/>
      <c r="F777"/>
      <c r="G777"/>
      <c r="H777"/>
      <c r="I777"/>
      <c r="J777"/>
      <c r="K777"/>
    </row>
    <row r="778" spans="1:11" x14ac:dyDescent="0.3">
      <c r="A778"/>
      <c r="B778"/>
      <c r="C778"/>
      <c r="D778"/>
      <c r="E778"/>
      <c r="F778"/>
      <c r="G778"/>
      <c r="H778"/>
      <c r="I778"/>
      <c r="J778"/>
      <c r="K778"/>
    </row>
    <row r="779" spans="1:11" x14ac:dyDescent="0.3">
      <c r="A779"/>
      <c r="B779"/>
      <c r="C779"/>
      <c r="D779"/>
      <c r="E779"/>
      <c r="F779"/>
      <c r="G779"/>
      <c r="H779"/>
      <c r="I779"/>
      <c r="J779"/>
      <c r="K779"/>
    </row>
    <row r="780" spans="1:11" x14ac:dyDescent="0.3">
      <c r="A780"/>
      <c r="B780"/>
      <c r="C780"/>
      <c r="D780"/>
      <c r="E780"/>
      <c r="F780"/>
      <c r="G780"/>
      <c r="H780"/>
      <c r="I780"/>
      <c r="J780"/>
      <c r="K780"/>
    </row>
    <row r="781" spans="1:11" x14ac:dyDescent="0.3">
      <c r="A781"/>
      <c r="B781"/>
      <c r="C781"/>
      <c r="D781"/>
      <c r="E781"/>
      <c r="F781"/>
      <c r="G781"/>
      <c r="H781"/>
      <c r="I781"/>
      <c r="J781"/>
      <c r="K781"/>
    </row>
    <row r="782" spans="1:11" x14ac:dyDescent="0.3">
      <c r="A782"/>
      <c r="B782"/>
      <c r="C782"/>
      <c r="D782"/>
      <c r="E782"/>
      <c r="F782"/>
      <c r="G782"/>
      <c r="H782"/>
      <c r="I782"/>
      <c r="J782"/>
      <c r="K782"/>
    </row>
    <row r="783" spans="1:11" x14ac:dyDescent="0.3">
      <c r="A783"/>
      <c r="B783"/>
      <c r="C783"/>
      <c r="D783"/>
      <c r="E783"/>
      <c r="F783"/>
      <c r="G783"/>
      <c r="H783"/>
      <c r="I783"/>
      <c r="J783"/>
      <c r="K783"/>
    </row>
    <row r="784" spans="1:11" x14ac:dyDescent="0.3">
      <c r="A784"/>
      <c r="B784"/>
      <c r="C784"/>
      <c r="D784"/>
      <c r="E784"/>
      <c r="F784"/>
      <c r="G784"/>
      <c r="H784"/>
      <c r="I784"/>
      <c r="J784"/>
      <c r="K784"/>
    </row>
    <row r="785" spans="1:11" x14ac:dyDescent="0.3">
      <c r="A785"/>
      <c r="B785"/>
      <c r="C785"/>
      <c r="D785"/>
      <c r="E785"/>
      <c r="F785"/>
      <c r="G785"/>
      <c r="H785"/>
      <c r="I785"/>
      <c r="J785"/>
      <c r="K785"/>
    </row>
    <row r="786" spans="1:11" x14ac:dyDescent="0.3">
      <c r="A786"/>
      <c r="B786"/>
      <c r="C786"/>
      <c r="D786"/>
      <c r="E786"/>
      <c r="F786"/>
      <c r="G786"/>
      <c r="H786"/>
      <c r="I786"/>
      <c r="J786"/>
      <c r="K786"/>
    </row>
    <row r="787" spans="1:11" x14ac:dyDescent="0.3">
      <c r="A787"/>
      <c r="B787"/>
      <c r="C787"/>
      <c r="D787"/>
      <c r="E787"/>
      <c r="F787"/>
      <c r="G787"/>
      <c r="H787"/>
      <c r="I787"/>
      <c r="J787"/>
      <c r="K787"/>
    </row>
    <row r="788" spans="1:11" x14ac:dyDescent="0.3">
      <c r="A788"/>
      <c r="B788"/>
      <c r="C788"/>
      <c r="D788"/>
      <c r="E788"/>
      <c r="F788"/>
      <c r="G788"/>
      <c r="H788"/>
      <c r="I788"/>
      <c r="J788"/>
      <c r="K788"/>
    </row>
    <row r="789" spans="1:11" x14ac:dyDescent="0.3">
      <c r="A789"/>
      <c r="B789"/>
      <c r="C789"/>
      <c r="D789"/>
      <c r="E789"/>
      <c r="F789"/>
      <c r="G789"/>
      <c r="H789"/>
      <c r="I789"/>
      <c r="J789"/>
      <c r="K789"/>
    </row>
    <row r="790" spans="1:11" x14ac:dyDescent="0.3">
      <c r="A790"/>
      <c r="B790"/>
      <c r="C790"/>
      <c r="D790"/>
      <c r="E790"/>
      <c r="F790"/>
      <c r="G790"/>
      <c r="H790"/>
      <c r="I790"/>
      <c r="J790"/>
      <c r="K790"/>
    </row>
    <row r="791" spans="1:11" x14ac:dyDescent="0.3">
      <c r="A791"/>
      <c r="B791"/>
      <c r="C791"/>
      <c r="D791"/>
      <c r="E791"/>
      <c r="F791"/>
      <c r="G791"/>
      <c r="H791"/>
      <c r="I791"/>
      <c r="J791"/>
      <c r="K791"/>
    </row>
    <row r="792" spans="1:11" x14ac:dyDescent="0.3">
      <c r="A792"/>
      <c r="B792"/>
      <c r="C792"/>
      <c r="D792"/>
      <c r="E792"/>
      <c r="F792"/>
      <c r="G792"/>
      <c r="H792"/>
      <c r="I792"/>
      <c r="J792"/>
      <c r="K792"/>
    </row>
    <row r="793" spans="1:11" x14ac:dyDescent="0.3">
      <c r="A793"/>
      <c r="B793"/>
      <c r="C793"/>
      <c r="D793"/>
      <c r="E793"/>
      <c r="F793"/>
      <c r="G793"/>
      <c r="H793"/>
      <c r="I793"/>
      <c r="J793"/>
      <c r="K793"/>
    </row>
    <row r="794" spans="1:11" x14ac:dyDescent="0.3">
      <c r="A794"/>
      <c r="B794"/>
      <c r="C794"/>
      <c r="D794"/>
      <c r="E794"/>
      <c r="F794"/>
      <c r="G794"/>
      <c r="H794"/>
      <c r="I794"/>
      <c r="J794"/>
      <c r="K794"/>
    </row>
    <row r="795" spans="1:11" x14ac:dyDescent="0.3">
      <c r="A795"/>
      <c r="B795"/>
      <c r="C795"/>
      <c r="D795"/>
      <c r="E795"/>
      <c r="F795"/>
      <c r="G795"/>
      <c r="H795"/>
      <c r="I795"/>
      <c r="J795"/>
      <c r="K795"/>
    </row>
    <row r="796" spans="1:11" x14ac:dyDescent="0.3">
      <c r="A796"/>
      <c r="B796"/>
      <c r="C796"/>
      <c r="D796"/>
      <c r="E796"/>
      <c r="F796"/>
      <c r="G796"/>
      <c r="H796"/>
      <c r="I796"/>
      <c r="J796"/>
      <c r="K796"/>
    </row>
    <row r="797" spans="1:11" x14ac:dyDescent="0.3">
      <c r="A797"/>
      <c r="B797"/>
      <c r="C797"/>
      <c r="D797"/>
      <c r="E797"/>
      <c r="F797"/>
      <c r="G797"/>
      <c r="H797"/>
      <c r="I797"/>
      <c r="J797"/>
      <c r="K797"/>
    </row>
    <row r="798" spans="1:11" x14ac:dyDescent="0.3">
      <c r="A798"/>
      <c r="B798"/>
      <c r="C798"/>
      <c r="D798"/>
      <c r="E798"/>
      <c r="F798"/>
      <c r="G798"/>
      <c r="H798"/>
      <c r="I798"/>
      <c r="J798"/>
      <c r="K798"/>
    </row>
    <row r="799" spans="1:11" x14ac:dyDescent="0.3">
      <c r="A799"/>
      <c r="B799"/>
      <c r="C799"/>
      <c r="D799"/>
      <c r="E799"/>
      <c r="F799"/>
      <c r="G799"/>
      <c r="H799"/>
      <c r="I799"/>
      <c r="J799"/>
      <c r="K799"/>
    </row>
    <row r="800" spans="1:11" x14ac:dyDescent="0.3">
      <c r="A800"/>
      <c r="B800"/>
      <c r="C800"/>
      <c r="D800"/>
      <c r="E800"/>
      <c r="F800"/>
      <c r="G800"/>
      <c r="H800"/>
      <c r="I800"/>
      <c r="J800"/>
      <c r="K800"/>
    </row>
    <row r="801" spans="1:11" x14ac:dyDescent="0.3">
      <c r="A801"/>
      <c r="B801"/>
      <c r="C801"/>
      <c r="D801"/>
      <c r="E801"/>
      <c r="F801"/>
      <c r="G801"/>
      <c r="H801"/>
      <c r="I801"/>
      <c r="J801"/>
      <c r="K801"/>
    </row>
    <row r="802" spans="1:11" x14ac:dyDescent="0.3">
      <c r="A802"/>
      <c r="B802"/>
      <c r="C802"/>
      <c r="D802"/>
      <c r="E802"/>
      <c r="F802"/>
      <c r="G802"/>
      <c r="H802"/>
      <c r="I802"/>
      <c r="J802"/>
      <c r="K802"/>
    </row>
    <row r="803" spans="1:11" x14ac:dyDescent="0.3">
      <c r="A803"/>
      <c r="B803"/>
      <c r="C803"/>
      <c r="D803"/>
      <c r="E803"/>
      <c r="F803"/>
      <c r="G803"/>
      <c r="H803"/>
      <c r="I803"/>
      <c r="J803"/>
      <c r="K803"/>
    </row>
    <row r="804" spans="1:11" x14ac:dyDescent="0.3">
      <c r="A804"/>
      <c r="B804"/>
      <c r="C804"/>
      <c r="D804"/>
      <c r="E804"/>
      <c r="F804"/>
      <c r="G804"/>
      <c r="H804"/>
      <c r="I804"/>
      <c r="J804"/>
      <c r="K804"/>
    </row>
    <row r="805" spans="1:11" x14ac:dyDescent="0.3">
      <c r="A805"/>
      <c r="B805"/>
      <c r="C805"/>
      <c r="D805"/>
      <c r="E805"/>
      <c r="F805"/>
      <c r="G805"/>
      <c r="H805"/>
      <c r="I805"/>
      <c r="J805"/>
      <c r="K805"/>
    </row>
    <row r="806" spans="1:11" x14ac:dyDescent="0.3">
      <c r="A806"/>
      <c r="B806"/>
      <c r="C806"/>
      <c r="D806"/>
      <c r="E806"/>
      <c r="F806"/>
      <c r="G806"/>
      <c r="H806"/>
      <c r="I806"/>
      <c r="J806"/>
      <c r="K806"/>
    </row>
    <row r="807" spans="1:11" x14ac:dyDescent="0.3">
      <c r="A807"/>
      <c r="B807"/>
      <c r="C807"/>
      <c r="D807"/>
      <c r="E807"/>
      <c r="F807"/>
      <c r="G807"/>
      <c r="H807"/>
      <c r="I807"/>
      <c r="J807"/>
      <c r="K807"/>
    </row>
    <row r="808" spans="1:11" x14ac:dyDescent="0.3">
      <c r="A808"/>
      <c r="B808"/>
      <c r="C808"/>
      <c r="D808"/>
      <c r="E808"/>
      <c r="F808"/>
      <c r="G808"/>
      <c r="H808"/>
      <c r="I808"/>
      <c r="J808"/>
      <c r="K808"/>
    </row>
    <row r="809" spans="1:11" x14ac:dyDescent="0.3">
      <c r="A809"/>
      <c r="B809"/>
      <c r="C809"/>
      <c r="D809"/>
      <c r="E809"/>
      <c r="F809"/>
      <c r="G809"/>
      <c r="H809"/>
      <c r="I809"/>
      <c r="J809"/>
      <c r="K809"/>
    </row>
    <row r="810" spans="1:11" x14ac:dyDescent="0.3">
      <c r="A810"/>
      <c r="B810"/>
      <c r="C810"/>
      <c r="D810"/>
      <c r="E810"/>
      <c r="F810"/>
      <c r="G810"/>
      <c r="H810"/>
      <c r="I810"/>
      <c r="J810"/>
      <c r="K810"/>
    </row>
    <row r="811" spans="1:11" x14ac:dyDescent="0.3">
      <c r="A811"/>
      <c r="B811"/>
      <c r="C811"/>
      <c r="D811"/>
      <c r="E811"/>
      <c r="F811"/>
      <c r="G811"/>
      <c r="H811"/>
      <c r="I811"/>
      <c r="J811"/>
      <c r="K811"/>
    </row>
    <row r="812" spans="1:11" x14ac:dyDescent="0.3">
      <c r="A812"/>
      <c r="B812"/>
      <c r="C812"/>
      <c r="D812"/>
      <c r="E812"/>
      <c r="F812"/>
      <c r="G812"/>
      <c r="H812"/>
      <c r="I812"/>
      <c r="J812"/>
      <c r="K812"/>
    </row>
    <row r="813" spans="1:11" x14ac:dyDescent="0.3">
      <c r="A813"/>
      <c r="B813"/>
      <c r="C813"/>
      <c r="D813"/>
      <c r="E813"/>
      <c r="F813"/>
      <c r="G813"/>
      <c r="H813"/>
      <c r="I813"/>
      <c r="J813"/>
      <c r="K813"/>
    </row>
    <row r="814" spans="1:11" x14ac:dyDescent="0.3">
      <c r="A814"/>
      <c r="B814"/>
      <c r="C814"/>
      <c r="D814"/>
      <c r="E814"/>
      <c r="F814"/>
      <c r="G814"/>
      <c r="H814"/>
      <c r="I814"/>
      <c r="J814"/>
      <c r="K814"/>
    </row>
    <row r="815" spans="1:11" x14ac:dyDescent="0.3">
      <c r="A815"/>
      <c r="B815"/>
      <c r="C815"/>
      <c r="D815"/>
      <c r="E815"/>
      <c r="F815"/>
      <c r="G815"/>
      <c r="H815"/>
      <c r="I815"/>
      <c r="J815"/>
      <c r="K815"/>
    </row>
    <row r="816" spans="1:11" x14ac:dyDescent="0.3">
      <c r="A816"/>
      <c r="B816"/>
      <c r="C816"/>
      <c r="D816"/>
      <c r="E816"/>
      <c r="F816"/>
      <c r="G816"/>
      <c r="H816"/>
      <c r="I816"/>
      <c r="J816"/>
      <c r="K816"/>
    </row>
    <row r="817" spans="1:11" x14ac:dyDescent="0.3">
      <c r="A817"/>
      <c r="B817"/>
      <c r="C817"/>
      <c r="D817"/>
      <c r="E817"/>
      <c r="F817"/>
      <c r="G817"/>
      <c r="H817"/>
      <c r="I817"/>
      <c r="J817"/>
      <c r="K817"/>
    </row>
    <row r="818" spans="1:11" x14ac:dyDescent="0.3">
      <c r="A818"/>
      <c r="B818"/>
      <c r="C818"/>
      <c r="D818"/>
      <c r="E818"/>
      <c r="F818"/>
      <c r="G818"/>
      <c r="H818"/>
      <c r="I818"/>
      <c r="J818"/>
      <c r="K818"/>
    </row>
    <row r="819" spans="1:11" x14ac:dyDescent="0.3">
      <c r="A819"/>
      <c r="B819"/>
      <c r="C819"/>
      <c r="D819"/>
      <c r="E819"/>
      <c r="F819"/>
      <c r="G819"/>
      <c r="H819"/>
      <c r="I819"/>
      <c r="J819"/>
      <c r="K819"/>
    </row>
    <row r="820" spans="1:11" x14ac:dyDescent="0.3">
      <c r="A820"/>
      <c r="B820"/>
      <c r="C820"/>
      <c r="D820"/>
      <c r="E820"/>
      <c r="F820"/>
      <c r="G820"/>
      <c r="H820"/>
      <c r="I820"/>
      <c r="J820"/>
      <c r="K820"/>
    </row>
    <row r="821" spans="1:11" x14ac:dyDescent="0.3">
      <c r="A821"/>
      <c r="B821"/>
      <c r="C821"/>
      <c r="D821"/>
      <c r="E821"/>
      <c r="F821"/>
      <c r="G821"/>
      <c r="H821"/>
      <c r="I821"/>
      <c r="J821"/>
      <c r="K821"/>
    </row>
    <row r="822" spans="1:11" x14ac:dyDescent="0.3">
      <c r="A822"/>
      <c r="B822"/>
      <c r="C822"/>
      <c r="D822"/>
      <c r="E822"/>
      <c r="F822"/>
      <c r="G822"/>
      <c r="H822"/>
      <c r="I822"/>
      <c r="J822"/>
      <c r="K822"/>
    </row>
    <row r="823" spans="1:11" x14ac:dyDescent="0.3">
      <c r="A823"/>
      <c r="B823"/>
      <c r="C823"/>
      <c r="D823"/>
      <c r="E823"/>
      <c r="F823"/>
      <c r="G823"/>
      <c r="H823"/>
      <c r="I823"/>
      <c r="J823"/>
      <c r="K823"/>
    </row>
    <row r="824" spans="1:11" x14ac:dyDescent="0.3">
      <c r="A824"/>
      <c r="B824"/>
      <c r="C824"/>
      <c r="D824"/>
      <c r="E824"/>
      <c r="F824"/>
      <c r="G824"/>
      <c r="H824"/>
      <c r="I824"/>
      <c r="J824"/>
      <c r="K824"/>
    </row>
    <row r="825" spans="1:11" x14ac:dyDescent="0.3">
      <c r="A825"/>
      <c r="B825"/>
      <c r="C825"/>
      <c r="D825"/>
      <c r="E825"/>
      <c r="F825"/>
      <c r="G825"/>
      <c r="H825"/>
      <c r="I825"/>
      <c r="J825"/>
      <c r="K825"/>
    </row>
    <row r="826" spans="1:11" x14ac:dyDescent="0.3">
      <c r="A826"/>
      <c r="B826"/>
      <c r="C826"/>
      <c r="D826"/>
      <c r="E826"/>
      <c r="F826"/>
      <c r="G826"/>
      <c r="H826"/>
      <c r="I826"/>
      <c r="J826"/>
      <c r="K826"/>
    </row>
    <row r="827" spans="1:11" x14ac:dyDescent="0.3">
      <c r="A827"/>
      <c r="B827"/>
      <c r="C827"/>
      <c r="D827"/>
      <c r="E827"/>
      <c r="F827"/>
      <c r="G827"/>
      <c r="H827"/>
      <c r="I827"/>
      <c r="J827"/>
      <c r="K827"/>
    </row>
    <row r="828" spans="1:11" x14ac:dyDescent="0.3">
      <c r="A828"/>
      <c r="B828"/>
      <c r="C828"/>
      <c r="D828"/>
      <c r="E828"/>
      <c r="F828"/>
      <c r="G828"/>
      <c r="H828"/>
      <c r="I828"/>
      <c r="J828"/>
      <c r="K828"/>
    </row>
    <row r="829" spans="1:11" x14ac:dyDescent="0.3">
      <c r="A829"/>
      <c r="B829"/>
      <c r="C829"/>
      <c r="D829"/>
      <c r="E829"/>
      <c r="F829"/>
      <c r="G829"/>
      <c r="H829"/>
      <c r="I829"/>
      <c r="J829"/>
      <c r="K829"/>
    </row>
    <row r="830" spans="1:11" x14ac:dyDescent="0.3">
      <c r="A830"/>
      <c r="B830"/>
      <c r="C830"/>
      <c r="D830"/>
      <c r="E830"/>
      <c r="F830"/>
      <c r="G830"/>
      <c r="H830"/>
      <c r="I830"/>
      <c r="J830"/>
      <c r="K830"/>
    </row>
    <row r="831" spans="1:11" x14ac:dyDescent="0.3">
      <c r="A831"/>
      <c r="B831"/>
      <c r="C831"/>
      <c r="D831"/>
      <c r="E831"/>
      <c r="F831"/>
      <c r="G831"/>
      <c r="H831"/>
      <c r="I831"/>
      <c r="J831"/>
      <c r="K831"/>
    </row>
    <row r="832" spans="1:11" x14ac:dyDescent="0.3">
      <c r="A832"/>
      <c r="B832"/>
      <c r="C832"/>
      <c r="D832"/>
      <c r="E832"/>
      <c r="F832"/>
      <c r="G832"/>
      <c r="H832"/>
      <c r="I832"/>
      <c r="J832"/>
      <c r="K832"/>
    </row>
    <row r="833" spans="1:11" x14ac:dyDescent="0.3">
      <c r="A833"/>
      <c r="B833"/>
      <c r="C833"/>
      <c r="D833"/>
      <c r="E833"/>
      <c r="F833"/>
      <c r="G833"/>
      <c r="H833"/>
      <c r="I833"/>
      <c r="J833"/>
      <c r="K833"/>
    </row>
    <row r="834" spans="1:11" x14ac:dyDescent="0.3">
      <c r="A834"/>
      <c r="B834"/>
      <c r="C834"/>
      <c r="D834"/>
      <c r="E834"/>
      <c r="F834"/>
      <c r="G834"/>
      <c r="H834"/>
      <c r="I834"/>
      <c r="J834"/>
      <c r="K834"/>
    </row>
    <row r="835" spans="1:11" x14ac:dyDescent="0.3">
      <c r="A835"/>
      <c r="B835"/>
      <c r="C835"/>
      <c r="D835"/>
      <c r="E835"/>
      <c r="F835"/>
      <c r="G835"/>
      <c r="H835"/>
      <c r="I835"/>
      <c r="J835"/>
      <c r="K835"/>
    </row>
    <row r="836" spans="1:11" x14ac:dyDescent="0.3">
      <c r="A836"/>
      <c r="B836"/>
      <c r="C836"/>
      <c r="D836"/>
      <c r="E836"/>
      <c r="F836"/>
      <c r="G836"/>
      <c r="H836"/>
      <c r="I836"/>
      <c r="J836"/>
      <c r="K836"/>
    </row>
    <row r="837" spans="1:11" x14ac:dyDescent="0.3">
      <c r="A837"/>
      <c r="B837"/>
      <c r="C837"/>
      <c r="D837"/>
      <c r="E837"/>
      <c r="F837"/>
      <c r="G837"/>
      <c r="H837"/>
      <c r="I837"/>
      <c r="J837"/>
      <c r="K837"/>
    </row>
    <row r="838" spans="1:11" x14ac:dyDescent="0.3">
      <c r="A838"/>
      <c r="B838"/>
      <c r="C838"/>
      <c r="D838"/>
      <c r="E838"/>
      <c r="F838"/>
      <c r="G838"/>
      <c r="H838"/>
      <c r="I838"/>
      <c r="J838"/>
      <c r="K838"/>
    </row>
    <row r="839" spans="1:11" x14ac:dyDescent="0.3">
      <c r="A839"/>
      <c r="B839"/>
      <c r="C839"/>
      <c r="D839"/>
      <c r="E839"/>
      <c r="F839"/>
      <c r="G839"/>
      <c r="H839"/>
      <c r="I839"/>
      <c r="J839"/>
      <c r="K839"/>
    </row>
    <row r="840" spans="1:11" x14ac:dyDescent="0.3">
      <c r="A840"/>
      <c r="B840"/>
      <c r="C840"/>
      <c r="D840"/>
      <c r="E840"/>
      <c r="F840"/>
      <c r="G840"/>
      <c r="H840"/>
      <c r="I840"/>
      <c r="J840"/>
      <c r="K840"/>
    </row>
    <row r="841" spans="1:11" x14ac:dyDescent="0.3">
      <c r="A841"/>
      <c r="B841"/>
      <c r="C841"/>
      <c r="D841"/>
      <c r="E841"/>
      <c r="F841"/>
      <c r="G841"/>
      <c r="H841"/>
      <c r="I841"/>
      <c r="J841"/>
      <c r="K841"/>
    </row>
    <row r="842" spans="1:11" x14ac:dyDescent="0.3">
      <c r="A842"/>
      <c r="B842"/>
      <c r="C842"/>
      <c r="D842"/>
      <c r="E842"/>
      <c r="F842"/>
      <c r="G842"/>
      <c r="H842"/>
      <c r="I842"/>
      <c r="J842"/>
      <c r="K842"/>
    </row>
    <row r="843" spans="1:11" x14ac:dyDescent="0.3">
      <c r="A843"/>
      <c r="B843"/>
      <c r="C843"/>
      <c r="D843"/>
      <c r="E843"/>
      <c r="F843"/>
      <c r="G843"/>
      <c r="H843"/>
      <c r="I843"/>
      <c r="J843"/>
      <c r="K843"/>
    </row>
    <row r="844" spans="1:11" x14ac:dyDescent="0.3">
      <c r="A844"/>
      <c r="B844"/>
      <c r="C844"/>
      <c r="D844"/>
      <c r="E844"/>
      <c r="F844"/>
      <c r="G844"/>
      <c r="H844"/>
      <c r="I844"/>
      <c r="J844"/>
      <c r="K844"/>
    </row>
    <row r="845" spans="1:11" x14ac:dyDescent="0.3">
      <c r="A845"/>
      <c r="B845"/>
      <c r="C845"/>
      <c r="D845"/>
      <c r="E845"/>
      <c r="F845"/>
      <c r="G845"/>
      <c r="H845"/>
      <c r="I845"/>
      <c r="J845"/>
      <c r="K845"/>
    </row>
    <row r="846" spans="1:11" x14ac:dyDescent="0.3">
      <c r="A846"/>
      <c r="B846"/>
      <c r="C846"/>
      <c r="D846"/>
      <c r="E846"/>
      <c r="F846"/>
      <c r="G846"/>
      <c r="H846"/>
      <c r="I846"/>
      <c r="J846"/>
      <c r="K846"/>
    </row>
    <row r="847" spans="1:11" x14ac:dyDescent="0.3">
      <c r="A847"/>
      <c r="B847"/>
      <c r="C847"/>
      <c r="D847"/>
      <c r="E847"/>
      <c r="F847"/>
      <c r="G847"/>
      <c r="H847"/>
      <c r="I847"/>
      <c r="J847"/>
      <c r="K847"/>
    </row>
    <row r="848" spans="1:11" x14ac:dyDescent="0.3">
      <c r="A848"/>
      <c r="B848"/>
      <c r="C848"/>
      <c r="D848"/>
      <c r="E848"/>
      <c r="F848"/>
      <c r="G848"/>
      <c r="H848"/>
      <c r="I848"/>
      <c r="J848"/>
      <c r="K848"/>
    </row>
    <row r="849" spans="1:11" x14ac:dyDescent="0.3">
      <c r="A849"/>
      <c r="B849"/>
      <c r="C849"/>
      <c r="D849"/>
      <c r="E849"/>
      <c r="F849"/>
      <c r="G849"/>
      <c r="H849"/>
      <c r="I849"/>
      <c r="J849"/>
      <c r="K849"/>
    </row>
    <row r="850" spans="1:11" x14ac:dyDescent="0.3">
      <c r="A850"/>
      <c r="B850"/>
      <c r="C850"/>
      <c r="D850"/>
      <c r="E850"/>
      <c r="F850"/>
      <c r="G850"/>
      <c r="H850"/>
      <c r="I850"/>
      <c r="J850"/>
      <c r="K850"/>
    </row>
    <row r="851" spans="1:11" x14ac:dyDescent="0.3">
      <c r="A851"/>
      <c r="B851"/>
      <c r="C851"/>
      <c r="D851"/>
      <c r="E851"/>
      <c r="F851"/>
      <c r="G851"/>
      <c r="H851"/>
      <c r="I851"/>
      <c r="J851"/>
      <c r="K851"/>
    </row>
    <row r="852" spans="1:11" x14ac:dyDescent="0.3">
      <c r="A852"/>
      <c r="B852"/>
      <c r="C852"/>
      <c r="D852"/>
      <c r="E852"/>
      <c r="F852"/>
      <c r="G852"/>
      <c r="H852"/>
      <c r="I852"/>
      <c r="J852"/>
      <c r="K852"/>
    </row>
    <row r="853" spans="1:11" x14ac:dyDescent="0.3">
      <c r="A853"/>
      <c r="B853"/>
      <c r="C853"/>
      <c r="D853"/>
      <c r="E853"/>
      <c r="F853"/>
      <c r="G853"/>
      <c r="H853"/>
      <c r="I853"/>
      <c r="J853"/>
      <c r="K853"/>
    </row>
    <row r="854" spans="1:11" x14ac:dyDescent="0.3">
      <c r="A854"/>
      <c r="B854"/>
      <c r="C854"/>
      <c r="D854"/>
      <c r="E854"/>
      <c r="F854"/>
      <c r="G854"/>
      <c r="H854"/>
      <c r="I854"/>
      <c r="J854"/>
      <c r="K854"/>
    </row>
    <row r="855" spans="1:11" x14ac:dyDescent="0.3">
      <c r="A855"/>
      <c r="B855"/>
      <c r="C855"/>
      <c r="D855"/>
      <c r="E855"/>
      <c r="F855"/>
      <c r="G855"/>
      <c r="H855"/>
      <c r="I855"/>
      <c r="J855"/>
      <c r="K855"/>
    </row>
    <row r="856" spans="1:11" x14ac:dyDescent="0.3">
      <c r="A856"/>
      <c r="B856"/>
      <c r="C856"/>
      <c r="D856"/>
      <c r="E856"/>
      <c r="F856"/>
      <c r="G856"/>
      <c r="H856"/>
      <c r="I856"/>
      <c r="J856"/>
      <c r="K856"/>
    </row>
    <row r="857" spans="1:11" x14ac:dyDescent="0.3">
      <c r="A857"/>
      <c r="B857"/>
      <c r="C857"/>
      <c r="D857"/>
      <c r="E857"/>
      <c r="F857"/>
      <c r="G857"/>
      <c r="H857"/>
      <c r="I857"/>
      <c r="J857"/>
      <c r="K857"/>
    </row>
    <row r="858" spans="1:11" x14ac:dyDescent="0.3">
      <c r="A858"/>
      <c r="B858"/>
      <c r="C858"/>
      <c r="D858"/>
      <c r="E858"/>
      <c r="F858"/>
      <c r="G858"/>
      <c r="H858"/>
      <c r="I858"/>
      <c r="J858"/>
      <c r="K858"/>
    </row>
    <row r="859" spans="1:11" x14ac:dyDescent="0.3">
      <c r="A859"/>
      <c r="B859"/>
      <c r="C859"/>
      <c r="D859"/>
      <c r="E859"/>
      <c r="F859"/>
      <c r="G859"/>
      <c r="H859"/>
      <c r="I859"/>
      <c r="J859"/>
      <c r="K859"/>
    </row>
    <row r="860" spans="1:11" x14ac:dyDescent="0.3">
      <c r="A860"/>
      <c r="B860"/>
      <c r="C860"/>
      <c r="D860"/>
      <c r="E860"/>
      <c r="F860"/>
      <c r="G860"/>
      <c r="H860"/>
      <c r="I860"/>
      <c r="J860"/>
      <c r="K860"/>
    </row>
    <row r="861" spans="1:11" x14ac:dyDescent="0.3">
      <c r="A861"/>
      <c r="B861"/>
      <c r="C861"/>
      <c r="D861"/>
      <c r="E861"/>
      <c r="F861"/>
      <c r="G861"/>
      <c r="H861"/>
      <c r="I861"/>
      <c r="J861"/>
      <c r="K861"/>
    </row>
    <row r="862" spans="1:11" x14ac:dyDescent="0.3">
      <c r="A862"/>
      <c r="B862"/>
      <c r="C862"/>
      <c r="D862"/>
      <c r="E862"/>
      <c r="F862"/>
      <c r="G862"/>
      <c r="H862"/>
      <c r="I862"/>
      <c r="J862"/>
      <c r="K862"/>
    </row>
    <row r="863" spans="1:11" x14ac:dyDescent="0.3">
      <c r="A863"/>
      <c r="B863"/>
      <c r="C863"/>
      <c r="D863"/>
      <c r="E863"/>
      <c r="F863"/>
      <c r="G863"/>
      <c r="H863"/>
      <c r="I863"/>
      <c r="J863"/>
      <c r="K863"/>
    </row>
    <row r="864" spans="1:11" x14ac:dyDescent="0.3">
      <c r="A864"/>
      <c r="B864"/>
      <c r="C864"/>
      <c r="D864"/>
      <c r="E864"/>
      <c r="F864"/>
      <c r="G864"/>
      <c r="H864"/>
      <c r="I864"/>
      <c r="J864"/>
      <c r="K864"/>
    </row>
    <row r="865" spans="1:11" x14ac:dyDescent="0.3">
      <c r="A865"/>
      <c r="B865"/>
      <c r="C865"/>
      <c r="D865"/>
      <c r="E865"/>
      <c r="F865"/>
      <c r="G865"/>
      <c r="H865"/>
      <c r="I865"/>
      <c r="J865"/>
      <c r="K865"/>
    </row>
    <row r="866" spans="1:11" x14ac:dyDescent="0.3">
      <c r="A866"/>
      <c r="B866"/>
      <c r="C866"/>
      <c r="D866"/>
      <c r="E866"/>
      <c r="F866"/>
      <c r="G866"/>
      <c r="H866"/>
      <c r="I866"/>
      <c r="J866"/>
      <c r="K866"/>
    </row>
    <row r="867" spans="1:11" x14ac:dyDescent="0.3">
      <c r="A867"/>
      <c r="B867"/>
      <c r="C867"/>
      <c r="D867"/>
      <c r="E867"/>
      <c r="F867"/>
      <c r="G867"/>
      <c r="H867"/>
      <c r="I867"/>
      <c r="J867"/>
      <c r="K867"/>
    </row>
    <row r="868" spans="1:11" x14ac:dyDescent="0.3">
      <c r="A868"/>
      <c r="B868"/>
      <c r="C868"/>
      <c r="D868"/>
      <c r="E868"/>
      <c r="F868"/>
      <c r="G868"/>
      <c r="H868"/>
      <c r="I868"/>
      <c r="J868"/>
      <c r="K868"/>
    </row>
    <row r="869" spans="1:11" x14ac:dyDescent="0.3">
      <c r="A869"/>
      <c r="B869"/>
      <c r="C869"/>
      <c r="D869"/>
      <c r="E869"/>
      <c r="F869"/>
      <c r="G869"/>
      <c r="H869"/>
      <c r="I869"/>
      <c r="J869"/>
      <c r="K869"/>
    </row>
    <row r="870" spans="1:11" x14ac:dyDescent="0.3">
      <c r="A870"/>
      <c r="B870"/>
      <c r="C870"/>
      <c r="D870"/>
      <c r="E870"/>
      <c r="F870"/>
      <c r="G870"/>
      <c r="H870"/>
      <c r="I870"/>
      <c r="J870"/>
      <c r="K870"/>
    </row>
    <row r="871" spans="1:11" x14ac:dyDescent="0.3">
      <c r="A871"/>
      <c r="B871"/>
      <c r="C871"/>
      <c r="D871"/>
      <c r="E871"/>
      <c r="F871"/>
      <c r="G871"/>
      <c r="H871"/>
      <c r="I871"/>
      <c r="J871"/>
      <c r="K871"/>
    </row>
    <row r="872" spans="1:11" x14ac:dyDescent="0.3">
      <c r="A872"/>
      <c r="B872"/>
      <c r="C872"/>
      <c r="D872"/>
      <c r="E872"/>
      <c r="F872"/>
      <c r="G872"/>
      <c r="H872"/>
      <c r="I872"/>
      <c r="J872"/>
      <c r="K872"/>
    </row>
    <row r="873" spans="1:11" x14ac:dyDescent="0.3">
      <c r="A873"/>
      <c r="B873"/>
      <c r="C873"/>
      <c r="D873"/>
      <c r="E873"/>
      <c r="F873"/>
      <c r="G873"/>
      <c r="H873"/>
      <c r="I873"/>
      <c r="J873"/>
      <c r="K873"/>
    </row>
    <row r="874" spans="1:11" x14ac:dyDescent="0.3">
      <c r="A874"/>
      <c r="B874"/>
      <c r="C874"/>
      <c r="D874"/>
      <c r="E874"/>
      <c r="F874"/>
      <c r="G874"/>
      <c r="H874"/>
      <c r="I874"/>
      <c r="J874"/>
      <c r="K874"/>
    </row>
    <row r="875" spans="1:11" x14ac:dyDescent="0.3">
      <c r="A875"/>
      <c r="B875"/>
      <c r="C875"/>
      <c r="D875"/>
      <c r="E875"/>
      <c r="F875"/>
      <c r="G875"/>
      <c r="H875"/>
      <c r="I875"/>
      <c r="J875"/>
      <c r="K875"/>
    </row>
    <row r="876" spans="1:11" x14ac:dyDescent="0.3">
      <c r="A876"/>
      <c r="B876"/>
      <c r="C876"/>
      <c r="D876"/>
      <c r="E876"/>
      <c r="F876"/>
      <c r="G876"/>
      <c r="H876"/>
      <c r="I876"/>
      <c r="J876"/>
      <c r="K876"/>
    </row>
    <row r="877" spans="1:11" x14ac:dyDescent="0.3">
      <c r="A877"/>
      <c r="B877"/>
      <c r="C877"/>
      <c r="D877"/>
      <c r="E877"/>
      <c r="F877"/>
      <c r="G877"/>
      <c r="H877"/>
      <c r="I877"/>
      <c r="J877"/>
      <c r="K877"/>
    </row>
    <row r="878" spans="1:11" x14ac:dyDescent="0.3">
      <c r="A878"/>
      <c r="B878"/>
      <c r="C878"/>
      <c r="D878"/>
      <c r="E878"/>
      <c r="F878"/>
      <c r="G878"/>
      <c r="H878"/>
      <c r="I878"/>
      <c r="J878"/>
      <c r="K878"/>
    </row>
    <row r="879" spans="1:11" x14ac:dyDescent="0.3">
      <c r="A879"/>
      <c r="B879"/>
      <c r="C879"/>
      <c r="D879"/>
      <c r="E879"/>
      <c r="F879"/>
      <c r="G879"/>
      <c r="H879"/>
      <c r="I879"/>
      <c r="J879"/>
      <c r="K879"/>
    </row>
    <row r="880" spans="1:11" x14ac:dyDescent="0.3">
      <c r="A880"/>
      <c r="B880"/>
      <c r="C880"/>
      <c r="D880"/>
      <c r="E880"/>
      <c r="F880"/>
      <c r="G880"/>
      <c r="H880"/>
      <c r="I880"/>
      <c r="J880"/>
      <c r="K880"/>
    </row>
    <row r="881" spans="1:11" x14ac:dyDescent="0.3">
      <c r="A881"/>
      <c r="B881"/>
      <c r="C881"/>
      <c r="D881"/>
      <c r="E881"/>
      <c r="F881"/>
      <c r="G881"/>
      <c r="H881"/>
      <c r="I881"/>
      <c r="J881"/>
      <c r="K881"/>
    </row>
    <row r="882" spans="1:11" x14ac:dyDescent="0.3">
      <c r="A882"/>
      <c r="B882"/>
      <c r="C882"/>
      <c r="D882"/>
      <c r="E882"/>
      <c r="F882"/>
      <c r="G882"/>
      <c r="H882"/>
      <c r="I882"/>
      <c r="J882"/>
      <c r="K882"/>
    </row>
    <row r="883" spans="1:11" x14ac:dyDescent="0.3">
      <c r="A883"/>
      <c r="B883"/>
      <c r="C883"/>
      <c r="D883"/>
      <c r="E883"/>
      <c r="F883"/>
      <c r="G883"/>
      <c r="H883"/>
      <c r="I883"/>
      <c r="J883"/>
      <c r="K883"/>
    </row>
    <row r="884" spans="1:11" x14ac:dyDescent="0.3">
      <c r="A884"/>
      <c r="B884"/>
      <c r="C884"/>
      <c r="D884"/>
      <c r="E884"/>
      <c r="F884"/>
      <c r="G884"/>
      <c r="H884"/>
      <c r="I884"/>
      <c r="J884"/>
      <c r="K884"/>
    </row>
    <row r="885" spans="1:11" x14ac:dyDescent="0.3">
      <c r="A885"/>
      <c r="B885"/>
      <c r="C885"/>
      <c r="D885"/>
      <c r="E885"/>
      <c r="F885"/>
      <c r="G885"/>
      <c r="H885"/>
      <c r="I885"/>
      <c r="J885"/>
      <c r="K885"/>
    </row>
    <row r="886" spans="1:11" x14ac:dyDescent="0.3">
      <c r="A886"/>
      <c r="B886"/>
      <c r="C886"/>
      <c r="D886"/>
      <c r="E886"/>
      <c r="F886"/>
      <c r="G886"/>
      <c r="H886"/>
      <c r="I886"/>
      <c r="J886"/>
      <c r="K886"/>
    </row>
    <row r="887" spans="1:11" x14ac:dyDescent="0.3">
      <c r="A887"/>
      <c r="B887"/>
      <c r="C887"/>
      <c r="D887"/>
      <c r="E887"/>
      <c r="F887"/>
      <c r="G887"/>
      <c r="H887"/>
      <c r="I887"/>
      <c r="J887"/>
      <c r="K887"/>
    </row>
    <row r="888" spans="1:11" x14ac:dyDescent="0.3">
      <c r="A888"/>
      <c r="B888"/>
      <c r="C888"/>
      <c r="D888"/>
      <c r="E888"/>
      <c r="F888"/>
      <c r="G888"/>
      <c r="H888"/>
      <c r="I888"/>
      <c r="J888"/>
      <c r="K888"/>
    </row>
    <row r="889" spans="1:11" x14ac:dyDescent="0.3">
      <c r="A889"/>
      <c r="B889"/>
      <c r="C889"/>
      <c r="D889"/>
      <c r="E889"/>
      <c r="F889"/>
      <c r="G889"/>
      <c r="H889"/>
      <c r="I889"/>
      <c r="J889"/>
      <c r="K889"/>
    </row>
    <row r="890" spans="1:11" x14ac:dyDescent="0.3">
      <c r="A890"/>
      <c r="B890"/>
      <c r="C890"/>
      <c r="D890"/>
      <c r="E890"/>
      <c r="F890"/>
      <c r="G890"/>
      <c r="H890"/>
      <c r="I890"/>
      <c r="J890"/>
      <c r="K890"/>
    </row>
    <row r="891" spans="1:11" x14ac:dyDescent="0.3">
      <c r="A891"/>
      <c r="B891"/>
      <c r="C891"/>
      <c r="D891"/>
      <c r="E891"/>
      <c r="F891"/>
      <c r="G891"/>
      <c r="H891"/>
      <c r="I891"/>
      <c r="J891"/>
      <c r="K891"/>
    </row>
    <row r="892" spans="1:11" x14ac:dyDescent="0.3">
      <c r="A892"/>
      <c r="B892"/>
      <c r="C892"/>
      <c r="D892"/>
      <c r="E892"/>
      <c r="F892"/>
      <c r="G892"/>
      <c r="H892"/>
      <c r="I892"/>
      <c r="J892"/>
      <c r="K892"/>
    </row>
    <row r="893" spans="1:11" x14ac:dyDescent="0.3">
      <c r="A893"/>
      <c r="B893"/>
      <c r="C893"/>
      <c r="D893"/>
      <c r="E893"/>
      <c r="F893"/>
      <c r="G893"/>
      <c r="H893"/>
      <c r="I893"/>
      <c r="J893"/>
      <c r="K893"/>
    </row>
    <row r="894" spans="1:11" x14ac:dyDescent="0.3">
      <c r="A894"/>
      <c r="B894"/>
      <c r="C894"/>
      <c r="D894"/>
      <c r="E894"/>
      <c r="F894"/>
      <c r="G894"/>
      <c r="H894"/>
      <c r="I894"/>
      <c r="J894"/>
      <c r="K894"/>
    </row>
    <row r="895" spans="1:11" x14ac:dyDescent="0.3">
      <c r="A895"/>
      <c r="B895"/>
      <c r="C895"/>
      <c r="D895"/>
      <c r="E895"/>
      <c r="F895"/>
      <c r="G895"/>
      <c r="H895"/>
      <c r="I895"/>
      <c r="J895"/>
      <c r="K895"/>
    </row>
    <row r="896" spans="1:11" x14ac:dyDescent="0.3">
      <c r="A896"/>
      <c r="B896"/>
      <c r="C896"/>
      <c r="D896"/>
      <c r="E896"/>
      <c r="F896"/>
      <c r="G896"/>
      <c r="H896"/>
      <c r="I896"/>
      <c r="J896"/>
      <c r="K896"/>
    </row>
    <row r="897" spans="1:11" x14ac:dyDescent="0.3">
      <c r="A897"/>
      <c r="B897"/>
      <c r="C897"/>
      <c r="D897"/>
      <c r="E897"/>
      <c r="F897"/>
      <c r="G897"/>
      <c r="H897"/>
      <c r="I897"/>
      <c r="J897"/>
      <c r="K897"/>
    </row>
    <row r="898" spans="1:11" x14ac:dyDescent="0.3">
      <c r="A898"/>
      <c r="B898"/>
      <c r="C898"/>
      <c r="D898"/>
      <c r="E898"/>
      <c r="F898"/>
      <c r="G898"/>
      <c r="H898"/>
      <c r="I898"/>
      <c r="J898"/>
      <c r="K898"/>
    </row>
    <row r="899" spans="1:11" x14ac:dyDescent="0.3">
      <c r="A899"/>
      <c r="B899"/>
      <c r="C899"/>
      <c r="D899"/>
      <c r="E899"/>
      <c r="F899"/>
      <c r="G899"/>
      <c r="H899"/>
      <c r="I899"/>
      <c r="J899"/>
      <c r="K899"/>
    </row>
    <row r="900" spans="1:11" x14ac:dyDescent="0.3">
      <c r="A900"/>
      <c r="B900"/>
      <c r="C900"/>
      <c r="D900"/>
      <c r="E900"/>
      <c r="F900"/>
      <c r="G900"/>
      <c r="H900"/>
      <c r="I900"/>
      <c r="J900"/>
      <c r="K900"/>
    </row>
    <row r="901" spans="1:11" x14ac:dyDescent="0.3">
      <c r="A901"/>
      <c r="B901"/>
      <c r="C901"/>
      <c r="D901"/>
      <c r="E901"/>
      <c r="F901"/>
      <c r="G901"/>
      <c r="H901"/>
      <c r="I901"/>
      <c r="J901"/>
      <c r="K901"/>
    </row>
    <row r="902" spans="1:11" x14ac:dyDescent="0.3">
      <c r="A902"/>
      <c r="B902"/>
      <c r="C902"/>
      <c r="D902"/>
      <c r="E902"/>
      <c r="F902"/>
      <c r="G902"/>
      <c r="H902"/>
      <c r="I902"/>
      <c r="J902"/>
      <c r="K902"/>
    </row>
    <row r="903" spans="1:11" x14ac:dyDescent="0.3">
      <c r="A903"/>
      <c r="B903"/>
      <c r="C903"/>
      <c r="D903"/>
      <c r="E903"/>
      <c r="F903"/>
      <c r="G903"/>
      <c r="H903"/>
      <c r="I903"/>
      <c r="J903"/>
      <c r="K903"/>
    </row>
    <row r="904" spans="1:11" x14ac:dyDescent="0.3">
      <c r="A904"/>
      <c r="B904"/>
      <c r="C904"/>
      <c r="D904"/>
      <c r="E904"/>
      <c r="F904"/>
      <c r="G904"/>
      <c r="H904"/>
      <c r="I904"/>
      <c r="J904"/>
      <c r="K904"/>
    </row>
    <row r="905" spans="1:11" x14ac:dyDescent="0.3">
      <c r="A905"/>
      <c r="B905"/>
      <c r="C905"/>
      <c r="D905"/>
      <c r="E905"/>
      <c r="F905"/>
      <c r="G905"/>
      <c r="H905"/>
      <c r="I905"/>
      <c r="J905"/>
      <c r="K905"/>
    </row>
    <row r="906" spans="1:11" x14ac:dyDescent="0.3">
      <c r="A906"/>
      <c r="B906"/>
      <c r="C906"/>
      <c r="D906"/>
      <c r="E906"/>
      <c r="F906"/>
      <c r="G906"/>
      <c r="H906"/>
      <c r="I906"/>
      <c r="J906"/>
      <c r="K906"/>
    </row>
    <row r="907" spans="1:11" x14ac:dyDescent="0.3">
      <c r="A907"/>
      <c r="B907"/>
      <c r="C907"/>
      <c r="D907"/>
      <c r="E907"/>
      <c r="F907"/>
      <c r="G907"/>
      <c r="H907"/>
      <c r="I907"/>
      <c r="J907"/>
      <c r="K907"/>
    </row>
    <row r="908" spans="1:11" x14ac:dyDescent="0.3">
      <c r="A908"/>
      <c r="B908"/>
      <c r="C908"/>
      <c r="D908"/>
      <c r="E908"/>
      <c r="F908"/>
      <c r="G908"/>
      <c r="H908"/>
      <c r="I908"/>
      <c r="J908"/>
      <c r="K908"/>
    </row>
    <row r="909" spans="1:11" x14ac:dyDescent="0.3">
      <c r="A909"/>
      <c r="B909"/>
      <c r="C909"/>
      <c r="D909"/>
      <c r="E909"/>
      <c r="F909"/>
      <c r="G909"/>
      <c r="H909"/>
      <c r="I909"/>
      <c r="J909"/>
      <c r="K909"/>
    </row>
    <row r="910" spans="1:11" x14ac:dyDescent="0.3">
      <c r="A910"/>
      <c r="B910"/>
      <c r="C910"/>
      <c r="D910"/>
      <c r="E910"/>
      <c r="F910"/>
      <c r="G910"/>
      <c r="H910"/>
      <c r="I910"/>
      <c r="J910"/>
      <c r="K910"/>
    </row>
    <row r="911" spans="1:11" x14ac:dyDescent="0.3">
      <c r="A911"/>
      <c r="B911"/>
      <c r="C911"/>
      <c r="D911"/>
      <c r="E911"/>
      <c r="F911"/>
      <c r="G911"/>
      <c r="H911"/>
      <c r="I911"/>
      <c r="J911"/>
      <c r="K911"/>
    </row>
    <row r="912" spans="1:11" x14ac:dyDescent="0.3">
      <c r="A912"/>
      <c r="B912"/>
      <c r="C912"/>
      <c r="D912"/>
      <c r="E912"/>
      <c r="F912"/>
      <c r="G912"/>
      <c r="H912"/>
      <c r="I912"/>
      <c r="J912"/>
      <c r="K912"/>
    </row>
    <row r="913" spans="1:11" x14ac:dyDescent="0.3">
      <c r="A913"/>
      <c r="B913"/>
      <c r="C913"/>
      <c r="D913"/>
      <c r="E913"/>
      <c r="F913"/>
      <c r="G913"/>
      <c r="H913"/>
      <c r="I913"/>
      <c r="J913"/>
      <c r="K913"/>
    </row>
    <row r="914" spans="1:11" x14ac:dyDescent="0.3">
      <c r="A914"/>
      <c r="B914"/>
      <c r="C914"/>
      <c r="D914"/>
      <c r="E914"/>
      <c r="F914"/>
      <c r="G914"/>
      <c r="H914"/>
      <c r="I914"/>
      <c r="J914"/>
      <c r="K914"/>
    </row>
    <row r="915" spans="1:11" x14ac:dyDescent="0.3">
      <c r="A915"/>
      <c r="B915"/>
      <c r="C915"/>
      <c r="D915"/>
      <c r="E915"/>
      <c r="F915"/>
      <c r="G915"/>
      <c r="H915"/>
      <c r="I915"/>
      <c r="J915"/>
      <c r="K915"/>
    </row>
    <row r="916" spans="1:11" x14ac:dyDescent="0.3">
      <c r="A916"/>
      <c r="B916"/>
      <c r="C916"/>
      <c r="D916"/>
      <c r="E916"/>
      <c r="F916"/>
      <c r="G916"/>
      <c r="H916"/>
      <c r="I916"/>
      <c r="J916"/>
      <c r="K916"/>
    </row>
    <row r="917" spans="1:11" x14ac:dyDescent="0.3">
      <c r="A917"/>
      <c r="B917"/>
      <c r="C917"/>
      <c r="D917"/>
      <c r="E917"/>
      <c r="F917"/>
      <c r="G917"/>
      <c r="H917"/>
      <c r="I917"/>
      <c r="J917"/>
      <c r="K917"/>
    </row>
    <row r="918" spans="1:11" x14ac:dyDescent="0.3">
      <c r="A918"/>
      <c r="B918"/>
      <c r="C918"/>
      <c r="D918"/>
      <c r="E918"/>
      <c r="F918"/>
      <c r="G918"/>
      <c r="H918"/>
      <c r="I918"/>
      <c r="J918"/>
      <c r="K918"/>
    </row>
    <row r="919" spans="1:11" x14ac:dyDescent="0.3">
      <c r="A919"/>
      <c r="B919"/>
      <c r="C919"/>
      <c r="D919"/>
      <c r="E919"/>
      <c r="F919"/>
      <c r="G919"/>
      <c r="H919"/>
      <c r="I919"/>
      <c r="J919"/>
      <c r="K919"/>
    </row>
    <row r="920" spans="1:11" x14ac:dyDescent="0.3">
      <c r="A920"/>
      <c r="B920"/>
      <c r="C920"/>
      <c r="D920"/>
      <c r="E920"/>
      <c r="F920"/>
      <c r="G920"/>
      <c r="H920"/>
      <c r="I920"/>
      <c r="J920"/>
      <c r="K920"/>
    </row>
    <row r="921" spans="1:11" x14ac:dyDescent="0.3">
      <c r="A921"/>
      <c r="B921"/>
      <c r="C921"/>
      <c r="D921"/>
      <c r="E921"/>
      <c r="F921"/>
      <c r="G921"/>
      <c r="H921"/>
      <c r="I921"/>
      <c r="J921"/>
      <c r="K921"/>
    </row>
    <row r="922" spans="1:11" x14ac:dyDescent="0.3">
      <c r="A922"/>
      <c r="B922"/>
      <c r="C922"/>
      <c r="D922"/>
      <c r="E922"/>
      <c r="F922"/>
      <c r="G922"/>
      <c r="H922"/>
      <c r="I922"/>
      <c r="J922"/>
      <c r="K922"/>
    </row>
    <row r="923" spans="1:11" x14ac:dyDescent="0.3">
      <c r="A923"/>
      <c r="B923"/>
      <c r="C923"/>
      <c r="D923"/>
      <c r="E923"/>
      <c r="F923"/>
      <c r="G923"/>
      <c r="H923"/>
      <c r="I923"/>
      <c r="J923"/>
      <c r="K923"/>
    </row>
    <row r="924" spans="1:11" x14ac:dyDescent="0.3">
      <c r="A924"/>
      <c r="B924"/>
      <c r="C924"/>
      <c r="D924"/>
      <c r="E924"/>
      <c r="F924"/>
      <c r="G924"/>
      <c r="H924"/>
      <c r="I924"/>
      <c r="J924"/>
      <c r="K924"/>
    </row>
    <row r="925" spans="1:11" x14ac:dyDescent="0.3">
      <c r="A925"/>
      <c r="B925"/>
      <c r="C925"/>
      <c r="D925"/>
      <c r="E925"/>
      <c r="F925"/>
      <c r="G925"/>
      <c r="H925"/>
      <c r="I925"/>
      <c r="J925"/>
      <c r="K925"/>
    </row>
    <row r="926" spans="1:11" x14ac:dyDescent="0.3">
      <c r="A926"/>
      <c r="B926"/>
      <c r="C926"/>
      <c r="D926"/>
      <c r="E926"/>
      <c r="F926"/>
      <c r="G926"/>
      <c r="H926"/>
      <c r="I926"/>
      <c r="J926"/>
      <c r="K926"/>
    </row>
    <row r="927" spans="1:11" x14ac:dyDescent="0.3">
      <c r="A927"/>
      <c r="B927"/>
      <c r="C927"/>
      <c r="D927"/>
      <c r="E927"/>
      <c r="F927"/>
      <c r="G927"/>
      <c r="H927"/>
      <c r="I927"/>
      <c r="J927"/>
      <c r="K927"/>
    </row>
    <row r="928" spans="1:11" x14ac:dyDescent="0.3">
      <c r="A928"/>
      <c r="B928"/>
      <c r="C928"/>
      <c r="D928"/>
      <c r="E928"/>
      <c r="F928"/>
      <c r="G928"/>
      <c r="H928"/>
      <c r="I928"/>
      <c r="J928"/>
      <c r="K928"/>
    </row>
    <row r="929" spans="1:11" x14ac:dyDescent="0.3">
      <c r="A929"/>
      <c r="B929"/>
      <c r="C929"/>
      <c r="D929"/>
      <c r="E929"/>
      <c r="F929"/>
      <c r="G929"/>
      <c r="H929"/>
      <c r="I929"/>
      <c r="J929"/>
      <c r="K929"/>
    </row>
    <row r="930" spans="1:11" x14ac:dyDescent="0.3">
      <c r="A930"/>
      <c r="B930"/>
      <c r="C930"/>
      <c r="D930"/>
      <c r="E930"/>
      <c r="F930"/>
      <c r="G930"/>
      <c r="H930"/>
      <c r="I930"/>
      <c r="J930"/>
      <c r="K930"/>
    </row>
    <row r="931" spans="1:11" x14ac:dyDescent="0.3">
      <c r="A931"/>
      <c r="B931"/>
      <c r="C931"/>
      <c r="D931"/>
      <c r="E931"/>
      <c r="F931"/>
      <c r="G931"/>
      <c r="H931"/>
      <c r="I931"/>
      <c r="J931"/>
      <c r="K931"/>
    </row>
    <row r="932" spans="1:11" x14ac:dyDescent="0.3">
      <c r="A932"/>
      <c r="B932"/>
      <c r="C932"/>
      <c r="D932"/>
      <c r="E932"/>
      <c r="F932"/>
      <c r="G932"/>
      <c r="H932"/>
      <c r="I932"/>
      <c r="J932"/>
      <c r="K932"/>
    </row>
    <row r="933" spans="1:11" x14ac:dyDescent="0.3">
      <c r="A933"/>
      <c r="B933"/>
      <c r="C933"/>
      <c r="D933"/>
      <c r="E933"/>
      <c r="F933"/>
      <c r="G933"/>
      <c r="H933"/>
      <c r="I933"/>
      <c r="J933"/>
      <c r="K933"/>
    </row>
    <row r="934" spans="1:11" x14ac:dyDescent="0.3">
      <c r="A934"/>
      <c r="B934"/>
      <c r="C934"/>
      <c r="D934"/>
      <c r="E934"/>
      <c r="F934"/>
      <c r="G934"/>
      <c r="H934"/>
      <c r="I934"/>
      <c r="J934"/>
      <c r="K934"/>
    </row>
    <row r="935" spans="1:11" x14ac:dyDescent="0.3">
      <c r="A935"/>
      <c r="B935"/>
      <c r="C935"/>
      <c r="D935"/>
      <c r="E935"/>
      <c r="F935"/>
      <c r="G935"/>
      <c r="H935"/>
      <c r="I935"/>
      <c r="J935"/>
      <c r="K935"/>
    </row>
    <row r="936" spans="1:11" x14ac:dyDescent="0.3">
      <c r="A936"/>
      <c r="B936"/>
      <c r="C936"/>
      <c r="D936"/>
      <c r="E936"/>
      <c r="F936"/>
      <c r="G936"/>
      <c r="H936"/>
      <c r="I936"/>
      <c r="J936"/>
      <c r="K936"/>
    </row>
    <row r="937" spans="1:11" x14ac:dyDescent="0.3">
      <c r="A937"/>
      <c r="B937"/>
      <c r="C937"/>
      <c r="D937"/>
      <c r="E937"/>
      <c r="F937"/>
      <c r="G937"/>
      <c r="H937"/>
      <c r="I937"/>
      <c r="J937"/>
      <c r="K937"/>
    </row>
    <row r="938" spans="1:11" x14ac:dyDescent="0.3">
      <c r="A938"/>
      <c r="B938"/>
      <c r="C938"/>
      <c r="D938"/>
      <c r="E938"/>
      <c r="F938"/>
      <c r="G938"/>
      <c r="H938"/>
      <c r="I938"/>
      <c r="J938"/>
      <c r="K938"/>
    </row>
    <row r="939" spans="1:11" x14ac:dyDescent="0.3">
      <c r="A939"/>
      <c r="B939"/>
      <c r="C939"/>
      <c r="D939"/>
      <c r="E939"/>
      <c r="F939"/>
      <c r="G939"/>
      <c r="H939"/>
      <c r="I939"/>
      <c r="J939"/>
      <c r="K939"/>
    </row>
    <row r="940" spans="1:11" x14ac:dyDescent="0.3">
      <c r="A940"/>
      <c r="B940"/>
      <c r="C940"/>
      <c r="D940"/>
      <c r="E940"/>
      <c r="F940"/>
      <c r="G940"/>
      <c r="H940"/>
      <c r="I940"/>
      <c r="J940"/>
      <c r="K940"/>
    </row>
    <row r="941" spans="1:11" x14ac:dyDescent="0.3">
      <c r="A941"/>
      <c r="B941"/>
      <c r="C941"/>
      <c r="D941"/>
      <c r="E941"/>
      <c r="F941"/>
      <c r="G941"/>
      <c r="H941"/>
      <c r="I941"/>
      <c r="J941"/>
      <c r="K941"/>
    </row>
    <row r="942" spans="1:11" x14ac:dyDescent="0.3">
      <c r="A942"/>
      <c r="B942"/>
      <c r="C942"/>
      <c r="D942"/>
      <c r="E942"/>
      <c r="F942"/>
      <c r="G942"/>
      <c r="H942"/>
      <c r="I942"/>
      <c r="J942"/>
      <c r="K942"/>
    </row>
    <row r="943" spans="1:11" x14ac:dyDescent="0.3">
      <c r="A943"/>
      <c r="B943"/>
      <c r="C943"/>
      <c r="D943"/>
      <c r="E943"/>
      <c r="F943"/>
      <c r="G943"/>
      <c r="H943"/>
      <c r="I943"/>
      <c r="J943"/>
      <c r="K943"/>
    </row>
    <row r="944" spans="1:11" x14ac:dyDescent="0.3">
      <c r="A944"/>
      <c r="B944"/>
      <c r="C944"/>
      <c r="D944"/>
      <c r="E944"/>
      <c r="F944"/>
      <c r="G944"/>
      <c r="H944"/>
      <c r="I944"/>
      <c r="J944"/>
      <c r="K944"/>
    </row>
    <row r="945" spans="1:11" x14ac:dyDescent="0.3">
      <c r="A945"/>
      <c r="B945"/>
      <c r="C945"/>
      <c r="D945"/>
      <c r="E945"/>
      <c r="F945"/>
      <c r="G945"/>
      <c r="H945"/>
      <c r="I945"/>
      <c r="J945"/>
      <c r="K945"/>
    </row>
    <row r="946" spans="1:11" x14ac:dyDescent="0.3">
      <c r="A946"/>
      <c r="B946"/>
      <c r="C946"/>
      <c r="D946"/>
      <c r="E946"/>
      <c r="F946"/>
      <c r="G946"/>
      <c r="H946"/>
      <c r="I946"/>
      <c r="J946"/>
      <c r="K946"/>
    </row>
    <row r="947" spans="1:11" x14ac:dyDescent="0.3">
      <c r="A947"/>
      <c r="B947"/>
      <c r="C947"/>
      <c r="D947"/>
      <c r="E947"/>
      <c r="F947"/>
      <c r="G947"/>
      <c r="H947"/>
      <c r="I947"/>
      <c r="J947"/>
      <c r="K947"/>
    </row>
    <row r="948" spans="1:11" x14ac:dyDescent="0.3">
      <c r="A948"/>
      <c r="B948"/>
      <c r="C948"/>
      <c r="D948"/>
      <c r="E948"/>
      <c r="F948"/>
      <c r="G948"/>
      <c r="H948"/>
      <c r="I948"/>
      <c r="J948"/>
      <c r="K948"/>
    </row>
    <row r="949" spans="1:11" x14ac:dyDescent="0.3">
      <c r="A949"/>
      <c r="B949"/>
      <c r="C949"/>
      <c r="D949"/>
      <c r="E949"/>
      <c r="F949"/>
      <c r="G949"/>
      <c r="H949"/>
      <c r="I949"/>
      <c r="J949"/>
      <c r="K949"/>
    </row>
    <row r="950" spans="1:11" x14ac:dyDescent="0.3">
      <c r="A950"/>
      <c r="B950"/>
      <c r="C950"/>
      <c r="D950"/>
      <c r="E950"/>
      <c r="F950"/>
      <c r="G950"/>
      <c r="H950"/>
      <c r="I950"/>
      <c r="J950"/>
      <c r="K950"/>
    </row>
    <row r="951" spans="1:11" x14ac:dyDescent="0.3">
      <c r="A951"/>
      <c r="B951"/>
      <c r="C951"/>
      <c r="D951"/>
      <c r="E951"/>
      <c r="F951"/>
      <c r="G951"/>
      <c r="H951"/>
      <c r="I951"/>
      <c r="J951"/>
      <c r="K951"/>
    </row>
    <row r="952" spans="1:11" x14ac:dyDescent="0.3">
      <c r="A952"/>
      <c r="B952"/>
      <c r="C952"/>
      <c r="D952"/>
      <c r="E952"/>
      <c r="F952"/>
      <c r="G952"/>
      <c r="H952"/>
      <c r="I952"/>
      <c r="J952"/>
      <c r="K952"/>
    </row>
    <row r="953" spans="1:11" x14ac:dyDescent="0.3">
      <c r="A953"/>
      <c r="B953"/>
      <c r="C953"/>
      <c r="D953"/>
      <c r="E953"/>
      <c r="F953"/>
      <c r="G953"/>
      <c r="H953"/>
      <c r="I953"/>
      <c r="J953"/>
      <c r="K953"/>
    </row>
    <row r="954" spans="1:11" x14ac:dyDescent="0.3">
      <c r="A954"/>
      <c r="B954"/>
      <c r="C954"/>
      <c r="D954"/>
      <c r="E954"/>
      <c r="F954"/>
      <c r="G954"/>
      <c r="H954"/>
      <c r="I954"/>
      <c r="J954"/>
      <c r="K954"/>
    </row>
    <row r="955" spans="1:11" x14ac:dyDescent="0.3">
      <c r="A955"/>
      <c r="B955"/>
      <c r="C955"/>
      <c r="D955"/>
      <c r="E955"/>
      <c r="F955"/>
      <c r="G955"/>
      <c r="H955"/>
      <c r="I955"/>
      <c r="J955"/>
      <c r="K955"/>
    </row>
    <row r="956" spans="1:11" x14ac:dyDescent="0.3">
      <c r="A956"/>
      <c r="B956"/>
      <c r="C956"/>
      <c r="D956"/>
      <c r="E956"/>
      <c r="F956"/>
      <c r="G956"/>
      <c r="H956"/>
      <c r="I956"/>
      <c r="J956"/>
      <c r="K956"/>
    </row>
    <row r="957" spans="1:11" x14ac:dyDescent="0.3">
      <c r="A957"/>
      <c r="B957"/>
      <c r="C957"/>
      <c r="D957"/>
      <c r="E957"/>
      <c r="F957"/>
      <c r="G957"/>
      <c r="H957"/>
      <c r="I957"/>
      <c r="J957"/>
      <c r="K957"/>
    </row>
    <row r="958" spans="1:11" x14ac:dyDescent="0.3">
      <c r="A958"/>
      <c r="B958"/>
      <c r="C958"/>
      <c r="D958"/>
      <c r="E958"/>
      <c r="F958"/>
      <c r="G958"/>
      <c r="H958"/>
      <c r="I958"/>
      <c r="J958"/>
      <c r="K958"/>
    </row>
    <row r="959" spans="1:11" x14ac:dyDescent="0.3">
      <c r="A959"/>
      <c r="B959"/>
      <c r="C959"/>
      <c r="D959"/>
      <c r="E959"/>
      <c r="F959"/>
      <c r="G959"/>
      <c r="H959"/>
      <c r="I959"/>
      <c r="J959"/>
      <c r="K959"/>
    </row>
    <row r="960" spans="1:11" x14ac:dyDescent="0.3">
      <c r="A960"/>
      <c r="B960"/>
      <c r="C960"/>
      <c r="D960"/>
      <c r="E960"/>
      <c r="F960"/>
      <c r="G960"/>
      <c r="H960"/>
      <c r="I960"/>
      <c r="J960"/>
      <c r="K960"/>
    </row>
    <row r="961" spans="1:11" x14ac:dyDescent="0.3">
      <c r="A961"/>
      <c r="B961"/>
      <c r="C961"/>
      <c r="D961"/>
      <c r="E961"/>
      <c r="F961"/>
      <c r="G961"/>
      <c r="H961"/>
      <c r="I961"/>
      <c r="J961"/>
      <c r="K961"/>
    </row>
    <row r="962" spans="1:11" x14ac:dyDescent="0.3">
      <c r="A962"/>
      <c r="B962"/>
      <c r="C962"/>
      <c r="D962"/>
      <c r="E962"/>
      <c r="F962"/>
      <c r="G962"/>
      <c r="H962"/>
      <c r="I962"/>
      <c r="J962"/>
      <c r="K962"/>
    </row>
    <row r="963" spans="1:11" x14ac:dyDescent="0.3">
      <c r="A963"/>
      <c r="B963"/>
      <c r="C963"/>
      <c r="D963"/>
      <c r="E963"/>
      <c r="F963"/>
      <c r="G963"/>
      <c r="H963"/>
      <c r="I963"/>
      <c r="J963"/>
      <c r="K963"/>
    </row>
    <row r="964" spans="1:11" x14ac:dyDescent="0.3">
      <c r="A964"/>
      <c r="B964"/>
      <c r="C964"/>
      <c r="D964"/>
      <c r="E964"/>
      <c r="F964"/>
      <c r="G964"/>
      <c r="H964"/>
      <c r="I964"/>
      <c r="J964"/>
      <c r="K964"/>
    </row>
    <row r="965" spans="1:11" x14ac:dyDescent="0.3">
      <c r="A965"/>
      <c r="B965"/>
      <c r="C965"/>
      <c r="D965"/>
      <c r="E965"/>
      <c r="F965"/>
      <c r="G965"/>
      <c r="H965"/>
      <c r="I965"/>
      <c r="J965"/>
      <c r="K965"/>
    </row>
    <row r="966" spans="1:11" x14ac:dyDescent="0.3">
      <c r="A966"/>
      <c r="B966"/>
      <c r="C966"/>
      <c r="D966"/>
      <c r="E966"/>
      <c r="F966"/>
      <c r="G966"/>
      <c r="H966"/>
      <c r="I966"/>
      <c r="J966"/>
      <c r="K966"/>
    </row>
    <row r="967" spans="1:11" x14ac:dyDescent="0.3">
      <c r="A967"/>
      <c r="B967"/>
      <c r="C967"/>
      <c r="D967"/>
      <c r="E967"/>
      <c r="F967"/>
      <c r="G967"/>
      <c r="H967"/>
      <c r="I967"/>
      <c r="J967"/>
      <c r="K967"/>
    </row>
    <row r="968" spans="1:11" x14ac:dyDescent="0.3">
      <c r="A968"/>
      <c r="B968"/>
      <c r="C968"/>
      <c r="D968"/>
      <c r="E968"/>
      <c r="F968"/>
      <c r="G968"/>
      <c r="H968"/>
      <c r="I968"/>
      <c r="J968"/>
      <c r="K968"/>
    </row>
    <row r="969" spans="1:11" x14ac:dyDescent="0.3">
      <c r="A969"/>
      <c r="B969"/>
      <c r="C969"/>
      <c r="D969"/>
      <c r="E969"/>
      <c r="F969"/>
      <c r="G969"/>
      <c r="H969"/>
      <c r="I969"/>
      <c r="J969"/>
      <c r="K969"/>
    </row>
    <row r="970" spans="1:11" x14ac:dyDescent="0.3">
      <c r="A970"/>
      <c r="B970"/>
      <c r="C970"/>
      <c r="D970"/>
      <c r="E970"/>
      <c r="F970"/>
      <c r="G970"/>
      <c r="H970"/>
      <c r="I970"/>
      <c r="J970"/>
      <c r="K970"/>
    </row>
    <row r="971" spans="1:11" x14ac:dyDescent="0.3">
      <c r="A971"/>
      <c r="B971"/>
      <c r="C971"/>
      <c r="D971"/>
      <c r="E971"/>
      <c r="F971"/>
      <c r="G971"/>
      <c r="H971"/>
      <c r="I971"/>
      <c r="J971"/>
      <c r="K971"/>
    </row>
    <row r="972" spans="1:11" x14ac:dyDescent="0.3">
      <c r="A972"/>
      <c r="B972"/>
      <c r="C972"/>
      <c r="D972"/>
      <c r="E972"/>
      <c r="F972"/>
      <c r="G972"/>
      <c r="H972"/>
      <c r="I972"/>
      <c r="J972"/>
      <c r="K972"/>
    </row>
    <row r="973" spans="1:11" x14ac:dyDescent="0.3">
      <c r="A973"/>
      <c r="B973"/>
      <c r="C973"/>
      <c r="D973"/>
      <c r="E973"/>
      <c r="F973"/>
      <c r="G973"/>
      <c r="H973"/>
      <c r="I973"/>
      <c r="J973"/>
      <c r="K973"/>
    </row>
    <row r="974" spans="1:11" x14ac:dyDescent="0.3">
      <c r="A974"/>
      <c r="B974"/>
      <c r="C974"/>
      <c r="D974"/>
      <c r="E974"/>
      <c r="F974"/>
      <c r="G974"/>
      <c r="H974"/>
      <c r="I974"/>
      <c r="J974"/>
      <c r="K974"/>
    </row>
    <row r="975" spans="1:11" x14ac:dyDescent="0.3">
      <c r="A975"/>
      <c r="B975"/>
      <c r="C975"/>
      <c r="D975"/>
      <c r="E975"/>
      <c r="F975"/>
      <c r="G975"/>
      <c r="H975"/>
      <c r="I975"/>
      <c r="J975"/>
      <c r="K975"/>
    </row>
    <row r="976" spans="1:11" x14ac:dyDescent="0.3">
      <c r="A976"/>
      <c r="B976"/>
      <c r="C976"/>
      <c r="D976"/>
      <c r="E976"/>
      <c r="F976"/>
      <c r="G976"/>
      <c r="H976"/>
      <c r="I976"/>
      <c r="J976"/>
      <c r="K976"/>
    </row>
    <row r="977" spans="1:11" x14ac:dyDescent="0.3">
      <c r="A977"/>
      <c r="B977"/>
      <c r="C977"/>
      <c r="D977"/>
      <c r="E977"/>
      <c r="F977"/>
      <c r="G977"/>
      <c r="H977"/>
      <c r="I977"/>
      <c r="J977"/>
      <c r="K977"/>
    </row>
    <row r="978" spans="1:11" x14ac:dyDescent="0.3">
      <c r="A978"/>
      <c r="B978"/>
      <c r="C978"/>
      <c r="D978"/>
      <c r="E978"/>
      <c r="F978"/>
      <c r="G978"/>
      <c r="H978"/>
      <c r="I978"/>
      <c r="J978"/>
      <c r="K978"/>
    </row>
    <row r="979" spans="1:11" x14ac:dyDescent="0.3">
      <c r="A979"/>
      <c r="B979"/>
      <c r="C979"/>
      <c r="D979"/>
      <c r="E979"/>
      <c r="F979"/>
      <c r="G979"/>
      <c r="H979"/>
      <c r="I979"/>
      <c r="J979"/>
      <c r="K979"/>
    </row>
    <row r="980" spans="1:11" x14ac:dyDescent="0.3">
      <c r="A980"/>
      <c r="B980"/>
      <c r="C980"/>
      <c r="D980"/>
      <c r="E980"/>
      <c r="F980"/>
      <c r="G980"/>
      <c r="H980"/>
      <c r="I980"/>
      <c r="J980"/>
      <c r="K980"/>
    </row>
    <row r="981" spans="1:11" x14ac:dyDescent="0.3">
      <c r="A981"/>
      <c r="B981"/>
      <c r="C981"/>
      <c r="D981"/>
      <c r="E981"/>
      <c r="F981"/>
      <c r="G981"/>
      <c r="H981"/>
      <c r="I981"/>
      <c r="J981"/>
      <c r="K981"/>
    </row>
    <row r="982" spans="1:11" x14ac:dyDescent="0.3">
      <c r="A982"/>
      <c r="B982"/>
      <c r="C982"/>
      <c r="D982"/>
      <c r="E982"/>
      <c r="F982"/>
      <c r="G982"/>
      <c r="H982"/>
      <c r="I982"/>
      <c r="J982"/>
      <c r="K982"/>
    </row>
    <row r="983" spans="1:11" x14ac:dyDescent="0.3">
      <c r="A983"/>
      <c r="B983"/>
      <c r="C983"/>
      <c r="D983"/>
      <c r="E983"/>
      <c r="F983"/>
      <c r="G983"/>
      <c r="H983"/>
      <c r="I983"/>
      <c r="J983"/>
      <c r="K983"/>
    </row>
    <row r="984" spans="1:11" x14ac:dyDescent="0.3">
      <c r="A984"/>
      <c r="B984"/>
      <c r="C984"/>
      <c r="D984"/>
      <c r="E984"/>
      <c r="F984"/>
      <c r="G984"/>
      <c r="H984"/>
      <c r="I984"/>
      <c r="J984"/>
      <c r="K984"/>
    </row>
    <row r="985" spans="1:11" x14ac:dyDescent="0.3">
      <c r="A985"/>
      <c r="B985"/>
      <c r="C985"/>
      <c r="D985"/>
      <c r="E985"/>
      <c r="F985"/>
      <c r="G985"/>
      <c r="H985"/>
      <c r="I985"/>
      <c r="J985"/>
      <c r="K985"/>
    </row>
    <row r="986" spans="1:11" x14ac:dyDescent="0.3">
      <c r="A986"/>
      <c r="B986"/>
      <c r="C986"/>
      <c r="D986"/>
      <c r="E986"/>
      <c r="F986"/>
      <c r="G986"/>
      <c r="H986"/>
      <c r="I986"/>
      <c r="J986"/>
      <c r="K986"/>
    </row>
    <row r="987" spans="1:11" x14ac:dyDescent="0.3">
      <c r="A987"/>
      <c r="B987"/>
      <c r="C987"/>
      <c r="D987"/>
      <c r="E987"/>
      <c r="F987"/>
      <c r="G987"/>
      <c r="H987"/>
      <c r="I987"/>
      <c r="J987"/>
      <c r="K987"/>
    </row>
    <row r="988" spans="1:11" x14ac:dyDescent="0.3">
      <c r="A988"/>
      <c r="B988"/>
      <c r="C988"/>
      <c r="D988"/>
      <c r="E988"/>
      <c r="F988"/>
      <c r="G988"/>
      <c r="H988"/>
      <c r="I988"/>
      <c r="J988"/>
      <c r="K988"/>
    </row>
    <row r="989" spans="1:11" x14ac:dyDescent="0.3">
      <c r="A989"/>
      <c r="B989"/>
      <c r="C989"/>
      <c r="D989"/>
      <c r="E989"/>
      <c r="F989"/>
      <c r="G989"/>
      <c r="H989"/>
      <c r="I989"/>
      <c r="J989"/>
      <c r="K989"/>
    </row>
    <row r="990" spans="1:11" x14ac:dyDescent="0.3">
      <c r="A990"/>
      <c r="B990"/>
      <c r="C990"/>
      <c r="D990"/>
      <c r="E990"/>
      <c r="F990"/>
      <c r="G990"/>
      <c r="H990"/>
      <c r="I990"/>
      <c r="J990"/>
      <c r="K990"/>
    </row>
    <row r="991" spans="1:11" x14ac:dyDescent="0.3">
      <c r="A991"/>
      <c r="B991"/>
      <c r="C991"/>
      <c r="D991"/>
      <c r="E991"/>
      <c r="F991"/>
      <c r="G991"/>
      <c r="H991"/>
      <c r="I991"/>
      <c r="J991"/>
      <c r="K991"/>
    </row>
    <row r="992" spans="1:11" x14ac:dyDescent="0.3">
      <c r="A992"/>
      <c r="B992"/>
      <c r="C992"/>
      <c r="D992"/>
      <c r="E992"/>
      <c r="F992"/>
      <c r="G992"/>
      <c r="H992"/>
      <c r="I992"/>
      <c r="J992"/>
      <c r="K992"/>
    </row>
    <row r="993" spans="1:11" x14ac:dyDescent="0.3">
      <c r="A993"/>
      <c r="B993"/>
      <c r="C993"/>
      <c r="D993"/>
      <c r="E993"/>
      <c r="F993"/>
      <c r="G993"/>
      <c r="H993"/>
      <c r="I993"/>
      <c r="J993"/>
      <c r="K993"/>
    </row>
    <row r="994" spans="1:11" x14ac:dyDescent="0.3">
      <c r="A994"/>
      <c r="B994"/>
      <c r="C994"/>
      <c r="D994"/>
      <c r="E994"/>
      <c r="F994"/>
      <c r="G994"/>
      <c r="H994"/>
      <c r="I994"/>
      <c r="J994"/>
      <c r="K994"/>
    </row>
    <row r="995" spans="1:11" x14ac:dyDescent="0.3">
      <c r="A995"/>
      <c r="B995"/>
      <c r="C995"/>
      <c r="D995"/>
      <c r="E995"/>
      <c r="F995"/>
      <c r="G995"/>
      <c r="H995"/>
      <c r="I995"/>
      <c r="J995"/>
      <c r="K995"/>
    </row>
    <row r="996" spans="1:11" x14ac:dyDescent="0.3">
      <c r="A996"/>
      <c r="B996"/>
      <c r="C996"/>
      <c r="D996"/>
      <c r="E996"/>
      <c r="F996"/>
      <c r="G996"/>
      <c r="H996"/>
      <c r="I996"/>
      <c r="J996"/>
      <c r="K996"/>
    </row>
    <row r="997" spans="1:11" x14ac:dyDescent="0.3">
      <c r="A997"/>
      <c r="B997"/>
      <c r="C997"/>
      <c r="D997"/>
      <c r="E997"/>
      <c r="F997"/>
      <c r="G997"/>
      <c r="H997"/>
      <c r="I997"/>
      <c r="J997"/>
      <c r="K997"/>
    </row>
    <row r="998" spans="1:11" x14ac:dyDescent="0.3">
      <c r="A998"/>
      <c r="B998"/>
      <c r="C998"/>
      <c r="D998"/>
      <c r="E998"/>
      <c r="F998"/>
      <c r="G998"/>
      <c r="H998"/>
      <c r="I998"/>
      <c r="J998"/>
      <c r="K998"/>
    </row>
    <row r="999" spans="1:11" x14ac:dyDescent="0.3">
      <c r="A999"/>
      <c r="B999"/>
      <c r="C999"/>
      <c r="D999"/>
      <c r="E999"/>
      <c r="F999"/>
      <c r="G999"/>
      <c r="H999"/>
      <c r="I999"/>
      <c r="J999"/>
      <c r="K999"/>
    </row>
    <row r="1000" spans="1:11" x14ac:dyDescent="0.3">
      <c r="A1000"/>
      <c r="B1000"/>
      <c r="C1000"/>
      <c r="D1000"/>
      <c r="E1000"/>
      <c r="F1000"/>
      <c r="G1000"/>
      <c r="H1000"/>
      <c r="I1000"/>
      <c r="J1000"/>
      <c r="K1000"/>
    </row>
    <row r="1001" spans="1:11" x14ac:dyDescent="0.3">
      <c r="A1001"/>
      <c r="B1001"/>
      <c r="C1001"/>
      <c r="D1001"/>
      <c r="E1001"/>
      <c r="F1001"/>
      <c r="G1001"/>
      <c r="H1001"/>
      <c r="I1001"/>
      <c r="J1001"/>
      <c r="K1001"/>
    </row>
    <row r="1002" spans="1:11" x14ac:dyDescent="0.3">
      <c r="A1002"/>
      <c r="B1002"/>
      <c r="C1002"/>
      <c r="D1002"/>
      <c r="E1002"/>
      <c r="F1002"/>
      <c r="G1002"/>
      <c r="H1002"/>
      <c r="I1002"/>
      <c r="J1002"/>
      <c r="K1002"/>
    </row>
    <row r="1003" spans="1:11" x14ac:dyDescent="0.3">
      <c r="A1003"/>
      <c r="B1003"/>
      <c r="C1003"/>
      <c r="D1003"/>
      <c r="E1003"/>
      <c r="F1003"/>
      <c r="G1003"/>
      <c r="H1003"/>
      <c r="I1003"/>
      <c r="J1003"/>
      <c r="K1003"/>
    </row>
    <row r="1004" spans="1:11" x14ac:dyDescent="0.3">
      <c r="A1004"/>
      <c r="B1004"/>
      <c r="C1004"/>
      <c r="D1004"/>
      <c r="E1004"/>
      <c r="F1004"/>
      <c r="G1004"/>
      <c r="H1004"/>
      <c r="I1004"/>
      <c r="J1004"/>
      <c r="K1004"/>
    </row>
    <row r="1005" spans="1:11" x14ac:dyDescent="0.3">
      <c r="A1005"/>
      <c r="B1005"/>
      <c r="C1005"/>
      <c r="D1005"/>
      <c r="E1005"/>
      <c r="F1005"/>
      <c r="G1005"/>
      <c r="H1005"/>
      <c r="I1005"/>
      <c r="J1005"/>
      <c r="K1005"/>
    </row>
    <row r="1006" spans="1:11" x14ac:dyDescent="0.3">
      <c r="A1006"/>
      <c r="B1006"/>
      <c r="C1006"/>
      <c r="D1006"/>
      <c r="E1006"/>
      <c r="F1006"/>
      <c r="G1006"/>
      <c r="H1006"/>
      <c r="I1006"/>
      <c r="J1006"/>
      <c r="K1006"/>
    </row>
    <row r="1007" spans="1:11" x14ac:dyDescent="0.3">
      <c r="A1007"/>
      <c r="B1007"/>
      <c r="C1007"/>
      <c r="D1007"/>
      <c r="E1007"/>
      <c r="F1007"/>
      <c r="G1007"/>
      <c r="H1007"/>
      <c r="I1007"/>
      <c r="J1007"/>
      <c r="K1007"/>
    </row>
    <row r="1008" spans="1:11" x14ac:dyDescent="0.3">
      <c r="A1008"/>
      <c r="B1008"/>
      <c r="C1008"/>
      <c r="D1008"/>
      <c r="E1008"/>
      <c r="F1008"/>
      <c r="G1008"/>
      <c r="H1008"/>
      <c r="I1008"/>
      <c r="J1008"/>
      <c r="K1008"/>
    </row>
    <row r="1009" spans="1:11" x14ac:dyDescent="0.3">
      <c r="A1009"/>
      <c r="B1009"/>
      <c r="C1009"/>
      <c r="D1009"/>
      <c r="E1009"/>
      <c r="F1009"/>
      <c r="G1009"/>
      <c r="H1009"/>
      <c r="I1009"/>
      <c r="J1009"/>
      <c r="K1009"/>
    </row>
    <row r="1010" spans="1:11" x14ac:dyDescent="0.3">
      <c r="A1010"/>
      <c r="B1010"/>
      <c r="C1010"/>
      <c r="D1010"/>
      <c r="E1010"/>
      <c r="F1010"/>
      <c r="G1010"/>
      <c r="H1010"/>
      <c r="I1010"/>
      <c r="J1010"/>
      <c r="K1010"/>
    </row>
    <row r="1011" spans="1:11" x14ac:dyDescent="0.3">
      <c r="A1011"/>
      <c r="B1011"/>
      <c r="C1011"/>
      <c r="D1011"/>
      <c r="E1011"/>
      <c r="F1011"/>
      <c r="G1011"/>
      <c r="H1011"/>
      <c r="I1011"/>
      <c r="J1011"/>
      <c r="K1011"/>
    </row>
    <row r="1012" spans="1:11" x14ac:dyDescent="0.3">
      <c r="A1012"/>
      <c r="B1012"/>
      <c r="C1012"/>
      <c r="D1012"/>
      <c r="E1012"/>
      <c r="F1012"/>
      <c r="G1012"/>
      <c r="H1012"/>
      <c r="I1012"/>
      <c r="J1012"/>
      <c r="K1012"/>
    </row>
    <row r="1013" spans="1:11" x14ac:dyDescent="0.3">
      <c r="A1013"/>
      <c r="B1013"/>
      <c r="C1013"/>
      <c r="D1013"/>
      <c r="E1013"/>
      <c r="F1013"/>
      <c r="G1013"/>
      <c r="H1013"/>
      <c r="I1013"/>
      <c r="J1013"/>
      <c r="K1013"/>
    </row>
    <row r="1014" spans="1:11" x14ac:dyDescent="0.3">
      <c r="A1014"/>
      <c r="B1014"/>
      <c r="C1014"/>
      <c r="D1014"/>
      <c r="E1014"/>
      <c r="F1014"/>
      <c r="G1014"/>
      <c r="H1014"/>
      <c r="I1014"/>
      <c r="J1014"/>
      <c r="K1014"/>
    </row>
    <row r="1015" spans="1:11" x14ac:dyDescent="0.3">
      <c r="A1015"/>
      <c r="B1015"/>
      <c r="C1015"/>
      <c r="D1015"/>
      <c r="E1015"/>
      <c r="F1015"/>
      <c r="G1015"/>
      <c r="H1015"/>
      <c r="I1015"/>
      <c r="J1015"/>
      <c r="K1015"/>
    </row>
    <row r="1016" spans="1:11" x14ac:dyDescent="0.3">
      <c r="A1016"/>
      <c r="B1016"/>
      <c r="C1016"/>
      <c r="D1016"/>
      <c r="E1016"/>
      <c r="F1016"/>
      <c r="G1016"/>
      <c r="H1016"/>
      <c r="I1016"/>
      <c r="J1016"/>
      <c r="K1016"/>
    </row>
    <row r="1017" spans="1:11" x14ac:dyDescent="0.3">
      <c r="A1017"/>
      <c r="B1017"/>
      <c r="C1017"/>
      <c r="D1017"/>
      <c r="E1017"/>
      <c r="F1017"/>
      <c r="G1017"/>
      <c r="H1017"/>
      <c r="I1017"/>
      <c r="J1017"/>
      <c r="K1017"/>
    </row>
    <row r="1018" spans="1:11" x14ac:dyDescent="0.3">
      <c r="A1018"/>
      <c r="B1018"/>
      <c r="C1018"/>
      <c r="D1018"/>
      <c r="E1018"/>
      <c r="F1018"/>
      <c r="G1018"/>
      <c r="H1018"/>
      <c r="I1018"/>
      <c r="J1018"/>
      <c r="K1018"/>
    </row>
    <row r="1019" spans="1:11" x14ac:dyDescent="0.3">
      <c r="A1019"/>
      <c r="B1019"/>
      <c r="C1019"/>
      <c r="D1019"/>
      <c r="E1019"/>
      <c r="F1019"/>
      <c r="G1019"/>
      <c r="H1019"/>
      <c r="I1019"/>
      <c r="J1019"/>
      <c r="K1019"/>
    </row>
    <row r="1020" spans="1:11" x14ac:dyDescent="0.3">
      <c r="A1020"/>
      <c r="B1020"/>
      <c r="C1020"/>
      <c r="D1020"/>
      <c r="E1020"/>
      <c r="F1020"/>
      <c r="G1020"/>
      <c r="H1020"/>
      <c r="I1020"/>
      <c r="J1020"/>
      <c r="K1020"/>
    </row>
    <row r="1021" spans="1:11" x14ac:dyDescent="0.3">
      <c r="A1021"/>
      <c r="B1021"/>
      <c r="C1021"/>
      <c r="D1021"/>
      <c r="E1021"/>
      <c r="F1021"/>
      <c r="G1021"/>
      <c r="H1021"/>
      <c r="I1021"/>
      <c r="J1021"/>
      <c r="K1021"/>
    </row>
    <row r="1022" spans="1:11" x14ac:dyDescent="0.3">
      <c r="A1022"/>
      <c r="B1022"/>
      <c r="C1022"/>
      <c r="D1022"/>
      <c r="E1022"/>
      <c r="F1022"/>
      <c r="G1022"/>
      <c r="H1022"/>
      <c r="I1022"/>
      <c r="J1022"/>
      <c r="K1022"/>
    </row>
    <row r="1023" spans="1:11" x14ac:dyDescent="0.3">
      <c r="A1023"/>
      <c r="B1023"/>
      <c r="C1023"/>
      <c r="D1023"/>
      <c r="E1023"/>
      <c r="F1023"/>
      <c r="G1023"/>
      <c r="H1023"/>
      <c r="I1023"/>
      <c r="J1023"/>
      <c r="K1023"/>
    </row>
    <row r="1024" spans="1:11" x14ac:dyDescent="0.3">
      <c r="A1024"/>
      <c r="B1024"/>
      <c r="C1024"/>
      <c r="D1024"/>
      <c r="E1024"/>
      <c r="F1024"/>
      <c r="G1024"/>
      <c r="H1024"/>
      <c r="I1024"/>
      <c r="J1024"/>
      <c r="K1024"/>
    </row>
    <row r="1025" spans="1:11" x14ac:dyDescent="0.3">
      <c r="A1025"/>
      <c r="B1025"/>
      <c r="C1025"/>
      <c r="D1025"/>
      <c r="E1025"/>
      <c r="F1025"/>
      <c r="G1025"/>
      <c r="H1025"/>
      <c r="I1025"/>
      <c r="J1025"/>
      <c r="K1025"/>
    </row>
    <row r="1026" spans="1:11" x14ac:dyDescent="0.3">
      <c r="A1026"/>
      <c r="B1026"/>
      <c r="C1026"/>
      <c r="D1026"/>
      <c r="E1026"/>
      <c r="F1026"/>
      <c r="G1026"/>
      <c r="H1026"/>
      <c r="I1026"/>
      <c r="J1026"/>
      <c r="K1026"/>
    </row>
    <row r="1027" spans="1:11" x14ac:dyDescent="0.3">
      <c r="A1027"/>
      <c r="B1027"/>
      <c r="C1027"/>
      <c r="D1027"/>
      <c r="E1027"/>
      <c r="F1027"/>
      <c r="G1027"/>
      <c r="H1027"/>
      <c r="I1027"/>
      <c r="J1027"/>
      <c r="K1027"/>
    </row>
    <row r="1028" spans="1:11" x14ac:dyDescent="0.3">
      <c r="A1028"/>
      <c r="B1028"/>
      <c r="C1028"/>
      <c r="D1028"/>
      <c r="E1028"/>
      <c r="F1028"/>
      <c r="G1028"/>
      <c r="H1028"/>
      <c r="I1028"/>
      <c r="J1028"/>
      <c r="K1028"/>
    </row>
    <row r="1029" spans="1:11" x14ac:dyDescent="0.3">
      <c r="A1029"/>
      <c r="B1029"/>
      <c r="C1029"/>
      <c r="D1029"/>
      <c r="E1029"/>
      <c r="F1029"/>
      <c r="G1029"/>
      <c r="H1029"/>
      <c r="I1029"/>
      <c r="J1029"/>
      <c r="K1029"/>
    </row>
    <row r="1030" spans="1:11" x14ac:dyDescent="0.3">
      <c r="A1030"/>
      <c r="B1030"/>
      <c r="C1030"/>
      <c r="D1030"/>
      <c r="E1030"/>
      <c r="F1030"/>
      <c r="G1030"/>
      <c r="H1030"/>
      <c r="I1030"/>
      <c r="J1030"/>
      <c r="K1030"/>
    </row>
    <row r="1031" spans="1:11" x14ac:dyDescent="0.3">
      <c r="A1031"/>
      <c r="B1031"/>
      <c r="C1031"/>
      <c r="D1031"/>
      <c r="E1031"/>
      <c r="F1031"/>
      <c r="G1031"/>
      <c r="H1031"/>
      <c r="I1031"/>
      <c r="J1031"/>
      <c r="K1031"/>
    </row>
    <row r="1032" spans="1:11" x14ac:dyDescent="0.3">
      <c r="A1032"/>
      <c r="B1032"/>
      <c r="C1032"/>
      <c r="D1032"/>
      <c r="E1032"/>
      <c r="F1032"/>
      <c r="G1032"/>
      <c r="H1032"/>
      <c r="I1032"/>
      <c r="J1032"/>
      <c r="K1032"/>
    </row>
    <row r="1033" spans="1:11" x14ac:dyDescent="0.3">
      <c r="A1033"/>
      <c r="B1033"/>
      <c r="C1033"/>
      <c r="D1033"/>
      <c r="E1033"/>
      <c r="F1033"/>
      <c r="G1033"/>
      <c r="H1033"/>
      <c r="I1033"/>
      <c r="J1033"/>
      <c r="K1033"/>
    </row>
    <row r="1034" spans="1:11" x14ac:dyDescent="0.3">
      <c r="A1034"/>
      <c r="B1034"/>
      <c r="C1034"/>
      <c r="D1034"/>
      <c r="E1034"/>
      <c r="F1034"/>
      <c r="G1034"/>
      <c r="H1034"/>
      <c r="I1034"/>
      <c r="J1034"/>
      <c r="K1034"/>
    </row>
    <row r="1035" spans="1:11" x14ac:dyDescent="0.3">
      <c r="A1035"/>
      <c r="B1035"/>
      <c r="C1035"/>
      <c r="D1035"/>
      <c r="E1035"/>
      <c r="F1035"/>
      <c r="G1035"/>
      <c r="H1035"/>
      <c r="I1035"/>
      <c r="J1035"/>
      <c r="K1035"/>
    </row>
    <row r="1036" spans="1:11" x14ac:dyDescent="0.3">
      <c r="A1036"/>
      <c r="B1036"/>
      <c r="C1036"/>
      <c r="D1036"/>
      <c r="E1036"/>
      <c r="F1036"/>
      <c r="G1036"/>
      <c r="H1036"/>
      <c r="I1036"/>
      <c r="J1036"/>
      <c r="K1036"/>
    </row>
    <row r="1037" spans="1:11" x14ac:dyDescent="0.3">
      <c r="A1037"/>
      <c r="B1037"/>
      <c r="C1037"/>
      <c r="D1037"/>
      <c r="E1037"/>
      <c r="F1037"/>
      <c r="G1037"/>
      <c r="H1037"/>
      <c r="I1037"/>
      <c r="J1037"/>
      <c r="K1037"/>
    </row>
    <row r="1038" spans="1:11" x14ac:dyDescent="0.3">
      <c r="A1038"/>
      <c r="B1038"/>
      <c r="C1038"/>
      <c r="D1038"/>
      <c r="E1038"/>
      <c r="F1038"/>
      <c r="G1038"/>
      <c r="H1038"/>
      <c r="I1038"/>
      <c r="J1038"/>
      <c r="K1038"/>
    </row>
    <row r="1039" spans="1:11" x14ac:dyDescent="0.3">
      <c r="A1039"/>
      <c r="B1039"/>
      <c r="C1039"/>
      <c r="D1039"/>
      <c r="E1039"/>
      <c r="F1039"/>
      <c r="G1039"/>
      <c r="H1039"/>
      <c r="I1039"/>
      <c r="J1039"/>
      <c r="K1039"/>
    </row>
    <row r="1040" spans="1:11" x14ac:dyDescent="0.3">
      <c r="A1040"/>
      <c r="B1040"/>
      <c r="C1040"/>
      <c r="D1040"/>
      <c r="E1040"/>
      <c r="F1040"/>
      <c r="G1040"/>
      <c r="H1040"/>
      <c r="I1040"/>
      <c r="J1040"/>
      <c r="K1040"/>
    </row>
    <row r="1041" spans="1:11" x14ac:dyDescent="0.3">
      <c r="A1041"/>
      <c r="B1041"/>
      <c r="C1041"/>
      <c r="D1041"/>
      <c r="E1041"/>
      <c r="F1041"/>
      <c r="G1041"/>
      <c r="H1041"/>
      <c r="I1041"/>
      <c r="J1041"/>
      <c r="K1041"/>
    </row>
    <row r="1042" spans="1:11" x14ac:dyDescent="0.3">
      <c r="A1042"/>
      <c r="B1042"/>
      <c r="C1042"/>
      <c r="D1042"/>
      <c r="E1042"/>
      <c r="F1042"/>
      <c r="G1042"/>
      <c r="H1042"/>
      <c r="I1042"/>
      <c r="J1042"/>
      <c r="K1042"/>
    </row>
    <row r="1043" spans="1:11" x14ac:dyDescent="0.3">
      <c r="A1043"/>
      <c r="B1043"/>
      <c r="C1043"/>
      <c r="D1043"/>
      <c r="E1043"/>
      <c r="F1043"/>
      <c r="G1043"/>
      <c r="H1043"/>
      <c r="I1043"/>
      <c r="J1043"/>
      <c r="K1043"/>
    </row>
    <row r="1044" spans="1:11" x14ac:dyDescent="0.3">
      <c r="A1044"/>
      <c r="B1044"/>
      <c r="C1044"/>
      <c r="D1044"/>
      <c r="E1044"/>
      <c r="F1044"/>
      <c r="G1044"/>
      <c r="H1044"/>
      <c r="I1044"/>
      <c r="J1044"/>
      <c r="K1044"/>
    </row>
    <row r="1045" spans="1:11" x14ac:dyDescent="0.3">
      <c r="A1045"/>
      <c r="B1045"/>
      <c r="C1045"/>
      <c r="D1045"/>
      <c r="E1045"/>
      <c r="F1045"/>
      <c r="G1045"/>
      <c r="H1045"/>
      <c r="I1045"/>
      <c r="J1045"/>
      <c r="K1045"/>
    </row>
    <row r="1046" spans="1:11" x14ac:dyDescent="0.3">
      <c r="A1046"/>
      <c r="B1046"/>
      <c r="C1046"/>
      <c r="D1046"/>
      <c r="E1046"/>
      <c r="F1046"/>
      <c r="G1046"/>
      <c r="H1046"/>
      <c r="I1046"/>
      <c r="J1046"/>
      <c r="K1046"/>
    </row>
    <row r="1047" spans="1:11" x14ac:dyDescent="0.3">
      <c r="A1047"/>
      <c r="B1047"/>
      <c r="C1047"/>
      <c r="D1047"/>
      <c r="E1047"/>
      <c r="F1047"/>
      <c r="G1047"/>
      <c r="H1047"/>
      <c r="I1047"/>
      <c r="J1047"/>
      <c r="K1047"/>
    </row>
    <row r="1048" spans="1:11" x14ac:dyDescent="0.3">
      <c r="A1048"/>
      <c r="B1048"/>
      <c r="C1048"/>
      <c r="D1048"/>
      <c r="E1048"/>
      <c r="F1048"/>
      <c r="G1048"/>
      <c r="H1048"/>
      <c r="I1048"/>
      <c r="J1048"/>
      <c r="K1048"/>
    </row>
    <row r="1049" spans="1:11" x14ac:dyDescent="0.3">
      <c r="A1049"/>
      <c r="B1049"/>
      <c r="C1049"/>
      <c r="D1049"/>
      <c r="E1049"/>
      <c r="F1049"/>
      <c r="G1049"/>
      <c r="H1049"/>
      <c r="I1049"/>
      <c r="J1049"/>
      <c r="K1049"/>
    </row>
    <row r="1050" spans="1:11" x14ac:dyDescent="0.3">
      <c r="A1050"/>
      <c r="B1050"/>
      <c r="C1050"/>
      <c r="D1050"/>
      <c r="E1050"/>
      <c r="F1050"/>
      <c r="G1050"/>
      <c r="H1050"/>
      <c r="I1050"/>
      <c r="J1050"/>
      <c r="K1050"/>
    </row>
    <row r="1051" spans="1:11" x14ac:dyDescent="0.3">
      <c r="A1051"/>
      <c r="B1051"/>
      <c r="C1051"/>
      <c r="D1051"/>
      <c r="E1051"/>
      <c r="F1051"/>
      <c r="G1051"/>
      <c r="H1051"/>
      <c r="I1051"/>
      <c r="J1051"/>
      <c r="K1051"/>
    </row>
    <row r="1052" spans="1:11" x14ac:dyDescent="0.3">
      <c r="A1052"/>
      <c r="B1052"/>
      <c r="C1052"/>
      <c r="D1052"/>
      <c r="E1052"/>
      <c r="F1052"/>
      <c r="G1052"/>
      <c r="H1052"/>
      <c r="I1052"/>
      <c r="J1052"/>
      <c r="K1052"/>
    </row>
    <row r="1053" spans="1:11" x14ac:dyDescent="0.3">
      <c r="A1053"/>
      <c r="B1053"/>
      <c r="C1053"/>
      <c r="D1053"/>
      <c r="E1053"/>
      <c r="F1053"/>
      <c r="G1053"/>
      <c r="H1053"/>
      <c r="I1053"/>
      <c r="J1053"/>
      <c r="K1053"/>
    </row>
    <row r="1054" spans="1:11" x14ac:dyDescent="0.3">
      <c r="A1054"/>
      <c r="B1054"/>
      <c r="C1054"/>
      <c r="D1054"/>
      <c r="E1054"/>
      <c r="F1054"/>
      <c r="G1054"/>
      <c r="H1054"/>
      <c r="I1054"/>
      <c r="J1054"/>
      <c r="K1054"/>
    </row>
    <row r="1055" spans="1:11" x14ac:dyDescent="0.3">
      <c r="A1055"/>
      <c r="B1055"/>
      <c r="C1055"/>
      <c r="D1055"/>
      <c r="E1055"/>
      <c r="F1055"/>
      <c r="G1055"/>
      <c r="H1055"/>
      <c r="I1055"/>
      <c r="J1055"/>
      <c r="K1055"/>
    </row>
    <row r="1056" spans="1:11" x14ac:dyDescent="0.3">
      <c r="A1056"/>
      <c r="B1056"/>
      <c r="C1056"/>
      <c r="D1056"/>
      <c r="E1056"/>
      <c r="F1056"/>
      <c r="G1056"/>
      <c r="H1056"/>
      <c r="I1056"/>
      <c r="J1056"/>
      <c r="K1056"/>
    </row>
    <row r="1057" spans="1:11" x14ac:dyDescent="0.3">
      <c r="A1057"/>
      <c r="B1057"/>
      <c r="C1057"/>
      <c r="D1057"/>
      <c r="E1057"/>
      <c r="F1057"/>
      <c r="G1057"/>
      <c r="H1057"/>
      <c r="I1057"/>
      <c r="J1057"/>
      <c r="K1057"/>
    </row>
    <row r="1058" spans="1:11" x14ac:dyDescent="0.3">
      <c r="A1058"/>
      <c r="B1058"/>
      <c r="C1058"/>
      <c r="D1058"/>
      <c r="E1058"/>
      <c r="F1058"/>
      <c r="G1058"/>
      <c r="H1058"/>
      <c r="I1058"/>
      <c r="J1058"/>
      <c r="K1058"/>
    </row>
    <row r="1059" spans="1:11" x14ac:dyDescent="0.3">
      <c r="A1059"/>
      <c r="B1059"/>
      <c r="C1059"/>
      <c r="D1059"/>
      <c r="E1059"/>
      <c r="F1059"/>
      <c r="G1059"/>
      <c r="H1059"/>
      <c r="I1059"/>
      <c r="J1059"/>
      <c r="K1059"/>
    </row>
    <row r="1060" spans="1:11" x14ac:dyDescent="0.3">
      <c r="A1060"/>
      <c r="B1060"/>
      <c r="C1060"/>
      <c r="D1060"/>
      <c r="E1060"/>
      <c r="F1060"/>
      <c r="G1060"/>
      <c r="H1060"/>
      <c r="I1060"/>
      <c r="J1060"/>
      <c r="K1060"/>
    </row>
    <row r="1061" spans="1:11" x14ac:dyDescent="0.3">
      <c r="A1061"/>
      <c r="B1061"/>
      <c r="C1061"/>
      <c r="D1061"/>
      <c r="E1061"/>
      <c r="F1061"/>
      <c r="G1061"/>
      <c r="H1061"/>
      <c r="I1061"/>
      <c r="J1061"/>
      <c r="K1061"/>
    </row>
    <row r="1062" spans="1:11" x14ac:dyDescent="0.3">
      <c r="A1062"/>
      <c r="B1062"/>
      <c r="C1062"/>
      <c r="D1062"/>
      <c r="E1062"/>
      <c r="F1062"/>
      <c r="G1062"/>
      <c r="H1062"/>
      <c r="I1062"/>
      <c r="J1062"/>
      <c r="K1062"/>
    </row>
    <row r="1063" spans="1:11" x14ac:dyDescent="0.3">
      <c r="A1063"/>
      <c r="B1063"/>
      <c r="C1063"/>
      <c r="D1063"/>
      <c r="E1063"/>
      <c r="F1063"/>
      <c r="G1063"/>
      <c r="H1063"/>
      <c r="I1063"/>
      <c r="J1063"/>
      <c r="K1063"/>
    </row>
    <row r="1064" spans="1:11" x14ac:dyDescent="0.3">
      <c r="A1064"/>
      <c r="B1064"/>
      <c r="C1064"/>
      <c r="D1064"/>
      <c r="E1064"/>
      <c r="F1064"/>
      <c r="G1064"/>
      <c r="H1064"/>
      <c r="I1064"/>
      <c r="J1064"/>
      <c r="K1064"/>
    </row>
    <row r="1065" spans="1:11" x14ac:dyDescent="0.3">
      <c r="A1065"/>
      <c r="B1065"/>
      <c r="C1065"/>
      <c r="D1065"/>
      <c r="E1065"/>
      <c r="F1065"/>
      <c r="G1065"/>
      <c r="H1065"/>
      <c r="I1065"/>
      <c r="J1065"/>
      <c r="K1065"/>
    </row>
    <row r="1066" spans="1:11" x14ac:dyDescent="0.3">
      <c r="A1066"/>
      <c r="B1066"/>
      <c r="C1066"/>
      <c r="D1066"/>
      <c r="E1066"/>
      <c r="F1066"/>
      <c r="G1066"/>
      <c r="H1066"/>
      <c r="I1066"/>
      <c r="J1066"/>
      <c r="K1066"/>
    </row>
    <row r="1067" spans="1:11" x14ac:dyDescent="0.3">
      <c r="A1067"/>
      <c r="B1067"/>
      <c r="C1067"/>
      <c r="D1067"/>
      <c r="E1067"/>
      <c r="F1067"/>
      <c r="G1067"/>
      <c r="H1067"/>
      <c r="I1067"/>
      <c r="J1067"/>
      <c r="K1067"/>
    </row>
    <row r="1068" spans="1:11" x14ac:dyDescent="0.3">
      <c r="A1068"/>
      <c r="B1068"/>
      <c r="C1068"/>
      <c r="D1068"/>
      <c r="E1068"/>
      <c r="F1068"/>
      <c r="G1068"/>
      <c r="H1068"/>
      <c r="I1068"/>
      <c r="J1068"/>
      <c r="K1068"/>
    </row>
    <row r="1069" spans="1:11" x14ac:dyDescent="0.3">
      <c r="A1069"/>
      <c r="B1069"/>
      <c r="C1069"/>
      <c r="D1069"/>
      <c r="E1069"/>
      <c r="F1069"/>
      <c r="G1069"/>
      <c r="H1069"/>
      <c r="I1069"/>
      <c r="J1069"/>
      <c r="K1069"/>
    </row>
    <row r="1070" spans="1:11" x14ac:dyDescent="0.3">
      <c r="A1070"/>
      <c r="B1070"/>
      <c r="C1070"/>
      <c r="D1070"/>
      <c r="E1070"/>
      <c r="F1070"/>
      <c r="G1070"/>
      <c r="H1070"/>
      <c r="I1070"/>
      <c r="J1070"/>
      <c r="K1070"/>
    </row>
    <row r="1071" spans="1:11" x14ac:dyDescent="0.3">
      <c r="A1071"/>
      <c r="B1071"/>
      <c r="C1071"/>
      <c r="D1071"/>
      <c r="E1071"/>
      <c r="F1071"/>
      <c r="G1071"/>
      <c r="H1071"/>
      <c r="I1071"/>
      <c r="J1071"/>
      <c r="K1071"/>
    </row>
    <row r="1072" spans="1:11" x14ac:dyDescent="0.3">
      <c r="A1072"/>
      <c r="B1072"/>
      <c r="C1072"/>
      <c r="D1072"/>
      <c r="E1072"/>
      <c r="F1072"/>
      <c r="G1072"/>
      <c r="H1072"/>
      <c r="I1072"/>
      <c r="J1072"/>
      <c r="K1072"/>
    </row>
    <row r="1073" spans="1:11" x14ac:dyDescent="0.3">
      <c r="A1073"/>
      <c r="B1073"/>
      <c r="C1073"/>
      <c r="D1073"/>
      <c r="E1073"/>
      <c r="F1073"/>
      <c r="G1073"/>
      <c r="H1073"/>
      <c r="I1073"/>
      <c r="J1073"/>
      <c r="K1073"/>
    </row>
    <row r="1074" spans="1:11" x14ac:dyDescent="0.3">
      <c r="A1074"/>
      <c r="B1074"/>
      <c r="C1074"/>
      <c r="D1074"/>
      <c r="E1074"/>
      <c r="F1074"/>
      <c r="G1074"/>
      <c r="H1074"/>
      <c r="I1074"/>
      <c r="J1074"/>
      <c r="K1074"/>
    </row>
    <row r="1075" spans="1:11" x14ac:dyDescent="0.3">
      <c r="A1075"/>
      <c r="B1075"/>
      <c r="C1075"/>
      <c r="D1075"/>
      <c r="E1075"/>
      <c r="F1075"/>
      <c r="G1075"/>
      <c r="H1075"/>
      <c r="I1075"/>
      <c r="J1075"/>
      <c r="K1075"/>
    </row>
    <row r="1076" spans="1:11" x14ac:dyDescent="0.3">
      <c r="A1076"/>
      <c r="B1076"/>
      <c r="C1076"/>
      <c r="D1076"/>
      <c r="E1076"/>
      <c r="F1076"/>
      <c r="G1076"/>
      <c r="H1076"/>
      <c r="I1076"/>
      <c r="J1076"/>
      <c r="K1076"/>
    </row>
    <row r="1077" spans="1:11" x14ac:dyDescent="0.3">
      <c r="A1077"/>
      <c r="B1077"/>
      <c r="C1077"/>
      <c r="D1077"/>
      <c r="E1077"/>
      <c r="F1077"/>
      <c r="G1077"/>
      <c r="H1077"/>
      <c r="I1077"/>
      <c r="J1077"/>
      <c r="K1077"/>
    </row>
    <row r="1078" spans="1:11" x14ac:dyDescent="0.3">
      <c r="A1078"/>
      <c r="B1078"/>
      <c r="C1078"/>
      <c r="D1078"/>
      <c r="E1078"/>
      <c r="F1078"/>
      <c r="G1078"/>
      <c r="H1078"/>
      <c r="I1078"/>
      <c r="J1078"/>
      <c r="K1078"/>
    </row>
    <row r="1079" spans="1:11" x14ac:dyDescent="0.3">
      <c r="A1079"/>
      <c r="B1079"/>
      <c r="C1079"/>
      <c r="D1079"/>
      <c r="E1079"/>
      <c r="F1079"/>
      <c r="G1079"/>
      <c r="H1079"/>
      <c r="I1079"/>
      <c r="J1079"/>
      <c r="K1079"/>
    </row>
    <row r="1080" spans="1:11" x14ac:dyDescent="0.3">
      <c r="A1080"/>
      <c r="B1080"/>
      <c r="C1080"/>
      <c r="D1080"/>
      <c r="E1080"/>
      <c r="F1080"/>
      <c r="G1080"/>
      <c r="H1080"/>
      <c r="I1080"/>
      <c r="J1080"/>
      <c r="K1080"/>
    </row>
    <row r="1081" spans="1:11" x14ac:dyDescent="0.3">
      <c r="A1081"/>
      <c r="B1081"/>
      <c r="C1081"/>
      <c r="D1081"/>
      <c r="E1081"/>
      <c r="F1081"/>
      <c r="G1081"/>
      <c r="H1081"/>
      <c r="I1081"/>
      <c r="J1081"/>
      <c r="K1081"/>
    </row>
    <row r="1082" spans="1:11" x14ac:dyDescent="0.3">
      <c r="A1082"/>
      <c r="B1082"/>
      <c r="C1082"/>
      <c r="D1082"/>
      <c r="E1082"/>
      <c r="F1082"/>
      <c r="G1082"/>
      <c r="H1082"/>
      <c r="I1082"/>
      <c r="J1082"/>
      <c r="K1082"/>
    </row>
    <row r="1083" spans="1:11" x14ac:dyDescent="0.3">
      <c r="A1083"/>
      <c r="B1083"/>
      <c r="C1083"/>
      <c r="D1083"/>
      <c r="E1083"/>
      <c r="F1083"/>
      <c r="G1083"/>
      <c r="H1083"/>
      <c r="I1083"/>
      <c r="J1083"/>
      <c r="K1083"/>
    </row>
    <row r="1084" spans="1:11" x14ac:dyDescent="0.3">
      <c r="A1084"/>
      <c r="B1084"/>
      <c r="C1084"/>
      <c r="D1084"/>
      <c r="E1084"/>
      <c r="F1084"/>
      <c r="G1084"/>
      <c r="H1084"/>
      <c r="I1084"/>
      <c r="J1084"/>
      <c r="K1084"/>
    </row>
    <row r="1085" spans="1:11" x14ac:dyDescent="0.3">
      <c r="A1085"/>
      <c r="B1085"/>
      <c r="C1085"/>
      <c r="D1085"/>
      <c r="E1085"/>
      <c r="F1085"/>
      <c r="G1085"/>
      <c r="H1085"/>
      <c r="I1085"/>
      <c r="J1085"/>
      <c r="K1085"/>
    </row>
    <row r="1086" spans="1:11" x14ac:dyDescent="0.3">
      <c r="A1086"/>
      <c r="B1086"/>
      <c r="C1086"/>
      <c r="D1086"/>
      <c r="E1086"/>
      <c r="F1086"/>
      <c r="G1086"/>
      <c r="H1086"/>
      <c r="I1086"/>
      <c r="J1086"/>
      <c r="K1086"/>
    </row>
    <row r="1087" spans="1:11" x14ac:dyDescent="0.3">
      <c r="A1087"/>
      <c r="B1087"/>
      <c r="C1087"/>
      <c r="D1087"/>
      <c r="E1087"/>
      <c r="F1087"/>
      <c r="G1087"/>
      <c r="H1087"/>
      <c r="I1087"/>
      <c r="J1087"/>
      <c r="K1087"/>
    </row>
    <row r="1088" spans="1:11" x14ac:dyDescent="0.3">
      <c r="A1088"/>
      <c r="B1088"/>
      <c r="C1088"/>
      <c r="D1088"/>
      <c r="E1088"/>
      <c r="F1088"/>
      <c r="G1088"/>
      <c r="H1088"/>
      <c r="I1088"/>
      <c r="J1088"/>
      <c r="K1088"/>
    </row>
    <row r="1089" spans="1:11" x14ac:dyDescent="0.3">
      <c r="A1089"/>
      <c r="B1089"/>
      <c r="C1089"/>
      <c r="D1089"/>
      <c r="E1089"/>
      <c r="F1089"/>
      <c r="G1089"/>
      <c r="H1089"/>
      <c r="I1089"/>
      <c r="J1089"/>
      <c r="K1089"/>
    </row>
    <row r="1090" spans="1:11" x14ac:dyDescent="0.3">
      <c r="A1090"/>
      <c r="B1090"/>
      <c r="C1090"/>
      <c r="D1090"/>
      <c r="E1090"/>
      <c r="F1090"/>
      <c r="G1090"/>
      <c r="H1090"/>
      <c r="I1090"/>
      <c r="J1090"/>
      <c r="K1090"/>
    </row>
    <row r="1091" spans="1:11" x14ac:dyDescent="0.3">
      <c r="A1091"/>
      <c r="B1091"/>
      <c r="C1091"/>
      <c r="D1091"/>
      <c r="E1091"/>
      <c r="F1091"/>
      <c r="G1091"/>
      <c r="H1091"/>
      <c r="I1091"/>
      <c r="J1091"/>
      <c r="K1091"/>
    </row>
    <row r="1092" spans="1:11" x14ac:dyDescent="0.3">
      <c r="A1092"/>
      <c r="B1092"/>
      <c r="C1092"/>
      <c r="D1092"/>
      <c r="E1092"/>
      <c r="F1092"/>
      <c r="G1092"/>
      <c r="H1092"/>
      <c r="I1092"/>
      <c r="J1092"/>
      <c r="K1092"/>
    </row>
    <row r="1093" spans="1:11" x14ac:dyDescent="0.3">
      <c r="A1093"/>
      <c r="B1093"/>
      <c r="C1093"/>
      <c r="D1093"/>
      <c r="E1093"/>
      <c r="F1093"/>
      <c r="G1093"/>
      <c r="H1093"/>
      <c r="I1093"/>
      <c r="J1093"/>
      <c r="K1093"/>
    </row>
    <row r="1094" spans="1:11" x14ac:dyDescent="0.3">
      <c r="A1094"/>
      <c r="B1094"/>
      <c r="C1094"/>
      <c r="D1094"/>
      <c r="E1094"/>
      <c r="F1094"/>
      <c r="G1094"/>
      <c r="H1094"/>
      <c r="I1094"/>
      <c r="J1094"/>
      <c r="K1094"/>
    </row>
    <row r="1095" spans="1:11" x14ac:dyDescent="0.3">
      <c r="A1095"/>
      <c r="B1095"/>
      <c r="C1095"/>
      <c r="D1095"/>
      <c r="E1095"/>
      <c r="F1095"/>
      <c r="G1095"/>
      <c r="H1095"/>
      <c r="I1095"/>
      <c r="J1095"/>
      <c r="K1095"/>
    </row>
    <row r="1096" spans="1:11" x14ac:dyDescent="0.3">
      <c r="A1096"/>
      <c r="B1096"/>
      <c r="C1096"/>
      <c r="D1096"/>
      <c r="E1096"/>
      <c r="F1096"/>
      <c r="G1096"/>
      <c r="H1096"/>
      <c r="I1096"/>
      <c r="J1096"/>
      <c r="K1096"/>
    </row>
    <row r="1097" spans="1:11" x14ac:dyDescent="0.3">
      <c r="A1097"/>
      <c r="B1097"/>
      <c r="C1097"/>
      <c r="D1097"/>
      <c r="E1097"/>
      <c r="F1097"/>
      <c r="G1097"/>
      <c r="H1097"/>
      <c r="I1097"/>
      <c r="J1097"/>
      <c r="K1097"/>
    </row>
    <row r="1098" spans="1:11" x14ac:dyDescent="0.3">
      <c r="A1098"/>
      <c r="B1098"/>
      <c r="C1098"/>
      <c r="D1098"/>
      <c r="E1098"/>
      <c r="F1098"/>
      <c r="G1098"/>
      <c r="H1098"/>
      <c r="I1098"/>
      <c r="J1098"/>
      <c r="K1098"/>
    </row>
    <row r="1099" spans="1:11" x14ac:dyDescent="0.3">
      <c r="A1099"/>
      <c r="B1099"/>
      <c r="C1099"/>
      <c r="D1099"/>
      <c r="E1099"/>
      <c r="F1099"/>
      <c r="G1099"/>
      <c r="H1099"/>
      <c r="I1099"/>
      <c r="J1099"/>
      <c r="K1099"/>
    </row>
    <row r="1100" spans="1:11" x14ac:dyDescent="0.3">
      <c r="A1100"/>
      <c r="B1100"/>
      <c r="C1100"/>
      <c r="D1100"/>
      <c r="E1100"/>
      <c r="F1100"/>
      <c r="G1100"/>
      <c r="H1100"/>
      <c r="I1100"/>
      <c r="J1100"/>
      <c r="K1100"/>
    </row>
    <row r="1101" spans="1:11" x14ac:dyDescent="0.3">
      <c r="A1101"/>
      <c r="B1101"/>
      <c r="C1101"/>
      <c r="D1101"/>
      <c r="E1101"/>
      <c r="F1101"/>
      <c r="G1101"/>
      <c r="H1101"/>
      <c r="I1101"/>
      <c r="J1101"/>
      <c r="K1101"/>
    </row>
    <row r="1102" spans="1:11" x14ac:dyDescent="0.3">
      <c r="A1102"/>
      <c r="B1102"/>
      <c r="C1102"/>
      <c r="D1102"/>
      <c r="E1102"/>
      <c r="F1102"/>
      <c r="G1102"/>
      <c r="H1102"/>
      <c r="I1102"/>
      <c r="J1102"/>
      <c r="K1102"/>
    </row>
    <row r="1103" spans="1:11" x14ac:dyDescent="0.3">
      <c r="A1103"/>
      <c r="B1103"/>
      <c r="C1103"/>
      <c r="D1103"/>
      <c r="E1103"/>
      <c r="F1103"/>
      <c r="G1103"/>
      <c r="H1103"/>
      <c r="I1103"/>
      <c r="J1103"/>
      <c r="K1103"/>
    </row>
    <row r="1104" spans="1:11" x14ac:dyDescent="0.3">
      <c r="A1104"/>
      <c r="B1104"/>
      <c r="C1104"/>
      <c r="D1104"/>
      <c r="E1104"/>
      <c r="F1104"/>
      <c r="G1104"/>
      <c r="H1104"/>
      <c r="I1104"/>
      <c r="J1104"/>
      <c r="K1104"/>
    </row>
    <row r="1105" spans="1:11" x14ac:dyDescent="0.3">
      <c r="A1105"/>
      <c r="B1105"/>
      <c r="C1105"/>
      <c r="D1105"/>
      <c r="E1105"/>
      <c r="F1105"/>
      <c r="G1105"/>
      <c r="H1105"/>
      <c r="I1105"/>
      <c r="J1105"/>
      <c r="K1105"/>
    </row>
    <row r="1106" spans="1:11" x14ac:dyDescent="0.3">
      <c r="A1106"/>
      <c r="B1106"/>
      <c r="C1106"/>
      <c r="D1106"/>
      <c r="E1106"/>
      <c r="F1106"/>
      <c r="G1106"/>
      <c r="H1106"/>
      <c r="I1106"/>
      <c r="J1106"/>
      <c r="K1106"/>
    </row>
    <row r="1107" spans="1:11" x14ac:dyDescent="0.3">
      <c r="A1107"/>
      <c r="B1107"/>
      <c r="C1107"/>
      <c r="D1107"/>
      <c r="E1107"/>
      <c r="F1107"/>
      <c r="G1107"/>
      <c r="H1107"/>
      <c r="I1107"/>
      <c r="J1107"/>
      <c r="K1107"/>
    </row>
    <row r="1108" spans="1:11" x14ac:dyDescent="0.3">
      <c r="A1108"/>
      <c r="B1108"/>
      <c r="C1108"/>
      <c r="D1108"/>
      <c r="E1108"/>
      <c r="F1108"/>
      <c r="G1108"/>
      <c r="H1108"/>
      <c r="I1108"/>
      <c r="J1108"/>
      <c r="K1108"/>
    </row>
    <row r="1109" spans="1:11" x14ac:dyDescent="0.3">
      <c r="A1109"/>
      <c r="B1109"/>
      <c r="C1109"/>
      <c r="D1109"/>
      <c r="E1109"/>
      <c r="F1109"/>
      <c r="G1109"/>
      <c r="H1109"/>
      <c r="I1109"/>
      <c r="J1109"/>
      <c r="K1109"/>
    </row>
    <row r="1110" spans="1:11" x14ac:dyDescent="0.3">
      <c r="A1110"/>
      <c r="B1110"/>
      <c r="C1110"/>
      <c r="D1110"/>
      <c r="E1110"/>
      <c r="F1110"/>
      <c r="G1110"/>
      <c r="H1110"/>
      <c r="I1110"/>
      <c r="J1110"/>
      <c r="K1110"/>
    </row>
    <row r="1111" spans="1:11" x14ac:dyDescent="0.3">
      <c r="A1111"/>
      <c r="B1111"/>
      <c r="C1111"/>
      <c r="D1111"/>
      <c r="E1111"/>
      <c r="F1111"/>
      <c r="G1111"/>
      <c r="H1111"/>
      <c r="I1111"/>
      <c r="J1111"/>
      <c r="K1111"/>
    </row>
    <row r="1112" spans="1:11" x14ac:dyDescent="0.3">
      <c r="A1112"/>
      <c r="B1112"/>
      <c r="C1112"/>
      <c r="D1112"/>
      <c r="E1112"/>
      <c r="F1112"/>
      <c r="G1112"/>
      <c r="H1112"/>
      <c r="I1112"/>
      <c r="J1112"/>
      <c r="K1112"/>
    </row>
    <row r="1113" spans="1:11" x14ac:dyDescent="0.3">
      <c r="A1113"/>
      <c r="B1113"/>
      <c r="C1113"/>
      <c r="D1113"/>
      <c r="E1113"/>
      <c r="F1113"/>
      <c r="G1113"/>
      <c r="H1113"/>
      <c r="I1113"/>
      <c r="J1113"/>
      <c r="K1113"/>
    </row>
    <row r="1114" spans="1:11" x14ac:dyDescent="0.3">
      <c r="A1114"/>
      <c r="B1114"/>
      <c r="C1114"/>
      <c r="D1114"/>
      <c r="E1114"/>
      <c r="F1114"/>
      <c r="G1114"/>
      <c r="H1114"/>
      <c r="I1114"/>
      <c r="J1114"/>
      <c r="K1114"/>
    </row>
    <row r="1115" spans="1:11" x14ac:dyDescent="0.3">
      <c r="A1115"/>
      <c r="B1115"/>
      <c r="C1115"/>
      <c r="D1115"/>
      <c r="E1115"/>
      <c r="F1115"/>
      <c r="G1115"/>
      <c r="H1115"/>
      <c r="I1115"/>
      <c r="J1115"/>
      <c r="K1115"/>
    </row>
    <row r="1116" spans="1:11" x14ac:dyDescent="0.3">
      <c r="A1116"/>
      <c r="B1116"/>
      <c r="C1116"/>
      <c r="D1116"/>
      <c r="E1116"/>
      <c r="F1116"/>
      <c r="G1116"/>
      <c r="H1116"/>
      <c r="I1116"/>
      <c r="J1116"/>
      <c r="K1116"/>
    </row>
    <row r="1117" spans="1:11" x14ac:dyDescent="0.3">
      <c r="A1117"/>
      <c r="B1117"/>
      <c r="C1117"/>
      <c r="D1117"/>
      <c r="E1117"/>
      <c r="F1117"/>
      <c r="G1117"/>
      <c r="H1117"/>
      <c r="I1117"/>
      <c r="J1117"/>
      <c r="K1117"/>
    </row>
    <row r="1118" spans="1:11" x14ac:dyDescent="0.3">
      <c r="A1118"/>
      <c r="B1118"/>
      <c r="C1118"/>
      <c r="D1118"/>
      <c r="E1118"/>
      <c r="F1118"/>
      <c r="G1118"/>
      <c r="H1118"/>
      <c r="I1118"/>
      <c r="J1118"/>
      <c r="K1118"/>
    </row>
    <row r="1119" spans="1:11" x14ac:dyDescent="0.3">
      <c r="A1119"/>
      <c r="B1119"/>
      <c r="C1119"/>
      <c r="D1119"/>
      <c r="E1119"/>
      <c r="F1119"/>
      <c r="G1119"/>
      <c r="H1119"/>
      <c r="I1119"/>
      <c r="J1119"/>
      <c r="K1119"/>
    </row>
    <row r="1120" spans="1:11" x14ac:dyDescent="0.3">
      <c r="A1120"/>
      <c r="B1120"/>
      <c r="C1120"/>
      <c r="D1120"/>
      <c r="E1120"/>
      <c r="F1120"/>
      <c r="G1120"/>
      <c r="H1120"/>
      <c r="I1120"/>
      <c r="J1120"/>
      <c r="K1120"/>
    </row>
    <row r="1121" spans="1:11" x14ac:dyDescent="0.3">
      <c r="A1121"/>
      <c r="B1121"/>
      <c r="C1121"/>
      <c r="D1121"/>
      <c r="E1121"/>
      <c r="F1121"/>
      <c r="G1121"/>
      <c r="H1121"/>
      <c r="I1121"/>
      <c r="J1121"/>
      <c r="K1121"/>
    </row>
    <row r="1122" spans="1:11" x14ac:dyDescent="0.3">
      <c r="A1122"/>
      <c r="B1122"/>
      <c r="C1122"/>
      <c r="D1122"/>
      <c r="E1122"/>
      <c r="F1122"/>
      <c r="G1122"/>
      <c r="H1122"/>
      <c r="I1122"/>
      <c r="J1122"/>
      <c r="K1122"/>
    </row>
    <row r="1123" spans="1:11" x14ac:dyDescent="0.3">
      <c r="A1123"/>
      <c r="B1123"/>
      <c r="C1123"/>
      <c r="D1123"/>
      <c r="E1123"/>
      <c r="F1123"/>
      <c r="G1123"/>
      <c r="H1123"/>
      <c r="I1123"/>
      <c r="J1123"/>
      <c r="K1123"/>
    </row>
    <row r="1124" spans="1:11" x14ac:dyDescent="0.3">
      <c r="A1124"/>
      <c r="B1124"/>
      <c r="C1124"/>
      <c r="D1124"/>
      <c r="E1124"/>
      <c r="F1124"/>
      <c r="G1124"/>
      <c r="H1124"/>
      <c r="I1124"/>
      <c r="J1124"/>
      <c r="K1124"/>
    </row>
    <row r="1125" spans="1:11" x14ac:dyDescent="0.3">
      <c r="A1125"/>
      <c r="B1125"/>
      <c r="C1125"/>
      <c r="D1125"/>
      <c r="E1125"/>
      <c r="F1125"/>
      <c r="G1125"/>
      <c r="H1125"/>
      <c r="I1125"/>
      <c r="J1125"/>
      <c r="K1125"/>
    </row>
    <row r="1126" spans="1:11" x14ac:dyDescent="0.3">
      <c r="A1126"/>
      <c r="B1126"/>
      <c r="C1126"/>
      <c r="D1126"/>
      <c r="E1126"/>
      <c r="F1126"/>
      <c r="G1126"/>
      <c r="H1126"/>
      <c r="I1126"/>
      <c r="J1126"/>
      <c r="K1126"/>
    </row>
    <row r="1127" spans="1:11" x14ac:dyDescent="0.3">
      <c r="A1127"/>
      <c r="B1127"/>
      <c r="C1127"/>
      <c r="D1127"/>
      <c r="E1127"/>
      <c r="F1127"/>
      <c r="G1127"/>
      <c r="H1127"/>
      <c r="I1127"/>
      <c r="J1127"/>
      <c r="K1127"/>
    </row>
    <row r="1128" spans="1:11" x14ac:dyDescent="0.3">
      <c r="A1128"/>
      <c r="B1128"/>
      <c r="C1128"/>
      <c r="D1128"/>
      <c r="E1128"/>
      <c r="F1128"/>
      <c r="G1128"/>
      <c r="H1128"/>
      <c r="I1128"/>
      <c r="J1128"/>
      <c r="K1128"/>
    </row>
    <row r="1129" spans="1:11" x14ac:dyDescent="0.3">
      <c r="A1129"/>
      <c r="B1129"/>
      <c r="C1129"/>
      <c r="D1129"/>
      <c r="E1129"/>
      <c r="F1129"/>
      <c r="G1129"/>
      <c r="H1129"/>
      <c r="I1129"/>
      <c r="J1129"/>
      <c r="K1129"/>
    </row>
    <row r="1130" spans="1:11" x14ac:dyDescent="0.3">
      <c r="A1130"/>
      <c r="B1130"/>
      <c r="C1130"/>
      <c r="D1130"/>
      <c r="E1130"/>
      <c r="F1130"/>
      <c r="G1130"/>
      <c r="H1130"/>
      <c r="I1130"/>
      <c r="J1130"/>
      <c r="K1130"/>
    </row>
    <row r="1131" spans="1:11" x14ac:dyDescent="0.3">
      <c r="A1131"/>
      <c r="B1131"/>
      <c r="C1131"/>
      <c r="D1131"/>
      <c r="E1131"/>
      <c r="F1131"/>
      <c r="G1131"/>
      <c r="H1131"/>
      <c r="I1131"/>
      <c r="J1131"/>
      <c r="K1131"/>
    </row>
    <row r="1132" spans="1:11" x14ac:dyDescent="0.3">
      <c r="A1132"/>
      <c r="B1132"/>
      <c r="C1132"/>
      <c r="D1132"/>
      <c r="E1132"/>
      <c r="F1132"/>
      <c r="G1132"/>
      <c r="H1132"/>
      <c r="I1132"/>
      <c r="J1132"/>
      <c r="K1132"/>
    </row>
    <row r="1133" spans="1:11" x14ac:dyDescent="0.3">
      <c r="A1133"/>
      <c r="B1133"/>
      <c r="C1133"/>
      <c r="D1133"/>
      <c r="E1133"/>
      <c r="F1133"/>
      <c r="G1133"/>
      <c r="H1133"/>
      <c r="I1133"/>
      <c r="J1133"/>
      <c r="K1133"/>
    </row>
    <row r="1134" spans="1:11" x14ac:dyDescent="0.3">
      <c r="A1134"/>
      <c r="B1134"/>
      <c r="C1134"/>
      <c r="D1134"/>
      <c r="E1134"/>
      <c r="F1134"/>
      <c r="G1134"/>
      <c r="H1134"/>
      <c r="I1134"/>
      <c r="J1134"/>
      <c r="K1134"/>
    </row>
    <row r="1135" spans="1:11" x14ac:dyDescent="0.3">
      <c r="A1135"/>
      <c r="B1135"/>
      <c r="C1135"/>
      <c r="D1135"/>
      <c r="E1135"/>
      <c r="F1135"/>
      <c r="G1135"/>
      <c r="H1135"/>
      <c r="I1135"/>
      <c r="J1135"/>
      <c r="K1135"/>
    </row>
    <row r="1136" spans="1:11" x14ac:dyDescent="0.3">
      <c r="A1136"/>
      <c r="B1136"/>
      <c r="C1136"/>
      <c r="D1136"/>
      <c r="E1136"/>
      <c r="F1136"/>
      <c r="G1136"/>
      <c r="H1136"/>
      <c r="I1136"/>
      <c r="J1136"/>
      <c r="K1136"/>
    </row>
    <row r="1137" spans="1:11" x14ac:dyDescent="0.3">
      <c r="A1137"/>
      <c r="B1137"/>
      <c r="C1137"/>
      <c r="D1137"/>
      <c r="E1137"/>
      <c r="F1137"/>
      <c r="G1137"/>
      <c r="H1137"/>
      <c r="I1137"/>
      <c r="J1137"/>
      <c r="K1137"/>
    </row>
    <row r="1138" spans="1:11" x14ac:dyDescent="0.3">
      <c r="A1138"/>
      <c r="B1138"/>
      <c r="C1138"/>
      <c r="D1138"/>
      <c r="E1138"/>
      <c r="F1138"/>
      <c r="G1138"/>
      <c r="H1138"/>
      <c r="I1138"/>
      <c r="J1138"/>
      <c r="K1138"/>
    </row>
    <row r="1139" spans="1:11" x14ac:dyDescent="0.3">
      <c r="A1139"/>
      <c r="B1139"/>
      <c r="C1139"/>
      <c r="D1139"/>
      <c r="E1139"/>
      <c r="F1139"/>
      <c r="G1139"/>
      <c r="H1139"/>
      <c r="I1139"/>
      <c r="J1139"/>
      <c r="K1139"/>
    </row>
    <row r="1140" spans="1:11" x14ac:dyDescent="0.3">
      <c r="A1140"/>
      <c r="B1140"/>
      <c r="C1140"/>
      <c r="D1140"/>
      <c r="E1140"/>
      <c r="F1140"/>
      <c r="G1140"/>
      <c r="H1140"/>
      <c r="I1140"/>
      <c r="J1140"/>
      <c r="K1140"/>
    </row>
    <row r="1141" spans="1:11" x14ac:dyDescent="0.3">
      <c r="A1141"/>
      <c r="B1141"/>
      <c r="C1141"/>
      <c r="D1141"/>
      <c r="E1141"/>
      <c r="F1141"/>
      <c r="G1141"/>
      <c r="H1141"/>
      <c r="I1141"/>
      <c r="J1141"/>
      <c r="K1141"/>
    </row>
    <row r="1142" spans="1:11" x14ac:dyDescent="0.3">
      <c r="A1142"/>
      <c r="B1142"/>
      <c r="C1142"/>
      <c r="D1142"/>
      <c r="E1142"/>
      <c r="F1142"/>
      <c r="G1142"/>
      <c r="H1142"/>
      <c r="I1142"/>
      <c r="J1142"/>
      <c r="K1142"/>
    </row>
    <row r="1143" spans="1:11" x14ac:dyDescent="0.3">
      <c r="A1143"/>
      <c r="B1143"/>
      <c r="C1143"/>
      <c r="D1143"/>
      <c r="E1143"/>
      <c r="F1143"/>
      <c r="G1143"/>
      <c r="H1143"/>
      <c r="I1143"/>
      <c r="J1143"/>
      <c r="K1143"/>
    </row>
    <row r="1144" spans="1:11" x14ac:dyDescent="0.3">
      <c r="A1144"/>
      <c r="B1144"/>
      <c r="C1144"/>
      <c r="D1144"/>
      <c r="E1144"/>
      <c r="F1144"/>
      <c r="G1144"/>
      <c r="H1144"/>
      <c r="I1144"/>
      <c r="J1144"/>
      <c r="K1144"/>
    </row>
    <row r="1145" spans="1:11" x14ac:dyDescent="0.3">
      <c r="A1145"/>
      <c r="B1145"/>
      <c r="C1145"/>
      <c r="D1145"/>
      <c r="E1145"/>
      <c r="F1145"/>
      <c r="G1145"/>
      <c r="H1145"/>
      <c r="I1145"/>
      <c r="J1145"/>
      <c r="K1145"/>
    </row>
    <row r="1146" spans="1:11" x14ac:dyDescent="0.3">
      <c r="A1146"/>
      <c r="B1146"/>
      <c r="C1146"/>
      <c r="D1146"/>
      <c r="E1146"/>
      <c r="F1146"/>
      <c r="G1146"/>
      <c r="H1146"/>
      <c r="I1146"/>
      <c r="J1146"/>
      <c r="K1146"/>
    </row>
    <row r="1147" spans="1:11" x14ac:dyDescent="0.3">
      <c r="A1147"/>
      <c r="B1147"/>
      <c r="C1147"/>
      <c r="D1147"/>
      <c r="E1147"/>
      <c r="F1147"/>
      <c r="G1147"/>
      <c r="H1147"/>
      <c r="I1147"/>
      <c r="J1147"/>
      <c r="K1147"/>
    </row>
    <row r="1148" spans="1:11" x14ac:dyDescent="0.3">
      <c r="A1148"/>
      <c r="B1148"/>
      <c r="C1148"/>
      <c r="D1148"/>
      <c r="E1148"/>
      <c r="F1148"/>
      <c r="G1148"/>
      <c r="H1148"/>
      <c r="I1148"/>
      <c r="J1148"/>
      <c r="K1148"/>
    </row>
    <row r="1149" spans="1:11" x14ac:dyDescent="0.3">
      <c r="A1149"/>
      <c r="B1149"/>
      <c r="C1149"/>
      <c r="D1149"/>
      <c r="E1149"/>
      <c r="F1149"/>
      <c r="G1149"/>
      <c r="H1149"/>
      <c r="I1149"/>
      <c r="J1149"/>
      <c r="K1149"/>
    </row>
    <row r="1150" spans="1:11" x14ac:dyDescent="0.3">
      <c r="A1150"/>
      <c r="B1150"/>
      <c r="C1150"/>
      <c r="D1150"/>
      <c r="E1150"/>
      <c r="F1150"/>
      <c r="G1150"/>
      <c r="H1150"/>
      <c r="I1150"/>
      <c r="J1150"/>
      <c r="K1150"/>
    </row>
    <row r="1151" spans="1:11" x14ac:dyDescent="0.3">
      <c r="A1151"/>
      <c r="B1151"/>
      <c r="C1151"/>
      <c r="D1151"/>
      <c r="E1151"/>
      <c r="F1151"/>
      <c r="G1151"/>
      <c r="H1151"/>
      <c r="I1151"/>
      <c r="J1151"/>
      <c r="K1151"/>
    </row>
    <row r="1152" spans="1:11" x14ac:dyDescent="0.3">
      <c r="A1152"/>
      <c r="B1152"/>
      <c r="C1152"/>
      <c r="D1152"/>
      <c r="E1152"/>
      <c r="F1152"/>
      <c r="G1152"/>
      <c r="H1152"/>
      <c r="I1152"/>
      <c r="J1152"/>
      <c r="K1152"/>
    </row>
    <row r="1153" spans="1:11" x14ac:dyDescent="0.3">
      <c r="A1153"/>
      <c r="B1153"/>
      <c r="C1153"/>
      <c r="D1153"/>
      <c r="E1153"/>
      <c r="F1153"/>
      <c r="G1153"/>
      <c r="H1153"/>
      <c r="I1153"/>
      <c r="J1153"/>
      <c r="K1153"/>
    </row>
    <row r="1154" spans="1:11" x14ac:dyDescent="0.3">
      <c r="A1154"/>
      <c r="B1154"/>
      <c r="C1154"/>
      <c r="D1154"/>
      <c r="E1154"/>
      <c r="F1154"/>
      <c r="G1154"/>
      <c r="H1154"/>
      <c r="I1154"/>
      <c r="J1154"/>
      <c r="K1154"/>
    </row>
    <row r="1155" spans="1:11" x14ac:dyDescent="0.3">
      <c r="A1155"/>
      <c r="B1155"/>
      <c r="C1155"/>
      <c r="D1155"/>
      <c r="E1155"/>
      <c r="F1155"/>
      <c r="G1155"/>
      <c r="H1155"/>
      <c r="I1155"/>
      <c r="J1155"/>
      <c r="K1155"/>
    </row>
    <row r="1156" spans="1:11" x14ac:dyDescent="0.3">
      <c r="A1156"/>
      <c r="B1156"/>
      <c r="C1156"/>
      <c r="D1156"/>
      <c r="E1156"/>
      <c r="F1156"/>
      <c r="G1156"/>
      <c r="H1156"/>
      <c r="I1156"/>
      <c r="J1156"/>
      <c r="K1156"/>
    </row>
    <row r="1157" spans="1:11" x14ac:dyDescent="0.3">
      <c r="A1157"/>
      <c r="B1157"/>
      <c r="C1157"/>
      <c r="D1157"/>
      <c r="E1157"/>
      <c r="F1157"/>
      <c r="G1157"/>
      <c r="H1157"/>
      <c r="I1157"/>
      <c r="J1157"/>
      <c r="K1157"/>
    </row>
    <row r="1158" spans="1:11" x14ac:dyDescent="0.3">
      <c r="A1158"/>
      <c r="B1158"/>
      <c r="C1158"/>
      <c r="D1158"/>
      <c r="E1158"/>
      <c r="F1158"/>
      <c r="G1158"/>
      <c r="H1158"/>
      <c r="I1158"/>
      <c r="J1158"/>
      <c r="K1158"/>
    </row>
    <row r="1159" spans="1:11" x14ac:dyDescent="0.3">
      <c r="A1159"/>
      <c r="B1159"/>
      <c r="C1159"/>
      <c r="D1159"/>
      <c r="E1159"/>
      <c r="F1159"/>
      <c r="G1159"/>
      <c r="H1159"/>
      <c r="I1159"/>
      <c r="J1159"/>
      <c r="K1159"/>
    </row>
    <row r="1160" spans="1:11" x14ac:dyDescent="0.3">
      <c r="A1160"/>
      <c r="B1160"/>
      <c r="C1160"/>
      <c r="D1160"/>
      <c r="E1160"/>
      <c r="F1160"/>
      <c r="G1160"/>
      <c r="H1160"/>
      <c r="I1160"/>
      <c r="J1160"/>
      <c r="K1160"/>
    </row>
    <row r="1161" spans="1:11" x14ac:dyDescent="0.3">
      <c r="A1161"/>
      <c r="B1161"/>
      <c r="C1161"/>
      <c r="D1161"/>
      <c r="E1161"/>
      <c r="F1161"/>
      <c r="G1161"/>
      <c r="H1161"/>
      <c r="I1161"/>
      <c r="J1161"/>
      <c r="K1161"/>
    </row>
    <row r="1162" spans="1:11" x14ac:dyDescent="0.3">
      <c r="A1162"/>
      <c r="B1162"/>
      <c r="C1162"/>
      <c r="D1162"/>
      <c r="E1162"/>
      <c r="F1162"/>
      <c r="G1162"/>
      <c r="H1162"/>
      <c r="I1162"/>
      <c r="J1162"/>
      <c r="K1162"/>
    </row>
    <row r="1163" spans="1:11" x14ac:dyDescent="0.3">
      <c r="A1163"/>
      <c r="B1163"/>
      <c r="C1163"/>
      <c r="D1163"/>
      <c r="E1163"/>
      <c r="F1163"/>
      <c r="G1163"/>
      <c r="H1163"/>
      <c r="I1163"/>
      <c r="J1163"/>
      <c r="K1163"/>
    </row>
    <row r="1164" spans="1:11" x14ac:dyDescent="0.3">
      <c r="A1164"/>
      <c r="B1164"/>
      <c r="C1164"/>
      <c r="D1164"/>
      <c r="E1164"/>
      <c r="F1164"/>
      <c r="G1164"/>
      <c r="H1164"/>
      <c r="I1164"/>
      <c r="J1164"/>
      <c r="K1164"/>
    </row>
    <row r="1165" spans="1:11" x14ac:dyDescent="0.3">
      <c r="A1165"/>
      <c r="B1165"/>
      <c r="C1165"/>
      <c r="D1165"/>
      <c r="E1165"/>
      <c r="F1165"/>
      <c r="G1165"/>
      <c r="H1165"/>
      <c r="I1165"/>
      <c r="J1165"/>
      <c r="K1165"/>
    </row>
    <row r="1166" spans="1:11" x14ac:dyDescent="0.3">
      <c r="A1166"/>
      <c r="B1166"/>
      <c r="C1166"/>
      <c r="D1166"/>
      <c r="E1166"/>
      <c r="F1166"/>
      <c r="G1166"/>
      <c r="H1166"/>
      <c r="I1166"/>
      <c r="J1166"/>
      <c r="K1166"/>
    </row>
    <row r="1167" spans="1:11" x14ac:dyDescent="0.3">
      <c r="A1167"/>
      <c r="B1167"/>
      <c r="C1167"/>
      <c r="D1167"/>
      <c r="E1167"/>
      <c r="F1167"/>
      <c r="G1167"/>
      <c r="H1167"/>
      <c r="I1167"/>
      <c r="J1167"/>
      <c r="K1167"/>
    </row>
    <row r="1168" spans="1:11" x14ac:dyDescent="0.3">
      <c r="A1168"/>
      <c r="B1168"/>
      <c r="C1168"/>
      <c r="D1168"/>
      <c r="E1168"/>
      <c r="F1168"/>
      <c r="G1168"/>
      <c r="H1168"/>
      <c r="I1168"/>
      <c r="J1168"/>
      <c r="K1168"/>
    </row>
    <row r="1169" spans="1:11" x14ac:dyDescent="0.3">
      <c r="A1169"/>
      <c r="B1169"/>
      <c r="C1169"/>
      <c r="D1169"/>
      <c r="E1169"/>
      <c r="F1169"/>
      <c r="G1169"/>
      <c r="H1169"/>
      <c r="I1169"/>
      <c r="J1169"/>
      <c r="K1169"/>
    </row>
    <row r="1170" spans="1:11" x14ac:dyDescent="0.3">
      <c r="A1170"/>
      <c r="B1170"/>
      <c r="C1170"/>
      <c r="D1170"/>
      <c r="E1170"/>
      <c r="F1170"/>
      <c r="G1170"/>
      <c r="H1170"/>
      <c r="I1170"/>
      <c r="J1170"/>
      <c r="K1170"/>
    </row>
    <row r="1171" spans="1:11" x14ac:dyDescent="0.3">
      <c r="A1171"/>
      <c r="B1171"/>
      <c r="C1171"/>
      <c r="D1171"/>
      <c r="E1171"/>
      <c r="F1171"/>
      <c r="G1171"/>
      <c r="H1171"/>
      <c r="I1171"/>
      <c r="J1171"/>
      <c r="K1171"/>
    </row>
    <row r="1172" spans="1:11" x14ac:dyDescent="0.3">
      <c r="A1172"/>
      <c r="B1172"/>
      <c r="C1172"/>
      <c r="D1172"/>
      <c r="E1172"/>
      <c r="F1172"/>
      <c r="G1172"/>
      <c r="H1172"/>
      <c r="I1172"/>
      <c r="J1172"/>
      <c r="K1172"/>
    </row>
    <row r="1173" spans="1:11" x14ac:dyDescent="0.3">
      <c r="A1173"/>
      <c r="B1173"/>
      <c r="C1173"/>
      <c r="D1173"/>
      <c r="E1173"/>
      <c r="F1173"/>
      <c r="G1173"/>
      <c r="H1173"/>
      <c r="I1173"/>
      <c r="J1173"/>
      <c r="K1173"/>
    </row>
    <row r="1174" spans="1:11" x14ac:dyDescent="0.3">
      <c r="A1174"/>
      <c r="B1174"/>
      <c r="C1174"/>
      <c r="D1174"/>
      <c r="E1174"/>
      <c r="F1174"/>
      <c r="G1174"/>
      <c r="H1174"/>
      <c r="I1174"/>
      <c r="J1174"/>
      <c r="K1174"/>
    </row>
    <row r="1175" spans="1:11" x14ac:dyDescent="0.3">
      <c r="A1175"/>
      <c r="B1175"/>
      <c r="C1175"/>
      <c r="D1175"/>
      <c r="E1175"/>
      <c r="F1175"/>
      <c r="G1175"/>
      <c r="H1175"/>
      <c r="I1175"/>
      <c r="J1175"/>
      <c r="K1175"/>
    </row>
    <row r="1176" spans="1:11" x14ac:dyDescent="0.3">
      <c r="A1176"/>
      <c r="B1176"/>
      <c r="C1176"/>
      <c r="D1176"/>
      <c r="E1176"/>
      <c r="F1176"/>
      <c r="G1176"/>
      <c r="H1176"/>
      <c r="I1176"/>
      <c r="J1176"/>
      <c r="K1176"/>
    </row>
    <row r="1177" spans="1:11" x14ac:dyDescent="0.3">
      <c r="A1177"/>
      <c r="B1177"/>
      <c r="C1177"/>
      <c r="D1177"/>
      <c r="E1177"/>
      <c r="F1177"/>
      <c r="G1177"/>
      <c r="H1177"/>
      <c r="I1177"/>
      <c r="J1177"/>
      <c r="K1177"/>
    </row>
    <row r="1178" spans="1:11" x14ac:dyDescent="0.3">
      <c r="A1178"/>
      <c r="B1178"/>
      <c r="C1178"/>
      <c r="D1178"/>
      <c r="E1178"/>
      <c r="F1178"/>
      <c r="G1178"/>
      <c r="H1178"/>
      <c r="I1178"/>
      <c r="J1178"/>
      <c r="K1178"/>
    </row>
    <row r="1179" spans="1:11" x14ac:dyDescent="0.3">
      <c r="A1179"/>
      <c r="B1179"/>
      <c r="C1179"/>
      <c r="D1179"/>
      <c r="E1179"/>
      <c r="F1179"/>
      <c r="G1179"/>
      <c r="H1179"/>
      <c r="I1179"/>
      <c r="J1179"/>
      <c r="K1179"/>
    </row>
    <row r="1180" spans="1:11" x14ac:dyDescent="0.3">
      <c r="A1180"/>
      <c r="B1180"/>
      <c r="C1180"/>
      <c r="D1180"/>
      <c r="E1180"/>
      <c r="F1180"/>
      <c r="G1180"/>
      <c r="H1180"/>
      <c r="I1180"/>
      <c r="J1180"/>
      <c r="K1180"/>
    </row>
    <row r="1181" spans="1:11" x14ac:dyDescent="0.3">
      <c r="A1181"/>
      <c r="B1181"/>
      <c r="C1181"/>
      <c r="D1181"/>
      <c r="E1181"/>
      <c r="F1181"/>
      <c r="G1181"/>
      <c r="H1181"/>
      <c r="I1181"/>
      <c r="J1181"/>
      <c r="K1181"/>
    </row>
    <row r="1182" spans="1:11" x14ac:dyDescent="0.3">
      <c r="A1182"/>
      <c r="B1182"/>
      <c r="C1182"/>
      <c r="D1182"/>
      <c r="E1182"/>
      <c r="F1182"/>
      <c r="G1182"/>
      <c r="H1182"/>
      <c r="I1182"/>
      <c r="J1182"/>
      <c r="K1182"/>
    </row>
    <row r="1183" spans="1:11" x14ac:dyDescent="0.3">
      <c r="A1183"/>
      <c r="B1183"/>
      <c r="C1183"/>
      <c r="D1183"/>
      <c r="E1183"/>
      <c r="F1183"/>
      <c r="G1183"/>
      <c r="H1183"/>
      <c r="I1183"/>
      <c r="J1183"/>
      <c r="K1183"/>
    </row>
    <row r="1184" spans="1:11" x14ac:dyDescent="0.3">
      <c r="A1184"/>
      <c r="B1184"/>
      <c r="C1184"/>
      <c r="D1184"/>
      <c r="E1184"/>
      <c r="F1184"/>
      <c r="G1184"/>
      <c r="H1184"/>
      <c r="I1184"/>
      <c r="J1184"/>
      <c r="K1184"/>
    </row>
    <row r="1185" spans="1:11" x14ac:dyDescent="0.3">
      <c r="A1185"/>
      <c r="B1185"/>
      <c r="C1185"/>
      <c r="D1185"/>
      <c r="E1185"/>
      <c r="F1185"/>
      <c r="G1185"/>
      <c r="H1185"/>
      <c r="I1185"/>
      <c r="J1185"/>
      <c r="K1185"/>
    </row>
    <row r="1186" spans="1:11" x14ac:dyDescent="0.3">
      <c r="A1186"/>
      <c r="B1186"/>
      <c r="C1186"/>
      <c r="D1186"/>
      <c r="E1186"/>
      <c r="F1186"/>
      <c r="G1186"/>
      <c r="H1186"/>
      <c r="I1186"/>
      <c r="J1186"/>
      <c r="K1186"/>
    </row>
    <row r="1187" spans="1:11" x14ac:dyDescent="0.3">
      <c r="A1187"/>
      <c r="B1187"/>
      <c r="C1187"/>
      <c r="D1187"/>
      <c r="E1187"/>
      <c r="F1187"/>
      <c r="G1187"/>
      <c r="H1187"/>
      <c r="I1187"/>
      <c r="J1187"/>
      <c r="K1187"/>
    </row>
    <row r="1188" spans="1:11" x14ac:dyDescent="0.3">
      <c r="A1188"/>
      <c r="B1188"/>
      <c r="C1188"/>
      <c r="D1188"/>
      <c r="E1188"/>
      <c r="F1188"/>
      <c r="G1188"/>
      <c r="H1188"/>
      <c r="I1188"/>
      <c r="J1188"/>
      <c r="K1188"/>
    </row>
    <row r="1189" spans="1:11" x14ac:dyDescent="0.3">
      <c r="A1189"/>
      <c r="B1189"/>
      <c r="C1189"/>
      <c r="D1189"/>
      <c r="E1189"/>
      <c r="F1189"/>
      <c r="G1189"/>
      <c r="H1189"/>
      <c r="I1189"/>
      <c r="J1189"/>
      <c r="K1189"/>
    </row>
    <row r="1190" spans="1:11" x14ac:dyDescent="0.3">
      <c r="A1190"/>
      <c r="B1190"/>
      <c r="C1190"/>
      <c r="D1190"/>
      <c r="E1190"/>
      <c r="F1190"/>
      <c r="G1190"/>
      <c r="H1190"/>
      <c r="I1190"/>
      <c r="J1190"/>
      <c r="K1190"/>
    </row>
    <row r="1191" spans="1:11" x14ac:dyDescent="0.3">
      <c r="A1191"/>
      <c r="B1191"/>
      <c r="C1191"/>
      <c r="D1191"/>
      <c r="E1191"/>
      <c r="F1191"/>
      <c r="G1191"/>
      <c r="H1191"/>
      <c r="I1191"/>
      <c r="J1191"/>
      <c r="K1191"/>
    </row>
    <row r="1192" spans="1:11" x14ac:dyDescent="0.3">
      <c r="A1192"/>
      <c r="B1192"/>
      <c r="C1192"/>
      <c r="D1192"/>
      <c r="E1192"/>
      <c r="F1192"/>
      <c r="G1192"/>
      <c r="H1192"/>
      <c r="I1192"/>
      <c r="J1192"/>
      <c r="K1192"/>
    </row>
    <row r="1193" spans="1:11" x14ac:dyDescent="0.3">
      <c r="A1193"/>
      <c r="B1193"/>
      <c r="C1193"/>
      <c r="D1193"/>
      <c r="E1193"/>
      <c r="F1193"/>
      <c r="G1193"/>
      <c r="H1193"/>
      <c r="I1193"/>
      <c r="J1193"/>
      <c r="K1193"/>
    </row>
    <row r="1194" spans="1:11" x14ac:dyDescent="0.3">
      <c r="A1194"/>
      <c r="B1194"/>
      <c r="C1194"/>
      <c r="D1194"/>
      <c r="E1194"/>
      <c r="F1194"/>
      <c r="G1194"/>
      <c r="H1194"/>
      <c r="I1194"/>
      <c r="J1194"/>
      <c r="K1194"/>
    </row>
    <row r="1195" spans="1:11" x14ac:dyDescent="0.3">
      <c r="A1195"/>
      <c r="B1195"/>
      <c r="C1195"/>
      <c r="D1195"/>
      <c r="E1195"/>
      <c r="F1195"/>
      <c r="G1195"/>
      <c r="H1195"/>
      <c r="I1195"/>
      <c r="J1195"/>
      <c r="K1195"/>
    </row>
    <row r="1196" spans="1:11" x14ac:dyDescent="0.3">
      <c r="A1196"/>
      <c r="B1196"/>
      <c r="C1196"/>
      <c r="D1196"/>
      <c r="E1196"/>
      <c r="F1196"/>
      <c r="G1196"/>
      <c r="H1196"/>
      <c r="I1196"/>
      <c r="J1196"/>
      <c r="K1196"/>
    </row>
    <row r="1197" spans="1:11" x14ac:dyDescent="0.3">
      <c r="A1197"/>
      <c r="B1197"/>
      <c r="C1197"/>
      <c r="D1197"/>
      <c r="E1197"/>
      <c r="F1197"/>
      <c r="G1197"/>
      <c r="H1197"/>
      <c r="I1197"/>
      <c r="J1197"/>
      <c r="K1197"/>
    </row>
    <row r="1198" spans="1:11" x14ac:dyDescent="0.3">
      <c r="A1198"/>
      <c r="B1198"/>
      <c r="C1198"/>
      <c r="D1198"/>
      <c r="E1198"/>
      <c r="F1198"/>
      <c r="G1198"/>
      <c r="H1198"/>
      <c r="I1198"/>
      <c r="J1198"/>
      <c r="K1198"/>
    </row>
    <row r="1199" spans="1:11" x14ac:dyDescent="0.3">
      <c r="A1199"/>
      <c r="B1199"/>
      <c r="C1199"/>
      <c r="D1199"/>
      <c r="E1199"/>
      <c r="F1199"/>
      <c r="G1199"/>
      <c r="H1199"/>
      <c r="I1199"/>
      <c r="J1199"/>
      <c r="K1199"/>
    </row>
    <row r="1200" spans="1:11" x14ac:dyDescent="0.3">
      <c r="A1200"/>
      <c r="B1200"/>
      <c r="C1200"/>
      <c r="D1200"/>
      <c r="E1200"/>
      <c r="F1200"/>
      <c r="G1200"/>
      <c r="H1200"/>
      <c r="I1200"/>
      <c r="J1200"/>
      <c r="K1200"/>
    </row>
    <row r="1201" spans="1:11" x14ac:dyDescent="0.3">
      <c r="A1201"/>
      <c r="B1201"/>
      <c r="C1201"/>
      <c r="D1201"/>
      <c r="E1201"/>
      <c r="F1201"/>
      <c r="G1201"/>
      <c r="H1201"/>
      <c r="I1201"/>
      <c r="J1201"/>
      <c r="K1201"/>
    </row>
    <row r="1202" spans="1:11" x14ac:dyDescent="0.3">
      <c r="A1202"/>
      <c r="B1202"/>
      <c r="C1202"/>
      <c r="D1202"/>
      <c r="E1202"/>
      <c r="F1202"/>
      <c r="G1202"/>
      <c r="H1202"/>
      <c r="I1202"/>
      <c r="J1202"/>
      <c r="K1202"/>
    </row>
    <row r="1203" spans="1:11" x14ac:dyDescent="0.3">
      <c r="A1203"/>
      <c r="B1203"/>
      <c r="C1203"/>
      <c r="D1203"/>
      <c r="E1203"/>
      <c r="F1203"/>
      <c r="G1203"/>
      <c r="H1203"/>
      <c r="I1203"/>
      <c r="J1203"/>
      <c r="K1203"/>
    </row>
    <row r="1204" spans="1:11" x14ac:dyDescent="0.3">
      <c r="A1204"/>
      <c r="B1204"/>
      <c r="C1204"/>
      <c r="D1204"/>
      <c r="E1204"/>
      <c r="F1204"/>
      <c r="G1204"/>
      <c r="H1204"/>
      <c r="I1204"/>
      <c r="J1204"/>
      <c r="K1204"/>
    </row>
    <row r="1205" spans="1:11" x14ac:dyDescent="0.3">
      <c r="A1205"/>
      <c r="B1205"/>
      <c r="C1205"/>
      <c r="D1205"/>
      <c r="E1205"/>
      <c r="F1205"/>
      <c r="G1205"/>
      <c r="H1205"/>
      <c r="I1205"/>
      <c r="J1205"/>
      <c r="K1205"/>
    </row>
    <row r="1206" spans="1:11" x14ac:dyDescent="0.3">
      <c r="A1206"/>
      <c r="B1206"/>
      <c r="C1206"/>
      <c r="D1206"/>
      <c r="E1206"/>
      <c r="F1206"/>
      <c r="G1206"/>
      <c r="H1206"/>
      <c r="I1206"/>
      <c r="J1206"/>
      <c r="K1206"/>
    </row>
    <row r="1207" spans="1:11" x14ac:dyDescent="0.3">
      <c r="A1207"/>
      <c r="B1207"/>
      <c r="C1207"/>
      <c r="D1207"/>
      <c r="E1207"/>
      <c r="F1207"/>
      <c r="G1207"/>
      <c r="H1207"/>
      <c r="I1207"/>
      <c r="J1207"/>
      <c r="K1207"/>
    </row>
    <row r="1208" spans="1:11" x14ac:dyDescent="0.3">
      <c r="A1208"/>
      <c r="B1208"/>
      <c r="C1208"/>
      <c r="D1208"/>
      <c r="E1208"/>
      <c r="F1208"/>
      <c r="G1208"/>
      <c r="H1208"/>
      <c r="I1208"/>
      <c r="J1208"/>
      <c r="K1208"/>
    </row>
    <row r="1209" spans="1:11" x14ac:dyDescent="0.3">
      <c r="A1209"/>
      <c r="B1209"/>
      <c r="C1209"/>
      <c r="D1209"/>
      <c r="E1209"/>
      <c r="F1209"/>
      <c r="G1209"/>
      <c r="H1209"/>
      <c r="I1209"/>
      <c r="J1209"/>
      <c r="K1209"/>
    </row>
    <row r="1210" spans="1:11" x14ac:dyDescent="0.3">
      <c r="A1210"/>
      <c r="B1210"/>
      <c r="C1210"/>
      <c r="D1210"/>
      <c r="E1210"/>
      <c r="F1210"/>
      <c r="G1210"/>
      <c r="H1210"/>
      <c r="I1210"/>
      <c r="J1210"/>
      <c r="K1210"/>
    </row>
    <row r="1211" spans="1:11" x14ac:dyDescent="0.3">
      <c r="A1211"/>
      <c r="B1211"/>
      <c r="C1211"/>
      <c r="D1211"/>
      <c r="E1211"/>
      <c r="F1211"/>
      <c r="G1211"/>
      <c r="H1211"/>
      <c r="I1211"/>
      <c r="J1211"/>
      <c r="K1211"/>
    </row>
    <row r="1212" spans="1:11" x14ac:dyDescent="0.3">
      <c r="A1212"/>
      <c r="B1212"/>
      <c r="C1212"/>
      <c r="D1212"/>
      <c r="E1212"/>
      <c r="F1212"/>
      <c r="G1212"/>
      <c r="H1212"/>
      <c r="I1212"/>
      <c r="J1212"/>
      <c r="K1212"/>
    </row>
    <row r="1213" spans="1:11" x14ac:dyDescent="0.3">
      <c r="A1213"/>
      <c r="B1213"/>
      <c r="C1213"/>
      <c r="D1213"/>
      <c r="E1213"/>
      <c r="F1213"/>
      <c r="G1213"/>
      <c r="H1213"/>
      <c r="I1213"/>
      <c r="J1213"/>
      <c r="K1213"/>
    </row>
    <row r="1214" spans="1:11" x14ac:dyDescent="0.3">
      <c r="A1214"/>
      <c r="B1214"/>
      <c r="C1214"/>
      <c r="D1214"/>
      <c r="E1214"/>
      <c r="F1214"/>
      <c r="G1214"/>
      <c r="H1214"/>
      <c r="I1214"/>
      <c r="J1214"/>
      <c r="K1214"/>
    </row>
    <row r="1215" spans="1:11" x14ac:dyDescent="0.3">
      <c r="A1215"/>
      <c r="B1215"/>
      <c r="C1215"/>
      <c r="D1215"/>
      <c r="E1215"/>
      <c r="F1215"/>
      <c r="G1215"/>
      <c r="H1215"/>
      <c r="I1215"/>
      <c r="J1215"/>
      <c r="K1215"/>
    </row>
    <row r="1216" spans="1:11" x14ac:dyDescent="0.3">
      <c r="A1216"/>
      <c r="B1216"/>
      <c r="C1216"/>
      <c r="D1216"/>
      <c r="E1216"/>
      <c r="F1216"/>
      <c r="G1216"/>
      <c r="H1216"/>
      <c r="I1216"/>
      <c r="J1216"/>
      <c r="K1216"/>
    </row>
    <row r="1217" spans="1:11" x14ac:dyDescent="0.3">
      <c r="A1217"/>
      <c r="B1217"/>
      <c r="C1217"/>
      <c r="D1217"/>
      <c r="E1217"/>
      <c r="F1217"/>
      <c r="G1217"/>
      <c r="H1217"/>
      <c r="I1217"/>
      <c r="J1217"/>
      <c r="K1217"/>
    </row>
    <row r="1218" spans="1:11" x14ac:dyDescent="0.3">
      <c r="A1218"/>
      <c r="B1218"/>
      <c r="C1218"/>
      <c r="D1218"/>
      <c r="E1218"/>
      <c r="F1218"/>
      <c r="G1218"/>
      <c r="H1218"/>
      <c r="I1218"/>
      <c r="J1218"/>
      <c r="K1218"/>
    </row>
    <row r="1219" spans="1:11" x14ac:dyDescent="0.3">
      <c r="A1219"/>
      <c r="B1219"/>
      <c r="C1219"/>
      <c r="D1219"/>
      <c r="E1219"/>
      <c r="F1219"/>
      <c r="G1219"/>
      <c r="H1219"/>
      <c r="I1219"/>
      <c r="J1219"/>
      <c r="K1219"/>
    </row>
    <row r="1220" spans="1:11" x14ac:dyDescent="0.3">
      <c r="A1220"/>
      <c r="B1220"/>
      <c r="C1220"/>
      <c r="D1220"/>
      <c r="E1220"/>
      <c r="F1220"/>
      <c r="G1220"/>
      <c r="H1220"/>
      <c r="I1220"/>
      <c r="J1220"/>
      <c r="K1220"/>
    </row>
    <row r="1221" spans="1:11" x14ac:dyDescent="0.3">
      <c r="A1221"/>
      <c r="B1221"/>
      <c r="C1221"/>
      <c r="D1221"/>
      <c r="E1221"/>
      <c r="F1221"/>
      <c r="G1221"/>
      <c r="H1221"/>
      <c r="I1221"/>
      <c r="J1221"/>
      <c r="K1221"/>
    </row>
    <row r="1222" spans="1:11" x14ac:dyDescent="0.3">
      <c r="A1222"/>
      <c r="B1222"/>
      <c r="C1222"/>
      <c r="D1222"/>
      <c r="E1222"/>
      <c r="F1222"/>
      <c r="G1222"/>
      <c r="H1222"/>
      <c r="I1222"/>
      <c r="J1222"/>
      <c r="K1222"/>
    </row>
    <row r="1223" spans="1:11" x14ac:dyDescent="0.3">
      <c r="A1223"/>
      <c r="B1223"/>
      <c r="C1223"/>
      <c r="D1223"/>
      <c r="E1223"/>
      <c r="F1223"/>
      <c r="G1223"/>
      <c r="H1223"/>
      <c r="I1223"/>
      <c r="J1223"/>
      <c r="K1223"/>
    </row>
    <row r="1224" spans="1:11" x14ac:dyDescent="0.3">
      <c r="A1224"/>
      <c r="B1224"/>
      <c r="C1224"/>
      <c r="D1224"/>
      <c r="E1224"/>
      <c r="F1224"/>
      <c r="G1224"/>
      <c r="H1224"/>
      <c r="I1224"/>
      <c r="J1224"/>
      <c r="K1224"/>
    </row>
    <row r="1225" spans="1:11" x14ac:dyDescent="0.3">
      <c r="A1225"/>
      <c r="B1225"/>
      <c r="C1225"/>
      <c r="D1225"/>
      <c r="E1225"/>
      <c r="F1225"/>
      <c r="G1225"/>
      <c r="H1225"/>
      <c r="I1225"/>
      <c r="J1225"/>
      <c r="K1225"/>
    </row>
    <row r="1226" spans="1:11" x14ac:dyDescent="0.3">
      <c r="A1226"/>
      <c r="B1226"/>
      <c r="C1226"/>
      <c r="D1226"/>
      <c r="E1226"/>
      <c r="F1226"/>
      <c r="G1226"/>
      <c r="H1226"/>
      <c r="I1226"/>
      <c r="J1226"/>
      <c r="K1226"/>
    </row>
    <row r="1227" spans="1:11" x14ac:dyDescent="0.3">
      <c r="A1227"/>
      <c r="B1227"/>
      <c r="C1227"/>
      <c r="D1227"/>
      <c r="E1227"/>
      <c r="F1227"/>
      <c r="G1227"/>
      <c r="H1227"/>
      <c r="I1227"/>
      <c r="J1227"/>
      <c r="K1227"/>
    </row>
    <row r="1228" spans="1:11" x14ac:dyDescent="0.3">
      <c r="A1228"/>
      <c r="B1228"/>
      <c r="C1228"/>
      <c r="D1228"/>
      <c r="E1228"/>
      <c r="F1228"/>
      <c r="G1228"/>
      <c r="H1228"/>
      <c r="I1228"/>
      <c r="J1228"/>
      <c r="K1228"/>
    </row>
    <row r="1229" spans="1:11" x14ac:dyDescent="0.3">
      <c r="A1229"/>
      <c r="B1229"/>
      <c r="C1229"/>
      <c r="D1229"/>
      <c r="E1229"/>
      <c r="F1229"/>
      <c r="G1229"/>
      <c r="H1229"/>
      <c r="I1229"/>
      <c r="J1229"/>
      <c r="K1229"/>
    </row>
    <row r="1230" spans="1:11" x14ac:dyDescent="0.3">
      <c r="A1230"/>
      <c r="B1230"/>
      <c r="C1230"/>
      <c r="D1230"/>
      <c r="E1230"/>
      <c r="F1230"/>
      <c r="G1230"/>
      <c r="H1230"/>
      <c r="I1230"/>
      <c r="J1230"/>
      <c r="K1230"/>
    </row>
    <row r="1231" spans="1:11" x14ac:dyDescent="0.3">
      <c r="A1231"/>
      <c r="B1231"/>
      <c r="C1231"/>
      <c r="D1231"/>
      <c r="E1231"/>
      <c r="F1231"/>
      <c r="G1231"/>
      <c r="H1231"/>
      <c r="I1231"/>
      <c r="J1231"/>
      <c r="K1231"/>
    </row>
    <row r="1232" spans="1:11" x14ac:dyDescent="0.3">
      <c r="A1232"/>
      <c r="B1232"/>
      <c r="C1232"/>
      <c r="D1232"/>
      <c r="E1232"/>
      <c r="F1232"/>
      <c r="G1232"/>
      <c r="H1232"/>
      <c r="I1232"/>
      <c r="J1232"/>
      <c r="K1232"/>
    </row>
    <row r="1233" spans="1:11" x14ac:dyDescent="0.3">
      <c r="A1233"/>
      <c r="B1233"/>
      <c r="C1233"/>
      <c r="D1233"/>
      <c r="E1233"/>
      <c r="F1233"/>
      <c r="G1233"/>
      <c r="H1233"/>
      <c r="I1233"/>
      <c r="J1233"/>
      <c r="K1233"/>
    </row>
    <row r="1234" spans="1:11" x14ac:dyDescent="0.3">
      <c r="A1234"/>
      <c r="B1234"/>
      <c r="C1234"/>
      <c r="D1234"/>
      <c r="E1234"/>
      <c r="F1234"/>
      <c r="G1234"/>
      <c r="H1234"/>
      <c r="I1234"/>
      <c r="J1234"/>
      <c r="K1234"/>
    </row>
    <row r="1235" spans="1:11" x14ac:dyDescent="0.3">
      <c r="A1235"/>
      <c r="B1235"/>
      <c r="C1235"/>
      <c r="D1235"/>
      <c r="E1235"/>
      <c r="F1235"/>
      <c r="G1235"/>
      <c r="H1235"/>
      <c r="I1235"/>
      <c r="J1235"/>
      <c r="K1235"/>
    </row>
    <row r="1236" spans="1:11" x14ac:dyDescent="0.3">
      <c r="A1236"/>
      <c r="B1236"/>
      <c r="C1236"/>
      <c r="D1236"/>
      <c r="E1236"/>
      <c r="F1236"/>
      <c r="G1236"/>
      <c r="H1236"/>
      <c r="I1236"/>
      <c r="J1236"/>
      <c r="K1236"/>
    </row>
    <row r="1237" spans="1:11" x14ac:dyDescent="0.3">
      <c r="A1237"/>
      <c r="B1237"/>
      <c r="C1237"/>
      <c r="D1237"/>
      <c r="E1237"/>
      <c r="F1237"/>
      <c r="G1237"/>
      <c r="H1237"/>
      <c r="I1237"/>
      <c r="J1237"/>
      <c r="K1237"/>
    </row>
    <row r="1238" spans="1:11" x14ac:dyDescent="0.3">
      <c r="A1238"/>
      <c r="B1238"/>
      <c r="C1238"/>
      <c r="D1238"/>
      <c r="E1238"/>
      <c r="F1238"/>
      <c r="G1238"/>
      <c r="H1238"/>
      <c r="I1238"/>
      <c r="J1238"/>
      <c r="K1238"/>
    </row>
    <row r="1239" spans="1:11" x14ac:dyDescent="0.3">
      <c r="A1239"/>
      <c r="B1239"/>
      <c r="C1239"/>
      <c r="D1239"/>
      <c r="E1239"/>
      <c r="F1239"/>
      <c r="G1239"/>
      <c r="H1239"/>
      <c r="I1239"/>
      <c r="J1239"/>
      <c r="K1239"/>
    </row>
    <row r="1240" spans="1:11" x14ac:dyDescent="0.3">
      <c r="A1240"/>
      <c r="B1240"/>
      <c r="C1240"/>
      <c r="D1240"/>
      <c r="E1240"/>
      <c r="F1240"/>
      <c r="G1240"/>
      <c r="H1240"/>
      <c r="I1240"/>
      <c r="J1240"/>
      <c r="K1240"/>
    </row>
    <row r="1241" spans="1:11" x14ac:dyDescent="0.3">
      <c r="A1241"/>
      <c r="B1241"/>
      <c r="C1241"/>
      <c r="D1241"/>
      <c r="E1241"/>
      <c r="F1241"/>
      <c r="G1241"/>
      <c r="H1241"/>
      <c r="I1241"/>
      <c r="J1241"/>
      <c r="K1241"/>
    </row>
    <row r="1242" spans="1:11" x14ac:dyDescent="0.3">
      <c r="A1242"/>
      <c r="B1242"/>
      <c r="C1242"/>
      <c r="D1242"/>
      <c r="E1242"/>
      <c r="F1242"/>
      <c r="G1242"/>
      <c r="H1242"/>
      <c r="I1242"/>
      <c r="J1242"/>
      <c r="K1242"/>
    </row>
    <row r="1243" spans="1:11" x14ac:dyDescent="0.3">
      <c r="A1243"/>
      <c r="B1243"/>
      <c r="C1243"/>
      <c r="D1243"/>
      <c r="E1243"/>
      <c r="F1243"/>
      <c r="G1243"/>
      <c r="H1243"/>
      <c r="I1243"/>
      <c r="J1243"/>
      <c r="K1243"/>
    </row>
    <row r="1244" spans="1:11" x14ac:dyDescent="0.3">
      <c r="A1244"/>
      <c r="B1244"/>
      <c r="C1244"/>
      <c r="D1244"/>
      <c r="E1244"/>
      <c r="F1244"/>
      <c r="G1244"/>
      <c r="H1244"/>
      <c r="I1244"/>
      <c r="J1244"/>
      <c r="K1244"/>
    </row>
    <row r="1245" spans="1:11" x14ac:dyDescent="0.3">
      <c r="A1245"/>
      <c r="B1245"/>
      <c r="C1245"/>
      <c r="D1245"/>
      <c r="E1245"/>
      <c r="F1245"/>
      <c r="G1245"/>
      <c r="H1245"/>
      <c r="I1245"/>
      <c r="J1245"/>
      <c r="K1245"/>
    </row>
    <row r="1246" spans="1:11" x14ac:dyDescent="0.3">
      <c r="A1246"/>
      <c r="B1246"/>
      <c r="C1246"/>
      <c r="D1246"/>
      <c r="E1246"/>
      <c r="F1246"/>
      <c r="G1246"/>
      <c r="H1246"/>
      <c r="I1246"/>
      <c r="J1246"/>
      <c r="K1246"/>
    </row>
    <row r="1247" spans="1:11" x14ac:dyDescent="0.3">
      <c r="A1247"/>
      <c r="B1247"/>
      <c r="C1247"/>
      <c r="D1247"/>
      <c r="E1247"/>
      <c r="F1247"/>
      <c r="G1247"/>
      <c r="H1247"/>
      <c r="I1247"/>
      <c r="J1247"/>
      <c r="K1247"/>
    </row>
    <row r="1248" spans="1:11" x14ac:dyDescent="0.3">
      <c r="A1248"/>
      <c r="B1248"/>
      <c r="C1248"/>
      <c r="D1248"/>
      <c r="E1248"/>
      <c r="F1248"/>
      <c r="G1248"/>
      <c r="H1248"/>
      <c r="I1248"/>
      <c r="J1248"/>
      <c r="K1248"/>
    </row>
    <row r="1249" spans="1:11" x14ac:dyDescent="0.3">
      <c r="A1249"/>
      <c r="B1249"/>
      <c r="C1249"/>
      <c r="D1249"/>
      <c r="E1249"/>
      <c r="F1249"/>
      <c r="G1249"/>
      <c r="H1249"/>
      <c r="I1249"/>
      <c r="J1249"/>
      <c r="K1249"/>
    </row>
    <row r="1250" spans="1:11" x14ac:dyDescent="0.3">
      <c r="A1250"/>
      <c r="B1250"/>
      <c r="C1250"/>
      <c r="D1250"/>
      <c r="E1250"/>
      <c r="F1250"/>
      <c r="G1250"/>
      <c r="H1250"/>
      <c r="I1250"/>
      <c r="J1250"/>
      <c r="K1250"/>
    </row>
    <row r="1251" spans="1:11" x14ac:dyDescent="0.3">
      <c r="A1251"/>
      <c r="B1251"/>
      <c r="C1251"/>
      <c r="D1251"/>
      <c r="E1251"/>
      <c r="F1251"/>
      <c r="G1251"/>
      <c r="H1251"/>
      <c r="I1251"/>
      <c r="J1251"/>
      <c r="K1251"/>
    </row>
    <row r="1252" spans="1:11" x14ac:dyDescent="0.3">
      <c r="A1252"/>
      <c r="B1252"/>
      <c r="C1252"/>
      <c r="D1252"/>
      <c r="E1252"/>
      <c r="F1252"/>
      <c r="G1252"/>
      <c r="H1252"/>
      <c r="I1252"/>
      <c r="J1252"/>
      <c r="K1252"/>
    </row>
    <row r="1253" spans="1:11" x14ac:dyDescent="0.3">
      <c r="A1253"/>
      <c r="B1253"/>
      <c r="C1253"/>
      <c r="D1253"/>
      <c r="E1253"/>
      <c r="F1253"/>
      <c r="G1253"/>
      <c r="H1253"/>
      <c r="I1253"/>
      <c r="J1253"/>
      <c r="K1253"/>
    </row>
    <row r="1254" spans="1:11" x14ac:dyDescent="0.3">
      <c r="A1254"/>
      <c r="B1254"/>
      <c r="C1254"/>
      <c r="D1254"/>
      <c r="E1254"/>
      <c r="F1254"/>
      <c r="G1254"/>
      <c r="H1254"/>
      <c r="I1254"/>
      <c r="J1254"/>
      <c r="K1254"/>
    </row>
    <row r="1255" spans="1:11" x14ac:dyDescent="0.3">
      <c r="A1255"/>
      <c r="B1255"/>
      <c r="C1255"/>
      <c r="D1255"/>
      <c r="E1255"/>
      <c r="F1255"/>
      <c r="G1255"/>
      <c r="H1255"/>
      <c r="I1255"/>
      <c r="J1255"/>
      <c r="K1255"/>
    </row>
    <row r="1256" spans="1:11" x14ac:dyDescent="0.3">
      <c r="A1256"/>
      <c r="B1256"/>
      <c r="C1256"/>
      <c r="D1256"/>
      <c r="E1256"/>
      <c r="F1256"/>
      <c r="G1256"/>
      <c r="H1256"/>
      <c r="I1256"/>
      <c r="J1256"/>
      <c r="K1256"/>
    </row>
    <row r="1257" spans="1:11" x14ac:dyDescent="0.3">
      <c r="A1257"/>
      <c r="B1257"/>
      <c r="C1257"/>
      <c r="D1257"/>
      <c r="E1257"/>
      <c r="F1257"/>
      <c r="G1257"/>
      <c r="H1257"/>
      <c r="I1257"/>
      <c r="J1257"/>
      <c r="K1257"/>
    </row>
    <row r="1258" spans="1:11" x14ac:dyDescent="0.3">
      <c r="A1258"/>
      <c r="B1258"/>
      <c r="C1258"/>
      <c r="D1258"/>
      <c r="E1258"/>
      <c r="F1258"/>
      <c r="G1258"/>
      <c r="H1258"/>
      <c r="I1258"/>
      <c r="J1258"/>
      <c r="K1258"/>
    </row>
    <row r="1259" spans="1:11" x14ac:dyDescent="0.3">
      <c r="A1259"/>
      <c r="B1259"/>
      <c r="C1259"/>
      <c r="D1259"/>
      <c r="E1259"/>
      <c r="F1259"/>
      <c r="G1259"/>
      <c r="H1259"/>
      <c r="I1259"/>
      <c r="J1259"/>
      <c r="K1259"/>
    </row>
    <row r="1260" spans="1:11" x14ac:dyDescent="0.3">
      <c r="A1260"/>
      <c r="B1260"/>
      <c r="C1260"/>
      <c r="D1260"/>
      <c r="E1260"/>
      <c r="F1260"/>
      <c r="G1260"/>
      <c r="H1260"/>
      <c r="I1260"/>
      <c r="J1260"/>
      <c r="K1260"/>
    </row>
    <row r="1261" spans="1:11" x14ac:dyDescent="0.3">
      <c r="A1261"/>
      <c r="B1261"/>
      <c r="C1261"/>
      <c r="D1261"/>
      <c r="E1261"/>
      <c r="F1261"/>
      <c r="G1261"/>
      <c r="H1261"/>
      <c r="I1261"/>
      <c r="J1261"/>
      <c r="K1261"/>
    </row>
    <row r="1262" spans="1:11" x14ac:dyDescent="0.3">
      <c r="A1262"/>
      <c r="B1262"/>
      <c r="C1262"/>
      <c r="D1262"/>
      <c r="E1262"/>
      <c r="F1262"/>
      <c r="G1262"/>
      <c r="H1262"/>
      <c r="I1262"/>
      <c r="J1262"/>
      <c r="K1262"/>
    </row>
    <row r="1263" spans="1:11" x14ac:dyDescent="0.3">
      <c r="A1263"/>
      <c r="B1263"/>
      <c r="C1263"/>
      <c r="D1263"/>
      <c r="E1263"/>
      <c r="F1263"/>
      <c r="G1263"/>
      <c r="H1263"/>
      <c r="I1263"/>
      <c r="J1263"/>
      <c r="K1263"/>
    </row>
    <row r="1264" spans="1:11" x14ac:dyDescent="0.3">
      <c r="A1264"/>
      <c r="B1264"/>
      <c r="C1264"/>
      <c r="D1264"/>
      <c r="E1264"/>
      <c r="F1264"/>
      <c r="G1264"/>
      <c r="H1264"/>
      <c r="I1264"/>
      <c r="J1264"/>
      <c r="K1264"/>
    </row>
    <row r="1265" spans="1:11" x14ac:dyDescent="0.3">
      <c r="A1265"/>
      <c r="B1265"/>
      <c r="C1265"/>
      <c r="D1265"/>
      <c r="E1265"/>
      <c r="F1265"/>
      <c r="G1265"/>
      <c r="H1265"/>
      <c r="I1265"/>
      <c r="J1265"/>
      <c r="K1265"/>
    </row>
    <row r="1266" spans="1:11" x14ac:dyDescent="0.3">
      <c r="A1266"/>
      <c r="B1266"/>
      <c r="C1266"/>
      <c r="D1266"/>
      <c r="E1266"/>
      <c r="F1266"/>
      <c r="G1266"/>
      <c r="H1266"/>
      <c r="I1266"/>
      <c r="J1266"/>
      <c r="K1266"/>
    </row>
    <row r="1267" spans="1:11" x14ac:dyDescent="0.3">
      <c r="A1267"/>
      <c r="B1267"/>
      <c r="C1267"/>
      <c r="D1267"/>
      <c r="E1267"/>
      <c r="F1267"/>
      <c r="G1267"/>
      <c r="H1267"/>
      <c r="I1267"/>
      <c r="J1267"/>
      <c r="K1267"/>
    </row>
    <row r="1268" spans="1:11" x14ac:dyDescent="0.3">
      <c r="A1268"/>
      <c r="B1268"/>
      <c r="C1268"/>
      <c r="D1268"/>
      <c r="E1268"/>
      <c r="F1268"/>
      <c r="G1268"/>
      <c r="H1268"/>
      <c r="I1268"/>
      <c r="J1268"/>
      <c r="K1268"/>
    </row>
    <row r="1269" spans="1:11" x14ac:dyDescent="0.3">
      <c r="A1269"/>
      <c r="B1269"/>
      <c r="C1269"/>
      <c r="D1269"/>
      <c r="E1269"/>
      <c r="F1269"/>
      <c r="G1269"/>
      <c r="H1269"/>
      <c r="I1269"/>
      <c r="J1269"/>
      <c r="K1269"/>
    </row>
    <row r="1270" spans="1:11" x14ac:dyDescent="0.3">
      <c r="A1270"/>
      <c r="B1270"/>
      <c r="C1270"/>
      <c r="D1270"/>
      <c r="E1270"/>
      <c r="F1270"/>
      <c r="G1270"/>
      <c r="H1270"/>
      <c r="I1270"/>
      <c r="J1270"/>
      <c r="K1270"/>
    </row>
    <row r="1271" spans="1:11" x14ac:dyDescent="0.3">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x14ac:dyDescent="0.2"/>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x14ac:dyDescent="0.2">
      <c r="C1" s="42"/>
      <c r="K1" s="42"/>
      <c r="L1" s="46"/>
      <c r="M1" s="42"/>
      <c r="N1" s="42"/>
      <c r="O1" s="42"/>
      <c r="P1" s="42"/>
      <c r="Q1" s="42"/>
      <c r="R1" s="42"/>
      <c r="S1" s="42"/>
    </row>
    <row r="2" spans="3:26" ht="12" customHeight="1" x14ac:dyDescent="0.2"/>
    <row r="3" spans="3:26" ht="12" customHeight="1" x14ac:dyDescent="0.2">
      <c r="C3" s="67" t="s">
        <v>592</v>
      </c>
      <c r="K3" s="67" t="s">
        <v>608</v>
      </c>
    </row>
    <row r="5" spans="3:26" ht="24" x14ac:dyDescent="0.2">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x14ac:dyDescent="0.2">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x14ac:dyDescent="0.2">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x14ac:dyDescent="0.2">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x14ac:dyDescent="0.25">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6" t="s">
        <v>585</v>
      </c>
      <c r="V9" s="216"/>
      <c r="W9" s="171">
        <f>SUM(W6:W8)</f>
        <v>15</v>
      </c>
      <c r="X9" s="171">
        <f>SUM(X6:X8)</f>
        <v>3</v>
      </c>
      <c r="Y9" s="171">
        <f>SUM(Y6:Y8)</f>
        <v>6</v>
      </c>
      <c r="Z9" s="171">
        <f>SUM(Z6:Z8)</f>
        <v>6</v>
      </c>
    </row>
    <row r="10" spans="3:26" ht="22.8" x14ac:dyDescent="0.2">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x14ac:dyDescent="0.2">
      <c r="C11" s="185"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x14ac:dyDescent="0.2">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x14ac:dyDescent="0.2">
      <c r="C13" s="185"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x14ac:dyDescent="0.2">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x14ac:dyDescent="0.2">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x14ac:dyDescent="0.2">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x14ac:dyDescent="0.2">
      <c r="C17" s="182" t="s">
        <v>583</v>
      </c>
      <c r="D17" s="183">
        <f>GETPIVOTDATA("Suma de No. Planes de Acción",Calculos!$A$72,"Responsable","OFICINA DE COMUNICACIONES")</f>
        <v>4</v>
      </c>
      <c r="E17" s="183">
        <f>GETPIVOTDATA("Suma de Abiertos",Calculos!$A$72,"Responsable","OFICINA DE COMUNICACIONES")</f>
        <v>0</v>
      </c>
      <c r="F17" s="184">
        <f>GETPIVOTDATA("Suma de Vencidos",Calculos!$A$72,"Responsable","OFICINA DE COMUNICACIONES")</f>
        <v>2</v>
      </c>
      <c r="G17" s="183">
        <f>GETPIVOTDATA("Suma de Finalizados",Calculos!$A$72,"Responsable","OFICINA DE COMUNICACIONES")</f>
        <v>2</v>
      </c>
      <c r="H17" s="40"/>
      <c r="I17" s="183">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x14ac:dyDescent="0.2">
      <c r="C18" s="185"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x14ac:dyDescent="0.2">
      <c r="C19" s="41" t="s">
        <v>585</v>
      </c>
      <c r="D19" s="41">
        <f>SUM(D6:D18)</f>
        <v>145</v>
      </c>
      <c r="E19" s="41">
        <f>SUM(E6:E18)</f>
        <v>28</v>
      </c>
      <c r="F19" s="41">
        <f>SUM(F6:F18)</f>
        <v>18</v>
      </c>
      <c r="G19" s="173">
        <f>SUM(G6:G18)</f>
        <v>99</v>
      </c>
      <c r="H19" s="35"/>
      <c r="I19" s="173">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x14ac:dyDescent="0.2">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x14ac:dyDescent="0.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x14ac:dyDescent="0.25">
      <c r="K22" s="39">
        <v>2025</v>
      </c>
      <c r="L22" s="19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x14ac:dyDescent="0.2">
      <c r="C23" s="9" t="s">
        <v>572</v>
      </c>
      <c r="D23" s="61" t="s">
        <v>573</v>
      </c>
      <c r="E23" s="61" t="s">
        <v>574</v>
      </c>
      <c r="F23" s="62" t="s">
        <v>575</v>
      </c>
      <c r="G23" s="63" t="s">
        <v>576</v>
      </c>
      <c r="H23" s="35"/>
      <c r="I23" s="63" t="s">
        <v>587</v>
      </c>
      <c r="K23" s="39">
        <v>2026</v>
      </c>
      <c r="L23" s="19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x14ac:dyDescent="0.2">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17" t="s">
        <v>585</v>
      </c>
      <c r="L24" s="217"/>
      <c r="M24" s="34">
        <f>SUM(M6:M23)</f>
        <v>119</v>
      </c>
      <c r="N24" s="34">
        <f>SUM(N6:N23)</f>
        <v>163</v>
      </c>
      <c r="O24" s="34">
        <f>SUM(O6:O23)</f>
        <v>31</v>
      </c>
      <c r="P24" s="34">
        <f>SUM(P6:P23)</f>
        <v>26</v>
      </c>
      <c r="Q24" s="34">
        <f>SUM(Q6:Q23)</f>
        <v>106</v>
      </c>
      <c r="R24" s="48"/>
      <c r="S24" s="34">
        <f>SUM(S6:S23)</f>
        <v>1</v>
      </c>
    </row>
    <row r="25" spans="3:20" ht="45.6" x14ac:dyDescent="0.2">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x14ac:dyDescent="0.2">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x14ac:dyDescent="0.2">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x14ac:dyDescent="0.2">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x14ac:dyDescent="0.2">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x14ac:dyDescent="0.2">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x14ac:dyDescent="0.2">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x14ac:dyDescent="0.2">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x14ac:dyDescent="0.2">
      <c r="C33" s="102"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x14ac:dyDescent="0.2">
      <c r="C34" s="41" t="s">
        <v>585</v>
      </c>
      <c r="D34" s="41">
        <f>SUM(D24:D33)</f>
        <v>18</v>
      </c>
      <c r="E34" s="41">
        <f>SUM(E24:E33)</f>
        <v>3</v>
      </c>
      <c r="F34" s="41">
        <f>SUM(F24:F33)</f>
        <v>8</v>
      </c>
      <c r="G34" s="173">
        <f>SUM(G24:G33)</f>
        <v>7</v>
      </c>
      <c r="H34" s="35"/>
      <c r="I34" s="34">
        <f>SUM(I24:I33)</f>
        <v>0</v>
      </c>
    </row>
    <row r="35" spans="3:36" x14ac:dyDescent="0.2">
      <c r="D35" s="40"/>
      <c r="E35" s="40"/>
      <c r="F35" s="40"/>
      <c r="G35" s="40"/>
      <c r="H35" s="40"/>
      <c r="I35" s="40"/>
    </row>
    <row r="36" spans="3:36" x14ac:dyDescent="0.2">
      <c r="D36" s="40"/>
      <c r="E36" s="40"/>
      <c r="F36" s="40"/>
      <c r="G36" s="40"/>
      <c r="H36" s="40"/>
      <c r="I36" s="40"/>
    </row>
    <row r="37" spans="3:36" x14ac:dyDescent="0.2">
      <c r="C37" s="43" t="s">
        <v>602</v>
      </c>
      <c r="D37" s="40"/>
      <c r="E37" s="40"/>
      <c r="F37" s="40"/>
      <c r="G37" s="40"/>
      <c r="H37" s="40"/>
      <c r="I37" s="40"/>
    </row>
    <row r="38" spans="3:36" x14ac:dyDescent="0.2">
      <c r="D38" s="40"/>
      <c r="E38" s="40"/>
      <c r="F38" s="40"/>
      <c r="G38" s="40"/>
      <c r="H38" s="40"/>
      <c r="I38" s="40"/>
    </row>
    <row r="39" spans="3:36" ht="24" x14ac:dyDescent="0.2">
      <c r="C39" s="218" t="s">
        <v>573</v>
      </c>
      <c r="D39" s="61" t="s">
        <v>573</v>
      </c>
      <c r="E39" s="61" t="s">
        <v>574</v>
      </c>
      <c r="F39" s="63" t="s">
        <v>575</v>
      </c>
      <c r="G39" s="63" t="s">
        <v>576</v>
      </c>
      <c r="H39" s="35"/>
      <c r="I39" s="63" t="s">
        <v>587</v>
      </c>
    </row>
    <row r="40" spans="3:36" ht="12" x14ac:dyDescent="0.2">
      <c r="C40" s="219"/>
      <c r="D40" s="49">
        <f>+D19+D34</f>
        <v>163</v>
      </c>
      <c r="E40" s="49">
        <f>+E19+E34</f>
        <v>31</v>
      </c>
      <c r="F40" s="49">
        <f>+F19+F34</f>
        <v>26</v>
      </c>
      <c r="G40" s="49">
        <f>+G19+G34</f>
        <v>106</v>
      </c>
      <c r="H40" s="48"/>
      <c r="I40" s="49">
        <f>+I19+I34</f>
        <v>1</v>
      </c>
    </row>
    <row r="41" spans="3:36" x14ac:dyDescent="0.2">
      <c r="D41" s="40"/>
      <c r="E41" s="40"/>
      <c r="F41" s="40"/>
      <c r="G41" s="40"/>
      <c r="H41" s="40"/>
      <c r="I41" s="40"/>
    </row>
    <row r="42" spans="3:36" x14ac:dyDescent="0.2">
      <c r="D42" s="40"/>
      <c r="E42" s="40"/>
      <c r="F42" s="40"/>
      <c r="G42" s="40"/>
      <c r="H42" s="40"/>
      <c r="I42" s="40"/>
    </row>
    <row r="43" spans="3:36" ht="12" x14ac:dyDescent="0.2">
      <c r="H43" s="40"/>
      <c r="I43" s="40"/>
      <c r="U43" s="61" t="s">
        <v>573</v>
      </c>
      <c r="V43" s="61" t="s">
        <v>574</v>
      </c>
      <c r="W43" s="62" t="s">
        <v>575</v>
      </c>
      <c r="X43" s="63" t="s">
        <v>576</v>
      </c>
      <c r="Y43" s="35"/>
      <c r="Z43" s="63" t="s">
        <v>587</v>
      </c>
    </row>
    <row r="44" spans="3:36" ht="13.2" x14ac:dyDescent="0.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x14ac:dyDescent="0.2">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x14ac:dyDescent="0.2">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x14ac:dyDescent="0.2">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x14ac:dyDescent="0.2">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x14ac:dyDescent="0.2">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x14ac:dyDescent="0.2">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x14ac:dyDescent="0.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x14ac:dyDescent="0.2">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x14ac:dyDescent="0.2">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x14ac:dyDescent="0.2">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x14ac:dyDescent="0.2">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x14ac:dyDescent="0.2">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x14ac:dyDescent="0.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x14ac:dyDescent="0.2">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x14ac:dyDescent="0.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x14ac:dyDescent="0.2">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x14ac:dyDescent="0.2">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x14ac:dyDescent="0.2">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x14ac:dyDescent="0.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17" t="s">
        <v>585</v>
      </c>
      <c r="AC63" s="217"/>
      <c r="AD63" s="34">
        <f>SUM(AD47:AD62)</f>
        <v>101</v>
      </c>
      <c r="AE63" s="34">
        <f>SUM(AE47:AE62)</f>
        <v>145</v>
      </c>
      <c r="AF63" s="34">
        <f>SUM(AF47:AF62)</f>
        <v>16</v>
      </c>
      <c r="AG63" s="34">
        <f>SUM(AG47:AG62)</f>
        <v>24</v>
      </c>
      <c r="AH63" s="34">
        <f>SUM(AH47:AH62)</f>
        <v>105</v>
      </c>
      <c r="AI63" s="48"/>
      <c r="AJ63" s="34">
        <f>SUM(AJ47:AJ62)</f>
        <v>1</v>
      </c>
    </row>
    <row r="64" spans="20:36" ht="79.8" x14ac:dyDescent="0.2">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x14ac:dyDescent="0.2">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x14ac:dyDescent="0.2">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x14ac:dyDescent="0.2">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x14ac:dyDescent="0.2">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x14ac:dyDescent="0.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x14ac:dyDescent="0.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x14ac:dyDescent="0.2">
      <c r="T71" s="45" t="s">
        <v>600</v>
      </c>
      <c r="U71" s="40"/>
      <c r="V71" s="40"/>
      <c r="W71" s="40"/>
      <c r="X71" s="40"/>
      <c r="Y71" s="40"/>
      <c r="Z71" s="40"/>
      <c r="AB71" s="43"/>
      <c r="AC71" s="7"/>
      <c r="AD71" s="43"/>
      <c r="AE71" s="43"/>
      <c r="AF71" s="43"/>
      <c r="AG71" s="43"/>
      <c r="AH71" s="43"/>
      <c r="AI71" s="43"/>
      <c r="AJ71" s="43"/>
    </row>
    <row r="72" spans="20:52" ht="102.6" x14ac:dyDescent="0.2">
      <c r="T72" s="45" t="s">
        <v>601</v>
      </c>
      <c r="U72" s="40"/>
      <c r="V72" s="40"/>
      <c r="W72" s="40"/>
      <c r="X72" s="40"/>
      <c r="Y72" s="40"/>
      <c r="Z72" s="40"/>
      <c r="AB72" s="43"/>
      <c r="AC72" s="7"/>
      <c r="AD72" s="43"/>
      <c r="AE72" s="43"/>
      <c r="AF72" s="43"/>
      <c r="AG72" s="43"/>
      <c r="AH72" s="43"/>
      <c r="AI72" s="43"/>
      <c r="AJ72" s="43"/>
    </row>
    <row r="73" spans="20:52" ht="12" x14ac:dyDescent="0.2">
      <c r="T73" s="41" t="s">
        <v>585</v>
      </c>
      <c r="U73" s="40"/>
      <c r="V73" s="40"/>
      <c r="W73" s="40"/>
      <c r="X73" s="40"/>
      <c r="Y73" s="40"/>
      <c r="Z73" s="40"/>
      <c r="AB73" s="43"/>
      <c r="AC73" s="7"/>
      <c r="AD73" s="43"/>
      <c r="AE73" s="43"/>
      <c r="AF73" s="43"/>
      <c r="AG73" s="43"/>
      <c r="AH73" s="43"/>
      <c r="AI73" s="43"/>
      <c r="AJ73" s="43"/>
    </row>
    <row r="74" spans="20:52" x14ac:dyDescent="0.2">
      <c r="T74" s="43"/>
      <c r="U74" s="40"/>
      <c r="V74" s="40"/>
      <c r="W74" s="40"/>
      <c r="X74" s="40"/>
      <c r="Y74" s="40"/>
      <c r="Z74" s="40"/>
      <c r="AB74" s="43"/>
      <c r="AC74" s="7"/>
      <c r="AD74" s="43"/>
      <c r="AE74" s="43"/>
      <c r="AF74" s="43"/>
      <c r="AG74" s="43"/>
      <c r="AH74" s="43"/>
      <c r="AI74" s="43"/>
      <c r="AJ74" s="43"/>
    </row>
    <row r="75" spans="20:52" ht="12" x14ac:dyDescent="0.2">
      <c r="T75" s="43"/>
      <c r="U75" s="61" t="s">
        <v>573</v>
      </c>
      <c r="V75" s="61" t="s">
        <v>574</v>
      </c>
      <c r="W75" s="63" t="s">
        <v>575</v>
      </c>
      <c r="X75" s="63" t="s">
        <v>576</v>
      </c>
      <c r="Y75" s="35"/>
      <c r="Z75" s="63" t="s">
        <v>587</v>
      </c>
      <c r="AB75" s="43"/>
      <c r="AC75" s="7"/>
      <c r="AD75" s="43"/>
      <c r="AE75" s="43"/>
      <c r="AF75" s="43"/>
      <c r="AG75" s="43"/>
      <c r="AH75" s="43"/>
      <c r="AI75" s="43"/>
      <c r="AJ75" s="43"/>
    </row>
    <row r="76" spans="20:52" ht="12" x14ac:dyDescent="0.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x14ac:dyDescent="0.2">
      <c r="T77" s="43"/>
      <c r="U77" s="40"/>
      <c r="V77" s="40"/>
      <c r="W77" s="40"/>
      <c r="X77" s="40"/>
      <c r="Y77" s="40"/>
      <c r="Z77" s="40"/>
      <c r="AB77" s="43"/>
      <c r="AC77" s="7"/>
      <c r="AD77" s="43"/>
      <c r="AE77" s="43"/>
      <c r="AF77" s="43"/>
      <c r="AG77" s="43"/>
      <c r="AH77" s="43"/>
      <c r="AI77" s="43"/>
      <c r="AJ77" s="43"/>
    </row>
    <row r="78" spans="20:52" x14ac:dyDescent="0.2">
      <c r="T78" s="218" t="s">
        <v>573</v>
      </c>
      <c r="AB78" s="43"/>
      <c r="AC78" s="7"/>
      <c r="AD78" s="43"/>
      <c r="AE78" s="43"/>
      <c r="AF78" s="43"/>
      <c r="AG78" s="43"/>
      <c r="AH78" s="43"/>
      <c r="AI78" s="43"/>
      <c r="AJ78" s="43"/>
    </row>
    <row r="79" spans="20:52" x14ac:dyDescent="0.2">
      <c r="T79" s="219"/>
      <c r="AB79" s="43"/>
      <c r="AC79" s="7"/>
      <c r="AD79" s="43"/>
      <c r="AE79" s="43"/>
      <c r="AF79" s="43"/>
      <c r="AG79" s="43"/>
      <c r="AH79" s="43"/>
      <c r="AI79" s="43"/>
      <c r="AJ79" s="43"/>
    </row>
    <row r="80" spans="20:52" ht="13.2" x14ac:dyDescent="0.2">
      <c r="T80" s="43"/>
      <c r="AB80" s="43"/>
      <c r="AC80" s="7"/>
      <c r="AD80" s="43"/>
      <c r="AE80" s="43"/>
      <c r="AF80" s="43"/>
      <c r="AG80" s="43"/>
      <c r="AH80" s="43"/>
      <c r="AI80" s="43"/>
      <c r="AJ80" s="67" t="s">
        <v>592</v>
      </c>
      <c r="AR80" s="67" t="s">
        <v>608</v>
      </c>
      <c r="AS80" s="7"/>
      <c r="AT80" s="43"/>
      <c r="AU80" s="43"/>
      <c r="AV80" s="43"/>
      <c r="AW80" s="43"/>
      <c r="AX80" s="43"/>
      <c r="AY80" s="43"/>
      <c r="AZ80" s="43"/>
    </row>
    <row r="81" spans="36:52" x14ac:dyDescent="0.2">
      <c r="AJ81" s="43"/>
      <c r="AR81" s="43"/>
      <c r="AS81" s="7"/>
      <c r="AT81" s="43"/>
      <c r="AU81" s="43"/>
      <c r="AV81" s="43"/>
      <c r="AW81" s="43"/>
      <c r="AX81" s="43"/>
      <c r="AY81" s="43"/>
      <c r="AZ81" s="43"/>
    </row>
    <row r="82" spans="36:52" ht="24" x14ac:dyDescent="0.2">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x14ac:dyDescent="0.2">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x14ac:dyDescent="0.2">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x14ac:dyDescent="0.2">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x14ac:dyDescent="0.2">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x14ac:dyDescent="0.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x14ac:dyDescent="0.2">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x14ac:dyDescent="0.2">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x14ac:dyDescent="0.2">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x14ac:dyDescent="0.2">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x14ac:dyDescent="0.2">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x14ac:dyDescent="0.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x14ac:dyDescent="0.2">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x14ac:dyDescent="0.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x14ac:dyDescent="0.2">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x14ac:dyDescent="0.2">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x14ac:dyDescent="0.2">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x14ac:dyDescent="0.2">
      <c r="AJ99" s="9" t="s">
        <v>572</v>
      </c>
      <c r="AK99" s="61" t="s">
        <v>573</v>
      </c>
      <c r="AL99" s="61" t="s">
        <v>574</v>
      </c>
      <c r="AM99" s="62" t="s">
        <v>575</v>
      </c>
      <c r="AN99" s="63" t="s">
        <v>576</v>
      </c>
      <c r="AO99" s="35"/>
      <c r="AP99" s="63" t="s">
        <v>587</v>
      </c>
      <c r="AR99" s="217" t="s">
        <v>585</v>
      </c>
      <c r="AS99" s="217"/>
      <c r="AT99" s="34">
        <f>SUM(AT83:AT98)</f>
        <v>101</v>
      </c>
      <c r="AU99" s="34">
        <f>SUM(AU83:AU98)</f>
        <v>145</v>
      </c>
      <c r="AV99" s="34">
        <f>SUM(AV83:AV98)</f>
        <v>16</v>
      </c>
      <c r="AW99" s="34">
        <f>SUM(AW83:AW98)</f>
        <v>24</v>
      </c>
      <c r="AX99" s="34">
        <f>SUM(AX83:AX98)</f>
        <v>105</v>
      </c>
      <c r="AY99" s="48"/>
      <c r="AZ99" s="34">
        <f>SUM(AZ83:AZ98)</f>
        <v>1</v>
      </c>
    </row>
    <row r="100" spans="36:52" ht="79.8" x14ac:dyDescent="0.2">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x14ac:dyDescent="0.2">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x14ac:dyDescent="0.2">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x14ac:dyDescent="0.2">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x14ac:dyDescent="0.2">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x14ac:dyDescent="0.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x14ac:dyDescent="0.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x14ac:dyDescent="0.2">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x14ac:dyDescent="0.2">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x14ac:dyDescent="0.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x14ac:dyDescent="0.2">
      <c r="AJ110" s="43"/>
      <c r="AK110" s="40"/>
      <c r="AL110" s="40"/>
      <c r="AM110" s="40"/>
      <c r="AN110" s="40"/>
      <c r="AO110" s="40"/>
      <c r="AP110" s="40"/>
      <c r="AR110" s="43"/>
      <c r="AS110" s="7"/>
      <c r="AT110" s="43"/>
      <c r="AU110" s="43"/>
      <c r="AV110" s="43"/>
      <c r="AW110" s="43"/>
      <c r="AX110" s="43"/>
      <c r="AY110" s="43"/>
      <c r="AZ110" s="43"/>
    </row>
    <row r="111" spans="36:52" x14ac:dyDescent="0.2">
      <c r="AJ111" s="43"/>
      <c r="AK111" s="40"/>
      <c r="AL111" s="40"/>
      <c r="AM111" s="40"/>
      <c r="AN111" s="40"/>
      <c r="AO111" s="40"/>
      <c r="AP111" s="40"/>
      <c r="AR111" s="43"/>
      <c r="AS111" s="7"/>
      <c r="AT111" s="43"/>
      <c r="AU111" s="43"/>
      <c r="AV111" s="43"/>
      <c r="AW111" s="43"/>
      <c r="AX111" s="43"/>
      <c r="AY111" s="43"/>
      <c r="AZ111" s="43"/>
    </row>
    <row r="112" spans="36:52" x14ac:dyDescent="0.2">
      <c r="AJ112" s="43" t="s">
        <v>602</v>
      </c>
      <c r="AK112" s="40"/>
      <c r="AL112" s="40"/>
      <c r="AM112" s="40"/>
      <c r="AN112" s="40"/>
      <c r="AO112" s="40"/>
      <c r="AP112" s="40"/>
      <c r="AR112" s="43"/>
      <c r="AS112" s="7"/>
      <c r="AT112" s="43"/>
      <c r="AU112" s="43"/>
      <c r="AV112" s="43"/>
      <c r="AW112" s="43"/>
      <c r="AX112" s="43"/>
      <c r="AY112" s="43"/>
      <c r="AZ112" s="43"/>
    </row>
    <row r="113" spans="36:52" x14ac:dyDescent="0.2">
      <c r="AJ113" s="43"/>
      <c r="AK113" s="40"/>
      <c r="AL113" s="40"/>
      <c r="AM113" s="40"/>
      <c r="AN113" s="40"/>
      <c r="AO113" s="40"/>
      <c r="AP113" s="40"/>
      <c r="AR113" s="43"/>
      <c r="AS113" s="7"/>
      <c r="AT113" s="43"/>
      <c r="AU113" s="43"/>
      <c r="AV113" s="43"/>
      <c r="AW113" s="43"/>
      <c r="AX113" s="43"/>
      <c r="AY113" s="43"/>
      <c r="AZ113" s="43"/>
    </row>
    <row r="114" spans="36:52" ht="24" x14ac:dyDescent="0.2">
      <c r="AJ114" s="218"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x14ac:dyDescent="0.2">
      <c r="AJ115" s="219"/>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x14ac:dyDescent="0.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x14ac:dyDescent="0.3"/>
  <cols>
    <col min="1" max="1" width="0.44140625" style="136"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6" customFormat="1" ht="2.4" customHeight="1" x14ac:dyDescent="0.3"/>
    <row r="3" spans="3:13" x14ac:dyDescent="0.3">
      <c r="C3" s="140" t="s">
        <v>704</v>
      </c>
      <c r="D3" s="141"/>
      <c r="E3" s="141"/>
      <c r="F3" s="55"/>
    </row>
    <row r="4" spans="3:13" x14ac:dyDescent="0.3">
      <c r="C4" s="55" t="s">
        <v>731</v>
      </c>
      <c r="D4" s="55"/>
      <c r="E4" s="55"/>
      <c r="F4" s="55"/>
    </row>
    <row r="5" spans="3:13" x14ac:dyDescent="0.3">
      <c r="C5" s="55"/>
      <c r="D5" s="55"/>
      <c r="E5" s="55"/>
      <c r="F5" s="55"/>
    </row>
    <row r="6" spans="3:13" ht="79.8" customHeight="1" x14ac:dyDescent="0.3">
      <c r="C6" s="139" t="s">
        <v>711</v>
      </c>
      <c r="D6" s="55"/>
      <c r="E6" s="55"/>
      <c r="F6" s="55"/>
    </row>
    <row r="7" spans="3:13" ht="24" x14ac:dyDescent="0.3">
      <c r="C7" s="73" t="s">
        <v>0</v>
      </c>
      <c r="D7" s="73" t="s">
        <v>1</v>
      </c>
      <c r="E7" s="73" t="s">
        <v>2</v>
      </c>
      <c r="F7" s="73" t="s">
        <v>3</v>
      </c>
      <c r="G7" s="73" t="s">
        <v>4</v>
      </c>
      <c r="H7" s="73" t="s">
        <v>5</v>
      </c>
      <c r="I7" s="138" t="s">
        <v>694</v>
      </c>
      <c r="J7" s="73" t="s">
        <v>7</v>
      </c>
      <c r="K7" s="73" t="s">
        <v>8</v>
      </c>
      <c r="L7" s="137" t="s">
        <v>9</v>
      </c>
      <c r="M7" s="137" t="s">
        <v>11</v>
      </c>
    </row>
    <row r="8" spans="3:13" ht="240.6" x14ac:dyDescent="0.3">
      <c r="C8" s="77" t="s">
        <v>180</v>
      </c>
      <c r="D8" s="78" t="s">
        <v>181</v>
      </c>
      <c r="E8" s="77" t="s">
        <v>231</v>
      </c>
      <c r="F8" s="77" t="s">
        <v>232</v>
      </c>
      <c r="G8" s="72" t="s">
        <v>188</v>
      </c>
      <c r="H8" s="77" t="s">
        <v>233</v>
      </c>
      <c r="I8" s="148" t="s">
        <v>751</v>
      </c>
      <c r="J8" s="80">
        <v>45809</v>
      </c>
      <c r="K8" s="80">
        <v>46079</v>
      </c>
      <c r="L8" s="85" t="s">
        <v>234</v>
      </c>
      <c r="M8" s="82" t="s">
        <v>201</v>
      </c>
    </row>
    <row r="9" spans="3:13" ht="34.200000000000003" x14ac:dyDescent="0.3">
      <c r="C9" s="77" t="s">
        <v>180</v>
      </c>
      <c r="D9" s="78" t="s">
        <v>181</v>
      </c>
      <c r="E9" s="77" t="s">
        <v>231</v>
      </c>
      <c r="F9" s="77"/>
      <c r="G9" s="79"/>
      <c r="H9" s="77" t="s">
        <v>236</v>
      </c>
      <c r="I9" s="148" t="s">
        <v>751</v>
      </c>
      <c r="J9" s="80">
        <v>45809</v>
      </c>
      <c r="K9" s="80">
        <v>46079</v>
      </c>
      <c r="L9" s="88" t="s">
        <v>234</v>
      </c>
      <c r="M9" s="82" t="s">
        <v>201</v>
      </c>
    </row>
    <row r="10" spans="3:13" ht="57.6" x14ac:dyDescent="0.3">
      <c r="C10" s="77" t="s">
        <v>180</v>
      </c>
      <c r="D10" s="98" t="s">
        <v>360</v>
      </c>
      <c r="E10" s="45" t="s">
        <v>381</v>
      </c>
      <c r="F10" s="113" t="s">
        <v>511</v>
      </c>
      <c r="G10" s="115" t="s">
        <v>188</v>
      </c>
      <c r="H10" s="47" t="s">
        <v>382</v>
      </c>
      <c r="I10" s="149" t="s">
        <v>790</v>
      </c>
      <c r="J10" s="90">
        <v>45989</v>
      </c>
      <c r="K10" s="90">
        <v>46053</v>
      </c>
      <c r="L10" s="87" t="s">
        <v>383</v>
      </c>
      <c r="M10" s="37" t="s">
        <v>20</v>
      </c>
    </row>
    <row r="11" spans="3:13" ht="57.6" x14ac:dyDescent="0.3">
      <c r="C11" s="77" t="s">
        <v>180</v>
      </c>
      <c r="D11" s="98" t="s">
        <v>360</v>
      </c>
      <c r="E11" s="45" t="s">
        <v>393</v>
      </c>
      <c r="F11" s="113" t="s">
        <v>514</v>
      </c>
      <c r="G11" s="117" t="s">
        <v>280</v>
      </c>
      <c r="H11" s="47" t="s">
        <v>394</v>
      </c>
      <c r="I11" s="149" t="s">
        <v>792</v>
      </c>
      <c r="J11" s="90">
        <v>45989</v>
      </c>
      <c r="K11" s="90">
        <v>46053</v>
      </c>
      <c r="L11" s="105" t="s">
        <v>395</v>
      </c>
      <c r="M11" s="37" t="s">
        <v>20</v>
      </c>
    </row>
    <row r="12" spans="3:13" ht="46.2" x14ac:dyDescent="0.3">
      <c r="C12" s="77" t="s">
        <v>180</v>
      </c>
      <c r="D12" s="98" t="s">
        <v>360</v>
      </c>
      <c r="E12" s="45" t="s">
        <v>397</v>
      </c>
      <c r="F12" s="113" t="s">
        <v>515</v>
      </c>
      <c r="G12" s="117" t="s">
        <v>280</v>
      </c>
      <c r="H12" s="47" t="s">
        <v>394</v>
      </c>
      <c r="I12" s="149" t="s">
        <v>794</v>
      </c>
      <c r="J12" s="90">
        <v>45989</v>
      </c>
      <c r="K12" s="90">
        <v>46053</v>
      </c>
      <c r="L12" s="105" t="s">
        <v>398</v>
      </c>
      <c r="M12" s="37" t="s">
        <v>20</v>
      </c>
    </row>
    <row r="15" spans="3:13" x14ac:dyDescent="0.3">
      <c r="C15" s="140" t="s">
        <v>722</v>
      </c>
      <c r="D15" s="141"/>
      <c r="E15" s="141"/>
      <c r="F15" s="55"/>
    </row>
    <row r="16" spans="3:13" x14ac:dyDescent="0.3">
      <c r="C16" s="55" t="s">
        <v>732</v>
      </c>
      <c r="D16" s="55"/>
      <c r="E16" s="55"/>
      <c r="F16" s="55"/>
    </row>
    <row r="17" spans="3:14" x14ac:dyDescent="0.3">
      <c r="C17" s="55"/>
      <c r="D17" s="55"/>
      <c r="E17" s="55"/>
      <c r="F17" s="55"/>
    </row>
    <row r="18" spans="3:14" ht="79.2" x14ac:dyDescent="0.3">
      <c r="C18" s="139" t="s">
        <v>716</v>
      </c>
      <c r="D18" s="55"/>
      <c r="E18" s="55"/>
      <c r="F18" s="55"/>
    </row>
    <row r="20" spans="3:14" ht="24" x14ac:dyDescent="0.3">
      <c r="C20" s="73" t="s">
        <v>0</v>
      </c>
      <c r="D20" s="73" t="s">
        <v>1</v>
      </c>
      <c r="E20" s="73" t="s">
        <v>2</v>
      </c>
      <c r="F20" s="73" t="s">
        <v>3</v>
      </c>
      <c r="G20" s="73" t="s">
        <v>4</v>
      </c>
      <c r="H20" s="73" t="s">
        <v>5</v>
      </c>
      <c r="I20" s="138" t="s">
        <v>694</v>
      </c>
      <c r="J20" s="73" t="s">
        <v>7</v>
      </c>
      <c r="K20" s="73" t="s">
        <v>8</v>
      </c>
      <c r="L20" s="137" t="s">
        <v>9</v>
      </c>
      <c r="M20" s="137" t="s">
        <v>11</v>
      </c>
    </row>
    <row r="21" spans="3:14" ht="353.4" x14ac:dyDescent="0.3">
      <c r="C21" s="77" t="s">
        <v>111</v>
      </c>
      <c r="D21" s="78" t="s">
        <v>142</v>
      </c>
      <c r="E21" s="77" t="s">
        <v>565</v>
      </c>
      <c r="F21" s="77" t="s">
        <v>503</v>
      </c>
      <c r="G21" s="79"/>
      <c r="H21" s="77" t="s">
        <v>143</v>
      </c>
      <c r="I21" s="77" t="s">
        <v>796</v>
      </c>
      <c r="J21" s="80">
        <v>45716</v>
      </c>
      <c r="K21" s="80">
        <v>46081</v>
      </c>
      <c r="L21" s="85" t="s">
        <v>145</v>
      </c>
      <c r="M21" s="82" t="s">
        <v>33</v>
      </c>
    </row>
    <row r="22" spans="3:14" ht="285" x14ac:dyDescent="0.3">
      <c r="C22" s="77" t="s">
        <v>111</v>
      </c>
      <c r="D22" s="78" t="s">
        <v>142</v>
      </c>
      <c r="E22" s="77" t="s">
        <v>566</v>
      </c>
      <c r="F22" s="77" t="s">
        <v>147</v>
      </c>
      <c r="G22" s="79"/>
      <c r="H22" s="77" t="s">
        <v>143</v>
      </c>
      <c r="I22" s="77" t="s">
        <v>796</v>
      </c>
      <c r="J22" s="80">
        <v>45716</v>
      </c>
      <c r="K22" s="80">
        <v>46081</v>
      </c>
      <c r="L22" s="88" t="s">
        <v>145</v>
      </c>
      <c r="M22" s="82" t="s">
        <v>33</v>
      </c>
    </row>
    <row r="23" spans="3:14" ht="387.6" x14ac:dyDescent="0.3">
      <c r="C23" s="77" t="s">
        <v>111</v>
      </c>
      <c r="D23" s="78" t="s">
        <v>142</v>
      </c>
      <c r="E23" s="77" t="s">
        <v>567</v>
      </c>
      <c r="F23" s="77" t="s">
        <v>504</v>
      </c>
      <c r="G23" s="79"/>
      <c r="H23" s="77" t="s">
        <v>143</v>
      </c>
      <c r="I23" s="77" t="s">
        <v>796</v>
      </c>
      <c r="J23" s="80">
        <v>45716</v>
      </c>
      <c r="K23" s="80">
        <v>46081</v>
      </c>
      <c r="L23" s="88" t="s">
        <v>145</v>
      </c>
      <c r="M23" s="82" t="s">
        <v>33</v>
      </c>
    </row>
    <row r="26" spans="3:14" x14ac:dyDescent="0.3">
      <c r="C26" s="140" t="s">
        <v>724</v>
      </c>
      <c r="D26" s="141"/>
      <c r="E26" s="141"/>
      <c r="F26" s="142"/>
    </row>
    <row r="27" spans="3:14" x14ac:dyDescent="0.3">
      <c r="C27" s="55" t="s">
        <v>788</v>
      </c>
      <c r="D27" s="55"/>
      <c r="E27" s="55"/>
    </row>
    <row r="28" spans="3:14" x14ac:dyDescent="0.3">
      <c r="C28" s="55"/>
      <c r="D28" s="55"/>
      <c r="E28" s="55"/>
    </row>
    <row r="29" spans="3:14" ht="105.6" x14ac:dyDescent="0.3">
      <c r="C29" s="139" t="s">
        <v>728</v>
      </c>
      <c r="D29" s="55"/>
      <c r="E29" s="55"/>
    </row>
    <row r="30" spans="3:14" ht="24" x14ac:dyDescent="0.3">
      <c r="C30" s="73" t="s">
        <v>0</v>
      </c>
      <c r="D30" s="73" t="s">
        <v>1</v>
      </c>
      <c r="E30" s="73"/>
      <c r="F30" s="73" t="s">
        <v>3</v>
      </c>
      <c r="G30" s="73" t="s">
        <v>4</v>
      </c>
      <c r="H30" s="73" t="s">
        <v>5</v>
      </c>
      <c r="I30" s="138" t="s">
        <v>694</v>
      </c>
      <c r="J30" s="73" t="s">
        <v>7</v>
      </c>
      <c r="K30" s="73" t="s">
        <v>8</v>
      </c>
      <c r="L30" s="137" t="s">
        <v>9</v>
      </c>
      <c r="M30" s="137" t="s">
        <v>11</v>
      </c>
    </row>
    <row r="31" spans="3:14" ht="127.2" x14ac:dyDescent="0.3">
      <c r="C31" s="77" t="s">
        <v>13</v>
      </c>
      <c r="D31" s="78" t="s">
        <v>14</v>
      </c>
      <c r="E31" s="77" t="s">
        <v>29</v>
      </c>
      <c r="F31" s="77" t="s">
        <v>29</v>
      </c>
      <c r="G31" s="79"/>
      <c r="H31" s="77" t="s">
        <v>30</v>
      </c>
      <c r="I31" s="151" t="s">
        <v>763</v>
      </c>
      <c r="J31" s="80">
        <v>44995</v>
      </c>
      <c r="K31" s="80">
        <v>46008</v>
      </c>
      <c r="L31" s="85" t="s">
        <v>31</v>
      </c>
      <c r="M31" s="82" t="s">
        <v>20</v>
      </c>
      <c r="N31" s="8" t="s">
        <v>783</v>
      </c>
    </row>
    <row r="32" spans="3:14" ht="33" customHeight="1" x14ac:dyDescent="0.3">
      <c r="C32" s="77" t="s">
        <v>13</v>
      </c>
      <c r="D32" s="78" t="s">
        <v>14</v>
      </c>
      <c r="E32" s="77"/>
      <c r="F32" s="77"/>
      <c r="G32" s="79"/>
      <c r="H32" s="77" t="s">
        <v>34</v>
      </c>
      <c r="I32" s="151" t="s">
        <v>767</v>
      </c>
      <c r="J32" s="80">
        <v>44995</v>
      </c>
      <c r="K32" s="80">
        <v>46022</v>
      </c>
      <c r="L32" s="88" t="s">
        <v>31</v>
      </c>
      <c r="M32" s="82" t="s">
        <v>201</v>
      </c>
      <c r="N32" s="8"/>
    </row>
    <row r="33" spans="3:14" ht="37.200000000000003" customHeight="1" x14ac:dyDescent="0.3">
      <c r="C33" s="77" t="s">
        <v>180</v>
      </c>
      <c r="D33" s="98" t="s">
        <v>251</v>
      </c>
      <c r="E33" s="45" t="s">
        <v>634</v>
      </c>
      <c r="F33" s="45" t="s">
        <v>290</v>
      </c>
      <c r="G33" s="104" t="s">
        <v>280</v>
      </c>
      <c r="H33" s="47" t="s">
        <v>291</v>
      </c>
      <c r="I33" s="86" t="s">
        <v>773</v>
      </c>
      <c r="J33" s="90">
        <v>45922</v>
      </c>
      <c r="K33" s="90">
        <v>46022</v>
      </c>
      <c r="L33" s="100" t="s">
        <v>292</v>
      </c>
      <c r="M33" s="37" t="s">
        <v>20</v>
      </c>
      <c r="N33" s="8"/>
    </row>
    <row r="34" spans="3:14" ht="34.799999999999997" customHeight="1" x14ac:dyDescent="0.3">
      <c r="C34" s="77" t="s">
        <v>180</v>
      </c>
      <c r="D34" s="98" t="s">
        <v>399</v>
      </c>
      <c r="E34" s="45" t="s">
        <v>403</v>
      </c>
      <c r="F34" s="45" t="s">
        <v>517</v>
      </c>
      <c r="G34" s="118" t="s">
        <v>188</v>
      </c>
      <c r="H34" s="47" t="s">
        <v>404</v>
      </c>
      <c r="I34" s="86" t="s">
        <v>771</v>
      </c>
      <c r="J34" s="90">
        <v>46020</v>
      </c>
      <c r="K34" s="90">
        <v>46115</v>
      </c>
      <c r="L34" s="87"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x14ac:dyDescent="0.3"/>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x14ac:dyDescent="0.3">
      <c r="A3" s="11" t="s">
        <v>555</v>
      </c>
    </row>
    <row r="4" spans="1:3" x14ac:dyDescent="0.3">
      <c r="A4" s="12" t="s">
        <v>547</v>
      </c>
      <c r="B4">
        <v>119</v>
      </c>
      <c r="C4" s="13">
        <f>GETPIVOTDATA("Suma de No. Hallazgos",$A$3)</f>
        <v>119</v>
      </c>
    </row>
    <row r="5" spans="1:3" x14ac:dyDescent="0.3">
      <c r="A5" s="12" t="s">
        <v>546</v>
      </c>
      <c r="B5">
        <v>163</v>
      </c>
      <c r="C5" s="13">
        <f>GETPIVOTDATA("Suma de No. Planes de Acción",$A$3)</f>
        <v>163</v>
      </c>
    </row>
    <row r="6" spans="1:3" x14ac:dyDescent="0.3">
      <c r="A6" s="12" t="s">
        <v>548</v>
      </c>
      <c r="B6">
        <v>31</v>
      </c>
      <c r="C6" s="13">
        <f>GETPIVOTDATA("Suma de Abiertos",$A$3)</f>
        <v>31</v>
      </c>
    </row>
    <row r="7" spans="1:3" x14ac:dyDescent="0.3">
      <c r="A7" s="12" t="s">
        <v>549</v>
      </c>
      <c r="B7">
        <v>106</v>
      </c>
      <c r="C7" s="13">
        <f>GETPIVOTDATA("Suma de Finalizados",$A$3)</f>
        <v>106</v>
      </c>
    </row>
    <row r="8" spans="1:3" x14ac:dyDescent="0.3">
      <c r="A8" s="12" t="s">
        <v>550</v>
      </c>
      <c r="B8">
        <v>26</v>
      </c>
      <c r="C8" s="13">
        <f>GETPIVOTDATA("Suma de Vencidos",$A$3)</f>
        <v>26</v>
      </c>
    </row>
    <row r="9" spans="1:3" x14ac:dyDescent="0.3">
      <c r="A9" s="12" t="s">
        <v>551</v>
      </c>
      <c r="B9">
        <v>1</v>
      </c>
      <c r="C9" s="13">
        <f>GETPIVOTDATA("Suma de Sin plan de acción",$A$3)</f>
        <v>1</v>
      </c>
    </row>
    <row r="10" spans="1:3" x14ac:dyDescent="0.3">
      <c r="A10" s="12" t="s">
        <v>552</v>
      </c>
      <c r="B10">
        <v>19</v>
      </c>
      <c r="C10" s="13">
        <f>GETPIVOTDATA("Suma de Alto ",$A$3)</f>
        <v>19</v>
      </c>
    </row>
    <row r="11" spans="1:3" x14ac:dyDescent="0.3">
      <c r="A11" s="12" t="s">
        <v>553</v>
      </c>
      <c r="B11">
        <v>40</v>
      </c>
      <c r="C11" s="13">
        <f>GETPIVOTDATA("Suma de Medio",$A$3)</f>
        <v>40</v>
      </c>
    </row>
    <row r="12" spans="1:3" x14ac:dyDescent="0.3">
      <c r="A12" s="12" t="s">
        <v>554</v>
      </c>
      <c r="B12">
        <v>17</v>
      </c>
      <c r="C12" s="13">
        <f>GETPIVOTDATA("Suma de Bajo",$A$3)</f>
        <v>17</v>
      </c>
    </row>
    <row r="13" spans="1:3" x14ac:dyDescent="0.3">
      <c r="A13" s="12" t="s">
        <v>556</v>
      </c>
      <c r="B13">
        <v>0</v>
      </c>
      <c r="C13" s="13">
        <f>GETPIVOTDATA("Suma de Alerta 10 días",$A$3)</f>
        <v>0</v>
      </c>
    </row>
    <row r="14" spans="1:3" x14ac:dyDescent="0.3">
      <c r="A14" s="12" t="s">
        <v>557</v>
      </c>
      <c r="B14">
        <v>0</v>
      </c>
      <c r="C14" s="13">
        <f>GETPIVOTDATA("Suma de Alerta 20 días",$A$3)</f>
        <v>0</v>
      </c>
    </row>
    <row r="15" spans="1:3" x14ac:dyDescent="0.3">
      <c r="A15" s="12" t="s">
        <v>558</v>
      </c>
      <c r="B15">
        <v>0</v>
      </c>
      <c r="C15" s="13">
        <f>GETPIVOTDATA("Suma de Alerta 30 días",$A$3)</f>
        <v>0</v>
      </c>
    </row>
    <row r="19" spans="1:3" x14ac:dyDescent="0.3">
      <c r="C19"/>
    </row>
    <row r="20" spans="1:3" x14ac:dyDescent="0.3">
      <c r="C20"/>
    </row>
    <row r="21" spans="1:3" x14ac:dyDescent="0.3">
      <c r="C21"/>
    </row>
    <row r="22" spans="1:3" x14ac:dyDescent="0.3">
      <c r="C22"/>
    </row>
    <row r="23" spans="1:3" x14ac:dyDescent="0.3">
      <c r="C23"/>
    </row>
    <row r="24" spans="1:3" x14ac:dyDescent="0.3">
      <c r="C24"/>
    </row>
    <row r="25" spans="1:3" x14ac:dyDescent="0.3">
      <c r="A25" s="12"/>
      <c r="C25"/>
    </row>
    <row r="26" spans="1:3" x14ac:dyDescent="0.3">
      <c r="A26" s="12"/>
      <c r="C26"/>
    </row>
    <row r="27" spans="1:3" x14ac:dyDescent="0.3">
      <c r="A27" s="15"/>
      <c r="C27" s="65"/>
    </row>
    <row r="28" spans="1:3" x14ac:dyDescent="0.3">
      <c r="A28" s="16"/>
      <c r="C28" s="66"/>
    </row>
    <row r="29" spans="1:3" x14ac:dyDescent="0.3">
      <c r="C29"/>
    </row>
    <row r="30" spans="1:3" x14ac:dyDescent="0.3">
      <c r="C30"/>
    </row>
    <row r="31" spans="1:3" x14ac:dyDescent="0.3">
      <c r="C31"/>
    </row>
    <row r="32" spans="1:3" x14ac:dyDescent="0.3">
      <c r="C32"/>
    </row>
    <row r="33" spans="1:3" x14ac:dyDescent="0.3">
      <c r="A33" s="11" t="s">
        <v>555</v>
      </c>
      <c r="C33"/>
    </row>
    <row r="34" spans="1:3" x14ac:dyDescent="0.3">
      <c r="A34" t="s">
        <v>547</v>
      </c>
      <c r="B34">
        <v>119</v>
      </c>
      <c r="C34">
        <f>GETPIVOTDATA("Suma de No. Hallazgos",$A$33)</f>
        <v>119</v>
      </c>
    </row>
    <row r="35" spans="1:3" x14ac:dyDescent="0.3">
      <c r="A35" t="s">
        <v>546</v>
      </c>
      <c r="B35">
        <v>163</v>
      </c>
      <c r="C35">
        <f>GETPIVOTDATA("Suma de No. Planes de Acción",$A$33)</f>
        <v>163</v>
      </c>
    </row>
    <row r="36" spans="1:3" x14ac:dyDescent="0.3">
      <c r="A36" t="s">
        <v>548</v>
      </c>
      <c r="B36">
        <v>31</v>
      </c>
      <c r="C36">
        <f>GETPIVOTDATA("Suma de Abiertos",$A$33)</f>
        <v>31</v>
      </c>
    </row>
    <row r="37" spans="1:3" x14ac:dyDescent="0.3">
      <c r="A37" t="s">
        <v>550</v>
      </c>
      <c r="B37">
        <v>26</v>
      </c>
      <c r="C37">
        <f>GETPIVOTDATA("Suma de Vencidos",$A$33)</f>
        <v>26</v>
      </c>
    </row>
    <row r="38" spans="1:3" x14ac:dyDescent="0.3">
      <c r="A38" t="s">
        <v>549</v>
      </c>
      <c r="B38">
        <v>106</v>
      </c>
      <c r="C38">
        <f>GETPIVOTDATA("Suma de Finalizados",$A$33)</f>
        <v>106</v>
      </c>
    </row>
    <row r="39" spans="1:3" x14ac:dyDescent="0.3">
      <c r="A39" t="s">
        <v>551</v>
      </c>
      <c r="B39">
        <v>1</v>
      </c>
      <c r="C39">
        <f>GETPIVOTDATA("Suma de Sin plan de acción",$A$33)</f>
        <v>1</v>
      </c>
    </row>
    <row r="40" spans="1:3" x14ac:dyDescent="0.3">
      <c r="A40" t="s">
        <v>552</v>
      </c>
      <c r="B40">
        <v>19</v>
      </c>
      <c r="C40">
        <f>GETPIVOTDATA("Suma de Alto ",$A$33)</f>
        <v>19</v>
      </c>
    </row>
    <row r="41" spans="1:3" x14ac:dyDescent="0.3">
      <c r="A41" t="s">
        <v>553</v>
      </c>
      <c r="B41">
        <v>40</v>
      </c>
      <c r="C41">
        <f>GETPIVOTDATA("Suma de Medio",$A$33)</f>
        <v>40</v>
      </c>
    </row>
    <row r="42" spans="1:3" x14ac:dyDescent="0.3">
      <c r="A42" t="s">
        <v>554</v>
      </c>
      <c r="B42">
        <v>17</v>
      </c>
      <c r="C42">
        <f>GETPIVOTDATA("Suma de Bajo",$A$33)</f>
        <v>17</v>
      </c>
    </row>
    <row r="43" spans="1:3" x14ac:dyDescent="0.3">
      <c r="A43" t="s">
        <v>610</v>
      </c>
      <c r="B43" s="215">
        <v>0</v>
      </c>
      <c r="C43" s="68">
        <f ca="1">COUNTIF('Base de datos'!Q:Q, "*CRÍTICO*")</f>
        <v>0</v>
      </c>
    </row>
    <row r="44" spans="1:3" x14ac:dyDescent="0.3">
      <c r="A44" t="s">
        <v>556</v>
      </c>
      <c r="B44" s="215">
        <v>0</v>
      </c>
      <c r="C44" s="68">
        <f ca="1">COUNTIF('Base de datos'!N:N, "*CRÍTICO*")</f>
        <v>8</v>
      </c>
    </row>
    <row r="45" spans="1:3" x14ac:dyDescent="0.3">
      <c r="A45" t="s">
        <v>557</v>
      </c>
      <c r="B45">
        <v>0</v>
      </c>
      <c r="C45">
        <f ca="1">COUNTIF('Base de datos'!O:O, "*CRÍTICO*")</f>
        <v>0</v>
      </c>
    </row>
    <row r="46" spans="1:3" x14ac:dyDescent="0.3">
      <c r="A46" t="s">
        <v>558</v>
      </c>
      <c r="B46">
        <v>0</v>
      </c>
      <c r="C46">
        <f ca="1">COUNTIF('Base de datos'!P:P, "*CRÍTICO*")</f>
        <v>0</v>
      </c>
    </row>
    <row r="47" spans="1:3" x14ac:dyDescent="0.3">
      <c r="C47"/>
    </row>
    <row r="48" spans="1:3" x14ac:dyDescent="0.3">
      <c r="C48"/>
    </row>
    <row r="49" spans="1:7" x14ac:dyDescent="0.3">
      <c r="A49" t="s">
        <v>619</v>
      </c>
      <c r="C49"/>
    </row>
    <row r="50" spans="1:7" x14ac:dyDescent="0.3">
      <c r="A50" s="11" t="s">
        <v>586</v>
      </c>
      <c r="B50" t="s">
        <v>547</v>
      </c>
      <c r="C50" t="s">
        <v>546</v>
      </c>
      <c r="D50" t="s">
        <v>548</v>
      </c>
      <c r="E50" t="s">
        <v>550</v>
      </c>
      <c r="F50" t="s">
        <v>549</v>
      </c>
      <c r="G50" t="s">
        <v>551</v>
      </c>
    </row>
    <row r="51" spans="1:7" x14ac:dyDescent="0.3">
      <c r="A51" s="12" t="s">
        <v>306</v>
      </c>
      <c r="B51">
        <v>3</v>
      </c>
      <c r="C51">
        <v>6</v>
      </c>
      <c r="D51">
        <v>0</v>
      </c>
      <c r="E51">
        <v>2</v>
      </c>
      <c r="F51">
        <v>4</v>
      </c>
      <c r="G51">
        <v>0</v>
      </c>
    </row>
    <row r="52" spans="1:7" x14ac:dyDescent="0.3">
      <c r="A52" s="12" t="s">
        <v>471</v>
      </c>
      <c r="B52">
        <v>2</v>
      </c>
      <c r="C52">
        <v>3</v>
      </c>
      <c r="D52">
        <v>1</v>
      </c>
      <c r="E52">
        <v>2</v>
      </c>
      <c r="F52">
        <v>0</v>
      </c>
      <c r="G52">
        <v>0</v>
      </c>
    </row>
    <row r="53" spans="1:7" x14ac:dyDescent="0.3">
      <c r="A53" s="12" t="s">
        <v>449</v>
      </c>
      <c r="B53">
        <v>4</v>
      </c>
      <c r="C53">
        <v>4</v>
      </c>
      <c r="D53">
        <v>0</v>
      </c>
      <c r="E53">
        <v>1</v>
      </c>
      <c r="F53">
        <v>3</v>
      </c>
      <c r="G53">
        <v>0</v>
      </c>
    </row>
    <row r="54" spans="1:7" x14ac:dyDescent="0.3">
      <c r="A54" s="12" t="s">
        <v>399</v>
      </c>
      <c r="B54">
        <v>5</v>
      </c>
      <c r="C54">
        <v>7</v>
      </c>
      <c r="D54">
        <v>4</v>
      </c>
      <c r="E54">
        <v>0</v>
      </c>
      <c r="F54">
        <v>3</v>
      </c>
      <c r="G54">
        <v>1</v>
      </c>
    </row>
    <row r="55" spans="1:7" x14ac:dyDescent="0.3">
      <c r="A55" s="12" t="s">
        <v>251</v>
      </c>
      <c r="B55">
        <v>9</v>
      </c>
      <c r="C55">
        <v>12</v>
      </c>
      <c r="D55">
        <v>0</v>
      </c>
      <c r="E55">
        <v>0</v>
      </c>
      <c r="F55">
        <v>12</v>
      </c>
      <c r="G55">
        <v>0</v>
      </c>
    </row>
    <row r="56" spans="1:7" x14ac:dyDescent="0.3">
      <c r="A56" s="12" t="s">
        <v>157</v>
      </c>
      <c r="B56">
        <v>5</v>
      </c>
      <c r="C56">
        <v>6</v>
      </c>
      <c r="D56">
        <v>0</v>
      </c>
      <c r="E56">
        <v>0</v>
      </c>
      <c r="F56">
        <v>6</v>
      </c>
      <c r="G56">
        <v>0</v>
      </c>
    </row>
    <row r="57" spans="1:7" x14ac:dyDescent="0.3">
      <c r="A57" s="12" t="s">
        <v>461</v>
      </c>
      <c r="B57">
        <v>2</v>
      </c>
      <c r="C57">
        <v>5</v>
      </c>
      <c r="D57">
        <v>5</v>
      </c>
      <c r="E57">
        <v>0</v>
      </c>
      <c r="F57">
        <v>0</v>
      </c>
      <c r="G57">
        <v>0</v>
      </c>
    </row>
    <row r="58" spans="1:7" x14ac:dyDescent="0.3">
      <c r="A58" s="12" t="s">
        <v>142</v>
      </c>
      <c r="B58">
        <v>4</v>
      </c>
      <c r="C58">
        <v>6</v>
      </c>
      <c r="D58">
        <v>0</v>
      </c>
      <c r="E58">
        <v>0</v>
      </c>
      <c r="F58">
        <v>6</v>
      </c>
      <c r="G58">
        <v>0</v>
      </c>
    </row>
    <row r="59" spans="1:7" x14ac:dyDescent="0.3">
      <c r="A59" s="12" t="s">
        <v>419</v>
      </c>
      <c r="B59">
        <v>4</v>
      </c>
      <c r="C59">
        <v>18</v>
      </c>
      <c r="D59">
        <v>5</v>
      </c>
      <c r="E59">
        <v>13</v>
      </c>
      <c r="F59">
        <v>0</v>
      </c>
      <c r="G59">
        <v>0</v>
      </c>
    </row>
    <row r="60" spans="1:7" x14ac:dyDescent="0.3">
      <c r="A60" s="12" t="s">
        <v>112</v>
      </c>
      <c r="B60">
        <v>7</v>
      </c>
      <c r="C60">
        <v>8</v>
      </c>
      <c r="D60">
        <v>0</v>
      </c>
      <c r="E60">
        <v>1</v>
      </c>
      <c r="F60">
        <v>7</v>
      </c>
      <c r="G60">
        <v>0</v>
      </c>
    </row>
    <row r="61" spans="1:7" x14ac:dyDescent="0.3">
      <c r="A61" s="12" t="s">
        <v>181</v>
      </c>
      <c r="B61">
        <v>9</v>
      </c>
      <c r="C61">
        <v>17</v>
      </c>
      <c r="D61">
        <v>0</v>
      </c>
      <c r="E61">
        <v>2</v>
      </c>
      <c r="F61">
        <v>15</v>
      </c>
      <c r="G61">
        <v>0</v>
      </c>
    </row>
    <row r="62" spans="1:7" x14ac:dyDescent="0.3">
      <c r="A62" s="12" t="s">
        <v>486</v>
      </c>
      <c r="B62">
        <v>4</v>
      </c>
      <c r="C62">
        <v>6</v>
      </c>
      <c r="D62">
        <v>1</v>
      </c>
      <c r="E62">
        <v>1</v>
      </c>
      <c r="F62">
        <v>4</v>
      </c>
      <c r="G62">
        <v>0</v>
      </c>
    </row>
    <row r="63" spans="1:7" x14ac:dyDescent="0.3">
      <c r="A63" s="12" t="s">
        <v>327</v>
      </c>
      <c r="B63">
        <v>7</v>
      </c>
      <c r="C63">
        <v>8</v>
      </c>
      <c r="D63">
        <v>0</v>
      </c>
      <c r="E63">
        <v>0</v>
      </c>
      <c r="F63">
        <v>8</v>
      </c>
      <c r="G63">
        <v>0</v>
      </c>
    </row>
    <row r="64" spans="1:7" x14ac:dyDescent="0.3">
      <c r="A64" s="12" t="s">
        <v>14</v>
      </c>
      <c r="B64">
        <v>25</v>
      </c>
      <c r="C64">
        <v>26</v>
      </c>
      <c r="D64">
        <v>0</v>
      </c>
      <c r="E64">
        <v>1</v>
      </c>
      <c r="F64">
        <v>25</v>
      </c>
      <c r="G64">
        <v>0</v>
      </c>
    </row>
    <row r="65" spans="1:7" x14ac:dyDescent="0.3">
      <c r="A65" s="12" t="s">
        <v>477</v>
      </c>
      <c r="B65">
        <v>2</v>
      </c>
      <c r="C65">
        <v>2</v>
      </c>
      <c r="D65">
        <v>0</v>
      </c>
      <c r="E65">
        <v>0</v>
      </c>
      <c r="F65">
        <v>2</v>
      </c>
      <c r="G65">
        <v>0</v>
      </c>
    </row>
    <row r="66" spans="1:7" x14ac:dyDescent="0.3">
      <c r="A66" s="12" t="s">
        <v>360</v>
      </c>
      <c r="B66">
        <v>9</v>
      </c>
      <c r="C66">
        <v>11</v>
      </c>
      <c r="D66">
        <v>0</v>
      </c>
      <c r="E66">
        <v>1</v>
      </c>
      <c r="F66">
        <v>10</v>
      </c>
      <c r="G66">
        <v>0</v>
      </c>
    </row>
    <row r="67" spans="1:7" x14ac:dyDescent="0.3">
      <c r="A67" s="12" t="s">
        <v>925</v>
      </c>
      <c r="B67">
        <v>4</v>
      </c>
      <c r="C67">
        <v>4</v>
      </c>
      <c r="D67">
        <v>1</v>
      </c>
      <c r="E67">
        <v>2</v>
      </c>
      <c r="F67">
        <v>1</v>
      </c>
      <c r="G67">
        <v>0</v>
      </c>
    </row>
    <row r="68" spans="1:7" x14ac:dyDescent="0.3">
      <c r="A68" s="12" t="s">
        <v>1039</v>
      </c>
      <c r="B68">
        <v>14</v>
      </c>
      <c r="C68">
        <v>14</v>
      </c>
      <c r="D68">
        <v>14</v>
      </c>
      <c r="E68">
        <v>0</v>
      </c>
      <c r="F68">
        <v>0</v>
      </c>
      <c r="G68">
        <v>0</v>
      </c>
    </row>
    <row r="69" spans="1:7" x14ac:dyDescent="0.3">
      <c r="A69" s="12" t="s">
        <v>571</v>
      </c>
      <c r="B69">
        <v>119</v>
      </c>
      <c r="C69">
        <v>163</v>
      </c>
      <c r="D69">
        <v>31</v>
      </c>
      <c r="E69">
        <v>26</v>
      </c>
      <c r="F69">
        <v>106</v>
      </c>
      <c r="G69">
        <v>1</v>
      </c>
    </row>
    <row r="70" spans="1:7" x14ac:dyDescent="0.3">
      <c r="C70"/>
    </row>
    <row r="71" spans="1:7" x14ac:dyDescent="0.3">
      <c r="A71" s="12" t="s">
        <v>619</v>
      </c>
      <c r="C71"/>
    </row>
    <row r="72" spans="1:7" x14ac:dyDescent="0.3">
      <c r="A72" s="11" t="s">
        <v>586</v>
      </c>
      <c r="B72" t="s">
        <v>546</v>
      </c>
      <c r="C72" s="13" t="s">
        <v>548</v>
      </c>
      <c r="D72" s="13" t="s">
        <v>550</v>
      </c>
      <c r="E72" s="13" t="s">
        <v>549</v>
      </c>
      <c r="F72" t="s">
        <v>551</v>
      </c>
    </row>
    <row r="73" spans="1:7" x14ac:dyDescent="0.3">
      <c r="A73" s="64" t="s">
        <v>144</v>
      </c>
      <c r="B73" s="213">
        <v>4</v>
      </c>
      <c r="C73" s="214">
        <v>0</v>
      </c>
      <c r="D73" s="214">
        <v>0</v>
      </c>
      <c r="E73" s="214">
        <v>4</v>
      </c>
      <c r="F73" s="213">
        <v>0</v>
      </c>
    </row>
    <row r="74" spans="1:7" x14ac:dyDescent="0.3">
      <c r="A74" s="64" t="s">
        <v>115</v>
      </c>
      <c r="B74" s="213">
        <v>13</v>
      </c>
      <c r="C74" s="214">
        <v>5</v>
      </c>
      <c r="D74" s="214">
        <v>2</v>
      </c>
      <c r="E74" s="214">
        <v>6</v>
      </c>
      <c r="F74" s="213">
        <v>0</v>
      </c>
    </row>
    <row r="75" spans="1:7" x14ac:dyDescent="0.3">
      <c r="A75" s="64" t="s">
        <v>128</v>
      </c>
      <c r="B75">
        <v>3</v>
      </c>
      <c r="C75" s="13">
        <v>0</v>
      </c>
      <c r="D75" s="13">
        <v>0</v>
      </c>
      <c r="E75" s="13">
        <v>3</v>
      </c>
      <c r="F75">
        <v>0</v>
      </c>
    </row>
    <row r="76" spans="1:7" x14ac:dyDescent="0.3">
      <c r="A76" s="64" t="s">
        <v>190</v>
      </c>
      <c r="B76">
        <v>5</v>
      </c>
      <c r="C76" s="13">
        <v>1</v>
      </c>
      <c r="D76" s="13">
        <v>0</v>
      </c>
      <c r="E76" s="13">
        <v>4</v>
      </c>
      <c r="F76">
        <v>0</v>
      </c>
    </row>
    <row r="77" spans="1:7" x14ac:dyDescent="0.3">
      <c r="A77" s="12" t="s">
        <v>199</v>
      </c>
      <c r="B77">
        <v>1</v>
      </c>
      <c r="C77" s="13">
        <v>0</v>
      </c>
      <c r="D77" s="13">
        <v>0</v>
      </c>
      <c r="E77" s="13">
        <v>1</v>
      </c>
      <c r="F77">
        <v>0</v>
      </c>
    </row>
    <row r="78" spans="1:7" x14ac:dyDescent="0.3">
      <c r="A78" s="12" t="s">
        <v>203</v>
      </c>
      <c r="B78">
        <v>1</v>
      </c>
      <c r="C78" s="13">
        <v>0</v>
      </c>
      <c r="D78" s="13">
        <v>0</v>
      </c>
      <c r="E78" s="13">
        <v>1</v>
      </c>
      <c r="F78">
        <v>0</v>
      </c>
    </row>
    <row r="79" spans="1:7" x14ac:dyDescent="0.3">
      <c r="A79" s="64" t="s">
        <v>148</v>
      </c>
      <c r="B79">
        <v>25</v>
      </c>
      <c r="C79" s="13">
        <v>17</v>
      </c>
      <c r="D79" s="13">
        <v>0</v>
      </c>
      <c r="E79" s="13">
        <v>8</v>
      </c>
      <c r="F79">
        <v>0</v>
      </c>
    </row>
    <row r="80" spans="1:7" x14ac:dyDescent="0.3">
      <c r="A80" s="64" t="s">
        <v>210</v>
      </c>
      <c r="B80">
        <v>16</v>
      </c>
      <c r="C80" s="13">
        <v>0</v>
      </c>
      <c r="D80" s="13">
        <v>2</v>
      </c>
      <c r="E80" s="13">
        <v>14</v>
      </c>
      <c r="F80">
        <v>0</v>
      </c>
    </row>
    <row r="81" spans="1:6" x14ac:dyDescent="0.3">
      <c r="A81" s="12" t="s">
        <v>371</v>
      </c>
      <c r="B81">
        <v>2</v>
      </c>
      <c r="C81" s="13">
        <v>0</v>
      </c>
      <c r="D81" s="13">
        <v>1</v>
      </c>
      <c r="E81" s="13">
        <v>1</v>
      </c>
      <c r="F81">
        <v>0</v>
      </c>
    </row>
    <row r="82" spans="1:6" x14ac:dyDescent="0.3">
      <c r="A82" s="64" t="s">
        <v>256</v>
      </c>
      <c r="B82">
        <v>12</v>
      </c>
      <c r="C82" s="13">
        <v>0</v>
      </c>
      <c r="D82" s="13">
        <v>0</v>
      </c>
      <c r="E82" s="13">
        <v>12</v>
      </c>
      <c r="F82">
        <v>0</v>
      </c>
    </row>
    <row r="83" spans="1:6" x14ac:dyDescent="0.3">
      <c r="A83" s="12" t="s">
        <v>534</v>
      </c>
      <c r="B83">
        <v>4</v>
      </c>
      <c r="C83" s="13">
        <v>0</v>
      </c>
      <c r="D83" s="13">
        <v>4</v>
      </c>
      <c r="E83" s="13">
        <v>0</v>
      </c>
      <c r="F83">
        <v>0</v>
      </c>
    </row>
    <row r="84" spans="1:6" x14ac:dyDescent="0.3">
      <c r="A84" s="64" t="s">
        <v>310</v>
      </c>
      <c r="B84">
        <v>4</v>
      </c>
      <c r="C84" s="13">
        <v>0</v>
      </c>
      <c r="D84" s="13">
        <v>2</v>
      </c>
      <c r="E84" s="13">
        <v>2</v>
      </c>
      <c r="F84">
        <v>0</v>
      </c>
    </row>
    <row r="85" spans="1:6" x14ac:dyDescent="0.3">
      <c r="A85" s="64" t="s">
        <v>179</v>
      </c>
      <c r="B85">
        <v>9</v>
      </c>
      <c r="C85" s="13">
        <v>3</v>
      </c>
      <c r="D85" s="13">
        <v>3</v>
      </c>
      <c r="E85" s="13">
        <v>3</v>
      </c>
      <c r="F85">
        <v>0</v>
      </c>
    </row>
    <row r="86" spans="1:6" x14ac:dyDescent="0.3">
      <c r="A86" s="12" t="s">
        <v>239</v>
      </c>
      <c r="B86">
        <v>1</v>
      </c>
      <c r="C86" s="13">
        <v>0</v>
      </c>
      <c r="D86" s="13">
        <v>0</v>
      </c>
      <c r="E86" s="13">
        <v>1</v>
      </c>
      <c r="F86">
        <v>0</v>
      </c>
    </row>
    <row r="87" spans="1:6" x14ac:dyDescent="0.3">
      <c r="A87" s="64" t="s">
        <v>17</v>
      </c>
      <c r="B87">
        <v>11</v>
      </c>
      <c r="C87" s="13">
        <v>0</v>
      </c>
      <c r="D87" s="13">
        <v>6</v>
      </c>
      <c r="E87" s="13">
        <v>5</v>
      </c>
      <c r="F87">
        <v>0</v>
      </c>
    </row>
    <row r="88" spans="1:6" x14ac:dyDescent="0.3">
      <c r="A88" s="64" t="s">
        <v>269</v>
      </c>
      <c r="B88">
        <v>36</v>
      </c>
      <c r="C88" s="13">
        <v>1</v>
      </c>
      <c r="D88" s="13">
        <v>2</v>
      </c>
      <c r="E88" s="13">
        <v>33</v>
      </c>
      <c r="F88">
        <v>0</v>
      </c>
    </row>
    <row r="89" spans="1:6" x14ac:dyDescent="0.3">
      <c r="A89" s="150" t="s">
        <v>275</v>
      </c>
      <c r="B89">
        <v>2</v>
      </c>
      <c r="C89" s="13">
        <v>0</v>
      </c>
      <c r="D89" s="13">
        <v>0</v>
      </c>
      <c r="E89" s="13">
        <v>2</v>
      </c>
      <c r="F89">
        <v>0</v>
      </c>
    </row>
    <row r="90" spans="1:6" x14ac:dyDescent="0.3">
      <c r="A90" s="12" t="s">
        <v>502</v>
      </c>
      <c r="B90">
        <v>1</v>
      </c>
      <c r="C90" s="13">
        <v>0</v>
      </c>
      <c r="D90" s="13">
        <v>0</v>
      </c>
      <c r="E90" s="13">
        <v>1</v>
      </c>
      <c r="F90">
        <v>0</v>
      </c>
    </row>
    <row r="91" spans="1:6" x14ac:dyDescent="0.3">
      <c r="A91" s="64" t="s">
        <v>118</v>
      </c>
      <c r="B91">
        <v>6</v>
      </c>
      <c r="C91" s="13">
        <v>1</v>
      </c>
      <c r="D91" s="13">
        <v>1</v>
      </c>
      <c r="E91" s="13">
        <v>4</v>
      </c>
      <c r="F91">
        <v>1</v>
      </c>
    </row>
    <row r="92" spans="1:6" x14ac:dyDescent="0.3">
      <c r="A92" s="12" t="s">
        <v>445</v>
      </c>
      <c r="B92">
        <v>3</v>
      </c>
      <c r="C92" s="13">
        <v>0</v>
      </c>
      <c r="D92" s="13">
        <v>3</v>
      </c>
      <c r="E92" s="13">
        <v>0</v>
      </c>
      <c r="F92">
        <v>0</v>
      </c>
    </row>
    <row r="93" spans="1:6" x14ac:dyDescent="0.3">
      <c r="A93" s="12" t="s">
        <v>413</v>
      </c>
      <c r="B93">
        <v>1</v>
      </c>
      <c r="C93" s="13">
        <v>1</v>
      </c>
      <c r="D93" s="13">
        <v>0</v>
      </c>
      <c r="E93" s="13">
        <v>0</v>
      </c>
      <c r="F93">
        <v>0</v>
      </c>
    </row>
    <row r="94" spans="1:6" x14ac:dyDescent="0.3">
      <c r="A94" s="150" t="s">
        <v>627</v>
      </c>
      <c r="B94">
        <v>0</v>
      </c>
      <c r="C94" s="13">
        <v>0</v>
      </c>
      <c r="D94" s="13">
        <v>0</v>
      </c>
      <c r="E94" s="13">
        <v>0</v>
      </c>
      <c r="F94">
        <v>0</v>
      </c>
    </row>
    <row r="95" spans="1:6" x14ac:dyDescent="0.3">
      <c r="A95" s="12" t="s">
        <v>950</v>
      </c>
      <c r="B95">
        <v>1</v>
      </c>
      <c r="C95" s="13">
        <v>0</v>
      </c>
      <c r="D95" s="13">
        <v>0</v>
      </c>
      <c r="E95" s="13">
        <v>1</v>
      </c>
      <c r="F95">
        <v>0</v>
      </c>
    </row>
    <row r="96" spans="1:6" x14ac:dyDescent="0.3">
      <c r="A96" s="12" t="s">
        <v>1181</v>
      </c>
      <c r="B96">
        <v>2</v>
      </c>
      <c r="C96" s="13">
        <v>2</v>
      </c>
      <c r="D96" s="13">
        <v>0</v>
      </c>
      <c r="E96" s="13">
        <v>0</v>
      </c>
      <c r="F96">
        <v>0</v>
      </c>
    </row>
    <row r="97" spans="1:6" x14ac:dyDescent="0.3">
      <c r="A97" s="12" t="s">
        <v>571</v>
      </c>
      <c r="B97">
        <v>163</v>
      </c>
      <c r="C97" s="13">
        <v>31</v>
      </c>
      <c r="D97" s="13">
        <v>26</v>
      </c>
      <c r="E97" s="13">
        <v>106</v>
      </c>
      <c r="F97">
        <v>1</v>
      </c>
    </row>
    <row r="98" spans="1:6" x14ac:dyDescent="0.3">
      <c r="A98" s="12"/>
      <c r="D98" s="13"/>
      <c r="E98" s="13"/>
    </row>
    <row r="99" spans="1:6" x14ac:dyDescent="0.3">
      <c r="A99" s="12" t="s">
        <v>618</v>
      </c>
      <c r="C99"/>
    </row>
    <row r="100" spans="1:6" x14ac:dyDescent="0.3">
      <c r="A100" s="11" t="s">
        <v>555</v>
      </c>
      <c r="C100"/>
    </row>
    <row r="101" spans="1:6" x14ac:dyDescent="0.3">
      <c r="A101" t="s">
        <v>548</v>
      </c>
      <c r="B101">
        <v>31</v>
      </c>
      <c r="C101">
        <f>GETPIVOTDATA("Suma de Abiertos",$A$100)</f>
        <v>31</v>
      </c>
    </row>
    <row r="102" spans="1:6" x14ac:dyDescent="0.3">
      <c r="A102" t="s">
        <v>550</v>
      </c>
      <c r="B102">
        <v>26</v>
      </c>
      <c r="C102">
        <f>GETPIVOTDATA("Suma de Vencidos",$A$100)</f>
        <v>26</v>
      </c>
    </row>
    <row r="103" spans="1:6" x14ac:dyDescent="0.3">
      <c r="A103" t="s">
        <v>549</v>
      </c>
      <c r="B103">
        <v>106</v>
      </c>
      <c r="C103">
        <f>GETPIVOTDATA("Suma de Finalizados",$A$100)</f>
        <v>106</v>
      </c>
    </row>
    <row r="104" spans="1:6" x14ac:dyDescent="0.3">
      <c r="A104" t="s">
        <v>551</v>
      </c>
      <c r="B104">
        <v>1</v>
      </c>
      <c r="C104">
        <f>GETPIVOTDATA("Suma de Sin plan de acción",$A$100)</f>
        <v>1</v>
      </c>
    </row>
    <row r="105" spans="1:6" x14ac:dyDescent="0.3">
      <c r="C105"/>
    </row>
    <row r="106" spans="1:6" x14ac:dyDescent="0.3">
      <c r="B106">
        <f>+GETPIVOTDATA("Suma de Abiertos",$A$100)+GETPIVOTDATA("Suma de Vencidos",$A$100)+GETPIVOTDATA("Suma de Finalizados",$A$100)</f>
        <v>163</v>
      </c>
      <c r="C106"/>
    </row>
    <row r="107" spans="1:6" x14ac:dyDescent="0.3">
      <c r="C107"/>
    </row>
    <row r="108" spans="1:6" x14ac:dyDescent="0.3">
      <c r="C108"/>
    </row>
    <row r="109" spans="1:6" x14ac:dyDescent="0.3">
      <c r="A109" s="65">
        <f>GETPIVOTDATA("Suma de Finalizados",$A$100)/B106</f>
        <v>0.65030674846625769</v>
      </c>
      <c r="C109"/>
    </row>
    <row r="110" spans="1:6" x14ac:dyDescent="0.3">
      <c r="A110" s="66">
        <f>1-A109</f>
        <v>0.34969325153374231</v>
      </c>
      <c r="C110"/>
    </row>
    <row r="111" spans="1:6" x14ac:dyDescent="0.3">
      <c r="C111"/>
    </row>
    <row r="112" spans="1:6" x14ac:dyDescent="0.3">
      <c r="C112"/>
    </row>
    <row r="113" spans="1:3" x14ac:dyDescent="0.3">
      <c r="C113"/>
    </row>
    <row r="114" spans="1:3" x14ac:dyDescent="0.3">
      <c r="C114"/>
    </row>
    <row r="115" spans="1:3" x14ac:dyDescent="0.3">
      <c r="C115"/>
    </row>
    <row r="116" spans="1:3" x14ac:dyDescent="0.3">
      <c r="C116"/>
    </row>
    <row r="117" spans="1:3" x14ac:dyDescent="0.3">
      <c r="A117" s="126" t="s">
        <v>655</v>
      </c>
      <c r="B117" s="126" t="s">
        <v>656</v>
      </c>
      <c r="C117"/>
    </row>
    <row r="118" spans="1:3" x14ac:dyDescent="0.3">
      <c r="A118" s="13" t="s">
        <v>657</v>
      </c>
      <c r="B118" s="13">
        <f>COUNTIFS('Base de datos'!$L:$L, "*Finalizad*", 'Base de datos'!$S:$S, "&gt;="&amp;DATE(2026,1,1), 'Base de datos'!$S:$S, "&lt;=31/01/2026")</f>
        <v>11</v>
      </c>
      <c r="C118"/>
    </row>
    <row r="119" spans="1:3" x14ac:dyDescent="0.3">
      <c r="A119" s="13" t="s">
        <v>658</v>
      </c>
      <c r="B119" s="13">
        <f>COUNTIFS('Base de datos'!$L:$L, "*Finalizad*", 'Base de datos'!$S:$S, "&gt;="&amp;DATE(2026,2,1), 'Base de datos'!$S:$S, "&lt;=28/02/2026")</f>
        <v>5</v>
      </c>
      <c r="C119"/>
    </row>
    <row r="120" spans="1:3" x14ac:dyDescent="0.3">
      <c r="A120" s="13" t="s">
        <v>659</v>
      </c>
      <c r="B120" s="13">
        <f>COUNTIFS('Base de datos'!$L:$L, "*Finalizad*", 'Base de datos'!$S:$S, "&gt;="&amp;DATE(2026,3,1), 'Base de datos'!$S:$S, "&lt;=31/03/2026")</f>
        <v>0</v>
      </c>
      <c r="C120"/>
    </row>
    <row r="121" spans="1:3" x14ac:dyDescent="0.3">
      <c r="A121" s="13" t="s">
        <v>660</v>
      </c>
      <c r="B121" s="13">
        <f>COUNTIFS('Base de datos'!$L:$L, "*Finalizad*", 'Base de datos'!$S:$S, "&gt;="&amp;DATE(2026,4,1), 'Base de datos'!$S:$S, "&lt;=30/04/2026")</f>
        <v>4</v>
      </c>
      <c r="C121"/>
    </row>
    <row r="122" spans="1:3" x14ac:dyDescent="0.3">
      <c r="A122" s="13" t="s">
        <v>661</v>
      </c>
      <c r="B122" s="13">
        <f>COUNTIFS('Base de datos'!$L:$L, "*Finalizad*", 'Base de datos'!$S:$S, "&gt;="&amp;DATE(2026,5,1), 'Base de datos'!$S:$S, "&lt;=31/05/2026")</f>
        <v>0</v>
      </c>
      <c r="C122"/>
    </row>
    <row r="123" spans="1:3" x14ac:dyDescent="0.3">
      <c r="A123" s="13" t="s">
        <v>662</v>
      </c>
      <c r="B123" s="13">
        <f>COUNTIFS('Base de datos'!$L:$L, "*Finalizad*", 'Base de datos'!$S:$S, "&gt;="&amp;DATE(2026,6,1), 'Base de datos'!$S:$S, "&lt;=30/06/2026")</f>
        <v>12</v>
      </c>
      <c r="C123"/>
    </row>
    <row r="124" spans="1:3" x14ac:dyDescent="0.3">
      <c r="A124" s="13" t="s">
        <v>1293</v>
      </c>
      <c r="B124" s="13">
        <f>COUNTIFS('Base de datos'!$L:$L, "*Finalizad*", 'Base de datos'!$S:$S, "&gt;="&amp;DATE(2026,7,1), 'Base de datos'!$S:$S, "&lt;=31/07/2026")</f>
        <v>0</v>
      </c>
      <c r="C124"/>
    </row>
    <row r="125" spans="1:3" x14ac:dyDescent="0.3">
      <c r="A125" s="13" t="s">
        <v>1296</v>
      </c>
      <c r="B125" s="13">
        <f>COUNTIFS('Base de datos'!$L:$L, "*Finalizad*", 'Base de datos'!$S:$S, "&gt;="&amp;DATE(2026,8,1), 'Base de datos'!$S:$S, "&lt;=31/08/2026")</f>
        <v>0</v>
      </c>
      <c r="C125"/>
    </row>
    <row r="126" spans="1:3" x14ac:dyDescent="0.3">
      <c r="A126" s="13" t="s">
        <v>1298</v>
      </c>
      <c r="B126" s="13">
        <f>COUNTIFS('Base de datos'!$L:$L, "*Finalizad*", 'Base de datos'!$S:$S, "&gt;="&amp;DATE(2026,9,1), 'Base de datos'!$S:$S, "&lt;=30/09/2026")</f>
        <v>0</v>
      </c>
      <c r="C126"/>
    </row>
    <row r="127" spans="1:3" x14ac:dyDescent="0.3">
      <c r="A127" s="13" t="s">
        <v>1300</v>
      </c>
      <c r="B127" s="13">
        <f>COUNTIFS('Base de datos'!$L:$L, "*Finalizad*", 'Base de datos'!$S:$S, "&gt;="&amp;DATE(2026,10,1), 'Base de datos'!$S:$S, "&lt;=31/10/2026")</f>
        <v>0</v>
      </c>
      <c r="C127"/>
    </row>
    <row r="128" spans="1:3" x14ac:dyDescent="0.3">
      <c r="A128" s="13" t="s">
        <v>1302</v>
      </c>
      <c r="B128" s="13">
        <f>COUNTIFS('Base de datos'!$L:$L, "*Finalizad*", 'Base de datos'!$S:$S, "&gt;="&amp;DATE(2026,11,1), 'Base de datos'!$S:$S, "&lt;=30/11/2026")</f>
        <v>0</v>
      </c>
      <c r="C128"/>
    </row>
    <row r="129" spans="1:3" x14ac:dyDescent="0.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x14ac:dyDescent="0.3"/>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x14ac:dyDescent="0.3">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8" t="s">
        <v>1286</v>
      </c>
      <c r="X1" s="209" t="s">
        <v>1287</v>
      </c>
      <c r="Y1" s="208" t="s">
        <v>1288</v>
      </c>
      <c r="Z1" s="210" t="s">
        <v>1289</v>
      </c>
      <c r="AA1" s="209" t="s">
        <v>1290</v>
      </c>
      <c r="AB1" s="51" t="s">
        <v>1291</v>
      </c>
    </row>
    <row r="2" spans="1:28" s="8" customFormat="1" ht="45.6" x14ac:dyDescent="0.3">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x14ac:dyDescent="0.3">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x14ac:dyDescent="0.3">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x14ac:dyDescent="0.3">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x14ac:dyDescent="0.3">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x14ac:dyDescent="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x14ac:dyDescent="0.3">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x14ac:dyDescent="0.3">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x14ac:dyDescent="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x14ac:dyDescent="0.3">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x14ac:dyDescent="0.3">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x14ac:dyDescent="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x14ac:dyDescent="0.3">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x14ac:dyDescent="0.3">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x14ac:dyDescent="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x14ac:dyDescent="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x14ac:dyDescent="0.3">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x14ac:dyDescent="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x14ac:dyDescent="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x14ac:dyDescent="0.3">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x14ac:dyDescent="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x14ac:dyDescent="0.3">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x14ac:dyDescent="0.3">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x14ac:dyDescent="0.3">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x14ac:dyDescent="0.3">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x14ac:dyDescent="0.3">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x14ac:dyDescent="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x14ac:dyDescent="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x14ac:dyDescent="0.3">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x14ac:dyDescent="0.3">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x14ac:dyDescent="0.3">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x14ac:dyDescent="0.3">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x14ac:dyDescent="0.3">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x14ac:dyDescent="0.3">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x14ac:dyDescent="0.3">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x14ac:dyDescent="0.3">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x14ac:dyDescent="0.3">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x14ac:dyDescent="0.3">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x14ac:dyDescent="0.3">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x14ac:dyDescent="0.3">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x14ac:dyDescent="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x14ac:dyDescent="0.3">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x14ac:dyDescent="0.3">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x14ac:dyDescent="0.3">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x14ac:dyDescent="0.3">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6">
        <f>COUNTIFS('Base de datos'!$A:$A, $A48, 'Base de datos'!$B:$B, $B48, 'Base de datos'!$G:$G, $C48, 'Base de datos'!$S:$S, "&gt;=01/02/2026", 'Base de datos'!$S:$S, "&lt;=28/02/2026")</f>
        <v>0</v>
      </c>
      <c r="S46" s="146">
        <f>COUNTIFS('Base de datos'!$A:$A, $A48, 'Base de datos'!$B:$B, $B48, 'Base de datos'!$G:$G, $C48, 'Base de datos'!$S:$S, "&gt;=01/03/2026", 'Base de datos'!$S:$S, "&lt;=31/03/2026")</f>
        <v>0</v>
      </c>
      <c r="T46" s="146">
        <f>COUNTIFS('Base de datos'!$A:$A, $A48, 'Base de datos'!$B:$B, $B48, 'Base de datos'!$G:$G, $C48, 'Base de datos'!$S:$S, "&gt;=01/04/2026", 'Base de datos'!$S:$S, "&lt;=30/04/2026")</f>
        <v>0</v>
      </c>
      <c r="U46" s="146">
        <f>COUNTIFS('Base de datos'!$A:$A, $A48, 'Base de datos'!$B:$B, $B48, 'Base de datos'!$G:$G, $C48, 'Base de datos'!$S:$S, "&gt;=01/05/2026", 'Base de datos'!$S:$S, "&lt;=31/05/2026")</f>
        <v>0</v>
      </c>
      <c r="V46" s="146">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x14ac:dyDescent="0.3">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x14ac:dyDescent="0.3">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x14ac:dyDescent="0.3">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x14ac:dyDescent="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x14ac:dyDescent="0.3">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6">
        <f>COUNTIFS('Base de datos'!$A:$A, $A51, 'Base de datos'!$B:$B, $B51, 'Base de datos'!$G:$G, $C51, 'Base de datos'!$S:$S, "&gt;=01/07/2026", 'Base de datos'!$S:$S, "&lt;=31/07/2026")</f>
        <v>0</v>
      </c>
      <c r="X51" s="146">
        <f>COUNTIFS('Base de datos'!$A:$A, $A51, 'Base de datos'!$B:$B, $B51, 'Base de datos'!$G:$G, $C51, 'Base de datos'!$S:$S, "&gt;=01/08/2026", 'Base de datos'!$S:$S, "&lt;=31/08/2026")</f>
        <v>0</v>
      </c>
      <c r="Y51" s="146">
        <f>COUNTIFS('Base de datos'!$A:$A, $A51, 'Base de datos'!$B:$B, $B51, 'Base de datos'!$G:$G, $C51, 'Base de datos'!$S:$S, "&gt;=01/09/2026", 'Base de datos'!$S:$S, "&lt;=30/09/2026")</f>
        <v>0</v>
      </c>
      <c r="Z51" s="146">
        <f>COUNTIFS('Base de datos'!$A:$A, $A51, 'Base de datos'!$B:$B, $B51, 'Base de datos'!$G:$G, $C51, 'Base de datos'!$S:$S, "&gt;=01/10/2026", 'Base de datos'!$S:$S, "&lt;=31/10/2026")</f>
        <v>0</v>
      </c>
      <c r="AA51" s="146">
        <f>COUNTIFS('Base de datos'!$A:$A, $A51, 'Base de datos'!$B:$B, $B51, 'Base de datos'!$G:$G, $C51, 'Base de datos'!$S:$S, "&gt;=01/11/2026", 'Base de datos'!$S:$S, "&lt;=30/11/2026")</f>
        <v>0</v>
      </c>
      <c r="AB51" s="146">
        <f>COUNTIFS('Base de datos'!$A:$A, $A51, 'Base de datos'!$B:$B, $B51, 'Base de datos'!$G:$G, $C51, 'Base de datos'!$S:$S, "&gt;=01/12/2026", 'Base de datos'!$S:$S, "&lt;=31/12/2026")</f>
        <v>0</v>
      </c>
    </row>
    <row r="52" spans="1:28" x14ac:dyDescent="0.3">
      <c r="D52"/>
    </row>
    <row r="53" spans="1:28" x14ac:dyDescent="0.3">
      <c r="D53"/>
    </row>
    <row r="54" spans="1:28" x14ac:dyDescent="0.3">
      <c r="D54"/>
    </row>
    <row r="55" spans="1:28" x14ac:dyDescent="0.3">
      <c r="D55"/>
    </row>
    <row r="56" spans="1:28" x14ac:dyDescent="0.3">
      <c r="D56"/>
    </row>
    <row r="57" spans="1:28" x14ac:dyDescent="0.3">
      <c r="D57"/>
    </row>
    <row r="58" spans="1:28" x14ac:dyDescent="0.3">
      <c r="D58"/>
    </row>
    <row r="59" spans="1:28" x14ac:dyDescent="0.3">
      <c r="D59"/>
    </row>
    <row r="60" spans="1:28" x14ac:dyDescent="0.3">
      <c r="D60"/>
    </row>
    <row r="61" spans="1:28" x14ac:dyDescent="0.3">
      <c r="D61"/>
    </row>
    <row r="62" spans="1:28" x14ac:dyDescent="0.3">
      <c r="D62"/>
    </row>
    <row r="63" spans="1:28" x14ac:dyDescent="0.3">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abSelected="1" topLeftCell="S1" zoomScale="90" zoomScaleNormal="90" workbookViewId="0">
      <pane ySplit="1" topLeftCell="A105" activePane="bottomLeft" state="frozen"/>
      <selection pane="bottomLeft" activeCell="T107" sqref="T107"/>
    </sheetView>
  </sheetViews>
  <sheetFormatPr baseColWidth="10" defaultRowHeight="14.4" x14ac:dyDescent="0.3"/>
  <cols>
    <col min="1" max="1" width="37.88671875" customWidth="1"/>
    <col min="2" max="2" width="28.109375" customWidth="1"/>
    <col min="3" max="3" width="31.109375" customWidth="1"/>
    <col min="4" max="4" width="50.5546875" style="31" customWidth="1"/>
    <col min="5" max="5" width="16.109375" style="17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72" customWidth="1"/>
    <col min="26" max="26" width="21.88671875" style="8" customWidth="1"/>
    <col min="27" max="27" width="37.109375" style="21" customWidth="1"/>
  </cols>
  <sheetData>
    <row r="1" spans="1:27" ht="24" x14ac:dyDescent="0.3">
      <c r="A1" s="72" t="s">
        <v>0</v>
      </c>
      <c r="B1" s="72" t="s">
        <v>1</v>
      </c>
      <c r="C1" s="73" t="s">
        <v>2</v>
      </c>
      <c r="D1" s="73" t="s">
        <v>3</v>
      </c>
      <c r="E1" s="73" t="s">
        <v>4</v>
      </c>
      <c r="F1" s="74" t="s">
        <v>5</v>
      </c>
      <c r="G1" s="72" t="s">
        <v>6</v>
      </c>
      <c r="H1" s="73" t="s">
        <v>7</v>
      </c>
      <c r="I1" s="73" t="s">
        <v>8</v>
      </c>
      <c r="J1" s="75" t="s">
        <v>9</v>
      </c>
      <c r="K1" s="75" t="s">
        <v>10</v>
      </c>
      <c r="L1" s="76" t="s">
        <v>11</v>
      </c>
      <c r="M1" s="75" t="s">
        <v>12</v>
      </c>
      <c r="N1" s="75" t="s">
        <v>543</v>
      </c>
      <c r="O1" s="75" t="s">
        <v>544</v>
      </c>
      <c r="P1" s="75" t="s">
        <v>545</v>
      </c>
      <c r="Q1" s="75" t="s">
        <v>609</v>
      </c>
      <c r="R1" s="75" t="s">
        <v>620</v>
      </c>
      <c r="S1" s="127" t="s">
        <v>654</v>
      </c>
      <c r="T1" s="127" t="s">
        <v>666</v>
      </c>
      <c r="U1" s="127" t="s">
        <v>670</v>
      </c>
      <c r="V1" s="222" t="s">
        <v>1336</v>
      </c>
      <c r="W1" s="222" t="s">
        <v>1345</v>
      </c>
      <c r="X1" s="222" t="s">
        <v>1338</v>
      </c>
      <c r="Y1" s="222" t="s">
        <v>1340</v>
      </c>
      <c r="Z1" s="222" t="s">
        <v>1352</v>
      </c>
      <c r="AA1" s="222" t="s">
        <v>1343</v>
      </c>
    </row>
    <row r="2" spans="1:27" ht="90.6" customHeight="1" x14ac:dyDescent="0.3">
      <c r="A2" s="77" t="s">
        <v>13</v>
      </c>
      <c r="B2" s="78" t="s">
        <v>14</v>
      </c>
      <c r="C2" s="77" t="s">
        <v>15</v>
      </c>
      <c r="D2" s="77" t="s">
        <v>15</v>
      </c>
      <c r="E2" s="79"/>
      <c r="F2" s="77" t="s">
        <v>16</v>
      </c>
      <c r="G2" s="77" t="s">
        <v>269</v>
      </c>
      <c r="H2" s="80">
        <v>44995</v>
      </c>
      <c r="I2" s="80">
        <v>45323</v>
      </c>
      <c r="J2" s="81" t="s">
        <v>18</v>
      </c>
      <c r="K2" s="82" t="s">
        <v>19</v>
      </c>
      <c r="L2" s="82" t="s">
        <v>20</v>
      </c>
      <c r="M2" s="83" t="str">
        <f ca="1">IF(L2="Abierta", I2-TODAY(), "")</f>
        <v/>
      </c>
      <c r="N2" s="37" t="str">
        <f ca="1">IF(AND(L2="Abierta", M2&lt;&gt;"", M2&lt;=10, M2&gt;5), "🚨 CRÍTICO (10d)", "")</f>
        <v/>
      </c>
      <c r="O2" s="84" t="str">
        <f ca="1">IF(AND(L2="Abierta", M2&lt;&gt;"", M2&lt;=20, M2&gt;10), "⏳ URGENTE (20d)", "")</f>
        <v/>
      </c>
      <c r="P2" s="84" t="str">
        <f ca="1">IF(AND(L2="Abierta", M2&lt;&gt;"", M2&lt;=30, M2&gt;20), "📅 SEGUIMIENTO (30d)", "")</f>
        <v/>
      </c>
      <c r="Q2" s="84" t="str">
        <f ca="1">IF(AND(L2="Abierta", M2&lt;&gt;"", M2&lt;=5), "⚠️ INMINENTE (5d)", "")</f>
        <v/>
      </c>
      <c r="R2" s="151"/>
      <c r="S2" s="91"/>
      <c r="T2" s="84"/>
      <c r="U2" s="180">
        <v>1</v>
      </c>
      <c r="V2" s="180"/>
      <c r="W2" s="180"/>
      <c r="X2" s="180"/>
      <c r="Y2" s="151"/>
      <c r="Z2" s="180"/>
      <c r="AA2" s="179"/>
    </row>
    <row r="3" spans="1:27" ht="57" x14ac:dyDescent="0.3">
      <c r="A3" s="77" t="s">
        <v>13</v>
      </c>
      <c r="B3" s="78" t="s">
        <v>14</v>
      </c>
      <c r="C3" s="77" t="s">
        <v>21</v>
      </c>
      <c r="D3" s="77" t="s">
        <v>21</v>
      </c>
      <c r="E3" s="79"/>
      <c r="F3" s="77" t="s">
        <v>22</v>
      </c>
      <c r="G3" s="77" t="s">
        <v>269</v>
      </c>
      <c r="H3" s="80">
        <v>44995</v>
      </c>
      <c r="I3" s="80">
        <v>45381</v>
      </c>
      <c r="J3" s="81" t="s">
        <v>23</v>
      </c>
      <c r="K3" s="82" t="s">
        <v>24</v>
      </c>
      <c r="L3" s="82" t="s">
        <v>20</v>
      </c>
      <c r="M3" s="83" t="str">
        <f t="shared" ref="M3:M66" ca="1" si="0">IF(L3="Abierta", I3-TODAY(), "")</f>
        <v/>
      </c>
      <c r="N3" s="37" t="str">
        <f t="shared" ref="N3:N66" ca="1" si="1">IF(AND(L3="Abierta", M3&lt;&gt;"", M3&lt;=10, M3&gt;5), "🚨 CRÍTICO (10d)", "")</f>
        <v/>
      </c>
      <c r="O3" s="84" t="str">
        <f t="shared" ref="O3:O66" ca="1" si="2">IF(AND(L3="Abierta", M3&lt;&gt;"", M3&lt;=20, M3&gt;10), "⏳ URGENTE (20d)", "")</f>
        <v/>
      </c>
      <c r="P3" s="84" t="str">
        <f t="shared" ref="P3:P66" ca="1" si="3">IF(AND(L3="Abierta", M3&lt;&gt;"", M3&lt;=30, M3&gt;20), "📅 SEGUIMIENTO (30d)", "")</f>
        <v/>
      </c>
      <c r="Q3" s="84" t="str">
        <f t="shared" ref="Q3:Q66" ca="1" si="4">IF(AND(L3="Abierta", M3&lt;&gt;"", M3&lt;=5), "⚠️ INMINENTE (5d)", "")</f>
        <v/>
      </c>
      <c r="R3" s="151"/>
      <c r="S3" s="91"/>
      <c r="T3" s="84"/>
      <c r="U3" s="180">
        <v>2</v>
      </c>
      <c r="V3" s="180"/>
      <c r="W3" s="180"/>
      <c r="X3" s="180"/>
      <c r="Y3" s="151"/>
      <c r="Z3" s="180"/>
      <c r="AA3" s="179"/>
    </row>
    <row r="4" spans="1:27" ht="79.8" x14ac:dyDescent="0.3">
      <c r="A4" s="77" t="s">
        <v>13</v>
      </c>
      <c r="B4" s="78" t="s">
        <v>14</v>
      </c>
      <c r="C4" s="77" t="s">
        <v>25</v>
      </c>
      <c r="D4" s="77" t="s">
        <v>25</v>
      </c>
      <c r="E4" s="79"/>
      <c r="F4" s="77" t="s">
        <v>26</v>
      </c>
      <c r="G4" s="77" t="s">
        <v>269</v>
      </c>
      <c r="H4" s="80">
        <v>44995</v>
      </c>
      <c r="I4" s="80">
        <v>45473</v>
      </c>
      <c r="J4" s="81" t="s">
        <v>27</v>
      </c>
      <c r="K4" s="82" t="s">
        <v>28</v>
      </c>
      <c r="L4" s="82" t="s">
        <v>20</v>
      </c>
      <c r="M4" s="83" t="str">
        <f t="shared" ca="1" si="0"/>
        <v/>
      </c>
      <c r="N4" s="37" t="str">
        <f t="shared" ca="1" si="1"/>
        <v/>
      </c>
      <c r="O4" s="84" t="str">
        <f t="shared" ca="1" si="2"/>
        <v/>
      </c>
      <c r="P4" s="84" t="str">
        <f t="shared" ca="1" si="3"/>
        <v/>
      </c>
      <c r="Q4" s="84" t="str">
        <f t="shared" ca="1" si="4"/>
        <v/>
      </c>
      <c r="R4" s="151"/>
      <c r="S4" s="91"/>
      <c r="T4" s="84"/>
      <c r="U4" s="180">
        <v>3</v>
      </c>
      <c r="V4" s="180"/>
      <c r="W4" s="180"/>
      <c r="X4" s="180"/>
      <c r="Y4" s="151"/>
      <c r="Z4" s="180"/>
      <c r="AA4" s="179"/>
    </row>
    <row r="5" spans="1:27" ht="132" customHeight="1" x14ac:dyDescent="0.3">
      <c r="A5" s="77" t="s">
        <v>13</v>
      </c>
      <c r="B5" s="78" t="s">
        <v>14</v>
      </c>
      <c r="C5" s="77" t="s">
        <v>29</v>
      </c>
      <c r="D5" s="77" t="s">
        <v>29</v>
      </c>
      <c r="E5" s="79"/>
      <c r="F5" s="77" t="s">
        <v>30</v>
      </c>
      <c r="G5" s="77" t="s">
        <v>269</v>
      </c>
      <c r="H5" s="80">
        <v>44995</v>
      </c>
      <c r="I5" s="80">
        <v>46203</v>
      </c>
      <c r="J5" s="85" t="s">
        <v>31</v>
      </c>
      <c r="K5" s="77" t="s">
        <v>804</v>
      </c>
      <c r="L5" s="82" t="s">
        <v>20</v>
      </c>
      <c r="M5" s="83" t="str">
        <f t="shared" ca="1" si="0"/>
        <v/>
      </c>
      <c r="N5" s="37" t="str">
        <f t="shared" ca="1" si="1"/>
        <v/>
      </c>
      <c r="O5" s="84" t="str">
        <f t="shared" ca="1" si="2"/>
        <v/>
      </c>
      <c r="P5" s="84" t="str">
        <f t="shared" ca="1" si="3"/>
        <v/>
      </c>
      <c r="Q5" s="84" t="str">
        <f t="shared" ca="1" si="4"/>
        <v/>
      </c>
      <c r="R5" s="87" t="s">
        <v>635</v>
      </c>
      <c r="S5" s="91"/>
      <c r="T5" s="84"/>
      <c r="U5" s="180">
        <v>4</v>
      </c>
      <c r="V5" s="180"/>
      <c r="W5" s="180"/>
      <c r="X5" s="180"/>
      <c r="Y5" s="151"/>
      <c r="Z5" s="180"/>
      <c r="AA5" s="179"/>
    </row>
    <row r="6" spans="1:27" ht="100.8" x14ac:dyDescent="0.3">
      <c r="A6" s="77" t="s">
        <v>13</v>
      </c>
      <c r="B6" s="78" t="s">
        <v>14</v>
      </c>
      <c r="C6" s="77"/>
      <c r="D6" s="77"/>
      <c r="E6" s="79"/>
      <c r="F6" s="77" t="s">
        <v>34</v>
      </c>
      <c r="G6" s="77" t="s">
        <v>269</v>
      </c>
      <c r="H6" s="80">
        <v>44995</v>
      </c>
      <c r="I6" s="80">
        <v>46203</v>
      </c>
      <c r="J6" s="85" t="s">
        <v>31</v>
      </c>
      <c r="K6" s="77" t="s">
        <v>804</v>
      </c>
      <c r="L6" s="82" t="s">
        <v>33</v>
      </c>
      <c r="M6" s="83" t="str">
        <f t="shared" ca="1" si="0"/>
        <v/>
      </c>
      <c r="N6" s="37" t="str">
        <f t="shared" ca="1" si="1"/>
        <v/>
      </c>
      <c r="O6" s="84" t="str">
        <f t="shared" ca="1" si="2"/>
        <v/>
      </c>
      <c r="P6" s="84" t="str">
        <f t="shared" ca="1" si="3"/>
        <v/>
      </c>
      <c r="Q6" s="84" t="str">
        <f t="shared" ca="1" si="4"/>
        <v/>
      </c>
      <c r="R6" s="87" t="s">
        <v>635</v>
      </c>
      <c r="S6" s="91"/>
      <c r="T6" s="84"/>
      <c r="U6" s="180">
        <v>5</v>
      </c>
      <c r="V6" s="180"/>
      <c r="W6" s="180"/>
      <c r="X6" s="180"/>
      <c r="Y6" s="151"/>
      <c r="Z6" s="180"/>
      <c r="AA6" s="179"/>
    </row>
    <row r="7" spans="1:27" ht="68.400000000000006" x14ac:dyDescent="0.3">
      <c r="A7" s="77" t="s">
        <v>13</v>
      </c>
      <c r="B7" s="78" t="s">
        <v>14</v>
      </c>
      <c r="C7" s="77" t="s">
        <v>36</v>
      </c>
      <c r="D7" s="77" t="s">
        <v>36</v>
      </c>
      <c r="E7" s="79"/>
      <c r="F7" s="77" t="s">
        <v>37</v>
      </c>
      <c r="G7" s="77" t="s">
        <v>269</v>
      </c>
      <c r="H7" s="80">
        <v>44995</v>
      </c>
      <c r="I7" s="80">
        <v>45473</v>
      </c>
      <c r="J7" s="88" t="s">
        <v>38</v>
      </c>
      <c r="K7" s="77" t="s">
        <v>39</v>
      </c>
      <c r="L7" s="82" t="s">
        <v>20</v>
      </c>
      <c r="M7" s="83" t="str">
        <f t="shared" ca="1" si="0"/>
        <v/>
      </c>
      <c r="N7" s="37" t="str">
        <f t="shared" ca="1" si="1"/>
        <v/>
      </c>
      <c r="O7" s="84" t="str">
        <f t="shared" ca="1" si="2"/>
        <v/>
      </c>
      <c r="P7" s="84" t="str">
        <f t="shared" ca="1" si="3"/>
        <v/>
      </c>
      <c r="Q7" s="84" t="str">
        <f t="shared" ca="1" si="4"/>
        <v/>
      </c>
      <c r="R7" s="151"/>
      <c r="S7" s="91"/>
      <c r="T7" s="84"/>
      <c r="U7" s="180">
        <v>6</v>
      </c>
      <c r="V7" s="180"/>
      <c r="W7" s="180"/>
      <c r="X7" s="180"/>
      <c r="Y7" s="151"/>
      <c r="Z7" s="180"/>
      <c r="AA7" s="179"/>
    </row>
    <row r="8" spans="1:27" ht="57" x14ac:dyDescent="0.3">
      <c r="A8" s="77" t="s">
        <v>13</v>
      </c>
      <c r="B8" s="78" t="s">
        <v>14</v>
      </c>
      <c r="C8" s="77" t="s">
        <v>40</v>
      </c>
      <c r="D8" s="77" t="s">
        <v>40</v>
      </c>
      <c r="E8" s="79"/>
      <c r="F8" s="77" t="s">
        <v>41</v>
      </c>
      <c r="G8" s="77" t="s">
        <v>269</v>
      </c>
      <c r="H8" s="80">
        <v>44995</v>
      </c>
      <c r="I8" s="80">
        <v>45381</v>
      </c>
      <c r="J8" s="81" t="s">
        <v>42</v>
      </c>
      <c r="K8" s="82" t="s">
        <v>43</v>
      </c>
      <c r="L8" s="82" t="s">
        <v>20</v>
      </c>
      <c r="M8" s="83" t="str">
        <f t="shared" ca="1" si="0"/>
        <v/>
      </c>
      <c r="N8" s="37" t="str">
        <f t="shared" ca="1" si="1"/>
        <v/>
      </c>
      <c r="O8" s="84" t="str">
        <f t="shared" ca="1" si="2"/>
        <v/>
      </c>
      <c r="P8" s="84" t="str">
        <f t="shared" ca="1" si="3"/>
        <v/>
      </c>
      <c r="Q8" s="84" t="str">
        <f t="shared" ca="1" si="4"/>
        <v/>
      </c>
      <c r="R8" s="151"/>
      <c r="S8" s="91"/>
      <c r="T8" s="84"/>
      <c r="U8" s="180">
        <v>7</v>
      </c>
      <c r="V8" s="180"/>
      <c r="W8" s="180"/>
      <c r="X8" s="180"/>
      <c r="Y8" s="151"/>
      <c r="Z8" s="180"/>
      <c r="AA8" s="179"/>
    </row>
    <row r="9" spans="1:27" ht="68.400000000000006" x14ac:dyDescent="0.3">
      <c r="A9" s="77" t="s">
        <v>13</v>
      </c>
      <c r="B9" s="78" t="s">
        <v>14</v>
      </c>
      <c r="C9" s="77" t="s">
        <v>44</v>
      </c>
      <c r="D9" s="77" t="s">
        <v>44</v>
      </c>
      <c r="E9" s="79"/>
      <c r="F9" s="77" t="s">
        <v>45</v>
      </c>
      <c r="G9" s="77" t="s">
        <v>269</v>
      </c>
      <c r="H9" s="80">
        <v>44995</v>
      </c>
      <c r="I9" s="80">
        <v>45443</v>
      </c>
      <c r="J9" s="81"/>
      <c r="K9" s="82" t="s">
        <v>46</v>
      </c>
      <c r="L9" s="82" t="s">
        <v>20</v>
      </c>
      <c r="M9" s="83" t="str">
        <f t="shared" ca="1" si="0"/>
        <v/>
      </c>
      <c r="N9" s="37" t="str">
        <f t="shared" ca="1" si="1"/>
        <v/>
      </c>
      <c r="O9" s="84" t="str">
        <f t="shared" ca="1" si="2"/>
        <v/>
      </c>
      <c r="P9" s="84" t="str">
        <f t="shared" ca="1" si="3"/>
        <v/>
      </c>
      <c r="Q9" s="84" t="str">
        <f t="shared" ca="1" si="4"/>
        <v/>
      </c>
      <c r="R9" s="151"/>
      <c r="S9" s="91"/>
      <c r="T9" s="84"/>
      <c r="U9" s="180">
        <v>8</v>
      </c>
      <c r="V9" s="180"/>
      <c r="W9" s="180"/>
      <c r="X9" s="180"/>
      <c r="Y9" s="151"/>
      <c r="Z9" s="180"/>
      <c r="AA9" s="179"/>
    </row>
    <row r="10" spans="1:27" ht="57" x14ac:dyDescent="0.3">
      <c r="A10" s="77" t="s">
        <v>13</v>
      </c>
      <c r="B10" s="78" t="s">
        <v>14</v>
      </c>
      <c r="C10" s="77" t="s">
        <v>47</v>
      </c>
      <c r="D10" s="77" t="s">
        <v>47</v>
      </c>
      <c r="E10" s="79"/>
      <c r="F10" s="77" t="s">
        <v>48</v>
      </c>
      <c r="G10" s="77" t="s">
        <v>269</v>
      </c>
      <c r="H10" s="80">
        <v>44995</v>
      </c>
      <c r="I10" s="80">
        <v>45381</v>
      </c>
      <c r="J10" s="81" t="s">
        <v>49</v>
      </c>
      <c r="K10" s="82" t="s">
        <v>50</v>
      </c>
      <c r="L10" s="82" t="s">
        <v>20</v>
      </c>
      <c r="M10" s="83" t="str">
        <f t="shared" ca="1" si="0"/>
        <v/>
      </c>
      <c r="N10" s="37" t="str">
        <f t="shared" ca="1" si="1"/>
        <v/>
      </c>
      <c r="O10" s="84" t="str">
        <f t="shared" ca="1" si="2"/>
        <v/>
      </c>
      <c r="P10" s="84" t="str">
        <f t="shared" ca="1" si="3"/>
        <v/>
      </c>
      <c r="Q10" s="84" t="str">
        <f t="shared" ca="1" si="4"/>
        <v/>
      </c>
      <c r="R10" s="151"/>
      <c r="S10" s="91"/>
      <c r="T10" s="84"/>
      <c r="U10" s="180">
        <v>9</v>
      </c>
      <c r="V10" s="180"/>
      <c r="W10" s="180"/>
      <c r="X10" s="180"/>
      <c r="Y10" s="151"/>
      <c r="Z10" s="180"/>
      <c r="AA10" s="179"/>
    </row>
    <row r="11" spans="1:27" ht="68.400000000000006" x14ac:dyDescent="0.3">
      <c r="A11" s="77" t="s">
        <v>13</v>
      </c>
      <c r="B11" s="78" t="s">
        <v>14</v>
      </c>
      <c r="C11" s="77" t="s">
        <v>51</v>
      </c>
      <c r="D11" s="77" t="s">
        <v>51</v>
      </c>
      <c r="E11" s="79"/>
      <c r="F11" s="77" t="s">
        <v>52</v>
      </c>
      <c r="G11" s="77" t="s">
        <v>269</v>
      </c>
      <c r="H11" s="80">
        <v>44995</v>
      </c>
      <c r="I11" s="80">
        <v>45381</v>
      </c>
      <c r="J11" s="81" t="s">
        <v>53</v>
      </c>
      <c r="K11" s="82" t="s">
        <v>54</v>
      </c>
      <c r="L11" s="82" t="s">
        <v>20</v>
      </c>
      <c r="M11" s="83" t="str">
        <f t="shared" ca="1" si="0"/>
        <v/>
      </c>
      <c r="N11" s="37" t="str">
        <f t="shared" ca="1" si="1"/>
        <v/>
      </c>
      <c r="O11" s="84" t="str">
        <f t="shared" ca="1" si="2"/>
        <v/>
      </c>
      <c r="P11" s="84" t="str">
        <f t="shared" ca="1" si="3"/>
        <v/>
      </c>
      <c r="Q11" s="84" t="str">
        <f t="shared" ca="1" si="4"/>
        <v/>
      </c>
      <c r="R11" s="151"/>
      <c r="S11" s="91"/>
      <c r="T11" s="84"/>
      <c r="U11" s="180">
        <v>10</v>
      </c>
      <c r="V11" s="180"/>
      <c r="W11" s="180"/>
      <c r="X11" s="180"/>
      <c r="Y11" s="151"/>
      <c r="Z11" s="180"/>
      <c r="AA11" s="179"/>
    </row>
    <row r="12" spans="1:27" ht="68.400000000000006" x14ac:dyDescent="0.3">
      <c r="A12" s="77" t="s">
        <v>13</v>
      </c>
      <c r="B12" s="78" t="s">
        <v>14</v>
      </c>
      <c r="C12" s="77" t="s">
        <v>55</v>
      </c>
      <c r="D12" s="77" t="s">
        <v>55</v>
      </c>
      <c r="E12" s="79"/>
      <c r="F12" s="77" t="s">
        <v>56</v>
      </c>
      <c r="G12" s="77" t="s">
        <v>269</v>
      </c>
      <c r="H12" s="80">
        <v>44995</v>
      </c>
      <c r="I12" s="80">
        <v>45473</v>
      </c>
      <c r="J12" s="81" t="s">
        <v>57</v>
      </c>
      <c r="K12" s="82" t="s">
        <v>58</v>
      </c>
      <c r="L12" s="82" t="s">
        <v>20</v>
      </c>
      <c r="M12" s="83" t="str">
        <f t="shared" ca="1" si="0"/>
        <v/>
      </c>
      <c r="N12" s="37" t="str">
        <f t="shared" ca="1" si="1"/>
        <v/>
      </c>
      <c r="O12" s="84" t="str">
        <f t="shared" ca="1" si="2"/>
        <v/>
      </c>
      <c r="P12" s="84" t="str">
        <f t="shared" ca="1" si="3"/>
        <v/>
      </c>
      <c r="Q12" s="84" t="str">
        <f t="shared" ca="1" si="4"/>
        <v/>
      </c>
      <c r="R12" s="151"/>
      <c r="S12" s="91"/>
      <c r="T12" s="84"/>
      <c r="U12" s="180">
        <v>11</v>
      </c>
      <c r="V12" s="180"/>
      <c r="W12" s="180"/>
      <c r="X12" s="180"/>
      <c r="Y12" s="151"/>
      <c r="Z12" s="180"/>
      <c r="AA12" s="179"/>
    </row>
    <row r="13" spans="1:27" ht="34.200000000000003" x14ac:dyDescent="0.3">
      <c r="A13" s="77" t="s">
        <v>13</v>
      </c>
      <c r="B13" s="78" t="s">
        <v>14</v>
      </c>
      <c r="C13" s="77" t="s">
        <v>59</v>
      </c>
      <c r="D13" s="77" t="s">
        <v>59</v>
      </c>
      <c r="E13" s="79"/>
      <c r="F13" s="77" t="s">
        <v>60</v>
      </c>
      <c r="G13" s="77" t="s">
        <v>269</v>
      </c>
      <c r="H13" s="80">
        <v>44995</v>
      </c>
      <c r="I13" s="80">
        <v>45473</v>
      </c>
      <c r="J13" s="81" t="s">
        <v>61</v>
      </c>
      <c r="K13" s="82" t="s">
        <v>62</v>
      </c>
      <c r="L13" s="82" t="s">
        <v>20</v>
      </c>
      <c r="M13" s="83" t="str">
        <f t="shared" ca="1" si="0"/>
        <v/>
      </c>
      <c r="N13" s="37" t="str">
        <f t="shared" ca="1" si="1"/>
        <v/>
      </c>
      <c r="O13" s="84" t="str">
        <f t="shared" ca="1" si="2"/>
        <v/>
      </c>
      <c r="P13" s="84" t="str">
        <f t="shared" ca="1" si="3"/>
        <v/>
      </c>
      <c r="Q13" s="84" t="str">
        <f t="shared" ca="1" si="4"/>
        <v/>
      </c>
      <c r="R13" s="151"/>
      <c r="S13" s="91"/>
      <c r="T13" s="84"/>
      <c r="U13" s="180">
        <v>12</v>
      </c>
      <c r="V13" s="180"/>
      <c r="W13" s="180"/>
      <c r="X13" s="180"/>
      <c r="Y13" s="151"/>
      <c r="Z13" s="180"/>
      <c r="AA13" s="179"/>
    </row>
    <row r="14" spans="1:27" ht="125.4" x14ac:dyDescent="0.3">
      <c r="A14" s="77" t="s">
        <v>13</v>
      </c>
      <c r="B14" s="78" t="s">
        <v>14</v>
      </c>
      <c r="C14" s="77" t="s">
        <v>63</v>
      </c>
      <c r="D14" s="77" t="s">
        <v>63</v>
      </c>
      <c r="E14" s="79"/>
      <c r="F14" s="77" t="s">
        <v>64</v>
      </c>
      <c r="G14" s="77" t="s">
        <v>269</v>
      </c>
      <c r="H14" s="80">
        <v>44995</v>
      </c>
      <c r="I14" s="80">
        <v>45473</v>
      </c>
      <c r="J14" s="81" t="s">
        <v>65</v>
      </c>
      <c r="K14" s="82" t="s">
        <v>62</v>
      </c>
      <c r="L14" s="82" t="s">
        <v>20</v>
      </c>
      <c r="M14" s="83" t="str">
        <f t="shared" ca="1" si="0"/>
        <v/>
      </c>
      <c r="N14" s="37" t="str">
        <f t="shared" ca="1" si="1"/>
        <v/>
      </c>
      <c r="O14" s="84" t="str">
        <f t="shared" ca="1" si="2"/>
        <v/>
      </c>
      <c r="P14" s="84" t="str">
        <f t="shared" ca="1" si="3"/>
        <v/>
      </c>
      <c r="Q14" s="84" t="str">
        <f t="shared" ca="1" si="4"/>
        <v/>
      </c>
      <c r="R14" s="151"/>
      <c r="S14" s="91"/>
      <c r="T14" s="84"/>
      <c r="U14" s="180">
        <v>13</v>
      </c>
      <c r="V14" s="180"/>
      <c r="W14" s="180"/>
      <c r="X14" s="180"/>
      <c r="Y14" s="151"/>
      <c r="Z14" s="180"/>
      <c r="AA14" s="179"/>
    </row>
    <row r="15" spans="1:27" ht="102.6" x14ac:dyDescent="0.3">
      <c r="A15" s="77" t="s">
        <v>13</v>
      </c>
      <c r="B15" s="78" t="s">
        <v>14</v>
      </c>
      <c r="C15" s="77" t="s">
        <v>66</v>
      </c>
      <c r="D15" s="77" t="s">
        <v>66</v>
      </c>
      <c r="E15" s="79"/>
      <c r="F15" s="77" t="s">
        <v>67</v>
      </c>
      <c r="G15" s="77" t="s">
        <v>269</v>
      </c>
      <c r="H15" s="80">
        <v>44995</v>
      </c>
      <c r="I15" s="80">
        <v>45473</v>
      </c>
      <c r="J15" s="81" t="s">
        <v>68</v>
      </c>
      <c r="K15" s="82" t="s">
        <v>69</v>
      </c>
      <c r="L15" s="82" t="s">
        <v>20</v>
      </c>
      <c r="M15" s="83" t="str">
        <f t="shared" ca="1" si="0"/>
        <v/>
      </c>
      <c r="N15" s="37" t="str">
        <f t="shared" ca="1" si="1"/>
        <v/>
      </c>
      <c r="O15" s="84" t="str">
        <f t="shared" ca="1" si="2"/>
        <v/>
      </c>
      <c r="P15" s="84" t="str">
        <f t="shared" ca="1" si="3"/>
        <v/>
      </c>
      <c r="Q15" s="84" t="str">
        <f t="shared" ca="1" si="4"/>
        <v/>
      </c>
      <c r="R15" s="151"/>
      <c r="S15" s="91"/>
      <c r="T15" s="84"/>
      <c r="U15" s="180">
        <v>14</v>
      </c>
      <c r="V15" s="180"/>
      <c r="W15" s="180"/>
      <c r="X15" s="180"/>
      <c r="Y15" s="151"/>
      <c r="Z15" s="180"/>
      <c r="AA15" s="179"/>
    </row>
    <row r="16" spans="1:27" ht="57" x14ac:dyDescent="0.3">
      <c r="A16" s="77" t="s">
        <v>13</v>
      </c>
      <c r="B16" s="78" t="s">
        <v>14</v>
      </c>
      <c r="C16" s="77" t="s">
        <v>70</v>
      </c>
      <c r="D16" s="77" t="s">
        <v>70</v>
      </c>
      <c r="E16" s="79"/>
      <c r="F16" s="77" t="s">
        <v>71</v>
      </c>
      <c r="G16" s="77" t="s">
        <v>269</v>
      </c>
      <c r="H16" s="80">
        <v>44995</v>
      </c>
      <c r="I16" s="80">
        <v>45352</v>
      </c>
      <c r="J16" s="81" t="s">
        <v>72</v>
      </c>
      <c r="K16" s="82" t="s">
        <v>73</v>
      </c>
      <c r="L16" s="82" t="s">
        <v>20</v>
      </c>
      <c r="M16" s="83" t="str">
        <f t="shared" ca="1" si="0"/>
        <v/>
      </c>
      <c r="N16" s="37" t="str">
        <f t="shared" ca="1" si="1"/>
        <v/>
      </c>
      <c r="O16" s="84" t="str">
        <f t="shared" ca="1" si="2"/>
        <v/>
      </c>
      <c r="P16" s="84" t="str">
        <f t="shared" ca="1" si="3"/>
        <v/>
      </c>
      <c r="Q16" s="84" t="str">
        <f t="shared" ca="1" si="4"/>
        <v/>
      </c>
      <c r="R16" s="151"/>
      <c r="S16" s="91"/>
      <c r="T16" s="84"/>
      <c r="U16" s="180">
        <v>15</v>
      </c>
      <c r="V16" s="180"/>
      <c r="W16" s="180"/>
      <c r="X16" s="180"/>
      <c r="Y16" s="151"/>
      <c r="Z16" s="180"/>
      <c r="AA16" s="179"/>
    </row>
    <row r="17" spans="1:27" ht="68.400000000000006" x14ac:dyDescent="0.3">
      <c r="A17" s="77" t="s">
        <v>13</v>
      </c>
      <c r="B17" s="78" t="s">
        <v>14</v>
      </c>
      <c r="C17" s="77" t="s">
        <v>74</v>
      </c>
      <c r="D17" s="77" t="s">
        <v>74</v>
      </c>
      <c r="E17" s="79"/>
      <c r="F17" s="77" t="s">
        <v>75</v>
      </c>
      <c r="G17" s="77" t="s">
        <v>269</v>
      </c>
      <c r="H17" s="80">
        <v>44995</v>
      </c>
      <c r="I17" s="80">
        <v>45352</v>
      </c>
      <c r="J17" s="81" t="s">
        <v>76</v>
      </c>
      <c r="K17" s="82" t="s">
        <v>73</v>
      </c>
      <c r="L17" s="82" t="s">
        <v>20</v>
      </c>
      <c r="M17" s="83" t="str">
        <f t="shared" ca="1" si="0"/>
        <v/>
      </c>
      <c r="N17" s="37" t="str">
        <f t="shared" ca="1" si="1"/>
        <v/>
      </c>
      <c r="O17" s="84" t="str">
        <f t="shared" ca="1" si="2"/>
        <v/>
      </c>
      <c r="P17" s="84" t="str">
        <f t="shared" ca="1" si="3"/>
        <v/>
      </c>
      <c r="Q17" s="84" t="str">
        <f t="shared" ca="1" si="4"/>
        <v/>
      </c>
      <c r="R17" s="151"/>
      <c r="S17" s="91"/>
      <c r="T17" s="84"/>
      <c r="U17" s="180">
        <v>16</v>
      </c>
      <c r="V17" s="180"/>
      <c r="W17" s="180"/>
      <c r="X17" s="180"/>
      <c r="Y17" s="151"/>
      <c r="Z17" s="180"/>
      <c r="AA17" s="179"/>
    </row>
    <row r="18" spans="1:27" ht="148.19999999999999" x14ac:dyDescent="0.3">
      <c r="A18" s="77" t="s">
        <v>13</v>
      </c>
      <c r="B18" s="78" t="s">
        <v>14</v>
      </c>
      <c r="C18" s="77" t="s">
        <v>77</v>
      </c>
      <c r="D18" s="77" t="s">
        <v>77</v>
      </c>
      <c r="E18" s="79"/>
      <c r="F18" s="77" t="s">
        <v>78</v>
      </c>
      <c r="G18" s="77" t="s">
        <v>269</v>
      </c>
      <c r="H18" s="80">
        <v>44995</v>
      </c>
      <c r="I18" s="80">
        <v>45473</v>
      </c>
      <c r="J18" s="88" t="s">
        <v>79</v>
      </c>
      <c r="K18" s="82" t="s">
        <v>80</v>
      </c>
      <c r="L18" s="82" t="s">
        <v>20</v>
      </c>
      <c r="M18" s="83" t="str">
        <f t="shared" ca="1" si="0"/>
        <v/>
      </c>
      <c r="N18" s="37" t="str">
        <f t="shared" ca="1" si="1"/>
        <v/>
      </c>
      <c r="O18" s="84" t="str">
        <f t="shared" ca="1" si="2"/>
        <v/>
      </c>
      <c r="P18" s="84" t="str">
        <f t="shared" ca="1" si="3"/>
        <v/>
      </c>
      <c r="Q18" s="84" t="str">
        <f t="shared" ca="1" si="4"/>
        <v/>
      </c>
      <c r="R18" s="151"/>
      <c r="S18" s="91"/>
      <c r="T18" s="84"/>
      <c r="U18" s="180">
        <v>17</v>
      </c>
      <c r="V18" s="180"/>
      <c r="W18" s="180"/>
      <c r="X18" s="180"/>
      <c r="Y18" s="151"/>
      <c r="Z18" s="180"/>
      <c r="AA18" s="179"/>
    </row>
    <row r="19" spans="1:27" ht="91.2" x14ac:dyDescent="0.3">
      <c r="A19" s="77" t="s">
        <v>13</v>
      </c>
      <c r="B19" s="78" t="s">
        <v>14</v>
      </c>
      <c r="C19" s="77" t="s">
        <v>81</v>
      </c>
      <c r="D19" s="77" t="s">
        <v>81</v>
      </c>
      <c r="E19" s="79"/>
      <c r="F19" s="77" t="s">
        <v>82</v>
      </c>
      <c r="G19" s="77" t="s">
        <v>269</v>
      </c>
      <c r="H19" s="80">
        <v>44995</v>
      </c>
      <c r="I19" s="80">
        <v>45473</v>
      </c>
      <c r="J19" s="81" t="s">
        <v>83</v>
      </c>
      <c r="K19" s="82" t="s">
        <v>84</v>
      </c>
      <c r="L19" s="82" t="s">
        <v>20</v>
      </c>
      <c r="M19" s="83" t="str">
        <f t="shared" ca="1" si="0"/>
        <v/>
      </c>
      <c r="N19" s="37" t="str">
        <f t="shared" ca="1" si="1"/>
        <v/>
      </c>
      <c r="O19" s="84" t="str">
        <f t="shared" ca="1" si="2"/>
        <v/>
      </c>
      <c r="P19" s="84" t="str">
        <f t="shared" ca="1" si="3"/>
        <v/>
      </c>
      <c r="Q19" s="84" t="str">
        <f t="shared" ca="1" si="4"/>
        <v/>
      </c>
      <c r="R19" s="151"/>
      <c r="S19" s="91"/>
      <c r="T19" s="84"/>
      <c r="U19" s="180">
        <v>18</v>
      </c>
      <c r="V19" s="180"/>
      <c r="W19" s="180"/>
      <c r="X19" s="180"/>
      <c r="Y19" s="151"/>
      <c r="Z19" s="180"/>
      <c r="AA19" s="179"/>
    </row>
    <row r="20" spans="1:27" ht="45.6" x14ac:dyDescent="0.3">
      <c r="A20" s="77" t="s">
        <v>13</v>
      </c>
      <c r="B20" s="78" t="s">
        <v>14</v>
      </c>
      <c r="C20" s="77" t="s">
        <v>85</v>
      </c>
      <c r="D20" s="77" t="s">
        <v>85</v>
      </c>
      <c r="E20" s="79"/>
      <c r="F20" s="77" t="s">
        <v>86</v>
      </c>
      <c r="G20" s="77" t="s">
        <v>269</v>
      </c>
      <c r="H20" s="80">
        <v>44995</v>
      </c>
      <c r="I20" s="80">
        <v>45473</v>
      </c>
      <c r="J20" s="81" t="s">
        <v>87</v>
      </c>
      <c r="K20" s="82"/>
      <c r="L20" s="82" t="s">
        <v>20</v>
      </c>
      <c r="M20" s="83" t="str">
        <f t="shared" ca="1" si="0"/>
        <v/>
      </c>
      <c r="N20" s="37" t="str">
        <f t="shared" ca="1" si="1"/>
        <v/>
      </c>
      <c r="O20" s="84" t="str">
        <f t="shared" ca="1" si="2"/>
        <v/>
      </c>
      <c r="P20" s="84" t="str">
        <f t="shared" ca="1" si="3"/>
        <v/>
      </c>
      <c r="Q20" s="84" t="str">
        <f t="shared" ca="1" si="4"/>
        <v/>
      </c>
      <c r="R20" s="151"/>
      <c r="S20" s="91"/>
      <c r="T20" s="84"/>
      <c r="U20" s="180">
        <v>19</v>
      </c>
      <c r="V20" s="180"/>
      <c r="W20" s="180"/>
      <c r="X20" s="180"/>
      <c r="Y20" s="151"/>
      <c r="Z20" s="180"/>
      <c r="AA20" s="179"/>
    </row>
    <row r="21" spans="1:27" ht="106.2" x14ac:dyDescent="0.3">
      <c r="A21" s="77" t="s">
        <v>13</v>
      </c>
      <c r="B21" s="78" t="s">
        <v>14</v>
      </c>
      <c r="C21" s="77" t="s">
        <v>88</v>
      </c>
      <c r="D21" s="77" t="s">
        <v>88</v>
      </c>
      <c r="E21" s="79"/>
      <c r="F21" s="77" t="s">
        <v>89</v>
      </c>
      <c r="G21" s="77" t="s">
        <v>269</v>
      </c>
      <c r="H21" s="80">
        <v>44995</v>
      </c>
      <c r="I21" s="80">
        <v>45473</v>
      </c>
      <c r="J21" s="88" t="s">
        <v>90</v>
      </c>
      <c r="K21" s="82" t="s">
        <v>91</v>
      </c>
      <c r="L21" s="82" t="s">
        <v>20</v>
      </c>
      <c r="M21" s="83" t="str">
        <f t="shared" ca="1" si="0"/>
        <v/>
      </c>
      <c r="N21" s="37" t="str">
        <f t="shared" ca="1" si="1"/>
        <v/>
      </c>
      <c r="O21" s="84" t="str">
        <f t="shared" ca="1" si="2"/>
        <v/>
      </c>
      <c r="P21" s="84" t="str">
        <f t="shared" ca="1" si="3"/>
        <v/>
      </c>
      <c r="Q21" s="84" t="str">
        <f t="shared" ca="1" si="4"/>
        <v/>
      </c>
      <c r="R21" s="151"/>
      <c r="S21" s="91"/>
      <c r="T21" s="84"/>
      <c r="U21" s="180">
        <v>20</v>
      </c>
      <c r="V21" s="180"/>
      <c r="W21" s="180"/>
      <c r="X21" s="180"/>
      <c r="Y21" s="151"/>
      <c r="Z21" s="180"/>
      <c r="AA21" s="179"/>
    </row>
    <row r="22" spans="1:27" ht="91.2" x14ac:dyDescent="0.3">
      <c r="A22" s="77" t="s">
        <v>13</v>
      </c>
      <c r="B22" s="78" t="s">
        <v>14</v>
      </c>
      <c r="C22" s="77" t="s">
        <v>92</v>
      </c>
      <c r="D22" s="77" t="s">
        <v>92</v>
      </c>
      <c r="E22" s="79"/>
      <c r="F22" s="77" t="s">
        <v>93</v>
      </c>
      <c r="G22" s="77" t="s">
        <v>269</v>
      </c>
      <c r="H22" s="80">
        <v>44995</v>
      </c>
      <c r="I22" s="80">
        <v>45381</v>
      </c>
      <c r="J22" s="81" t="s">
        <v>94</v>
      </c>
      <c r="K22" s="82" t="s">
        <v>95</v>
      </c>
      <c r="L22" s="82" t="s">
        <v>20</v>
      </c>
      <c r="M22" s="83" t="str">
        <f t="shared" ca="1" si="0"/>
        <v/>
      </c>
      <c r="N22" s="37" t="str">
        <f t="shared" ca="1" si="1"/>
        <v/>
      </c>
      <c r="O22" s="84" t="str">
        <f t="shared" ca="1" si="2"/>
        <v/>
      </c>
      <c r="P22" s="84" t="str">
        <f t="shared" ca="1" si="3"/>
        <v/>
      </c>
      <c r="Q22" s="84" t="str">
        <f t="shared" ca="1" si="4"/>
        <v/>
      </c>
      <c r="R22" s="151"/>
      <c r="S22" s="91"/>
      <c r="T22" s="84"/>
      <c r="U22" s="180">
        <v>21</v>
      </c>
      <c r="V22" s="180"/>
      <c r="W22" s="180"/>
      <c r="X22" s="180"/>
      <c r="Y22" s="151"/>
      <c r="Z22" s="180"/>
      <c r="AA22" s="179"/>
    </row>
    <row r="23" spans="1:27" ht="114" x14ac:dyDescent="0.3">
      <c r="A23" s="77" t="s">
        <v>13</v>
      </c>
      <c r="B23" s="78" t="s">
        <v>14</v>
      </c>
      <c r="C23" s="77" t="s">
        <v>96</v>
      </c>
      <c r="D23" s="77" t="s">
        <v>96</v>
      </c>
      <c r="E23" s="79"/>
      <c r="F23" s="77" t="s">
        <v>97</v>
      </c>
      <c r="G23" s="77" t="s">
        <v>269</v>
      </c>
      <c r="H23" s="80">
        <v>44995</v>
      </c>
      <c r="I23" s="80">
        <v>45443</v>
      </c>
      <c r="J23" s="88" t="s">
        <v>98</v>
      </c>
      <c r="K23" s="77" t="s">
        <v>99</v>
      </c>
      <c r="L23" s="82" t="s">
        <v>20</v>
      </c>
      <c r="M23" s="83" t="str">
        <f t="shared" ca="1" si="0"/>
        <v/>
      </c>
      <c r="N23" s="37" t="str">
        <f t="shared" ca="1" si="1"/>
        <v/>
      </c>
      <c r="O23" s="84" t="str">
        <f t="shared" ca="1" si="2"/>
        <v/>
      </c>
      <c r="P23" s="84" t="str">
        <f t="shared" ca="1" si="3"/>
        <v/>
      </c>
      <c r="Q23" s="84" t="str">
        <f t="shared" ca="1" si="4"/>
        <v/>
      </c>
      <c r="R23" s="151"/>
      <c r="S23" s="91"/>
      <c r="T23" s="84"/>
      <c r="U23" s="180">
        <v>22</v>
      </c>
      <c r="V23" s="180"/>
      <c r="W23" s="180"/>
      <c r="X23" s="180"/>
      <c r="Y23" s="151"/>
      <c r="Z23" s="180"/>
      <c r="AA23" s="179"/>
    </row>
    <row r="24" spans="1:27" ht="114" x14ac:dyDescent="0.3">
      <c r="A24" s="77" t="s">
        <v>13</v>
      </c>
      <c r="B24" s="78" t="s">
        <v>14</v>
      </c>
      <c r="C24" s="77" t="s">
        <v>100</v>
      </c>
      <c r="D24" s="77" t="s">
        <v>100</v>
      </c>
      <c r="E24" s="79"/>
      <c r="F24" s="77" t="s">
        <v>101</v>
      </c>
      <c r="G24" s="77" t="s">
        <v>269</v>
      </c>
      <c r="H24" s="80">
        <v>44995</v>
      </c>
      <c r="I24" s="80">
        <v>45412</v>
      </c>
      <c r="J24" s="81" t="s">
        <v>102</v>
      </c>
      <c r="K24" s="82"/>
      <c r="L24" s="82" t="s">
        <v>20</v>
      </c>
      <c r="M24" s="83" t="str">
        <f t="shared" ca="1" si="0"/>
        <v/>
      </c>
      <c r="N24" s="37" t="str">
        <f t="shared" ca="1" si="1"/>
        <v/>
      </c>
      <c r="O24" s="84" t="str">
        <f t="shared" ca="1" si="2"/>
        <v/>
      </c>
      <c r="P24" s="84" t="str">
        <f t="shared" ca="1" si="3"/>
        <v/>
      </c>
      <c r="Q24" s="84" t="str">
        <f t="shared" ca="1" si="4"/>
        <v/>
      </c>
      <c r="R24" s="151"/>
      <c r="S24" s="91"/>
      <c r="T24" s="84"/>
      <c r="U24" s="180">
        <v>23</v>
      </c>
      <c r="V24" s="180"/>
      <c r="W24" s="180"/>
      <c r="X24" s="180"/>
      <c r="Y24" s="151"/>
      <c r="Z24" s="180"/>
      <c r="AA24" s="179"/>
    </row>
    <row r="25" spans="1:27" ht="68.400000000000006" x14ac:dyDescent="0.3">
      <c r="A25" s="77" t="s">
        <v>13</v>
      </c>
      <c r="B25" s="78" t="s">
        <v>14</v>
      </c>
      <c r="C25" s="77" t="s">
        <v>103</v>
      </c>
      <c r="D25" s="77" t="s">
        <v>103</v>
      </c>
      <c r="E25" s="79"/>
      <c r="F25" s="77" t="s">
        <v>104</v>
      </c>
      <c r="G25" s="77" t="s">
        <v>269</v>
      </c>
      <c r="H25" s="80">
        <v>44995</v>
      </c>
      <c r="I25" s="80">
        <v>45473</v>
      </c>
      <c r="J25" s="81" t="s">
        <v>105</v>
      </c>
      <c r="K25" s="82"/>
      <c r="L25" s="82" t="s">
        <v>20</v>
      </c>
      <c r="M25" s="83" t="str">
        <f t="shared" ca="1" si="0"/>
        <v/>
      </c>
      <c r="N25" s="37" t="str">
        <f t="shared" ca="1" si="1"/>
        <v/>
      </c>
      <c r="O25" s="84" t="str">
        <f t="shared" ca="1" si="2"/>
        <v/>
      </c>
      <c r="P25" s="84" t="str">
        <f t="shared" ca="1" si="3"/>
        <v/>
      </c>
      <c r="Q25" s="84" t="str">
        <f t="shared" ca="1" si="4"/>
        <v/>
      </c>
      <c r="R25" s="151"/>
      <c r="S25" s="91"/>
      <c r="T25" s="84"/>
      <c r="U25" s="180">
        <v>24</v>
      </c>
      <c r="V25" s="180"/>
      <c r="W25" s="180"/>
      <c r="X25" s="180"/>
      <c r="Y25" s="151"/>
      <c r="Z25" s="180"/>
      <c r="AA25" s="179"/>
    </row>
    <row r="26" spans="1:27" ht="57" x14ac:dyDescent="0.3">
      <c r="A26" s="77" t="s">
        <v>13</v>
      </c>
      <c r="B26" s="78" t="s">
        <v>14</v>
      </c>
      <c r="C26" s="77" t="s">
        <v>106</v>
      </c>
      <c r="D26" s="77" t="s">
        <v>106</v>
      </c>
      <c r="E26" s="79"/>
      <c r="F26" s="77" t="s">
        <v>107</v>
      </c>
      <c r="G26" s="77" t="s">
        <v>269</v>
      </c>
      <c r="H26" s="80">
        <v>44995</v>
      </c>
      <c r="I26" s="80">
        <v>45352</v>
      </c>
      <c r="J26" s="81" t="s">
        <v>108</v>
      </c>
      <c r="K26" s="82"/>
      <c r="L26" s="82" t="s">
        <v>20</v>
      </c>
      <c r="M26" s="83" t="str">
        <f t="shared" ca="1" si="0"/>
        <v/>
      </c>
      <c r="N26" s="37" t="str">
        <f t="shared" ca="1" si="1"/>
        <v/>
      </c>
      <c r="O26" s="84" t="str">
        <f t="shared" ca="1" si="2"/>
        <v/>
      </c>
      <c r="P26" s="84" t="str">
        <f t="shared" ca="1" si="3"/>
        <v/>
      </c>
      <c r="Q26" s="84" t="str">
        <f t="shared" ca="1" si="4"/>
        <v/>
      </c>
      <c r="R26" s="151"/>
      <c r="S26" s="91"/>
      <c r="T26" s="84"/>
      <c r="U26" s="180">
        <v>25</v>
      </c>
      <c r="V26" s="180"/>
      <c r="W26" s="180"/>
      <c r="X26" s="180"/>
      <c r="Y26" s="151"/>
      <c r="Z26" s="180"/>
      <c r="AA26" s="179"/>
    </row>
    <row r="27" spans="1:27" ht="134.4" customHeight="1" x14ac:dyDescent="0.3">
      <c r="A27" s="77" t="s">
        <v>13</v>
      </c>
      <c r="B27" s="78" t="s">
        <v>14</v>
      </c>
      <c r="C27" s="77" t="s">
        <v>109</v>
      </c>
      <c r="D27" s="77" t="s">
        <v>109</v>
      </c>
      <c r="E27" s="79"/>
      <c r="F27" s="77" t="s">
        <v>110</v>
      </c>
      <c r="G27" s="77" t="s">
        <v>269</v>
      </c>
      <c r="H27" s="80">
        <v>44995</v>
      </c>
      <c r="I27" s="80">
        <v>45473</v>
      </c>
      <c r="J27" s="82"/>
      <c r="K27" s="82"/>
      <c r="L27" s="82" t="s">
        <v>20</v>
      </c>
      <c r="M27" s="83" t="str">
        <f t="shared" ca="1" si="0"/>
        <v/>
      </c>
      <c r="N27" s="37" t="str">
        <f t="shared" ca="1" si="1"/>
        <v/>
      </c>
      <c r="O27" s="84" t="str">
        <f t="shared" ca="1" si="2"/>
        <v/>
      </c>
      <c r="P27" s="84" t="str">
        <f t="shared" ca="1" si="3"/>
        <v/>
      </c>
      <c r="Q27" s="84" t="str">
        <f t="shared" ca="1" si="4"/>
        <v/>
      </c>
      <c r="R27" s="151"/>
      <c r="S27" s="91"/>
      <c r="T27" s="84"/>
      <c r="U27" s="180">
        <v>26</v>
      </c>
      <c r="V27" s="180"/>
      <c r="W27" s="180"/>
      <c r="X27" s="180"/>
      <c r="Y27" s="151"/>
      <c r="Z27" s="180"/>
      <c r="AA27" s="179"/>
    </row>
    <row r="28" spans="1:27" ht="285" x14ac:dyDescent="0.3">
      <c r="A28" s="77" t="s">
        <v>111</v>
      </c>
      <c r="B28" s="78" t="s">
        <v>112</v>
      </c>
      <c r="C28" s="77" t="s">
        <v>559</v>
      </c>
      <c r="D28" s="77" t="s">
        <v>113</v>
      </c>
      <c r="E28" s="79"/>
      <c r="F28" s="77" t="s">
        <v>114</v>
      </c>
      <c r="G28" s="77" t="s">
        <v>115</v>
      </c>
      <c r="H28" s="80">
        <v>45709</v>
      </c>
      <c r="I28" s="80">
        <v>45709</v>
      </c>
      <c r="J28" s="82"/>
      <c r="K28" s="82"/>
      <c r="L28" s="82" t="s">
        <v>20</v>
      </c>
      <c r="M28" s="83" t="str">
        <f t="shared" ca="1" si="0"/>
        <v/>
      </c>
      <c r="N28" s="37" t="str">
        <f t="shared" ca="1" si="1"/>
        <v/>
      </c>
      <c r="O28" s="84" t="str">
        <f t="shared" ca="1" si="2"/>
        <v/>
      </c>
      <c r="P28" s="84" t="str">
        <f t="shared" ca="1" si="3"/>
        <v/>
      </c>
      <c r="Q28" s="84" t="str">
        <f t="shared" ca="1" si="4"/>
        <v/>
      </c>
      <c r="R28" s="151"/>
      <c r="S28" s="91"/>
      <c r="T28" s="84"/>
      <c r="U28" s="180">
        <v>27</v>
      </c>
      <c r="V28" s="180"/>
      <c r="W28" s="180"/>
      <c r="X28" s="180"/>
      <c r="Y28" s="151"/>
      <c r="Z28" s="180"/>
      <c r="AA28" s="179"/>
    </row>
    <row r="29" spans="1:27" ht="228" x14ac:dyDescent="0.3">
      <c r="A29" s="77" t="s">
        <v>111</v>
      </c>
      <c r="B29" s="78" t="s">
        <v>112</v>
      </c>
      <c r="C29" s="77" t="s">
        <v>560</v>
      </c>
      <c r="D29" s="77" t="s">
        <v>116</v>
      </c>
      <c r="E29" s="79"/>
      <c r="F29" s="77" t="s">
        <v>117</v>
      </c>
      <c r="G29" s="77" t="s">
        <v>118</v>
      </c>
      <c r="H29" s="82" t="s">
        <v>119</v>
      </c>
      <c r="I29" s="82" t="s">
        <v>119</v>
      </c>
      <c r="J29" s="88" t="s">
        <v>120</v>
      </c>
      <c r="K29" s="77" t="s">
        <v>121</v>
      </c>
      <c r="L29" s="82" t="s">
        <v>20</v>
      </c>
      <c r="M29" s="83" t="str">
        <f t="shared" ca="1" si="0"/>
        <v/>
      </c>
      <c r="N29" s="37" t="str">
        <f t="shared" ca="1" si="1"/>
        <v/>
      </c>
      <c r="O29" s="84" t="str">
        <f t="shared" ca="1" si="2"/>
        <v/>
      </c>
      <c r="P29" s="84" t="str">
        <f t="shared" ca="1" si="3"/>
        <v/>
      </c>
      <c r="Q29" s="84" t="str">
        <f t="shared" ca="1" si="4"/>
        <v/>
      </c>
      <c r="R29" s="151"/>
      <c r="S29" s="91"/>
      <c r="T29" s="84"/>
      <c r="U29" s="180">
        <v>28</v>
      </c>
      <c r="V29" s="180"/>
      <c r="W29" s="180"/>
      <c r="X29" s="180"/>
      <c r="Y29" s="151"/>
      <c r="Z29" s="180"/>
      <c r="AA29" s="179"/>
    </row>
    <row r="30" spans="1:27" ht="154.19999999999999" customHeight="1" x14ac:dyDescent="0.3">
      <c r="A30" s="77" t="s">
        <v>111</v>
      </c>
      <c r="B30" s="78" t="s">
        <v>112</v>
      </c>
      <c r="C30" s="77" t="s">
        <v>122</v>
      </c>
      <c r="D30" s="77" t="s">
        <v>122</v>
      </c>
      <c r="E30" s="79"/>
      <c r="F30" s="77" t="s">
        <v>451</v>
      </c>
      <c r="G30" s="77" t="s">
        <v>118</v>
      </c>
      <c r="H30" s="80">
        <v>45681</v>
      </c>
      <c r="I30" s="80">
        <v>46203</v>
      </c>
      <c r="J30" s="85" t="s">
        <v>124</v>
      </c>
      <c r="K30" s="77" t="s">
        <v>125</v>
      </c>
      <c r="L30" s="82" t="s">
        <v>33</v>
      </c>
      <c r="M30" s="83" t="str">
        <f t="shared" ca="1" si="0"/>
        <v/>
      </c>
      <c r="N30" s="37" t="str">
        <f t="shared" ca="1" si="1"/>
        <v/>
      </c>
      <c r="O30" s="84" t="str">
        <f t="shared" ca="1" si="2"/>
        <v/>
      </c>
      <c r="P30" s="84" t="str">
        <f t="shared" ca="1" si="3"/>
        <v/>
      </c>
      <c r="Q30" s="84" t="str">
        <f t="shared" ca="1" si="4"/>
        <v/>
      </c>
      <c r="R30" s="87" t="s">
        <v>647</v>
      </c>
      <c r="S30" s="91"/>
      <c r="T30" s="84"/>
      <c r="U30" s="180">
        <v>29</v>
      </c>
      <c r="V30" s="180"/>
      <c r="W30" s="180"/>
      <c r="X30" s="180"/>
      <c r="Y30" s="151"/>
      <c r="Z30" s="180"/>
      <c r="AA30" s="179"/>
    </row>
    <row r="31" spans="1:27" ht="159.6" x14ac:dyDescent="0.3">
      <c r="A31" s="77" t="s">
        <v>111</v>
      </c>
      <c r="B31" s="78" t="s">
        <v>112</v>
      </c>
      <c r="C31" s="77" t="s">
        <v>561</v>
      </c>
      <c r="D31" s="77" t="s">
        <v>126</v>
      </c>
      <c r="E31" s="79"/>
      <c r="F31" s="77" t="s">
        <v>127</v>
      </c>
      <c r="G31" s="77" t="s">
        <v>128</v>
      </c>
      <c r="H31" s="80">
        <v>45681</v>
      </c>
      <c r="I31" s="80">
        <v>45681</v>
      </c>
      <c r="J31" s="82"/>
      <c r="K31" s="82" t="s">
        <v>129</v>
      </c>
      <c r="L31" s="82" t="s">
        <v>20</v>
      </c>
      <c r="M31" s="83" t="str">
        <f t="shared" ca="1" si="0"/>
        <v/>
      </c>
      <c r="N31" s="37" t="str">
        <f t="shared" ca="1" si="1"/>
        <v/>
      </c>
      <c r="O31" s="84" t="str">
        <f t="shared" ca="1" si="2"/>
        <v/>
      </c>
      <c r="P31" s="84" t="str">
        <f t="shared" ca="1" si="3"/>
        <v/>
      </c>
      <c r="Q31" s="84" t="str">
        <f t="shared" ca="1" si="4"/>
        <v/>
      </c>
      <c r="R31" s="151"/>
      <c r="S31" s="91"/>
      <c r="T31" s="84"/>
      <c r="U31" s="180">
        <v>30</v>
      </c>
      <c r="V31" s="180"/>
      <c r="W31" s="180"/>
      <c r="X31" s="180"/>
      <c r="Y31" s="151"/>
      <c r="Z31" s="180"/>
      <c r="AA31" s="179"/>
    </row>
    <row r="32" spans="1:27" ht="136.80000000000001" x14ac:dyDescent="0.3">
      <c r="A32" s="77" t="s">
        <v>111</v>
      </c>
      <c r="B32" s="78" t="s">
        <v>112</v>
      </c>
      <c r="C32" s="77" t="s">
        <v>562</v>
      </c>
      <c r="D32" s="77" t="s">
        <v>130</v>
      </c>
      <c r="E32" s="79"/>
      <c r="F32" s="77" t="s">
        <v>131</v>
      </c>
      <c r="G32" s="77" t="s">
        <v>118</v>
      </c>
      <c r="H32" s="80">
        <v>45728</v>
      </c>
      <c r="I32" s="80">
        <v>45747</v>
      </c>
      <c r="J32" s="88" t="s">
        <v>132</v>
      </c>
      <c r="K32" s="77" t="s">
        <v>133</v>
      </c>
      <c r="L32" s="82" t="s">
        <v>20</v>
      </c>
      <c r="M32" s="83" t="str">
        <f t="shared" ca="1" si="0"/>
        <v/>
      </c>
      <c r="N32" s="37" t="str">
        <f t="shared" ca="1" si="1"/>
        <v/>
      </c>
      <c r="O32" s="84" t="str">
        <f t="shared" ca="1" si="2"/>
        <v/>
      </c>
      <c r="P32" s="84" t="str">
        <f t="shared" ca="1" si="3"/>
        <v/>
      </c>
      <c r="Q32" s="84" t="str">
        <f t="shared" ca="1" si="4"/>
        <v/>
      </c>
      <c r="R32" s="151"/>
      <c r="S32" s="91"/>
      <c r="T32" s="84"/>
      <c r="U32" s="180">
        <v>31</v>
      </c>
      <c r="V32" s="180"/>
      <c r="W32" s="180"/>
      <c r="X32" s="180"/>
      <c r="Y32" s="151"/>
      <c r="Z32" s="180"/>
      <c r="AA32" s="179"/>
    </row>
    <row r="33" spans="1:27" ht="114" x14ac:dyDescent="0.3">
      <c r="A33" s="77" t="s">
        <v>111</v>
      </c>
      <c r="B33" s="78" t="s">
        <v>112</v>
      </c>
      <c r="C33" s="77"/>
      <c r="D33" s="77"/>
      <c r="E33" s="79"/>
      <c r="F33" s="77" t="s">
        <v>134</v>
      </c>
      <c r="G33" s="77" t="s">
        <v>128</v>
      </c>
      <c r="H33" s="80">
        <v>45728</v>
      </c>
      <c r="I33" s="80">
        <v>45777</v>
      </c>
      <c r="J33" s="88" t="s">
        <v>135</v>
      </c>
      <c r="K33" s="77" t="s">
        <v>133</v>
      </c>
      <c r="L33" s="82" t="s">
        <v>20</v>
      </c>
      <c r="M33" s="83" t="str">
        <f t="shared" ca="1" si="0"/>
        <v/>
      </c>
      <c r="N33" s="37" t="str">
        <f t="shared" ca="1" si="1"/>
        <v/>
      </c>
      <c r="O33" s="84" t="str">
        <f t="shared" ca="1" si="2"/>
        <v/>
      </c>
      <c r="P33" s="84" t="str">
        <f t="shared" ca="1" si="3"/>
        <v/>
      </c>
      <c r="Q33" s="84" t="str">
        <f t="shared" ca="1" si="4"/>
        <v/>
      </c>
      <c r="R33" s="151"/>
      <c r="S33" s="91"/>
      <c r="T33" s="84"/>
      <c r="U33" s="180">
        <v>32</v>
      </c>
      <c r="V33" s="180"/>
      <c r="W33" s="180"/>
      <c r="X33" s="180"/>
      <c r="Y33" s="151"/>
      <c r="Z33" s="180"/>
      <c r="AA33" s="179"/>
    </row>
    <row r="34" spans="1:27" ht="125.4" x14ac:dyDescent="0.3">
      <c r="A34" s="77" t="s">
        <v>111</v>
      </c>
      <c r="B34" s="78" t="s">
        <v>112</v>
      </c>
      <c r="C34" s="77" t="s">
        <v>563</v>
      </c>
      <c r="D34" s="77" t="s">
        <v>136</v>
      </c>
      <c r="E34" s="79"/>
      <c r="F34" s="77" t="s">
        <v>137</v>
      </c>
      <c r="G34" s="77" t="s">
        <v>115</v>
      </c>
      <c r="H34" s="80">
        <v>45315</v>
      </c>
      <c r="I34" s="80">
        <v>45747</v>
      </c>
      <c r="J34" s="88" t="s">
        <v>138</v>
      </c>
      <c r="K34" s="77" t="s">
        <v>139</v>
      </c>
      <c r="L34" s="82" t="s">
        <v>20</v>
      </c>
      <c r="M34" s="83" t="str">
        <f t="shared" ca="1" si="0"/>
        <v/>
      </c>
      <c r="N34" s="37" t="str">
        <f t="shared" ca="1" si="1"/>
        <v/>
      </c>
      <c r="O34" s="84" t="str">
        <f t="shared" ca="1" si="2"/>
        <v/>
      </c>
      <c r="P34" s="84" t="str">
        <f t="shared" ca="1" si="3"/>
        <v/>
      </c>
      <c r="Q34" s="84" t="str">
        <f t="shared" ca="1" si="4"/>
        <v/>
      </c>
      <c r="R34" s="151"/>
      <c r="S34" s="91"/>
      <c r="T34" s="84"/>
      <c r="U34" s="180">
        <v>33</v>
      </c>
      <c r="V34" s="180"/>
      <c r="W34" s="180"/>
      <c r="X34" s="180"/>
      <c r="Y34" s="151"/>
      <c r="Z34" s="180"/>
      <c r="AA34" s="179"/>
    </row>
    <row r="35" spans="1:27" ht="159.6" x14ac:dyDescent="0.3">
      <c r="A35" s="77" t="s">
        <v>111</v>
      </c>
      <c r="B35" s="78" t="s">
        <v>112</v>
      </c>
      <c r="C35" s="77" t="s">
        <v>564</v>
      </c>
      <c r="D35" s="77" t="s">
        <v>140</v>
      </c>
      <c r="E35" s="79"/>
      <c r="F35" s="77" t="s">
        <v>141</v>
      </c>
      <c r="G35" s="77" t="s">
        <v>128</v>
      </c>
      <c r="H35" s="80">
        <v>45681</v>
      </c>
      <c r="I35" s="80">
        <v>45681</v>
      </c>
      <c r="J35" s="82"/>
      <c r="K35" s="82"/>
      <c r="L35" s="82" t="s">
        <v>20</v>
      </c>
      <c r="M35" s="83" t="str">
        <f t="shared" ca="1" si="0"/>
        <v/>
      </c>
      <c r="N35" s="37" t="str">
        <f t="shared" ca="1" si="1"/>
        <v/>
      </c>
      <c r="O35" s="84" t="str">
        <f t="shared" ca="1" si="2"/>
        <v/>
      </c>
      <c r="P35" s="84" t="str">
        <f t="shared" ca="1" si="3"/>
        <v/>
      </c>
      <c r="Q35" s="84" t="str">
        <f t="shared" ca="1" si="4"/>
        <v/>
      </c>
      <c r="R35" s="151"/>
      <c r="S35" s="91"/>
      <c r="T35" s="84"/>
      <c r="U35" s="180">
        <v>34</v>
      </c>
      <c r="V35" s="180"/>
      <c r="W35" s="180"/>
      <c r="X35" s="180"/>
      <c r="Y35" s="151"/>
      <c r="Z35" s="180"/>
      <c r="AA35" s="179"/>
    </row>
    <row r="36" spans="1:27" ht="307.8" x14ac:dyDescent="0.3">
      <c r="A36" s="77" t="s">
        <v>111</v>
      </c>
      <c r="B36" s="78" t="s">
        <v>142</v>
      </c>
      <c r="C36" s="77" t="s">
        <v>565</v>
      </c>
      <c r="D36" s="77" t="s">
        <v>503</v>
      </c>
      <c r="E36" s="79"/>
      <c r="F36" s="77" t="s">
        <v>143</v>
      </c>
      <c r="G36" s="77" t="s">
        <v>144</v>
      </c>
      <c r="H36" s="80">
        <v>45716</v>
      </c>
      <c r="I36" s="80">
        <v>46081</v>
      </c>
      <c r="J36" s="85" t="s">
        <v>145</v>
      </c>
      <c r="K36" s="77" t="s">
        <v>806</v>
      </c>
      <c r="L36" s="82" t="s">
        <v>20</v>
      </c>
      <c r="M36" s="83" t="str">
        <f t="shared" ca="1" si="0"/>
        <v/>
      </c>
      <c r="N36" s="37" t="str">
        <f t="shared" ca="1" si="1"/>
        <v/>
      </c>
      <c r="O36" s="84" t="str">
        <f t="shared" ca="1" si="2"/>
        <v/>
      </c>
      <c r="P36" s="84" t="str">
        <f t="shared" ca="1" si="3"/>
        <v/>
      </c>
      <c r="Q36" s="84" t="str">
        <f t="shared" ca="1" si="4"/>
        <v/>
      </c>
      <c r="R36" s="86" t="s">
        <v>621</v>
      </c>
      <c r="S36" s="91">
        <v>46178</v>
      </c>
      <c r="T36" s="84"/>
      <c r="U36" s="180">
        <v>35</v>
      </c>
      <c r="V36" s="180"/>
      <c r="W36" s="180"/>
      <c r="X36" s="180"/>
      <c r="Y36" s="151"/>
      <c r="Z36" s="180"/>
      <c r="AA36" s="179"/>
    </row>
    <row r="37" spans="1:27" ht="239.4" x14ac:dyDescent="0.3">
      <c r="A37" s="77" t="s">
        <v>111</v>
      </c>
      <c r="B37" s="78" t="s">
        <v>142</v>
      </c>
      <c r="C37" s="77" t="s">
        <v>566</v>
      </c>
      <c r="D37" s="77" t="s">
        <v>147</v>
      </c>
      <c r="E37" s="79"/>
      <c r="F37" s="77" t="s">
        <v>143</v>
      </c>
      <c r="G37" s="77" t="s">
        <v>144</v>
      </c>
      <c r="H37" s="80">
        <v>45716</v>
      </c>
      <c r="I37" s="80">
        <v>46081</v>
      </c>
      <c r="J37" s="88" t="s">
        <v>145</v>
      </c>
      <c r="K37" s="77" t="s">
        <v>806</v>
      </c>
      <c r="L37" s="82" t="s">
        <v>20</v>
      </c>
      <c r="M37" s="83" t="str">
        <f t="shared" ca="1" si="0"/>
        <v/>
      </c>
      <c r="N37" s="37" t="str">
        <f t="shared" ca="1" si="1"/>
        <v/>
      </c>
      <c r="O37" s="84" t="str">
        <f t="shared" ca="1" si="2"/>
        <v/>
      </c>
      <c r="P37" s="84" t="str">
        <f t="shared" ca="1" si="3"/>
        <v/>
      </c>
      <c r="Q37" s="84" t="str">
        <f t="shared" ca="1" si="4"/>
        <v/>
      </c>
      <c r="R37" s="86" t="s">
        <v>621</v>
      </c>
      <c r="S37" s="91">
        <v>46178</v>
      </c>
      <c r="T37" s="84"/>
      <c r="U37" s="180">
        <v>36</v>
      </c>
      <c r="V37" s="180"/>
      <c r="W37" s="180"/>
      <c r="X37" s="180"/>
      <c r="Y37" s="151"/>
      <c r="Z37" s="180"/>
      <c r="AA37" s="179"/>
    </row>
    <row r="38" spans="1:27" ht="330.6" x14ac:dyDescent="0.3">
      <c r="A38" s="77" t="s">
        <v>111</v>
      </c>
      <c r="B38" s="78" t="s">
        <v>142</v>
      </c>
      <c r="C38" s="77" t="s">
        <v>567</v>
      </c>
      <c r="D38" s="77" t="s">
        <v>504</v>
      </c>
      <c r="E38" s="79"/>
      <c r="F38" s="77" t="s">
        <v>143</v>
      </c>
      <c r="G38" s="77" t="s">
        <v>144</v>
      </c>
      <c r="H38" s="80">
        <v>45716</v>
      </c>
      <c r="I38" s="80">
        <v>46081</v>
      </c>
      <c r="J38" s="88" t="s">
        <v>145</v>
      </c>
      <c r="K38" s="77" t="s">
        <v>806</v>
      </c>
      <c r="L38" s="82" t="s">
        <v>20</v>
      </c>
      <c r="M38" s="83" t="str">
        <f t="shared" ca="1" si="0"/>
        <v/>
      </c>
      <c r="N38" s="37" t="str">
        <f t="shared" ca="1" si="1"/>
        <v/>
      </c>
      <c r="O38" s="84" t="str">
        <f t="shared" ca="1" si="2"/>
        <v/>
      </c>
      <c r="P38" s="84" t="str">
        <f t="shared" ca="1" si="3"/>
        <v/>
      </c>
      <c r="Q38" s="84" t="str">
        <f t="shared" ca="1" si="4"/>
        <v/>
      </c>
      <c r="R38" s="86" t="s">
        <v>621</v>
      </c>
      <c r="S38" s="91">
        <v>46178</v>
      </c>
      <c r="T38" s="84"/>
      <c r="U38" s="180">
        <v>37</v>
      </c>
      <c r="V38" s="180"/>
      <c r="W38" s="180"/>
      <c r="X38" s="180"/>
      <c r="Y38" s="151"/>
      <c r="Z38" s="180"/>
      <c r="AA38" s="179"/>
    </row>
    <row r="39" spans="1:27" ht="319.2" x14ac:dyDescent="0.3">
      <c r="A39" s="77" t="s">
        <v>111</v>
      </c>
      <c r="B39" s="78" t="s">
        <v>142</v>
      </c>
      <c r="C39" s="77" t="s">
        <v>568</v>
      </c>
      <c r="D39" s="77" t="s">
        <v>505</v>
      </c>
      <c r="E39" s="79"/>
      <c r="F39" s="77" t="s">
        <v>542</v>
      </c>
      <c r="G39" s="77" t="s">
        <v>148</v>
      </c>
      <c r="H39" s="80">
        <v>45412</v>
      </c>
      <c r="I39" s="80">
        <v>45712</v>
      </c>
      <c r="J39" s="88" t="s">
        <v>149</v>
      </c>
      <c r="K39" s="89" t="s">
        <v>150</v>
      </c>
      <c r="L39" s="82" t="s">
        <v>20</v>
      </c>
      <c r="M39" s="83" t="str">
        <f t="shared" ca="1" si="0"/>
        <v/>
      </c>
      <c r="N39" s="37" t="str">
        <f t="shared" ca="1" si="1"/>
        <v/>
      </c>
      <c r="O39" s="84" t="str">
        <f t="shared" ca="1" si="2"/>
        <v/>
      </c>
      <c r="P39" s="84" t="str">
        <f t="shared" ca="1" si="3"/>
        <v/>
      </c>
      <c r="Q39" s="84" t="str">
        <f t="shared" ca="1" si="4"/>
        <v/>
      </c>
      <c r="R39" s="151"/>
      <c r="S39" s="91"/>
      <c r="T39" s="84"/>
      <c r="U39" s="180">
        <v>38</v>
      </c>
      <c r="V39" s="180"/>
      <c r="W39" s="180"/>
      <c r="X39" s="180"/>
      <c r="Y39" s="151"/>
      <c r="Z39" s="180"/>
      <c r="AA39" s="179"/>
    </row>
    <row r="40" spans="1:27" ht="91.2" x14ac:dyDescent="0.3">
      <c r="A40" s="77" t="s">
        <v>111</v>
      </c>
      <c r="B40" s="78" t="s">
        <v>142</v>
      </c>
      <c r="C40" s="77"/>
      <c r="D40" s="77"/>
      <c r="E40" s="79"/>
      <c r="F40" s="77" t="s">
        <v>151</v>
      </c>
      <c r="G40" s="77" t="s">
        <v>148</v>
      </c>
      <c r="H40" s="80">
        <v>45412</v>
      </c>
      <c r="I40" s="80">
        <v>45712</v>
      </c>
      <c r="J40" s="85" t="s">
        <v>152</v>
      </c>
      <c r="K40" s="77" t="s">
        <v>153</v>
      </c>
      <c r="L40" s="82" t="s">
        <v>20</v>
      </c>
      <c r="M40" s="83" t="str">
        <f t="shared" ca="1" si="0"/>
        <v/>
      </c>
      <c r="N40" s="37" t="str">
        <f t="shared" ca="1" si="1"/>
        <v/>
      </c>
      <c r="O40" s="84" t="str">
        <f t="shared" ca="1" si="2"/>
        <v/>
      </c>
      <c r="P40" s="84" t="str">
        <f t="shared" ca="1" si="3"/>
        <v/>
      </c>
      <c r="Q40" s="84" t="str">
        <f t="shared" ca="1" si="4"/>
        <v/>
      </c>
      <c r="R40" s="151"/>
      <c r="S40" s="91"/>
      <c r="T40" s="84"/>
      <c r="U40" s="180">
        <v>39</v>
      </c>
      <c r="V40" s="180"/>
      <c r="W40" s="180"/>
      <c r="X40" s="180"/>
      <c r="Y40" s="151"/>
      <c r="Z40" s="180"/>
      <c r="AA40" s="179"/>
    </row>
    <row r="41" spans="1:27" ht="79.8" x14ac:dyDescent="0.3">
      <c r="A41" s="77" t="s">
        <v>111</v>
      </c>
      <c r="B41" s="78" t="s">
        <v>142</v>
      </c>
      <c r="C41" s="77"/>
      <c r="D41" s="77"/>
      <c r="E41" s="79"/>
      <c r="F41" s="77" t="s">
        <v>154</v>
      </c>
      <c r="G41" s="77" t="s">
        <v>148</v>
      </c>
      <c r="H41" s="80">
        <v>45412</v>
      </c>
      <c r="I41" s="80">
        <v>45712</v>
      </c>
      <c r="J41" s="88" t="s">
        <v>155</v>
      </c>
      <c r="K41" s="77" t="s">
        <v>156</v>
      </c>
      <c r="L41" s="82" t="s">
        <v>20</v>
      </c>
      <c r="M41" s="83" t="str">
        <f t="shared" ca="1" si="0"/>
        <v/>
      </c>
      <c r="N41" s="37" t="str">
        <f t="shared" ca="1" si="1"/>
        <v/>
      </c>
      <c r="O41" s="84" t="str">
        <f t="shared" ca="1" si="2"/>
        <v/>
      </c>
      <c r="P41" s="84" t="str">
        <f t="shared" ca="1" si="3"/>
        <v/>
      </c>
      <c r="Q41" s="84" t="str">
        <f t="shared" ca="1" si="4"/>
        <v/>
      </c>
      <c r="R41" s="151"/>
      <c r="S41" s="91"/>
      <c r="T41" s="84"/>
      <c r="U41" s="180">
        <v>40</v>
      </c>
      <c r="V41" s="180"/>
      <c r="W41" s="180"/>
      <c r="X41" s="180"/>
      <c r="Y41" s="151"/>
      <c r="Z41" s="180"/>
      <c r="AA41" s="179"/>
    </row>
    <row r="42" spans="1:27" ht="148.80000000000001" x14ac:dyDescent="0.3">
      <c r="A42" s="77" t="s">
        <v>111</v>
      </c>
      <c r="B42" s="78" t="s">
        <v>157</v>
      </c>
      <c r="C42" s="77" t="s">
        <v>569</v>
      </c>
      <c r="D42" s="77" t="s">
        <v>158</v>
      </c>
      <c r="E42" s="79"/>
      <c r="F42" s="77" t="s">
        <v>159</v>
      </c>
      <c r="G42" s="77" t="s">
        <v>115</v>
      </c>
      <c r="H42" s="90">
        <v>45754</v>
      </c>
      <c r="I42" s="90">
        <v>46080</v>
      </c>
      <c r="J42" s="129" t="s">
        <v>160</v>
      </c>
      <c r="K42" s="77" t="s">
        <v>161</v>
      </c>
      <c r="L42" s="82" t="s">
        <v>20</v>
      </c>
      <c r="M42" s="83" t="str">
        <f t="shared" ca="1" si="0"/>
        <v/>
      </c>
      <c r="N42" s="37" t="str">
        <f t="shared" ca="1" si="1"/>
        <v/>
      </c>
      <c r="O42" s="84" t="str">
        <f t="shared" ca="1" si="2"/>
        <v/>
      </c>
      <c r="P42" s="84" t="str">
        <f t="shared" ca="1" si="3"/>
        <v/>
      </c>
      <c r="Q42" s="84" t="str">
        <f t="shared" ca="1" si="4"/>
        <v/>
      </c>
      <c r="R42" s="131" t="s">
        <v>632</v>
      </c>
      <c r="S42" s="132">
        <v>46128</v>
      </c>
      <c r="T42" s="187" t="s">
        <v>667</v>
      </c>
      <c r="U42" s="180">
        <v>41</v>
      </c>
      <c r="V42" s="180"/>
      <c r="W42" s="180"/>
      <c r="X42" s="180"/>
      <c r="Y42" s="151"/>
      <c r="Z42" s="180"/>
      <c r="AA42" s="179"/>
    </row>
    <row r="43" spans="1:27" ht="148.80000000000001" x14ac:dyDescent="0.3">
      <c r="A43" s="77" t="s">
        <v>111</v>
      </c>
      <c r="B43" s="78" t="s">
        <v>157</v>
      </c>
      <c r="C43" s="77" t="s">
        <v>570</v>
      </c>
      <c r="D43" s="77" t="s">
        <v>162</v>
      </c>
      <c r="E43" s="79"/>
      <c r="F43" s="77" t="s">
        <v>163</v>
      </c>
      <c r="G43" s="77" t="s">
        <v>115</v>
      </c>
      <c r="H43" s="90">
        <v>45754</v>
      </c>
      <c r="I43" s="90">
        <v>46080</v>
      </c>
      <c r="J43" s="85" t="s">
        <v>164</v>
      </c>
      <c r="K43" s="77" t="s">
        <v>165</v>
      </c>
      <c r="L43" s="82" t="s">
        <v>20</v>
      </c>
      <c r="M43" s="83" t="str">
        <f t="shared" ca="1" si="0"/>
        <v/>
      </c>
      <c r="N43" s="37" t="str">
        <f t="shared" ca="1" si="1"/>
        <v/>
      </c>
      <c r="O43" s="84" t="str">
        <f t="shared" ca="1" si="2"/>
        <v/>
      </c>
      <c r="P43" s="84" t="str">
        <f t="shared" ca="1" si="3"/>
        <v/>
      </c>
      <c r="Q43" s="84" t="str">
        <f t="shared" ca="1" si="4"/>
        <v/>
      </c>
      <c r="R43" s="130" t="s">
        <v>622</v>
      </c>
      <c r="S43" s="132">
        <v>46080</v>
      </c>
      <c r="T43" s="187" t="s">
        <v>667</v>
      </c>
      <c r="U43" s="180">
        <v>42</v>
      </c>
      <c r="V43" s="180"/>
      <c r="W43" s="180"/>
      <c r="X43" s="180"/>
      <c r="Y43" s="151"/>
      <c r="Z43" s="180"/>
      <c r="AA43" s="179"/>
    </row>
    <row r="44" spans="1:27" ht="217.2" x14ac:dyDescent="0.3">
      <c r="A44" s="77" t="s">
        <v>111</v>
      </c>
      <c r="B44" s="78" t="s">
        <v>157</v>
      </c>
      <c r="C44" s="77" t="s">
        <v>166</v>
      </c>
      <c r="D44" s="77" t="s">
        <v>167</v>
      </c>
      <c r="E44" s="79"/>
      <c r="F44" s="78" t="s">
        <v>631</v>
      </c>
      <c r="G44" s="77" t="s">
        <v>118</v>
      </c>
      <c r="H44" s="90" t="s">
        <v>169</v>
      </c>
      <c r="I44" s="90" t="s">
        <v>169</v>
      </c>
      <c r="J44" s="133" t="s">
        <v>170</v>
      </c>
      <c r="K44" s="78"/>
      <c r="L44" s="82" t="s">
        <v>20</v>
      </c>
      <c r="M44" s="83" t="str">
        <f t="shared" ca="1" si="0"/>
        <v/>
      </c>
      <c r="N44" s="37" t="str">
        <f t="shared" ca="1" si="1"/>
        <v/>
      </c>
      <c r="O44" s="84" t="str">
        <f t="shared" ca="1" si="2"/>
        <v/>
      </c>
      <c r="P44" s="84" t="str">
        <f t="shared" ca="1" si="3"/>
        <v/>
      </c>
      <c r="Q44" s="84" t="str">
        <f t="shared" ca="1" si="4"/>
        <v/>
      </c>
      <c r="R44" s="190"/>
      <c r="S44" s="132"/>
      <c r="T44" s="187" t="s">
        <v>667</v>
      </c>
      <c r="U44" s="180">
        <v>43</v>
      </c>
      <c r="V44" s="180"/>
      <c r="W44" s="180"/>
      <c r="X44" s="180"/>
      <c r="Y44" s="151"/>
      <c r="Z44" s="180"/>
      <c r="AA44" s="179"/>
    </row>
    <row r="45" spans="1:27" ht="167.4" customHeight="1" x14ac:dyDescent="0.3">
      <c r="A45" s="77" t="s">
        <v>111</v>
      </c>
      <c r="B45" s="78" t="s">
        <v>157</v>
      </c>
      <c r="C45" s="77"/>
      <c r="D45" s="77" t="s">
        <v>172</v>
      </c>
      <c r="E45" s="79"/>
      <c r="F45" s="77" t="s">
        <v>173</v>
      </c>
      <c r="G45" s="77" t="s">
        <v>148</v>
      </c>
      <c r="H45" s="80">
        <v>45715</v>
      </c>
      <c r="I45" s="80">
        <v>45736</v>
      </c>
      <c r="J45" s="133" t="s">
        <v>174</v>
      </c>
      <c r="K45" s="77" t="s">
        <v>175</v>
      </c>
      <c r="L45" s="82" t="s">
        <v>20</v>
      </c>
      <c r="M45" s="83" t="str">
        <f t="shared" ca="1" si="0"/>
        <v/>
      </c>
      <c r="N45" s="37" t="str">
        <f t="shared" ca="1" si="1"/>
        <v/>
      </c>
      <c r="O45" s="84" t="str">
        <f t="shared" ca="1" si="2"/>
        <v/>
      </c>
      <c r="P45" s="84" t="str">
        <f t="shared" ca="1" si="3"/>
        <v/>
      </c>
      <c r="Q45" s="84" t="str">
        <f t="shared" ca="1" si="4"/>
        <v/>
      </c>
      <c r="R45" s="190"/>
      <c r="S45" s="132"/>
      <c r="T45" s="187" t="s">
        <v>667</v>
      </c>
      <c r="U45" s="180">
        <v>44</v>
      </c>
      <c r="V45" s="180"/>
      <c r="W45" s="180"/>
      <c r="X45" s="180"/>
      <c r="Y45" s="151"/>
      <c r="Z45" s="180"/>
      <c r="AA45" s="179"/>
    </row>
    <row r="46" spans="1:27" ht="68.400000000000006" x14ac:dyDescent="0.3">
      <c r="A46" s="77" t="s">
        <v>111</v>
      </c>
      <c r="B46" s="78" t="s">
        <v>157</v>
      </c>
      <c r="C46" s="77"/>
      <c r="D46" s="77"/>
      <c r="E46" s="79"/>
      <c r="F46" s="77" t="s">
        <v>176</v>
      </c>
      <c r="G46" s="77" t="s">
        <v>148</v>
      </c>
      <c r="H46" s="80">
        <v>45715</v>
      </c>
      <c r="I46" s="80">
        <v>45736</v>
      </c>
      <c r="J46" s="129" t="s">
        <v>174</v>
      </c>
      <c r="K46" s="77" t="s">
        <v>177</v>
      </c>
      <c r="L46" s="82" t="s">
        <v>20</v>
      </c>
      <c r="M46" s="83" t="str">
        <f t="shared" ca="1" si="0"/>
        <v/>
      </c>
      <c r="N46" s="37" t="str">
        <f t="shared" ca="1" si="1"/>
        <v/>
      </c>
      <c r="O46" s="84" t="str">
        <f t="shared" ca="1" si="2"/>
        <v/>
      </c>
      <c r="P46" s="84" t="str">
        <f t="shared" ca="1" si="3"/>
        <v/>
      </c>
      <c r="Q46" s="84" t="str">
        <f t="shared" ca="1" si="4"/>
        <v/>
      </c>
      <c r="R46" s="190"/>
      <c r="S46" s="132"/>
      <c r="T46" s="187" t="s">
        <v>667</v>
      </c>
      <c r="U46" s="180">
        <v>45</v>
      </c>
      <c r="V46" s="180"/>
      <c r="W46" s="180"/>
      <c r="X46" s="180"/>
      <c r="Y46" s="151"/>
      <c r="Z46" s="180"/>
      <c r="AA46" s="179"/>
    </row>
    <row r="47" spans="1:27" ht="80.400000000000006" x14ac:dyDescent="0.3">
      <c r="A47" s="77" t="s">
        <v>111</v>
      </c>
      <c r="B47" s="78" t="s">
        <v>157</v>
      </c>
      <c r="C47" s="77"/>
      <c r="D47" s="77" t="s">
        <v>668</v>
      </c>
      <c r="E47" s="79"/>
      <c r="F47" s="77" t="s">
        <v>178</v>
      </c>
      <c r="G47" s="77" t="s">
        <v>179</v>
      </c>
      <c r="H47" s="80">
        <v>46023</v>
      </c>
      <c r="I47" s="80">
        <v>46023</v>
      </c>
      <c r="J47" s="129" t="s">
        <v>170</v>
      </c>
      <c r="K47" s="77"/>
      <c r="L47" s="82" t="s">
        <v>20</v>
      </c>
      <c r="M47" s="83" t="str">
        <f t="shared" ca="1" si="0"/>
        <v/>
      </c>
      <c r="N47" s="37" t="str">
        <f t="shared" ca="1" si="1"/>
        <v/>
      </c>
      <c r="O47" s="84" t="str">
        <f t="shared" ca="1" si="2"/>
        <v/>
      </c>
      <c r="P47" s="84" t="str">
        <f t="shared" ca="1" si="3"/>
        <v/>
      </c>
      <c r="Q47" s="84" t="str">
        <f t="shared" ca="1" si="4"/>
        <v/>
      </c>
      <c r="R47" s="131" t="s">
        <v>644</v>
      </c>
      <c r="S47" s="132">
        <v>46023</v>
      </c>
      <c r="T47" s="132" t="s">
        <v>667</v>
      </c>
      <c r="U47" s="180">
        <v>46</v>
      </c>
      <c r="V47" s="180"/>
      <c r="W47" s="180"/>
      <c r="X47" s="180"/>
      <c r="Y47" s="151"/>
      <c r="Z47" s="180"/>
      <c r="AA47" s="179"/>
    </row>
    <row r="48" spans="1:27" ht="34.200000000000003" x14ac:dyDescent="0.3">
      <c r="A48" s="77" t="s">
        <v>180</v>
      </c>
      <c r="B48" s="78" t="s">
        <v>181</v>
      </c>
      <c r="C48" s="77" t="s">
        <v>182</v>
      </c>
      <c r="D48" s="77"/>
      <c r="E48" s="79"/>
      <c r="F48" s="77" t="s">
        <v>183</v>
      </c>
      <c r="G48" s="77" t="s">
        <v>144</v>
      </c>
      <c r="H48" s="80">
        <v>45809</v>
      </c>
      <c r="I48" s="80">
        <v>46081</v>
      </c>
      <c r="J48" s="88" t="s">
        <v>184</v>
      </c>
      <c r="K48" s="77" t="s">
        <v>185</v>
      </c>
      <c r="L48" s="82" t="s">
        <v>20</v>
      </c>
      <c r="M48" s="83" t="str">
        <f t="shared" ca="1" si="0"/>
        <v/>
      </c>
      <c r="N48" s="37" t="str">
        <f t="shared" ca="1" si="1"/>
        <v/>
      </c>
      <c r="O48" s="84" t="str">
        <f t="shared" ca="1" si="2"/>
        <v/>
      </c>
      <c r="P48" s="84" t="str">
        <f t="shared" ca="1" si="3"/>
        <v/>
      </c>
      <c r="Q48" s="84" t="str">
        <f t="shared" ca="1" si="4"/>
        <v/>
      </c>
      <c r="R48" s="151"/>
      <c r="S48" s="91">
        <v>46081</v>
      </c>
      <c r="T48" s="84"/>
      <c r="U48" s="180">
        <v>47</v>
      </c>
      <c r="V48" s="180"/>
      <c r="W48" s="180"/>
      <c r="X48" s="180"/>
      <c r="Y48" s="151"/>
      <c r="Z48" s="180"/>
      <c r="AA48" s="179"/>
    </row>
    <row r="49" spans="1:27" ht="183" x14ac:dyDescent="0.3">
      <c r="A49" s="77" t="s">
        <v>180</v>
      </c>
      <c r="B49" s="78" t="s">
        <v>181</v>
      </c>
      <c r="C49" s="77" t="s">
        <v>186</v>
      </c>
      <c r="D49" s="77" t="s">
        <v>187</v>
      </c>
      <c r="E49" s="72" t="s">
        <v>188</v>
      </c>
      <c r="F49" s="77" t="s">
        <v>189</v>
      </c>
      <c r="G49" s="77" t="s">
        <v>190</v>
      </c>
      <c r="H49" s="80">
        <v>45809</v>
      </c>
      <c r="I49" s="80">
        <v>45945</v>
      </c>
      <c r="J49" s="85" t="s">
        <v>191</v>
      </c>
      <c r="K49" s="77" t="s">
        <v>192</v>
      </c>
      <c r="L49" s="82" t="s">
        <v>20</v>
      </c>
      <c r="M49" s="83" t="str">
        <f t="shared" ca="1" si="0"/>
        <v/>
      </c>
      <c r="N49" s="37" t="str">
        <f t="shared" ca="1" si="1"/>
        <v/>
      </c>
      <c r="O49" s="84" t="str">
        <f t="shared" ca="1" si="2"/>
        <v/>
      </c>
      <c r="P49" s="84" t="str">
        <f t="shared" ca="1" si="3"/>
        <v/>
      </c>
      <c r="Q49" s="84" t="str">
        <f t="shared" ca="1" si="4"/>
        <v/>
      </c>
      <c r="R49" s="87" t="s">
        <v>637</v>
      </c>
      <c r="S49" s="91"/>
      <c r="T49" s="84"/>
      <c r="U49" s="180">
        <v>48</v>
      </c>
      <c r="V49" s="180"/>
      <c r="W49" s="180"/>
      <c r="X49" s="180"/>
      <c r="Y49" s="151"/>
      <c r="Z49" s="180"/>
      <c r="AA49" s="179"/>
    </row>
    <row r="50" spans="1:27" ht="141.6" customHeight="1" x14ac:dyDescent="0.3">
      <c r="A50" s="77" t="s">
        <v>180</v>
      </c>
      <c r="B50" s="78" t="s">
        <v>181</v>
      </c>
      <c r="C50" s="77" t="s">
        <v>193</v>
      </c>
      <c r="D50" s="77" t="s">
        <v>194</v>
      </c>
      <c r="E50" s="72" t="s">
        <v>188</v>
      </c>
      <c r="F50" s="77" t="s">
        <v>195</v>
      </c>
      <c r="G50" s="77" t="s">
        <v>190</v>
      </c>
      <c r="H50" s="80">
        <v>45809</v>
      </c>
      <c r="I50" s="80">
        <v>45945</v>
      </c>
      <c r="J50" s="88" t="s">
        <v>196</v>
      </c>
      <c r="K50" s="77" t="s">
        <v>197</v>
      </c>
      <c r="L50" s="82" t="s">
        <v>20</v>
      </c>
      <c r="M50" s="83" t="str">
        <f t="shared" ca="1" si="0"/>
        <v/>
      </c>
      <c r="N50" s="37" t="str">
        <f t="shared" ca="1" si="1"/>
        <v/>
      </c>
      <c r="O50" s="84" t="str">
        <f t="shared" ca="1" si="2"/>
        <v/>
      </c>
      <c r="P50" s="84" t="str">
        <f t="shared" ca="1" si="3"/>
        <v/>
      </c>
      <c r="Q50" s="84" t="str">
        <f t="shared" ca="1" si="4"/>
        <v/>
      </c>
      <c r="R50" s="151"/>
      <c r="S50" s="91"/>
      <c r="T50" s="84"/>
      <c r="U50" s="180">
        <v>49</v>
      </c>
      <c r="V50" s="180"/>
      <c r="W50" s="180"/>
      <c r="X50" s="180"/>
      <c r="Y50" s="151"/>
      <c r="Z50" s="180"/>
      <c r="AA50" s="179"/>
    </row>
    <row r="51" spans="1:27" ht="142.19999999999999" customHeight="1" x14ac:dyDescent="0.3">
      <c r="A51" s="152" t="s">
        <v>180</v>
      </c>
      <c r="B51" s="161" t="s">
        <v>181</v>
      </c>
      <c r="C51" s="152" t="s">
        <v>186</v>
      </c>
      <c r="D51" s="152"/>
      <c r="E51" s="162"/>
      <c r="F51" s="152" t="s">
        <v>198</v>
      </c>
      <c r="G51" s="152" t="s">
        <v>199</v>
      </c>
      <c r="H51" s="163">
        <v>45809</v>
      </c>
      <c r="I51" s="163">
        <v>46387</v>
      </c>
      <c r="J51" s="164" t="s">
        <v>200</v>
      </c>
      <c r="K51" s="152" t="s">
        <v>840</v>
      </c>
      <c r="L51" s="165" t="s">
        <v>20</v>
      </c>
      <c r="M51" s="83" t="str">
        <f t="shared" ca="1" si="0"/>
        <v/>
      </c>
      <c r="N51" s="37" t="str">
        <f t="shared" ca="1" si="1"/>
        <v/>
      </c>
      <c r="O51" s="84" t="str">
        <f t="shared" ca="1" si="2"/>
        <v/>
      </c>
      <c r="P51" s="84" t="str">
        <f t="shared" ca="1" si="3"/>
        <v/>
      </c>
      <c r="Q51" s="84" t="str">
        <f t="shared" ca="1" si="4"/>
        <v/>
      </c>
      <c r="R51" s="160" t="s">
        <v>638</v>
      </c>
      <c r="S51" s="166">
        <v>46178</v>
      </c>
      <c r="T51" s="188"/>
      <c r="U51" s="180">
        <v>50</v>
      </c>
      <c r="V51" s="180" t="s">
        <v>921</v>
      </c>
      <c r="W51" s="180"/>
      <c r="X51" s="180"/>
      <c r="Y51" s="151"/>
      <c r="Z51" s="180"/>
      <c r="AA51" s="179"/>
    </row>
    <row r="52" spans="1:27" ht="117" customHeight="1" x14ac:dyDescent="0.3">
      <c r="A52" s="77" t="s">
        <v>180</v>
      </c>
      <c r="B52" s="78" t="s">
        <v>181</v>
      </c>
      <c r="C52" s="77" t="s">
        <v>182</v>
      </c>
      <c r="D52" s="77"/>
      <c r="E52" s="79"/>
      <c r="F52" s="77" t="s">
        <v>202</v>
      </c>
      <c r="G52" s="77" t="s">
        <v>203</v>
      </c>
      <c r="H52" s="80">
        <v>45809</v>
      </c>
      <c r="I52" s="80">
        <v>45992</v>
      </c>
      <c r="J52" s="88" t="s">
        <v>204</v>
      </c>
      <c r="K52" s="77" t="s">
        <v>205</v>
      </c>
      <c r="L52" s="82" t="s">
        <v>20</v>
      </c>
      <c r="M52" s="83" t="str">
        <f t="shared" ca="1" si="0"/>
        <v/>
      </c>
      <c r="N52" s="37" t="str">
        <f t="shared" ca="1" si="1"/>
        <v/>
      </c>
      <c r="O52" s="84" t="str">
        <f t="shared" ca="1" si="2"/>
        <v/>
      </c>
      <c r="P52" s="84" t="str">
        <f t="shared" ca="1" si="3"/>
        <v/>
      </c>
      <c r="Q52" s="84" t="str">
        <f t="shared" ca="1" si="4"/>
        <v/>
      </c>
      <c r="R52" s="151"/>
      <c r="S52" s="91"/>
      <c r="T52" s="84"/>
      <c r="U52" s="180">
        <v>51</v>
      </c>
      <c r="V52" s="180"/>
      <c r="W52" s="180"/>
      <c r="X52" s="180"/>
      <c r="Y52" s="151"/>
      <c r="Z52" s="180"/>
      <c r="AA52" s="179"/>
    </row>
    <row r="53" spans="1:27" ht="115.2" x14ac:dyDescent="0.3">
      <c r="A53" s="77" t="s">
        <v>180</v>
      </c>
      <c r="B53" s="78" t="s">
        <v>181</v>
      </c>
      <c r="C53" s="77" t="s">
        <v>206</v>
      </c>
      <c r="D53" s="77" t="s">
        <v>207</v>
      </c>
      <c r="E53" s="72" t="s">
        <v>188</v>
      </c>
      <c r="F53" s="77" t="s">
        <v>651</v>
      </c>
      <c r="G53" s="77" t="s">
        <v>148</v>
      </c>
      <c r="H53" s="80" t="s">
        <v>169</v>
      </c>
      <c r="I53" s="80" t="s">
        <v>169</v>
      </c>
      <c r="J53" s="85" t="s">
        <v>208</v>
      </c>
      <c r="K53" s="77" t="s">
        <v>650</v>
      </c>
      <c r="L53" s="82" t="s">
        <v>649</v>
      </c>
      <c r="M53" s="83" t="str">
        <f t="shared" ca="1" si="0"/>
        <v/>
      </c>
      <c r="N53" s="37" t="str">
        <f t="shared" ca="1" si="1"/>
        <v/>
      </c>
      <c r="O53" s="84" t="str">
        <f t="shared" ca="1" si="2"/>
        <v/>
      </c>
      <c r="P53" s="84" t="str">
        <f t="shared" ca="1" si="3"/>
        <v/>
      </c>
      <c r="Q53" s="84" t="str">
        <f t="shared" ca="1" si="4"/>
        <v/>
      </c>
      <c r="R53" s="87" t="s">
        <v>626</v>
      </c>
      <c r="S53" s="91"/>
      <c r="T53" s="84"/>
      <c r="U53" s="180">
        <v>52</v>
      </c>
      <c r="V53" s="180"/>
      <c r="W53" s="180"/>
      <c r="X53" s="180"/>
      <c r="Y53" s="151"/>
      <c r="Z53" s="180"/>
      <c r="AA53" s="179"/>
    </row>
    <row r="54" spans="1:27" ht="57.6" x14ac:dyDescent="0.3">
      <c r="A54" s="77" t="s">
        <v>180</v>
      </c>
      <c r="B54" s="78" t="s">
        <v>181</v>
      </c>
      <c r="C54" s="77" t="s">
        <v>186</v>
      </c>
      <c r="D54" s="77"/>
      <c r="E54" s="79"/>
      <c r="F54" s="77" t="s">
        <v>209</v>
      </c>
      <c r="G54" s="77" t="s">
        <v>210</v>
      </c>
      <c r="H54" s="80">
        <v>45809</v>
      </c>
      <c r="I54" s="80">
        <v>46079</v>
      </c>
      <c r="J54" s="85" t="s">
        <v>191</v>
      </c>
      <c r="K54" s="77" t="s">
        <v>628</v>
      </c>
      <c r="L54" s="82" t="s">
        <v>20</v>
      </c>
      <c r="M54" s="83" t="str">
        <f t="shared" ca="1" si="0"/>
        <v/>
      </c>
      <c r="N54" s="37" t="str">
        <f t="shared" ca="1" si="1"/>
        <v/>
      </c>
      <c r="O54" s="84" t="str">
        <f t="shared" ca="1" si="2"/>
        <v/>
      </c>
      <c r="P54" s="84" t="str">
        <f t="shared" ca="1" si="3"/>
        <v/>
      </c>
      <c r="Q54" s="84" t="str">
        <f t="shared" ca="1" si="4"/>
        <v/>
      </c>
      <c r="R54" s="87" t="s">
        <v>623</v>
      </c>
      <c r="S54" s="91">
        <v>46079</v>
      </c>
      <c r="T54" s="84"/>
      <c r="U54" s="180">
        <v>53</v>
      </c>
      <c r="V54" s="180"/>
      <c r="W54" s="180"/>
      <c r="X54" s="180"/>
      <c r="Y54" s="151"/>
      <c r="Z54" s="180"/>
      <c r="AA54" s="179"/>
    </row>
    <row r="55" spans="1:27" ht="136.80000000000001" x14ac:dyDescent="0.3">
      <c r="A55" s="77" t="s">
        <v>180</v>
      </c>
      <c r="B55" s="78" t="s">
        <v>181</v>
      </c>
      <c r="C55" s="77" t="s">
        <v>211</v>
      </c>
      <c r="D55" s="77" t="s">
        <v>212</v>
      </c>
      <c r="E55" s="72" t="s">
        <v>188</v>
      </c>
      <c r="F55" s="77" t="s">
        <v>213</v>
      </c>
      <c r="G55" s="77" t="s">
        <v>210</v>
      </c>
      <c r="H55" s="80">
        <v>45809</v>
      </c>
      <c r="I55" s="80">
        <v>45875</v>
      </c>
      <c r="J55" s="88" t="s">
        <v>214</v>
      </c>
      <c r="K55" s="77" t="s">
        <v>215</v>
      </c>
      <c r="L55" s="82" t="s">
        <v>20</v>
      </c>
      <c r="M55" s="83" t="str">
        <f t="shared" ca="1" si="0"/>
        <v/>
      </c>
      <c r="N55" s="37" t="str">
        <f t="shared" ca="1" si="1"/>
        <v/>
      </c>
      <c r="O55" s="84" t="str">
        <f t="shared" ca="1" si="2"/>
        <v/>
      </c>
      <c r="P55" s="84" t="str">
        <f t="shared" ca="1" si="3"/>
        <v/>
      </c>
      <c r="Q55" s="84" t="str">
        <f t="shared" ca="1" si="4"/>
        <v/>
      </c>
      <c r="R55" s="151"/>
      <c r="S55" s="91"/>
      <c r="T55" s="84"/>
      <c r="U55" s="180">
        <v>54</v>
      </c>
      <c r="V55" s="180"/>
      <c r="W55" s="180"/>
      <c r="X55" s="180"/>
      <c r="Y55" s="151"/>
      <c r="Z55" s="180"/>
      <c r="AA55" s="179"/>
    </row>
    <row r="56" spans="1:27" ht="69" x14ac:dyDescent="0.3">
      <c r="A56" s="77" t="s">
        <v>180</v>
      </c>
      <c r="B56" s="78" t="s">
        <v>181</v>
      </c>
      <c r="C56" s="77" t="s">
        <v>216</v>
      </c>
      <c r="D56" s="77" t="s">
        <v>217</v>
      </c>
      <c r="E56" s="72" t="s">
        <v>188</v>
      </c>
      <c r="F56" s="77" t="s">
        <v>218</v>
      </c>
      <c r="G56" s="77" t="s">
        <v>210</v>
      </c>
      <c r="H56" s="80">
        <v>45809</v>
      </c>
      <c r="I56" s="80">
        <v>45875</v>
      </c>
      <c r="J56" s="88" t="s">
        <v>219</v>
      </c>
      <c r="K56" s="77" t="s">
        <v>220</v>
      </c>
      <c r="L56" s="82" t="s">
        <v>20</v>
      </c>
      <c r="M56" s="83" t="str">
        <f t="shared" ca="1" si="0"/>
        <v/>
      </c>
      <c r="N56" s="37" t="str">
        <f t="shared" ca="1" si="1"/>
        <v/>
      </c>
      <c r="O56" s="84" t="str">
        <f t="shared" ca="1" si="2"/>
        <v/>
      </c>
      <c r="P56" s="84" t="str">
        <f t="shared" ca="1" si="3"/>
        <v/>
      </c>
      <c r="Q56" s="84" t="str">
        <f t="shared" ca="1" si="4"/>
        <v/>
      </c>
      <c r="R56" s="151"/>
      <c r="S56" s="91"/>
      <c r="T56" s="84"/>
      <c r="U56" s="180">
        <v>55</v>
      </c>
      <c r="V56" s="180"/>
      <c r="W56" s="180"/>
      <c r="X56" s="180"/>
      <c r="Y56" s="151"/>
      <c r="Z56" s="180"/>
      <c r="AA56" s="179"/>
    </row>
    <row r="57" spans="1:27" ht="125.4" x14ac:dyDescent="0.3">
      <c r="A57" s="77" t="s">
        <v>180</v>
      </c>
      <c r="B57" s="78" t="s">
        <v>181</v>
      </c>
      <c r="C57" s="77" t="s">
        <v>221</v>
      </c>
      <c r="D57" s="77" t="s">
        <v>222</v>
      </c>
      <c r="E57" s="72" t="s">
        <v>188</v>
      </c>
      <c r="F57" s="77" t="s">
        <v>223</v>
      </c>
      <c r="G57" s="77" t="s">
        <v>210</v>
      </c>
      <c r="H57" s="80">
        <v>45809</v>
      </c>
      <c r="I57" s="80">
        <v>45881</v>
      </c>
      <c r="J57" s="88" t="s">
        <v>224</v>
      </c>
      <c r="K57" s="77" t="s">
        <v>225</v>
      </c>
      <c r="L57" s="82" t="s">
        <v>20</v>
      </c>
      <c r="M57" s="83" t="str">
        <f t="shared" ca="1" si="0"/>
        <v/>
      </c>
      <c r="N57" s="37" t="str">
        <f t="shared" ca="1" si="1"/>
        <v/>
      </c>
      <c r="O57" s="84" t="str">
        <f t="shared" ca="1" si="2"/>
        <v/>
      </c>
      <c r="P57" s="84" t="str">
        <f t="shared" ca="1" si="3"/>
        <v/>
      </c>
      <c r="Q57" s="84" t="str">
        <f t="shared" ca="1" si="4"/>
        <v/>
      </c>
      <c r="R57" s="151"/>
      <c r="S57" s="91"/>
      <c r="T57" s="84"/>
      <c r="U57" s="180">
        <v>56</v>
      </c>
      <c r="V57" s="180"/>
      <c r="W57" s="180"/>
      <c r="X57" s="180"/>
      <c r="Y57" s="151"/>
      <c r="Z57" s="180"/>
      <c r="AA57" s="179"/>
    </row>
    <row r="58" spans="1:27" ht="114.6" x14ac:dyDescent="0.3">
      <c r="A58" s="77" t="s">
        <v>180</v>
      </c>
      <c r="B58" s="78" t="s">
        <v>181</v>
      </c>
      <c r="C58" s="77" t="s">
        <v>226</v>
      </c>
      <c r="D58" s="77" t="s">
        <v>227</v>
      </c>
      <c r="E58" s="72" t="s">
        <v>188</v>
      </c>
      <c r="F58" s="77" t="s">
        <v>228</v>
      </c>
      <c r="G58" s="77" t="s">
        <v>210</v>
      </c>
      <c r="H58" s="80">
        <v>45809</v>
      </c>
      <c r="I58" s="80">
        <v>45960</v>
      </c>
      <c r="J58" s="88" t="s">
        <v>229</v>
      </c>
      <c r="K58" s="77" t="s">
        <v>230</v>
      </c>
      <c r="L58" s="82" t="s">
        <v>20</v>
      </c>
      <c r="M58" s="83" t="str">
        <f t="shared" ca="1" si="0"/>
        <v/>
      </c>
      <c r="N58" s="37" t="str">
        <f t="shared" ca="1" si="1"/>
        <v/>
      </c>
      <c r="O58" s="84" t="str">
        <f t="shared" ca="1" si="2"/>
        <v/>
      </c>
      <c r="P58" s="84" t="str">
        <f t="shared" ca="1" si="3"/>
        <v/>
      </c>
      <c r="Q58" s="84" t="str">
        <f t="shared" ca="1" si="4"/>
        <v/>
      </c>
      <c r="R58" s="151"/>
      <c r="S58" s="91"/>
      <c r="T58" s="84"/>
      <c r="U58" s="180">
        <v>57</v>
      </c>
      <c r="V58" s="180"/>
      <c r="W58" s="180"/>
      <c r="X58" s="180"/>
      <c r="Y58" s="151"/>
      <c r="Z58" s="180"/>
      <c r="AA58" s="179"/>
    </row>
    <row r="59" spans="1:27" ht="240.6" x14ac:dyDescent="0.3">
      <c r="A59" s="77" t="s">
        <v>180</v>
      </c>
      <c r="B59" s="78" t="s">
        <v>181</v>
      </c>
      <c r="C59" s="77" t="s">
        <v>231</v>
      </c>
      <c r="D59" s="77" t="s">
        <v>232</v>
      </c>
      <c r="E59" s="72" t="s">
        <v>188</v>
      </c>
      <c r="F59" s="77" t="s">
        <v>233</v>
      </c>
      <c r="G59" s="77" t="s">
        <v>210</v>
      </c>
      <c r="H59" s="80">
        <v>45809</v>
      </c>
      <c r="I59" s="80">
        <v>46203</v>
      </c>
      <c r="J59" s="85" t="s">
        <v>234</v>
      </c>
      <c r="K59" s="77" t="s">
        <v>1307</v>
      </c>
      <c r="L59" s="82" t="s">
        <v>33</v>
      </c>
      <c r="M59" s="83" t="str">
        <f t="shared" ca="1" si="0"/>
        <v/>
      </c>
      <c r="N59" s="37" t="str">
        <f t="shared" ca="1" si="1"/>
        <v/>
      </c>
      <c r="O59" s="84" t="str">
        <f t="shared" ca="1" si="2"/>
        <v/>
      </c>
      <c r="P59" s="84" t="str">
        <f t="shared" ca="1" si="3"/>
        <v/>
      </c>
      <c r="Q59" s="84" t="str">
        <f t="shared" ca="1" si="4"/>
        <v/>
      </c>
      <c r="R59" s="87" t="s">
        <v>629</v>
      </c>
      <c r="S59" s="91"/>
      <c r="T59" s="84"/>
      <c r="U59" s="180">
        <v>58</v>
      </c>
      <c r="V59" s="180"/>
      <c r="W59" s="180"/>
      <c r="X59" s="180"/>
      <c r="Y59" s="151"/>
      <c r="Z59" s="180"/>
      <c r="AA59" s="179"/>
    </row>
    <row r="60" spans="1:27" ht="72" x14ac:dyDescent="0.3">
      <c r="A60" s="77" t="s">
        <v>180</v>
      </c>
      <c r="B60" s="78" t="s">
        <v>181</v>
      </c>
      <c r="C60" s="77" t="s">
        <v>231</v>
      </c>
      <c r="D60" s="77"/>
      <c r="E60" s="79"/>
      <c r="F60" s="77" t="s">
        <v>236</v>
      </c>
      <c r="G60" s="77" t="s">
        <v>210</v>
      </c>
      <c r="H60" s="80">
        <v>45809</v>
      </c>
      <c r="I60" s="80">
        <v>46203</v>
      </c>
      <c r="J60" s="88" t="s">
        <v>234</v>
      </c>
      <c r="K60" s="77" t="s">
        <v>816</v>
      </c>
      <c r="L60" s="82" t="s">
        <v>33</v>
      </c>
      <c r="M60" s="83" t="str">
        <f t="shared" ca="1" si="0"/>
        <v/>
      </c>
      <c r="N60" s="37" t="str">
        <f t="shared" ca="1" si="1"/>
        <v/>
      </c>
      <c r="O60" s="84" t="str">
        <f t="shared" ca="1" si="2"/>
        <v/>
      </c>
      <c r="P60" s="84" t="str">
        <f t="shared" ca="1" si="3"/>
        <v/>
      </c>
      <c r="Q60" s="84" t="str">
        <f t="shared" ca="1" si="4"/>
        <v/>
      </c>
      <c r="R60" s="87" t="s">
        <v>629</v>
      </c>
      <c r="S60" s="91"/>
      <c r="T60" s="84"/>
      <c r="U60" s="180">
        <v>59</v>
      </c>
      <c r="V60" s="180"/>
      <c r="W60" s="180"/>
      <c r="X60" s="180"/>
      <c r="Y60" s="151"/>
      <c r="Z60" s="180"/>
      <c r="AA60" s="179"/>
    </row>
    <row r="61" spans="1:27" ht="34.200000000000003" x14ac:dyDescent="0.3">
      <c r="A61" s="77" t="s">
        <v>180</v>
      </c>
      <c r="B61" s="78" t="s">
        <v>181</v>
      </c>
      <c r="C61" s="77" t="s">
        <v>182</v>
      </c>
      <c r="D61" s="77"/>
      <c r="E61" s="79"/>
      <c r="F61" s="77" t="s">
        <v>238</v>
      </c>
      <c r="G61" s="77" t="s">
        <v>239</v>
      </c>
      <c r="H61" s="80">
        <v>45809</v>
      </c>
      <c r="I61" s="80">
        <v>46006</v>
      </c>
      <c r="J61" s="88" t="s">
        <v>240</v>
      </c>
      <c r="K61" s="77" t="s">
        <v>241</v>
      </c>
      <c r="L61" s="82" t="s">
        <v>20</v>
      </c>
      <c r="M61" s="83" t="str">
        <f t="shared" ca="1" si="0"/>
        <v/>
      </c>
      <c r="N61" s="37" t="str">
        <f t="shared" ca="1" si="1"/>
        <v/>
      </c>
      <c r="O61" s="84" t="str">
        <f t="shared" ca="1" si="2"/>
        <v/>
      </c>
      <c r="P61" s="84" t="str">
        <f t="shared" ca="1" si="3"/>
        <v/>
      </c>
      <c r="Q61" s="84" t="str">
        <f t="shared" ca="1" si="4"/>
        <v/>
      </c>
      <c r="R61" s="151"/>
      <c r="S61" s="91"/>
      <c r="T61" s="84"/>
      <c r="U61" s="180">
        <v>60</v>
      </c>
      <c r="V61" s="180"/>
      <c r="W61" s="180"/>
      <c r="X61" s="180"/>
      <c r="Y61" s="151"/>
      <c r="Z61" s="180"/>
      <c r="AA61" s="179"/>
    </row>
    <row r="62" spans="1:27" ht="137.4" x14ac:dyDescent="0.3">
      <c r="A62" s="77" t="s">
        <v>180</v>
      </c>
      <c r="B62" s="78" t="s">
        <v>181</v>
      </c>
      <c r="C62" s="77" t="s">
        <v>182</v>
      </c>
      <c r="D62" s="77" t="s">
        <v>242</v>
      </c>
      <c r="E62" s="72" t="s">
        <v>188</v>
      </c>
      <c r="F62" s="77" t="s">
        <v>243</v>
      </c>
      <c r="G62" s="77" t="s">
        <v>17</v>
      </c>
      <c r="H62" s="80">
        <v>45809</v>
      </c>
      <c r="I62" s="80">
        <v>45853</v>
      </c>
      <c r="J62" s="88" t="s">
        <v>244</v>
      </c>
      <c r="K62" s="77" t="s">
        <v>245</v>
      </c>
      <c r="L62" s="82" t="s">
        <v>20</v>
      </c>
      <c r="M62" s="83" t="str">
        <f t="shared" ca="1" si="0"/>
        <v/>
      </c>
      <c r="N62" s="37" t="str">
        <f t="shared" ca="1" si="1"/>
        <v/>
      </c>
      <c r="O62" s="84" t="str">
        <f t="shared" ca="1" si="2"/>
        <v/>
      </c>
      <c r="P62" s="84" t="str">
        <f t="shared" ca="1" si="3"/>
        <v/>
      </c>
      <c r="Q62" s="84" t="str">
        <f t="shared" ca="1" si="4"/>
        <v/>
      </c>
      <c r="R62" s="151"/>
      <c r="S62" s="91"/>
      <c r="T62" s="84"/>
      <c r="U62" s="180">
        <v>61</v>
      </c>
      <c r="V62" s="180"/>
      <c r="W62" s="180"/>
      <c r="X62" s="180"/>
      <c r="Y62" s="151"/>
      <c r="Z62" s="180"/>
      <c r="AA62" s="179"/>
    </row>
    <row r="63" spans="1:27" ht="45.6" x14ac:dyDescent="0.3">
      <c r="A63" s="93" t="s">
        <v>180</v>
      </c>
      <c r="B63" s="94" t="s">
        <v>181</v>
      </c>
      <c r="C63" s="93" t="s">
        <v>182</v>
      </c>
      <c r="D63" s="93"/>
      <c r="E63" s="174"/>
      <c r="F63" s="93" t="s">
        <v>246</v>
      </c>
      <c r="G63" s="93" t="s">
        <v>17</v>
      </c>
      <c r="H63" s="95">
        <v>45809</v>
      </c>
      <c r="I63" s="95">
        <v>46032</v>
      </c>
      <c r="J63" s="96" t="s">
        <v>247</v>
      </c>
      <c r="K63" s="93" t="s">
        <v>248</v>
      </c>
      <c r="L63" s="97" t="s">
        <v>20</v>
      </c>
      <c r="M63" s="83" t="str">
        <f t="shared" ca="1" si="0"/>
        <v/>
      </c>
      <c r="N63" s="37" t="str">
        <f t="shared" ca="1" si="1"/>
        <v/>
      </c>
      <c r="O63" s="84" t="str">
        <f t="shared" ca="1" si="2"/>
        <v/>
      </c>
      <c r="P63" s="84" t="str">
        <f t="shared" ca="1" si="3"/>
        <v/>
      </c>
      <c r="Q63" s="84" t="str">
        <f t="shared" ca="1" si="4"/>
        <v/>
      </c>
      <c r="R63" s="151"/>
      <c r="S63" s="91">
        <v>46032</v>
      </c>
      <c r="T63" s="84"/>
      <c r="U63" s="180">
        <v>62</v>
      </c>
      <c r="V63" s="180"/>
      <c r="W63" s="180"/>
      <c r="X63" s="180"/>
      <c r="Y63" s="151"/>
      <c r="Z63" s="180"/>
      <c r="AA63" s="179"/>
    </row>
    <row r="64" spans="1:27" ht="45.6" x14ac:dyDescent="0.3">
      <c r="A64" s="93" t="s">
        <v>180</v>
      </c>
      <c r="B64" s="94" t="s">
        <v>181</v>
      </c>
      <c r="C64" s="93" t="s">
        <v>182</v>
      </c>
      <c r="D64" s="93"/>
      <c r="E64" s="174"/>
      <c r="F64" s="93" t="s">
        <v>249</v>
      </c>
      <c r="G64" s="93" t="s">
        <v>17</v>
      </c>
      <c r="H64" s="95">
        <v>45809</v>
      </c>
      <c r="I64" s="95">
        <v>46052</v>
      </c>
      <c r="J64" s="96" t="s">
        <v>250</v>
      </c>
      <c r="K64" s="93" t="s">
        <v>248</v>
      </c>
      <c r="L64" s="97" t="s">
        <v>20</v>
      </c>
      <c r="M64" s="83" t="str">
        <f t="shared" ca="1" si="0"/>
        <v/>
      </c>
      <c r="N64" s="37" t="str">
        <f t="shared" ca="1" si="1"/>
        <v/>
      </c>
      <c r="O64" s="84" t="str">
        <f t="shared" ca="1" si="2"/>
        <v/>
      </c>
      <c r="P64" s="84" t="str">
        <f t="shared" ca="1" si="3"/>
        <v/>
      </c>
      <c r="Q64" s="84" t="str">
        <f t="shared" ca="1" si="4"/>
        <v/>
      </c>
      <c r="R64" s="151"/>
      <c r="S64" s="91">
        <v>46052</v>
      </c>
      <c r="T64" s="84"/>
      <c r="U64" s="180">
        <v>63</v>
      </c>
      <c r="V64" s="180"/>
      <c r="W64" s="180"/>
      <c r="X64" s="180"/>
      <c r="Y64" s="151"/>
      <c r="Z64" s="180"/>
      <c r="AA64" s="179"/>
    </row>
    <row r="65" spans="1:27" ht="79.8" x14ac:dyDescent="0.3">
      <c r="A65" s="77" t="s">
        <v>180</v>
      </c>
      <c r="B65" s="98" t="s">
        <v>251</v>
      </c>
      <c r="C65" s="45" t="s">
        <v>252</v>
      </c>
      <c r="D65" s="45" t="s">
        <v>253</v>
      </c>
      <c r="E65" s="99" t="s">
        <v>254</v>
      </c>
      <c r="F65" s="47" t="s">
        <v>255</v>
      </c>
      <c r="G65" s="47" t="s">
        <v>256</v>
      </c>
      <c r="H65" s="90">
        <v>45922</v>
      </c>
      <c r="I65" s="90">
        <v>45961</v>
      </c>
      <c r="J65" s="100" t="s">
        <v>257</v>
      </c>
      <c r="K65" s="45" t="s">
        <v>258</v>
      </c>
      <c r="L65" s="37" t="s">
        <v>20</v>
      </c>
      <c r="M65" s="83" t="str">
        <f t="shared" ca="1" si="0"/>
        <v/>
      </c>
      <c r="N65" s="37" t="str">
        <f t="shared" ca="1" si="1"/>
        <v/>
      </c>
      <c r="O65" s="84" t="str">
        <f t="shared" ca="1" si="2"/>
        <v/>
      </c>
      <c r="P65" s="84" t="str">
        <f t="shared" ca="1" si="3"/>
        <v/>
      </c>
      <c r="Q65" s="84" t="str">
        <f t="shared" ca="1" si="4"/>
        <v/>
      </c>
      <c r="R65" s="151"/>
      <c r="S65" s="91"/>
      <c r="T65" s="84"/>
      <c r="U65" s="180">
        <v>64</v>
      </c>
      <c r="V65" s="180"/>
      <c r="W65" s="180"/>
      <c r="X65" s="180"/>
      <c r="Y65" s="151"/>
      <c r="Z65" s="180"/>
      <c r="AA65" s="179"/>
    </row>
    <row r="66" spans="1:27" ht="114" x14ac:dyDescent="0.3">
      <c r="A66" s="77" t="s">
        <v>180</v>
      </c>
      <c r="B66" s="98" t="s">
        <v>251</v>
      </c>
      <c r="C66" s="45" t="s">
        <v>252</v>
      </c>
      <c r="D66" s="45"/>
      <c r="E66" s="101"/>
      <c r="F66" s="47" t="s">
        <v>259</v>
      </c>
      <c r="G66" s="47" t="s">
        <v>269</v>
      </c>
      <c r="H66" s="90">
        <v>45922</v>
      </c>
      <c r="I66" s="90">
        <v>45961</v>
      </c>
      <c r="J66" s="100" t="s">
        <v>257</v>
      </c>
      <c r="K66" s="45" t="s">
        <v>260</v>
      </c>
      <c r="L66" s="37" t="s">
        <v>20</v>
      </c>
      <c r="M66" s="83" t="str">
        <f t="shared" ca="1" si="0"/>
        <v/>
      </c>
      <c r="N66" s="37" t="str">
        <f t="shared" ca="1" si="1"/>
        <v/>
      </c>
      <c r="O66" s="84" t="str">
        <f t="shared" ca="1" si="2"/>
        <v/>
      </c>
      <c r="P66" s="84" t="str">
        <f t="shared" ca="1" si="3"/>
        <v/>
      </c>
      <c r="Q66" s="84" t="str">
        <f t="shared" ca="1" si="4"/>
        <v/>
      </c>
      <c r="R66" s="151"/>
      <c r="S66" s="91"/>
      <c r="T66" s="84"/>
      <c r="U66" s="180">
        <v>65</v>
      </c>
      <c r="V66" s="180"/>
      <c r="W66" s="180"/>
      <c r="X66" s="180"/>
      <c r="Y66" s="151"/>
      <c r="Z66" s="180"/>
      <c r="AA66" s="179"/>
    </row>
    <row r="67" spans="1:27" ht="80.400000000000006" x14ac:dyDescent="0.3">
      <c r="A67" s="77" t="s">
        <v>180</v>
      </c>
      <c r="B67" s="98" t="s">
        <v>251</v>
      </c>
      <c r="C67" s="45" t="s">
        <v>261</v>
      </c>
      <c r="D67" s="45" t="s">
        <v>262</v>
      </c>
      <c r="E67" s="72" t="s">
        <v>188</v>
      </c>
      <c r="F67" s="47" t="s">
        <v>263</v>
      </c>
      <c r="G67" s="47" t="s">
        <v>148</v>
      </c>
      <c r="H67" s="90">
        <v>45922</v>
      </c>
      <c r="I67" s="90">
        <v>46022</v>
      </c>
      <c r="J67" s="100" t="s">
        <v>264</v>
      </c>
      <c r="K67" s="102" t="s">
        <v>265</v>
      </c>
      <c r="L67" s="37" t="s">
        <v>20</v>
      </c>
      <c r="M67" s="83" t="str">
        <f t="shared" ref="M67:M130" ca="1" si="5">IF(L67="Abierta", I67-TODAY(), "")</f>
        <v/>
      </c>
      <c r="N67" s="37" t="str">
        <f t="shared" ref="N67:N130" ca="1" si="6">IF(AND(L67="Abierta", M67&lt;&gt;"", M67&lt;=10, M67&gt;5), "🚨 CRÍTICO (10d)", "")</f>
        <v/>
      </c>
      <c r="O67" s="84" t="str">
        <f t="shared" ref="O67:O130" ca="1" si="7">IF(AND(L67="Abierta", M67&lt;&gt;"", M67&lt;=20, M67&gt;10), "⏳ URGENTE (20d)", "")</f>
        <v/>
      </c>
      <c r="P67" s="84" t="str">
        <f t="shared" ref="P67:P130" ca="1" si="8">IF(AND(L67="Abierta", M67&lt;&gt;"", M67&lt;=30, M67&gt;20), "📅 SEGUIMIENTO (30d)", "")</f>
        <v/>
      </c>
      <c r="Q67" s="84" t="str">
        <f t="shared" ref="Q67:Q130" ca="1" si="9">IF(AND(L67="Abierta", M67&lt;&gt;"", M67&lt;=5), "⚠️ INMINENTE (5d)", "")</f>
        <v/>
      </c>
      <c r="R67" s="151"/>
      <c r="S67" s="91"/>
      <c r="T67" s="84"/>
      <c r="U67" s="180">
        <v>66</v>
      </c>
      <c r="V67" s="180"/>
      <c r="W67" s="180"/>
      <c r="X67" s="180"/>
      <c r="Y67" s="151"/>
      <c r="Z67" s="180"/>
      <c r="AA67" s="179"/>
    </row>
    <row r="68" spans="1:27" ht="68.400000000000006" x14ac:dyDescent="0.3">
      <c r="A68" s="77" t="s">
        <v>180</v>
      </c>
      <c r="B68" s="98" t="s">
        <v>251</v>
      </c>
      <c r="C68" s="45" t="s">
        <v>266</v>
      </c>
      <c r="D68" s="45" t="s">
        <v>267</v>
      </c>
      <c r="E68" s="72" t="s">
        <v>188</v>
      </c>
      <c r="F68" s="47" t="s">
        <v>268</v>
      </c>
      <c r="G68" s="47" t="s">
        <v>269</v>
      </c>
      <c r="H68" s="90">
        <v>45922</v>
      </c>
      <c r="I68" s="90">
        <v>46022</v>
      </c>
      <c r="J68" s="100" t="s">
        <v>270</v>
      </c>
      <c r="K68" s="45" t="s">
        <v>271</v>
      </c>
      <c r="L68" s="37" t="s">
        <v>20</v>
      </c>
      <c r="M68" s="83" t="str">
        <f t="shared" ca="1" si="5"/>
        <v/>
      </c>
      <c r="N68" s="37" t="str">
        <f t="shared" ca="1" si="6"/>
        <v/>
      </c>
      <c r="O68" s="84" t="str">
        <f t="shared" ca="1" si="7"/>
        <v/>
      </c>
      <c r="P68" s="84" t="str">
        <f t="shared" ca="1" si="8"/>
        <v/>
      </c>
      <c r="Q68" s="84" t="str">
        <f t="shared" ca="1" si="9"/>
        <v/>
      </c>
      <c r="R68" s="151"/>
      <c r="S68" s="91"/>
      <c r="T68" s="84"/>
      <c r="U68" s="180">
        <v>67</v>
      </c>
      <c r="V68" s="180"/>
      <c r="W68" s="180"/>
      <c r="X68" s="180"/>
      <c r="Y68" s="151"/>
      <c r="Z68" s="180"/>
      <c r="AA68" s="179"/>
    </row>
    <row r="69" spans="1:27" ht="102.6" x14ac:dyDescent="0.3">
      <c r="A69" s="77" t="s">
        <v>180</v>
      </c>
      <c r="B69" s="98" t="s">
        <v>251</v>
      </c>
      <c r="C69" s="45" t="s">
        <v>272</v>
      </c>
      <c r="D69" s="45" t="s">
        <v>273</v>
      </c>
      <c r="E69" s="72" t="s">
        <v>188</v>
      </c>
      <c r="F69" s="47" t="s">
        <v>274</v>
      </c>
      <c r="G69" s="77" t="s">
        <v>275</v>
      </c>
      <c r="H69" s="90">
        <v>45922</v>
      </c>
      <c r="I69" s="90">
        <v>46053</v>
      </c>
      <c r="J69" s="103" t="s">
        <v>276</v>
      </c>
      <c r="K69" s="45" t="s">
        <v>277</v>
      </c>
      <c r="L69" s="37" t="s">
        <v>20</v>
      </c>
      <c r="M69" s="83" t="str">
        <f t="shared" ca="1" si="5"/>
        <v/>
      </c>
      <c r="N69" s="37" t="str">
        <f t="shared" ca="1" si="6"/>
        <v/>
      </c>
      <c r="O69" s="84" t="str">
        <f t="shared" ca="1" si="7"/>
        <v/>
      </c>
      <c r="P69" s="84" t="str">
        <f t="shared" ca="1" si="8"/>
        <v/>
      </c>
      <c r="Q69" s="84" t="str">
        <f t="shared" ca="1" si="9"/>
        <v/>
      </c>
      <c r="R69" s="87" t="s">
        <v>624</v>
      </c>
      <c r="S69" s="91">
        <v>46053</v>
      </c>
      <c r="T69" s="84"/>
      <c r="U69" s="180">
        <v>68</v>
      </c>
      <c r="V69" s="180"/>
      <c r="W69" s="180"/>
      <c r="X69" s="180"/>
      <c r="Y69" s="151"/>
      <c r="Z69" s="180"/>
      <c r="AA69" s="179"/>
    </row>
    <row r="70" spans="1:27" ht="73.8" customHeight="1" x14ac:dyDescent="0.3">
      <c r="A70" s="77" t="s">
        <v>180</v>
      </c>
      <c r="B70" s="98" t="s">
        <v>251</v>
      </c>
      <c r="C70" s="45" t="s">
        <v>278</v>
      </c>
      <c r="D70" s="45" t="s">
        <v>279</v>
      </c>
      <c r="E70" s="104" t="s">
        <v>280</v>
      </c>
      <c r="F70" s="47" t="s">
        <v>281</v>
      </c>
      <c r="G70" s="47" t="s">
        <v>502</v>
      </c>
      <c r="H70" s="90">
        <v>45922</v>
      </c>
      <c r="I70" s="90">
        <v>46053</v>
      </c>
      <c r="J70" s="103" t="s">
        <v>282</v>
      </c>
      <c r="K70" s="45" t="s">
        <v>283</v>
      </c>
      <c r="L70" s="37" t="s">
        <v>20</v>
      </c>
      <c r="M70" s="83" t="str">
        <f t="shared" ca="1" si="5"/>
        <v/>
      </c>
      <c r="N70" s="37" t="str">
        <f t="shared" ca="1" si="6"/>
        <v/>
      </c>
      <c r="O70" s="84" t="str">
        <f t="shared" ca="1" si="7"/>
        <v/>
      </c>
      <c r="P70" s="84" t="str">
        <f t="shared" ca="1" si="8"/>
        <v/>
      </c>
      <c r="Q70" s="84" t="str">
        <f t="shared" ca="1" si="9"/>
        <v/>
      </c>
      <c r="R70" s="151"/>
      <c r="S70" s="91">
        <v>46053</v>
      </c>
      <c r="T70" s="84"/>
      <c r="U70" s="180">
        <v>69</v>
      </c>
      <c r="V70" s="180"/>
      <c r="W70" s="180"/>
      <c r="X70" s="180"/>
      <c r="Y70" s="151"/>
      <c r="Z70" s="180"/>
      <c r="AA70" s="179"/>
    </row>
    <row r="71" spans="1:27" ht="117" customHeight="1" x14ac:dyDescent="0.3">
      <c r="A71" s="77" t="s">
        <v>180</v>
      </c>
      <c r="B71" s="98" t="s">
        <v>251</v>
      </c>
      <c r="C71" s="45" t="s">
        <v>284</v>
      </c>
      <c r="D71" s="45" t="s">
        <v>285</v>
      </c>
      <c r="E71" s="104" t="s">
        <v>280</v>
      </c>
      <c r="F71" s="47" t="s">
        <v>286</v>
      </c>
      <c r="G71" s="47" t="s">
        <v>256</v>
      </c>
      <c r="H71" s="90">
        <v>45922</v>
      </c>
      <c r="I71" s="90">
        <v>46053</v>
      </c>
      <c r="J71" s="100" t="s">
        <v>287</v>
      </c>
      <c r="K71" s="45" t="s">
        <v>288</v>
      </c>
      <c r="L71" s="37" t="s">
        <v>20</v>
      </c>
      <c r="M71" s="83" t="str">
        <f t="shared" ca="1" si="5"/>
        <v/>
      </c>
      <c r="N71" s="37" t="str">
        <f t="shared" ca="1" si="6"/>
        <v/>
      </c>
      <c r="O71" s="84" t="str">
        <f t="shared" ca="1" si="7"/>
        <v/>
      </c>
      <c r="P71" s="84" t="str">
        <f t="shared" ca="1" si="8"/>
        <v/>
      </c>
      <c r="Q71" s="84" t="str">
        <f t="shared" ca="1" si="9"/>
        <v/>
      </c>
      <c r="R71" s="151"/>
      <c r="S71" s="91">
        <v>46053</v>
      </c>
      <c r="T71" s="84"/>
      <c r="U71" s="180">
        <v>70</v>
      </c>
      <c r="V71" s="180"/>
      <c r="W71" s="180"/>
      <c r="X71" s="180"/>
      <c r="Y71" s="151"/>
      <c r="Z71" s="180"/>
      <c r="AA71" s="179"/>
    </row>
    <row r="72" spans="1:27" ht="79.2" customHeight="1" x14ac:dyDescent="0.3">
      <c r="A72" s="77" t="s">
        <v>180</v>
      </c>
      <c r="B72" s="98" t="s">
        <v>251</v>
      </c>
      <c r="C72" s="45" t="s">
        <v>284</v>
      </c>
      <c r="D72" s="45"/>
      <c r="E72" s="101"/>
      <c r="F72" s="47" t="s">
        <v>289</v>
      </c>
      <c r="G72" s="47" t="s">
        <v>256</v>
      </c>
      <c r="H72" s="90">
        <v>45922</v>
      </c>
      <c r="I72" s="90">
        <v>45989</v>
      </c>
      <c r="J72" s="100" t="s">
        <v>287</v>
      </c>
      <c r="K72" s="45" t="s">
        <v>283</v>
      </c>
      <c r="L72" s="37" t="s">
        <v>20</v>
      </c>
      <c r="M72" s="83" t="str">
        <f t="shared" ca="1" si="5"/>
        <v/>
      </c>
      <c r="N72" s="37" t="str">
        <f t="shared" ca="1" si="6"/>
        <v/>
      </c>
      <c r="O72" s="84" t="str">
        <f t="shared" ca="1" si="7"/>
        <v/>
      </c>
      <c r="P72" s="84" t="str">
        <f t="shared" ca="1" si="8"/>
        <v/>
      </c>
      <c r="Q72" s="84" t="str">
        <f t="shared" ca="1" si="9"/>
        <v/>
      </c>
      <c r="R72" s="151"/>
      <c r="S72" s="91"/>
      <c r="T72" s="84"/>
      <c r="U72" s="180">
        <v>71</v>
      </c>
      <c r="V72" s="180"/>
      <c r="W72" s="180"/>
      <c r="X72" s="180"/>
      <c r="Y72" s="151"/>
      <c r="Z72" s="180"/>
      <c r="AA72" s="179"/>
    </row>
    <row r="73" spans="1:27" ht="100.8" x14ac:dyDescent="0.3">
      <c r="A73" s="77" t="s">
        <v>180</v>
      </c>
      <c r="B73" s="98" t="s">
        <v>251</v>
      </c>
      <c r="C73" s="45" t="s">
        <v>634</v>
      </c>
      <c r="D73" s="45" t="s">
        <v>290</v>
      </c>
      <c r="E73" s="104" t="s">
        <v>280</v>
      </c>
      <c r="F73" s="47" t="s">
        <v>291</v>
      </c>
      <c r="G73" s="47" t="s">
        <v>269</v>
      </c>
      <c r="H73" s="90">
        <v>45922</v>
      </c>
      <c r="I73" s="90">
        <v>46022</v>
      </c>
      <c r="J73" s="100" t="s">
        <v>292</v>
      </c>
      <c r="K73" s="45" t="s">
        <v>822</v>
      </c>
      <c r="L73" s="37" t="s">
        <v>20</v>
      </c>
      <c r="M73" s="83" t="str">
        <f t="shared" ca="1" si="5"/>
        <v/>
      </c>
      <c r="N73" s="37" t="str">
        <f t="shared" ca="1" si="6"/>
        <v/>
      </c>
      <c r="O73" s="84" t="str">
        <f t="shared" ca="1" si="7"/>
        <v/>
      </c>
      <c r="P73" s="84" t="str">
        <f t="shared" ca="1" si="8"/>
        <v/>
      </c>
      <c r="Q73" s="84" t="str">
        <f t="shared" ca="1" si="9"/>
        <v/>
      </c>
      <c r="R73" s="87" t="s">
        <v>636</v>
      </c>
      <c r="S73" s="91"/>
      <c r="T73" s="84"/>
      <c r="U73" s="180">
        <v>72</v>
      </c>
      <c r="V73" s="180"/>
      <c r="W73" s="180"/>
      <c r="X73" s="180"/>
      <c r="Y73" s="151"/>
      <c r="Z73" s="180"/>
      <c r="AA73" s="179"/>
    </row>
    <row r="74" spans="1:27" ht="79.8" x14ac:dyDescent="0.3">
      <c r="A74" s="77" t="s">
        <v>180</v>
      </c>
      <c r="B74" s="98" t="s">
        <v>251</v>
      </c>
      <c r="C74" s="45" t="s">
        <v>294</v>
      </c>
      <c r="D74" s="45" t="s">
        <v>295</v>
      </c>
      <c r="E74" s="104" t="s">
        <v>280</v>
      </c>
      <c r="F74" s="47" t="s">
        <v>296</v>
      </c>
      <c r="G74" s="47" t="s">
        <v>275</v>
      </c>
      <c r="H74" s="90">
        <v>45922</v>
      </c>
      <c r="I74" s="90">
        <v>46053</v>
      </c>
      <c r="J74" s="100" t="s">
        <v>297</v>
      </c>
      <c r="K74" s="45" t="s">
        <v>298</v>
      </c>
      <c r="L74" s="37" t="s">
        <v>20</v>
      </c>
      <c r="M74" s="83" t="str">
        <f t="shared" ca="1" si="5"/>
        <v/>
      </c>
      <c r="N74" s="37" t="str">
        <f t="shared" ca="1" si="6"/>
        <v/>
      </c>
      <c r="O74" s="84" t="str">
        <f t="shared" ca="1" si="7"/>
        <v/>
      </c>
      <c r="P74" s="84" t="str">
        <f t="shared" ca="1" si="8"/>
        <v/>
      </c>
      <c r="Q74" s="84" t="str">
        <f t="shared" ca="1" si="9"/>
        <v/>
      </c>
      <c r="R74" s="151"/>
      <c r="S74" s="91">
        <v>46053</v>
      </c>
      <c r="T74" s="84"/>
      <c r="U74" s="180">
        <v>73</v>
      </c>
      <c r="V74" s="180"/>
      <c r="W74" s="180"/>
      <c r="X74" s="180"/>
      <c r="Y74" s="151"/>
      <c r="Z74" s="180"/>
      <c r="AA74" s="179"/>
    </row>
    <row r="75" spans="1:27" ht="68.400000000000006" x14ac:dyDescent="0.3">
      <c r="A75" s="77" t="s">
        <v>180</v>
      </c>
      <c r="B75" s="98" t="s">
        <v>251</v>
      </c>
      <c r="C75" s="45" t="s">
        <v>299</v>
      </c>
      <c r="D75" s="45" t="s">
        <v>300</v>
      </c>
      <c r="E75" s="104" t="s">
        <v>280</v>
      </c>
      <c r="F75" s="47" t="s">
        <v>301</v>
      </c>
      <c r="G75" s="47" t="s">
        <v>148</v>
      </c>
      <c r="H75" s="90">
        <v>45922</v>
      </c>
      <c r="I75" s="90">
        <v>46025</v>
      </c>
      <c r="J75" s="100" t="s">
        <v>302</v>
      </c>
      <c r="K75" s="45" t="s">
        <v>303</v>
      </c>
      <c r="L75" s="37" t="s">
        <v>20</v>
      </c>
      <c r="M75" s="83" t="str">
        <f t="shared" ca="1" si="5"/>
        <v/>
      </c>
      <c r="N75" s="37" t="str">
        <f t="shared" ca="1" si="6"/>
        <v/>
      </c>
      <c r="O75" s="84" t="str">
        <f t="shared" ca="1" si="7"/>
        <v/>
      </c>
      <c r="P75" s="84" t="str">
        <f t="shared" ca="1" si="8"/>
        <v/>
      </c>
      <c r="Q75" s="84" t="str">
        <f t="shared" ca="1" si="9"/>
        <v/>
      </c>
      <c r="R75" s="151"/>
      <c r="S75" s="91">
        <v>46025</v>
      </c>
      <c r="T75" s="84"/>
      <c r="U75" s="180">
        <v>74</v>
      </c>
      <c r="V75" s="180"/>
      <c r="W75" s="180"/>
      <c r="X75" s="180"/>
      <c r="Y75" s="151"/>
      <c r="Z75" s="180"/>
      <c r="AA75" s="179"/>
    </row>
    <row r="76" spans="1:27" ht="91.2" x14ac:dyDescent="0.3">
      <c r="A76" s="77" t="s">
        <v>180</v>
      </c>
      <c r="B76" s="98" t="s">
        <v>251</v>
      </c>
      <c r="C76" s="45" t="s">
        <v>299</v>
      </c>
      <c r="D76" s="45"/>
      <c r="E76" s="101"/>
      <c r="F76" s="47" t="s">
        <v>304</v>
      </c>
      <c r="G76" s="47" t="s">
        <v>256</v>
      </c>
      <c r="H76" s="90">
        <v>45922</v>
      </c>
      <c r="I76" s="90">
        <v>46053</v>
      </c>
      <c r="J76" s="100" t="s">
        <v>302</v>
      </c>
      <c r="K76" s="45" t="s">
        <v>305</v>
      </c>
      <c r="L76" s="37" t="s">
        <v>20</v>
      </c>
      <c r="M76" s="83" t="str">
        <f t="shared" ca="1" si="5"/>
        <v/>
      </c>
      <c r="N76" s="37" t="str">
        <f t="shared" ca="1" si="6"/>
        <v/>
      </c>
      <c r="O76" s="84" t="str">
        <f t="shared" ca="1" si="7"/>
        <v/>
      </c>
      <c r="P76" s="84" t="str">
        <f t="shared" ca="1" si="8"/>
        <v/>
      </c>
      <c r="Q76" s="84" t="str">
        <f t="shared" ca="1" si="9"/>
        <v/>
      </c>
      <c r="R76" s="151"/>
      <c r="S76" s="91">
        <v>46053</v>
      </c>
      <c r="T76" s="84"/>
      <c r="U76" s="180">
        <v>75</v>
      </c>
      <c r="V76" s="180"/>
      <c r="W76" s="180"/>
      <c r="X76" s="180"/>
      <c r="Y76" s="151"/>
      <c r="Z76" s="180"/>
      <c r="AA76" s="179"/>
    </row>
    <row r="77" spans="1:27" ht="209.4" customHeight="1" x14ac:dyDescent="0.3">
      <c r="A77" s="77" t="s">
        <v>180</v>
      </c>
      <c r="B77" s="98" t="s">
        <v>306</v>
      </c>
      <c r="C77" s="45" t="s">
        <v>307</v>
      </c>
      <c r="D77" s="77" t="s">
        <v>308</v>
      </c>
      <c r="E77" s="104" t="s">
        <v>280</v>
      </c>
      <c r="F77" s="47" t="s">
        <v>309</v>
      </c>
      <c r="G77" s="77" t="s">
        <v>310</v>
      </c>
      <c r="H77" s="90">
        <v>45988</v>
      </c>
      <c r="I77" s="90">
        <v>45988</v>
      </c>
      <c r="J77" s="105" t="s">
        <v>311</v>
      </c>
      <c r="K77" s="45" t="s">
        <v>312</v>
      </c>
      <c r="L77" s="82" t="s">
        <v>20</v>
      </c>
      <c r="M77" s="83" t="str">
        <f t="shared" ca="1" si="5"/>
        <v/>
      </c>
      <c r="N77" s="37" t="str">
        <f t="shared" ca="1" si="6"/>
        <v/>
      </c>
      <c r="O77" s="84" t="str">
        <f t="shared" ca="1" si="7"/>
        <v/>
      </c>
      <c r="P77" s="84" t="str">
        <f t="shared" ca="1" si="8"/>
        <v/>
      </c>
      <c r="Q77" s="84" t="str">
        <f t="shared" ca="1" si="9"/>
        <v/>
      </c>
      <c r="R77" s="151"/>
      <c r="S77" s="91"/>
      <c r="T77" s="84"/>
      <c r="U77" s="180">
        <v>76</v>
      </c>
      <c r="V77" s="180"/>
      <c r="W77" s="180"/>
      <c r="X77" s="180"/>
      <c r="Y77" s="151"/>
      <c r="Z77" s="180"/>
      <c r="AA77" s="179"/>
    </row>
    <row r="78" spans="1:27" ht="157.19999999999999" customHeight="1" x14ac:dyDescent="0.3">
      <c r="A78" s="152" t="s">
        <v>180</v>
      </c>
      <c r="B78" s="153" t="s">
        <v>306</v>
      </c>
      <c r="C78" s="154" t="s">
        <v>313</v>
      </c>
      <c r="D78" s="154" t="s">
        <v>314</v>
      </c>
      <c r="E78" s="155" t="s">
        <v>280</v>
      </c>
      <c r="F78" s="156" t="s">
        <v>315</v>
      </c>
      <c r="G78" s="152" t="s">
        <v>310</v>
      </c>
      <c r="H78" s="157">
        <v>45988</v>
      </c>
      <c r="I78" s="157">
        <v>46129</v>
      </c>
      <c r="J78" s="158" t="s">
        <v>316</v>
      </c>
      <c r="K78" s="154" t="s">
        <v>317</v>
      </c>
      <c r="L78" s="159" t="s">
        <v>33</v>
      </c>
      <c r="M78" s="83" t="str">
        <f t="shared" ca="1" si="5"/>
        <v/>
      </c>
      <c r="N78" s="37" t="str">
        <f t="shared" ca="1" si="6"/>
        <v/>
      </c>
      <c r="O78" s="84" t="str">
        <f t="shared" ca="1" si="7"/>
        <v/>
      </c>
      <c r="P78" s="84" t="str">
        <f t="shared" ca="1" si="8"/>
        <v/>
      </c>
      <c r="Q78" s="84" t="str">
        <f t="shared" ca="1" si="9"/>
        <v/>
      </c>
      <c r="R78" s="160" t="s">
        <v>653</v>
      </c>
      <c r="S78" s="91"/>
      <c r="T78" s="84"/>
      <c r="U78" s="180">
        <v>77</v>
      </c>
      <c r="V78" s="180"/>
      <c r="W78" s="180"/>
      <c r="X78" s="180"/>
      <c r="Y78" s="151"/>
      <c r="Z78" s="180"/>
      <c r="AA78" s="179"/>
    </row>
    <row r="79" spans="1:27" ht="80.400000000000006" x14ac:dyDescent="0.3">
      <c r="A79" s="77" t="s">
        <v>180</v>
      </c>
      <c r="B79" s="98" t="s">
        <v>306</v>
      </c>
      <c r="C79" s="45" t="s">
        <v>318</v>
      </c>
      <c r="D79" s="45" t="s">
        <v>319</v>
      </c>
      <c r="E79" s="104" t="s">
        <v>280</v>
      </c>
      <c r="F79" s="47" t="s">
        <v>320</v>
      </c>
      <c r="G79" s="77" t="s">
        <v>310</v>
      </c>
      <c r="H79" s="90">
        <v>45988</v>
      </c>
      <c r="I79" s="90">
        <v>45992</v>
      </c>
      <c r="J79" s="100" t="s">
        <v>321</v>
      </c>
      <c r="K79" s="45" t="s">
        <v>322</v>
      </c>
      <c r="L79" s="37" t="s">
        <v>20</v>
      </c>
      <c r="M79" s="83" t="str">
        <f t="shared" ca="1" si="5"/>
        <v/>
      </c>
      <c r="N79" s="37" t="str">
        <f t="shared" ca="1" si="6"/>
        <v/>
      </c>
      <c r="O79" s="84" t="str">
        <f t="shared" ca="1" si="7"/>
        <v/>
      </c>
      <c r="P79" s="84" t="str">
        <f t="shared" ca="1" si="8"/>
        <v/>
      </c>
      <c r="Q79" s="84" t="str">
        <f t="shared" ca="1" si="9"/>
        <v/>
      </c>
      <c r="R79" s="151"/>
      <c r="S79" s="91"/>
      <c r="T79" s="84"/>
      <c r="U79" s="180">
        <v>78</v>
      </c>
      <c r="V79" s="180"/>
      <c r="W79" s="180"/>
      <c r="X79" s="180"/>
      <c r="Y79" s="151"/>
      <c r="Z79" s="180"/>
      <c r="AA79" s="179"/>
    </row>
    <row r="80" spans="1:27" ht="57.6" x14ac:dyDescent="0.3">
      <c r="A80" s="152" t="s">
        <v>180</v>
      </c>
      <c r="B80" s="153" t="s">
        <v>306</v>
      </c>
      <c r="C80" s="154" t="s">
        <v>318</v>
      </c>
      <c r="D80" s="154"/>
      <c r="E80" s="155"/>
      <c r="F80" s="156" t="s">
        <v>323</v>
      </c>
      <c r="G80" s="152" t="s">
        <v>310</v>
      </c>
      <c r="H80" s="157">
        <v>45988</v>
      </c>
      <c r="I80" s="157">
        <v>46127</v>
      </c>
      <c r="J80" s="158" t="s">
        <v>321</v>
      </c>
      <c r="K80" s="154"/>
      <c r="L80" s="159" t="s">
        <v>33</v>
      </c>
      <c r="M80" s="83" t="str">
        <f t="shared" ca="1" si="5"/>
        <v/>
      </c>
      <c r="N80" s="37" t="str">
        <f t="shared" ca="1" si="6"/>
        <v/>
      </c>
      <c r="O80" s="84" t="str">
        <f t="shared" ca="1" si="7"/>
        <v/>
      </c>
      <c r="P80" s="84" t="str">
        <f t="shared" ca="1" si="8"/>
        <v/>
      </c>
      <c r="Q80" s="84" t="str">
        <f t="shared" ca="1" si="9"/>
        <v/>
      </c>
      <c r="R80" s="160" t="s">
        <v>653</v>
      </c>
      <c r="S80" s="91"/>
      <c r="T80" s="92"/>
      <c r="U80" s="180">
        <v>79</v>
      </c>
      <c r="V80" s="180"/>
      <c r="W80" s="180"/>
      <c r="X80" s="180"/>
      <c r="Y80" s="151"/>
      <c r="Z80" s="180"/>
      <c r="AA80" s="179"/>
    </row>
    <row r="81" spans="1:27" ht="143.4" customHeight="1" x14ac:dyDescent="0.3">
      <c r="A81" s="77" t="s">
        <v>180</v>
      </c>
      <c r="B81" s="98" t="s">
        <v>306</v>
      </c>
      <c r="C81" s="45" t="s">
        <v>318</v>
      </c>
      <c r="D81" s="45"/>
      <c r="E81" s="101"/>
      <c r="F81" s="47" t="s">
        <v>324</v>
      </c>
      <c r="G81" s="77" t="s">
        <v>17</v>
      </c>
      <c r="H81" s="90">
        <v>45988</v>
      </c>
      <c r="I81" s="90">
        <v>46129</v>
      </c>
      <c r="J81" s="103" t="s">
        <v>316</v>
      </c>
      <c r="K81" s="45" t="s">
        <v>639</v>
      </c>
      <c r="L81" s="37" t="s">
        <v>20</v>
      </c>
      <c r="M81" s="83" t="str">
        <f t="shared" ca="1" si="5"/>
        <v/>
      </c>
      <c r="N81" s="37" t="str">
        <f t="shared" ca="1" si="6"/>
        <v/>
      </c>
      <c r="O81" s="84" t="str">
        <f t="shared" ca="1" si="7"/>
        <v/>
      </c>
      <c r="P81" s="84" t="str">
        <f t="shared" ca="1" si="8"/>
        <v/>
      </c>
      <c r="Q81" s="84" t="str">
        <f t="shared" ca="1" si="9"/>
        <v/>
      </c>
      <c r="R81" s="87" t="s">
        <v>625</v>
      </c>
      <c r="S81" s="91">
        <v>46129</v>
      </c>
      <c r="T81" s="84"/>
      <c r="U81" s="180">
        <v>80</v>
      </c>
      <c r="V81" s="180"/>
      <c r="W81" s="180"/>
      <c r="X81" s="180"/>
      <c r="Y81" s="151"/>
      <c r="Z81" s="180"/>
      <c r="AA81" s="179"/>
    </row>
    <row r="82" spans="1:27" ht="48" x14ac:dyDescent="0.3">
      <c r="A82" s="77" t="s">
        <v>180</v>
      </c>
      <c r="B82" s="98" t="s">
        <v>306</v>
      </c>
      <c r="C82" s="45" t="s">
        <v>318</v>
      </c>
      <c r="D82" s="45"/>
      <c r="E82" s="101"/>
      <c r="F82" s="47" t="s">
        <v>325</v>
      </c>
      <c r="G82" s="77" t="s">
        <v>17</v>
      </c>
      <c r="H82" s="90">
        <v>45988</v>
      </c>
      <c r="I82" s="90">
        <v>45992</v>
      </c>
      <c r="J82" s="100" t="s">
        <v>316</v>
      </c>
      <c r="K82" s="45" t="s">
        <v>326</v>
      </c>
      <c r="L82" s="37" t="s">
        <v>20</v>
      </c>
      <c r="M82" s="83" t="str">
        <f t="shared" ca="1" si="5"/>
        <v/>
      </c>
      <c r="N82" s="37" t="str">
        <f t="shared" ca="1" si="6"/>
        <v/>
      </c>
      <c r="O82" s="84" t="str">
        <f t="shared" ca="1" si="7"/>
        <v/>
      </c>
      <c r="P82" s="84" t="str">
        <f t="shared" ca="1" si="8"/>
        <v/>
      </c>
      <c r="Q82" s="84" t="str">
        <f t="shared" ca="1" si="9"/>
        <v/>
      </c>
      <c r="R82" s="151"/>
      <c r="S82" s="91"/>
      <c r="T82" s="84"/>
      <c r="U82" s="180">
        <v>81</v>
      </c>
      <c r="V82" s="180"/>
      <c r="W82" s="180"/>
      <c r="X82" s="180"/>
      <c r="Y82" s="151"/>
      <c r="Z82" s="180"/>
      <c r="AA82" s="179"/>
    </row>
    <row r="83" spans="1:27" ht="69" x14ac:dyDescent="0.3">
      <c r="A83" s="45" t="s">
        <v>180</v>
      </c>
      <c r="B83" s="112" t="s">
        <v>327</v>
      </c>
      <c r="C83" s="45" t="s">
        <v>328</v>
      </c>
      <c r="D83" s="45" t="s">
        <v>329</v>
      </c>
      <c r="E83" s="99" t="s">
        <v>254</v>
      </c>
      <c r="F83" s="47" t="s">
        <v>330</v>
      </c>
      <c r="G83" s="47" t="s">
        <v>256</v>
      </c>
      <c r="H83" s="90">
        <v>45860</v>
      </c>
      <c r="I83" s="90">
        <v>45884</v>
      </c>
      <c r="J83" s="100" t="s">
        <v>331</v>
      </c>
      <c r="K83" s="45"/>
      <c r="L83" s="37" t="s">
        <v>20</v>
      </c>
      <c r="M83" s="83" t="str">
        <f t="shared" ca="1" si="5"/>
        <v/>
      </c>
      <c r="N83" s="37" t="str">
        <f t="shared" ca="1" si="6"/>
        <v/>
      </c>
      <c r="O83" s="84" t="str">
        <f t="shared" ca="1" si="7"/>
        <v/>
      </c>
      <c r="P83" s="84" t="str">
        <f t="shared" ca="1" si="8"/>
        <v/>
      </c>
      <c r="Q83" s="84" t="str">
        <f t="shared" ca="1" si="9"/>
        <v/>
      </c>
      <c r="R83" s="151"/>
      <c r="S83" s="91"/>
      <c r="T83" s="84"/>
      <c r="U83" s="180">
        <v>82</v>
      </c>
      <c r="V83" s="180"/>
      <c r="W83" s="180"/>
      <c r="X83" s="180"/>
      <c r="Y83" s="151"/>
      <c r="Z83" s="180"/>
      <c r="AA83" s="179"/>
    </row>
    <row r="84" spans="1:27" ht="148.80000000000001" x14ac:dyDescent="0.3">
      <c r="A84" s="45" t="s">
        <v>180</v>
      </c>
      <c r="B84" s="112" t="s">
        <v>327</v>
      </c>
      <c r="C84" s="45" t="s">
        <v>332</v>
      </c>
      <c r="D84" s="45" t="s">
        <v>333</v>
      </c>
      <c r="E84" s="99" t="s">
        <v>254</v>
      </c>
      <c r="F84" s="47" t="s">
        <v>334</v>
      </c>
      <c r="G84" s="47" t="s">
        <v>256</v>
      </c>
      <c r="H84" s="90">
        <v>45860</v>
      </c>
      <c r="I84" s="90">
        <v>46022</v>
      </c>
      <c r="J84" s="100" t="s">
        <v>335</v>
      </c>
      <c r="K84" s="45" t="s">
        <v>336</v>
      </c>
      <c r="L84" s="37" t="s">
        <v>20</v>
      </c>
      <c r="M84" s="83" t="str">
        <f t="shared" ca="1" si="5"/>
        <v/>
      </c>
      <c r="N84" s="37" t="str">
        <f t="shared" ca="1" si="6"/>
        <v/>
      </c>
      <c r="O84" s="84" t="str">
        <f t="shared" ca="1" si="7"/>
        <v/>
      </c>
      <c r="P84" s="84" t="str">
        <f t="shared" ca="1" si="8"/>
        <v/>
      </c>
      <c r="Q84" s="84" t="str">
        <f t="shared" ca="1" si="9"/>
        <v/>
      </c>
      <c r="R84" s="151"/>
      <c r="S84" s="91"/>
      <c r="T84" s="84"/>
      <c r="U84" s="180">
        <v>83</v>
      </c>
      <c r="V84" s="180"/>
      <c r="W84" s="180"/>
      <c r="X84" s="180"/>
      <c r="Y84" s="151"/>
      <c r="Z84" s="180"/>
      <c r="AA84" s="179"/>
    </row>
    <row r="85" spans="1:27" ht="69" x14ac:dyDescent="0.3">
      <c r="A85" s="45" t="s">
        <v>180</v>
      </c>
      <c r="B85" s="112" t="s">
        <v>327</v>
      </c>
      <c r="C85" s="45" t="s">
        <v>332</v>
      </c>
      <c r="D85" s="45"/>
      <c r="E85" s="101"/>
      <c r="F85" s="47" t="s">
        <v>337</v>
      </c>
      <c r="G85" s="47" t="s">
        <v>256</v>
      </c>
      <c r="H85" s="90">
        <v>45860</v>
      </c>
      <c r="I85" s="90">
        <v>46022</v>
      </c>
      <c r="J85" s="100" t="s">
        <v>335</v>
      </c>
      <c r="K85" s="45" t="s">
        <v>338</v>
      </c>
      <c r="L85" s="37" t="s">
        <v>20</v>
      </c>
      <c r="M85" s="83" t="str">
        <f t="shared" ca="1" si="5"/>
        <v/>
      </c>
      <c r="N85" s="37" t="str">
        <f t="shared" ca="1" si="6"/>
        <v/>
      </c>
      <c r="O85" s="84" t="str">
        <f t="shared" ca="1" si="7"/>
        <v/>
      </c>
      <c r="P85" s="84" t="str">
        <f t="shared" ca="1" si="8"/>
        <v/>
      </c>
      <c r="Q85" s="84" t="str">
        <f t="shared" ca="1" si="9"/>
        <v/>
      </c>
      <c r="R85" s="151"/>
      <c r="S85" s="91"/>
      <c r="T85" s="84"/>
      <c r="U85" s="180">
        <v>84</v>
      </c>
      <c r="V85" s="180"/>
      <c r="W85" s="180"/>
      <c r="X85" s="180"/>
      <c r="Y85" s="151"/>
      <c r="Z85" s="180"/>
      <c r="AA85" s="179"/>
    </row>
    <row r="86" spans="1:27" ht="114.6" x14ac:dyDescent="0.3">
      <c r="A86" s="45" t="s">
        <v>180</v>
      </c>
      <c r="B86" s="112" t="s">
        <v>327</v>
      </c>
      <c r="C86" s="45" t="s">
        <v>339</v>
      </c>
      <c r="D86" s="45" t="s">
        <v>340</v>
      </c>
      <c r="E86" s="72" t="s">
        <v>188</v>
      </c>
      <c r="F86" s="47" t="s">
        <v>341</v>
      </c>
      <c r="G86" s="47" t="s">
        <v>256</v>
      </c>
      <c r="H86" s="90">
        <v>45848</v>
      </c>
      <c r="I86" s="90">
        <v>45915</v>
      </c>
      <c r="J86" s="100" t="s">
        <v>342</v>
      </c>
      <c r="K86" s="45" t="s">
        <v>343</v>
      </c>
      <c r="L86" s="37" t="s">
        <v>20</v>
      </c>
      <c r="M86" s="83" t="str">
        <f t="shared" ca="1" si="5"/>
        <v/>
      </c>
      <c r="N86" s="37" t="str">
        <f t="shared" ca="1" si="6"/>
        <v/>
      </c>
      <c r="O86" s="84" t="str">
        <f t="shared" ca="1" si="7"/>
        <v/>
      </c>
      <c r="P86" s="84" t="str">
        <f t="shared" ca="1" si="8"/>
        <v/>
      </c>
      <c r="Q86" s="84" t="str">
        <f t="shared" ca="1" si="9"/>
        <v/>
      </c>
      <c r="R86" s="151"/>
      <c r="S86" s="91"/>
      <c r="T86" s="84"/>
      <c r="U86" s="180">
        <v>85</v>
      </c>
      <c r="V86" s="180"/>
      <c r="W86" s="180"/>
      <c r="X86" s="180"/>
      <c r="Y86" s="151"/>
      <c r="Z86" s="180"/>
      <c r="AA86" s="179"/>
    </row>
    <row r="87" spans="1:27" ht="45.6" x14ac:dyDescent="0.3">
      <c r="A87" s="45" t="s">
        <v>180</v>
      </c>
      <c r="B87" s="112" t="s">
        <v>327</v>
      </c>
      <c r="C87" s="45" t="s">
        <v>344</v>
      </c>
      <c r="D87" s="45" t="s">
        <v>345</v>
      </c>
      <c r="E87" s="72" t="s">
        <v>188</v>
      </c>
      <c r="F87" s="47" t="s">
        <v>346</v>
      </c>
      <c r="G87" s="47" t="s">
        <v>256</v>
      </c>
      <c r="H87" s="90">
        <v>45853</v>
      </c>
      <c r="I87" s="90">
        <v>46022</v>
      </c>
      <c r="J87" s="100" t="s">
        <v>347</v>
      </c>
      <c r="K87" s="45" t="s">
        <v>338</v>
      </c>
      <c r="L87" s="37" t="s">
        <v>20</v>
      </c>
      <c r="M87" s="83" t="str">
        <f t="shared" ca="1" si="5"/>
        <v/>
      </c>
      <c r="N87" s="37" t="str">
        <f t="shared" ca="1" si="6"/>
        <v/>
      </c>
      <c r="O87" s="84" t="str">
        <f t="shared" ca="1" si="7"/>
        <v/>
      </c>
      <c r="P87" s="84" t="str">
        <f t="shared" ca="1" si="8"/>
        <v/>
      </c>
      <c r="Q87" s="84" t="str">
        <f t="shared" ca="1" si="9"/>
        <v/>
      </c>
      <c r="R87" s="151"/>
      <c r="S87" s="91"/>
      <c r="T87" s="84"/>
      <c r="U87" s="180">
        <v>86</v>
      </c>
      <c r="V87" s="180"/>
      <c r="W87" s="180"/>
      <c r="X87" s="180"/>
      <c r="Y87" s="151"/>
      <c r="Z87" s="180"/>
      <c r="AA87" s="179"/>
    </row>
    <row r="88" spans="1:27" ht="137.4" x14ac:dyDescent="0.3">
      <c r="A88" s="45" t="s">
        <v>180</v>
      </c>
      <c r="B88" s="112" t="s">
        <v>327</v>
      </c>
      <c r="C88" s="45" t="s">
        <v>348</v>
      </c>
      <c r="D88" s="45" t="s">
        <v>349</v>
      </c>
      <c r="E88" s="104" t="s">
        <v>280</v>
      </c>
      <c r="F88" s="47" t="s">
        <v>350</v>
      </c>
      <c r="G88" s="47" t="s">
        <v>256</v>
      </c>
      <c r="H88" s="90">
        <v>45860</v>
      </c>
      <c r="I88" s="90">
        <v>45915</v>
      </c>
      <c r="J88" s="100" t="s">
        <v>351</v>
      </c>
      <c r="K88" s="45" t="s">
        <v>352</v>
      </c>
      <c r="L88" s="37" t="s">
        <v>20</v>
      </c>
      <c r="M88" s="83" t="str">
        <f t="shared" ca="1" si="5"/>
        <v/>
      </c>
      <c r="N88" s="37" t="str">
        <f t="shared" ca="1" si="6"/>
        <v/>
      </c>
      <c r="O88" s="84" t="str">
        <f t="shared" ca="1" si="7"/>
        <v/>
      </c>
      <c r="P88" s="84" t="str">
        <f t="shared" ca="1" si="8"/>
        <v/>
      </c>
      <c r="Q88" s="84" t="str">
        <f t="shared" ca="1" si="9"/>
        <v/>
      </c>
      <c r="R88" s="151"/>
      <c r="S88" s="91"/>
      <c r="T88" s="84"/>
      <c r="U88" s="180">
        <v>87</v>
      </c>
      <c r="V88" s="180"/>
      <c r="W88" s="180"/>
      <c r="X88" s="180"/>
      <c r="Y88" s="151"/>
      <c r="Z88" s="180"/>
      <c r="AA88" s="179"/>
    </row>
    <row r="89" spans="1:27" ht="137.4" x14ac:dyDescent="0.3">
      <c r="A89" s="45" t="s">
        <v>180</v>
      </c>
      <c r="B89" s="112" t="s">
        <v>327</v>
      </c>
      <c r="C89" s="45" t="s">
        <v>353</v>
      </c>
      <c r="D89" s="45" t="s">
        <v>506</v>
      </c>
      <c r="E89" s="104" t="s">
        <v>280</v>
      </c>
      <c r="F89" s="47" t="s">
        <v>354</v>
      </c>
      <c r="G89" s="47" t="s">
        <v>256</v>
      </c>
      <c r="H89" s="90">
        <v>45860</v>
      </c>
      <c r="I89" s="90">
        <v>46022</v>
      </c>
      <c r="J89" s="100" t="s">
        <v>355</v>
      </c>
      <c r="K89" s="45" t="s">
        <v>338</v>
      </c>
      <c r="L89" s="37" t="s">
        <v>20</v>
      </c>
      <c r="M89" s="83" t="str">
        <f t="shared" ca="1" si="5"/>
        <v/>
      </c>
      <c r="N89" s="37" t="str">
        <f t="shared" ca="1" si="6"/>
        <v/>
      </c>
      <c r="O89" s="84" t="str">
        <f t="shared" ca="1" si="7"/>
        <v/>
      </c>
      <c r="P89" s="84" t="str">
        <f t="shared" ca="1" si="8"/>
        <v/>
      </c>
      <c r="Q89" s="84" t="str">
        <f t="shared" ca="1" si="9"/>
        <v/>
      </c>
      <c r="R89" s="151"/>
      <c r="S89" s="91"/>
      <c r="T89" s="84"/>
      <c r="U89" s="180">
        <v>88</v>
      </c>
      <c r="V89" s="180"/>
      <c r="W89" s="180"/>
      <c r="X89" s="180"/>
      <c r="Y89" s="151"/>
      <c r="Z89" s="180"/>
      <c r="AA89" s="179"/>
    </row>
    <row r="90" spans="1:27" ht="103.2" x14ac:dyDescent="0.3">
      <c r="A90" s="45" t="s">
        <v>180</v>
      </c>
      <c r="B90" s="112" t="s">
        <v>327</v>
      </c>
      <c r="C90" s="45" t="s">
        <v>356</v>
      </c>
      <c r="D90" s="45" t="s">
        <v>357</v>
      </c>
      <c r="E90" s="104" t="s">
        <v>280</v>
      </c>
      <c r="F90" s="47" t="s">
        <v>358</v>
      </c>
      <c r="G90" s="47" t="s">
        <v>256</v>
      </c>
      <c r="H90" s="90">
        <v>45869</v>
      </c>
      <c r="I90" s="90">
        <v>46001</v>
      </c>
      <c r="J90" s="100" t="s">
        <v>359</v>
      </c>
      <c r="K90" s="45"/>
      <c r="L90" s="37" t="s">
        <v>20</v>
      </c>
      <c r="M90" s="83" t="str">
        <f t="shared" ca="1" si="5"/>
        <v/>
      </c>
      <c r="N90" s="37" t="str">
        <f t="shared" ca="1" si="6"/>
        <v/>
      </c>
      <c r="O90" s="84" t="str">
        <f t="shared" ca="1" si="7"/>
        <v/>
      </c>
      <c r="P90" s="84" t="str">
        <f t="shared" ca="1" si="8"/>
        <v/>
      </c>
      <c r="Q90" s="84" t="str">
        <f t="shared" ca="1" si="9"/>
        <v/>
      </c>
      <c r="R90" s="151"/>
      <c r="S90" s="91"/>
      <c r="T90" s="84"/>
      <c r="U90" s="180">
        <v>89</v>
      </c>
      <c r="V90" s="180"/>
      <c r="W90" s="180"/>
      <c r="X90" s="180"/>
      <c r="Y90" s="151"/>
      <c r="Z90" s="180"/>
      <c r="AA90" s="179"/>
    </row>
    <row r="91" spans="1:27" ht="79.8" x14ac:dyDescent="0.3">
      <c r="A91" s="77" t="s">
        <v>180</v>
      </c>
      <c r="B91" s="98" t="s">
        <v>360</v>
      </c>
      <c r="C91" s="45" t="s">
        <v>361</v>
      </c>
      <c r="D91" s="113" t="s">
        <v>507</v>
      </c>
      <c r="E91" s="114" t="s">
        <v>254</v>
      </c>
      <c r="F91" s="47" t="s">
        <v>362</v>
      </c>
      <c r="G91" s="47" t="s">
        <v>210</v>
      </c>
      <c r="H91" s="90">
        <v>46001</v>
      </c>
      <c r="I91" s="90">
        <v>46063</v>
      </c>
      <c r="J91" s="105" t="s">
        <v>363</v>
      </c>
      <c r="K91" s="45" t="s">
        <v>364</v>
      </c>
      <c r="L91" s="37" t="s">
        <v>20</v>
      </c>
      <c r="M91" s="83" t="str">
        <f t="shared" ca="1" si="5"/>
        <v/>
      </c>
      <c r="N91" s="37" t="str">
        <f t="shared" ca="1" si="6"/>
        <v/>
      </c>
      <c r="O91" s="84" t="str">
        <f t="shared" ca="1" si="7"/>
        <v/>
      </c>
      <c r="P91" s="84" t="str">
        <f t="shared" ca="1" si="8"/>
        <v/>
      </c>
      <c r="Q91" s="84" t="str">
        <f t="shared" ca="1" si="9"/>
        <v/>
      </c>
      <c r="R91" s="151"/>
      <c r="S91" s="91">
        <v>46063</v>
      </c>
      <c r="T91" s="84"/>
      <c r="U91" s="180">
        <v>90</v>
      </c>
      <c r="V91" s="180"/>
      <c r="W91" s="180"/>
      <c r="X91" s="180"/>
      <c r="Y91" s="151"/>
      <c r="Z91" s="180"/>
      <c r="AA91" s="179"/>
    </row>
    <row r="92" spans="1:27" ht="114" x14ac:dyDescent="0.3">
      <c r="A92" s="93" t="s">
        <v>180</v>
      </c>
      <c r="B92" s="106" t="s">
        <v>360</v>
      </c>
      <c r="C92" s="107" t="s">
        <v>365</v>
      </c>
      <c r="D92" s="107" t="s">
        <v>508</v>
      </c>
      <c r="E92" s="115" t="s">
        <v>188</v>
      </c>
      <c r="F92" s="108" t="s">
        <v>366</v>
      </c>
      <c r="G92" s="108" t="s">
        <v>210</v>
      </c>
      <c r="H92" s="109">
        <v>45989</v>
      </c>
      <c r="I92" s="109">
        <v>46203</v>
      </c>
      <c r="J92" s="110" t="s">
        <v>367</v>
      </c>
      <c r="K92" s="107" t="s">
        <v>368</v>
      </c>
      <c r="L92" s="111" t="s">
        <v>20</v>
      </c>
      <c r="M92" s="83" t="str">
        <f t="shared" ca="1" si="5"/>
        <v/>
      </c>
      <c r="N92" s="37" t="str">
        <f t="shared" ca="1" si="6"/>
        <v/>
      </c>
      <c r="O92" s="84" t="str">
        <f t="shared" ca="1" si="7"/>
        <v/>
      </c>
      <c r="P92" s="84" t="str">
        <f t="shared" ca="1" si="8"/>
        <v/>
      </c>
      <c r="Q92" s="84" t="str">
        <f t="shared" ca="1" si="9"/>
        <v/>
      </c>
      <c r="R92" s="151"/>
      <c r="S92" s="91">
        <v>46081</v>
      </c>
      <c r="T92" s="84"/>
      <c r="U92" s="180">
        <v>91</v>
      </c>
      <c r="V92" s="180"/>
      <c r="W92" s="180"/>
      <c r="X92" s="180"/>
      <c r="Y92" s="151"/>
      <c r="Z92" s="180"/>
      <c r="AA92" s="179"/>
    </row>
    <row r="93" spans="1:27" ht="144" x14ac:dyDescent="0.3">
      <c r="A93" s="77" t="s">
        <v>180</v>
      </c>
      <c r="B93" s="98" t="s">
        <v>360</v>
      </c>
      <c r="C93" s="45" t="s">
        <v>369</v>
      </c>
      <c r="D93" s="116" t="s">
        <v>509</v>
      </c>
      <c r="E93" s="115" t="s">
        <v>188</v>
      </c>
      <c r="F93" s="47" t="s">
        <v>370</v>
      </c>
      <c r="G93" s="47" t="s">
        <v>371</v>
      </c>
      <c r="H93" s="90">
        <v>45989</v>
      </c>
      <c r="I93" s="90" t="s">
        <v>1274</v>
      </c>
      <c r="J93" s="87" t="s">
        <v>372</v>
      </c>
      <c r="K93" s="45" t="s">
        <v>1309</v>
      </c>
      <c r="L93" s="37" t="s">
        <v>33</v>
      </c>
      <c r="M93" s="83" t="str">
        <f t="shared" ca="1" si="5"/>
        <v/>
      </c>
      <c r="N93" s="37" t="str">
        <f t="shared" ca="1" si="6"/>
        <v/>
      </c>
      <c r="O93" s="84" t="str">
        <f t="shared" ca="1" si="7"/>
        <v/>
      </c>
      <c r="P93" s="84" t="str">
        <f t="shared" ca="1" si="8"/>
        <v/>
      </c>
      <c r="Q93" s="84" t="str">
        <f t="shared" ca="1" si="9"/>
        <v/>
      </c>
      <c r="R93" s="87" t="s">
        <v>640</v>
      </c>
      <c r="S93" s="91"/>
      <c r="T93" s="84"/>
      <c r="U93" s="180">
        <v>92</v>
      </c>
      <c r="V93" s="180"/>
      <c r="W93" s="180"/>
      <c r="X93" s="180"/>
      <c r="Y93" s="151"/>
      <c r="Z93" s="180"/>
      <c r="AA93" s="179"/>
    </row>
    <row r="94" spans="1:27" ht="144" x14ac:dyDescent="0.3">
      <c r="A94" s="77" t="s">
        <v>180</v>
      </c>
      <c r="B94" s="98" t="s">
        <v>360</v>
      </c>
      <c r="C94" s="45" t="s">
        <v>369</v>
      </c>
      <c r="D94" s="116"/>
      <c r="E94" s="101"/>
      <c r="F94" s="47" t="s">
        <v>373</v>
      </c>
      <c r="G94" s="47" t="s">
        <v>371</v>
      </c>
      <c r="H94" s="90">
        <v>45989</v>
      </c>
      <c r="I94" s="90">
        <v>46142</v>
      </c>
      <c r="J94" s="87" t="s">
        <v>372</v>
      </c>
      <c r="K94" s="45" t="s">
        <v>846</v>
      </c>
      <c r="L94" s="37" t="s">
        <v>20</v>
      </c>
      <c r="M94" s="83" t="str">
        <f t="shared" ca="1" si="5"/>
        <v/>
      </c>
      <c r="N94" s="37" t="str">
        <f t="shared" ca="1" si="6"/>
        <v/>
      </c>
      <c r="O94" s="84" t="str">
        <f t="shared" ca="1" si="7"/>
        <v/>
      </c>
      <c r="P94" s="84" t="str">
        <f t="shared" ca="1" si="8"/>
        <v/>
      </c>
      <c r="Q94" s="84" t="str">
        <f t="shared" ca="1" si="9"/>
        <v/>
      </c>
      <c r="R94" s="87" t="s">
        <v>640</v>
      </c>
      <c r="S94" s="91">
        <v>46178</v>
      </c>
      <c r="T94" s="84"/>
      <c r="U94" s="180">
        <v>93</v>
      </c>
      <c r="V94" s="180"/>
      <c r="W94" s="180"/>
      <c r="X94" s="180"/>
      <c r="Y94" s="151"/>
      <c r="Z94" s="180"/>
      <c r="AA94" s="179"/>
    </row>
    <row r="95" spans="1:27" ht="91.2" x14ac:dyDescent="0.3">
      <c r="A95" s="77" t="s">
        <v>180</v>
      </c>
      <c r="B95" s="98" t="s">
        <v>360</v>
      </c>
      <c r="C95" s="45" t="s">
        <v>369</v>
      </c>
      <c r="D95" s="116"/>
      <c r="E95" s="101"/>
      <c r="F95" s="47" t="s">
        <v>375</v>
      </c>
      <c r="G95" s="47" t="s">
        <v>210</v>
      </c>
      <c r="H95" s="90">
        <v>45989</v>
      </c>
      <c r="I95" s="90">
        <v>46142</v>
      </c>
      <c r="J95" s="105" t="s">
        <v>372</v>
      </c>
      <c r="K95" s="45" t="s">
        <v>376</v>
      </c>
      <c r="L95" s="37" t="s">
        <v>20</v>
      </c>
      <c r="M95" s="83" t="str">
        <f t="shared" ca="1" si="5"/>
        <v/>
      </c>
      <c r="N95" s="37" t="str">
        <f t="shared" ca="1" si="6"/>
        <v/>
      </c>
      <c r="O95" s="84" t="str">
        <f t="shared" ca="1" si="7"/>
        <v/>
      </c>
      <c r="P95" s="84" t="str">
        <f t="shared" ca="1" si="8"/>
        <v/>
      </c>
      <c r="Q95" s="84" t="str">
        <f t="shared" ca="1" si="9"/>
        <v/>
      </c>
      <c r="R95" s="151"/>
      <c r="S95" s="91">
        <v>46142</v>
      </c>
      <c r="T95" s="84"/>
      <c r="U95" s="180">
        <v>94</v>
      </c>
      <c r="V95" s="180"/>
      <c r="W95" s="180"/>
      <c r="X95" s="180"/>
      <c r="Y95" s="151"/>
      <c r="Z95" s="180"/>
      <c r="AA95" s="179"/>
    </row>
    <row r="96" spans="1:27" ht="100.8" x14ac:dyDescent="0.3">
      <c r="A96" s="77" t="s">
        <v>180</v>
      </c>
      <c r="B96" s="98" t="s">
        <v>360</v>
      </c>
      <c r="C96" s="45" t="s">
        <v>377</v>
      </c>
      <c r="D96" s="113" t="s">
        <v>510</v>
      </c>
      <c r="E96" s="115" t="s">
        <v>188</v>
      </c>
      <c r="F96" s="47" t="s">
        <v>378</v>
      </c>
      <c r="G96" s="47" t="s">
        <v>210</v>
      </c>
      <c r="H96" s="90">
        <v>45989</v>
      </c>
      <c r="I96" s="90">
        <v>46127</v>
      </c>
      <c r="J96" s="87" t="s">
        <v>379</v>
      </c>
      <c r="K96" s="45" t="s">
        <v>852</v>
      </c>
      <c r="L96" s="37" t="s">
        <v>20</v>
      </c>
      <c r="M96" s="83" t="str">
        <f t="shared" ca="1" si="5"/>
        <v/>
      </c>
      <c r="N96" s="37" t="str">
        <f t="shared" ca="1" si="6"/>
        <v/>
      </c>
      <c r="O96" s="84" t="str">
        <f t="shared" ca="1" si="7"/>
        <v/>
      </c>
      <c r="P96" s="84" t="str">
        <f t="shared" ca="1" si="8"/>
        <v/>
      </c>
      <c r="Q96" s="84" t="str">
        <f t="shared" ca="1" si="9"/>
        <v/>
      </c>
      <c r="R96" s="87" t="s">
        <v>630</v>
      </c>
      <c r="S96" s="91">
        <v>46178</v>
      </c>
      <c r="T96" s="92"/>
      <c r="U96" s="180">
        <v>95</v>
      </c>
      <c r="V96" s="180"/>
      <c r="W96" s="180"/>
      <c r="X96" s="180"/>
      <c r="Y96" s="151"/>
      <c r="Z96" s="180"/>
      <c r="AA96" s="179"/>
    </row>
    <row r="97" spans="1:27" ht="100.8" x14ac:dyDescent="0.3">
      <c r="A97" s="77" t="s">
        <v>180</v>
      </c>
      <c r="B97" s="98" t="s">
        <v>360</v>
      </c>
      <c r="C97" s="45" t="s">
        <v>381</v>
      </c>
      <c r="D97" s="113" t="s">
        <v>511</v>
      </c>
      <c r="E97" s="115" t="s">
        <v>188</v>
      </c>
      <c r="F97" s="47" t="s">
        <v>382</v>
      </c>
      <c r="G97" s="47" t="s">
        <v>210</v>
      </c>
      <c r="H97" s="90">
        <v>45989</v>
      </c>
      <c r="I97" s="90">
        <v>46053</v>
      </c>
      <c r="J97" s="87" t="s">
        <v>383</v>
      </c>
      <c r="K97" s="45" t="s">
        <v>825</v>
      </c>
      <c r="L97" s="37" t="s">
        <v>20</v>
      </c>
      <c r="M97" s="83" t="str">
        <f t="shared" ca="1" si="5"/>
        <v/>
      </c>
      <c r="N97" s="37" t="str">
        <f t="shared" ca="1" si="6"/>
        <v/>
      </c>
      <c r="O97" s="84" t="str">
        <f t="shared" ca="1" si="7"/>
        <v/>
      </c>
      <c r="P97" s="84" t="str">
        <f t="shared" ca="1" si="8"/>
        <v/>
      </c>
      <c r="Q97" s="84" t="str">
        <f t="shared" ca="1" si="9"/>
        <v/>
      </c>
      <c r="R97" s="87" t="s">
        <v>630</v>
      </c>
      <c r="S97" s="91">
        <v>46178</v>
      </c>
      <c r="T97" s="84"/>
      <c r="U97" s="180">
        <v>96</v>
      </c>
      <c r="V97" s="180"/>
      <c r="W97" s="180"/>
      <c r="X97" s="180"/>
      <c r="Y97" s="151"/>
      <c r="Z97" s="180"/>
      <c r="AA97" s="179"/>
    </row>
    <row r="98" spans="1:27" ht="114" x14ac:dyDescent="0.3">
      <c r="A98" s="77" t="s">
        <v>180</v>
      </c>
      <c r="B98" s="98" t="s">
        <v>360</v>
      </c>
      <c r="C98" s="45" t="s">
        <v>385</v>
      </c>
      <c r="D98" s="113" t="s">
        <v>512</v>
      </c>
      <c r="E98" s="115" t="s">
        <v>188</v>
      </c>
      <c r="F98" s="47" t="s">
        <v>386</v>
      </c>
      <c r="G98" s="47" t="s">
        <v>210</v>
      </c>
      <c r="H98" s="90">
        <v>45989</v>
      </c>
      <c r="I98" s="90">
        <v>46006</v>
      </c>
      <c r="J98" s="105" t="s">
        <v>387</v>
      </c>
      <c r="K98" s="45" t="s">
        <v>388</v>
      </c>
      <c r="L98" s="37" t="s">
        <v>20</v>
      </c>
      <c r="M98" s="83" t="str">
        <f t="shared" ca="1" si="5"/>
        <v/>
      </c>
      <c r="N98" s="37" t="str">
        <f t="shared" ca="1" si="6"/>
        <v/>
      </c>
      <c r="O98" s="84" t="str">
        <f t="shared" ca="1" si="7"/>
        <v/>
      </c>
      <c r="P98" s="84" t="str">
        <f t="shared" ca="1" si="8"/>
        <v/>
      </c>
      <c r="Q98" s="84" t="str">
        <f t="shared" ca="1" si="9"/>
        <v/>
      </c>
      <c r="R98" s="151"/>
      <c r="S98" s="91"/>
      <c r="T98" s="84"/>
      <c r="U98" s="180">
        <v>97</v>
      </c>
      <c r="V98" s="180"/>
      <c r="W98" s="180"/>
      <c r="X98" s="180"/>
      <c r="Y98" s="151"/>
      <c r="Z98" s="180"/>
      <c r="AA98" s="179"/>
    </row>
    <row r="99" spans="1:27" ht="34.799999999999997" x14ac:dyDescent="0.3">
      <c r="A99" s="77" t="s">
        <v>180</v>
      </c>
      <c r="B99" s="98" t="s">
        <v>360</v>
      </c>
      <c r="C99" s="45" t="s">
        <v>389</v>
      </c>
      <c r="D99" s="113" t="s">
        <v>513</v>
      </c>
      <c r="E99" s="117" t="s">
        <v>280</v>
      </c>
      <c r="F99" s="47" t="s">
        <v>390</v>
      </c>
      <c r="G99" s="47" t="s">
        <v>210</v>
      </c>
      <c r="H99" s="90">
        <v>45989</v>
      </c>
      <c r="I99" s="90">
        <v>45992</v>
      </c>
      <c r="J99" s="105" t="s">
        <v>391</v>
      </c>
      <c r="K99" s="45" t="s">
        <v>392</v>
      </c>
      <c r="L99" s="37" t="s">
        <v>20</v>
      </c>
      <c r="M99" s="83" t="str">
        <f t="shared" ca="1" si="5"/>
        <v/>
      </c>
      <c r="N99" s="37" t="str">
        <f t="shared" ca="1" si="6"/>
        <v/>
      </c>
      <c r="O99" s="84" t="str">
        <f t="shared" ca="1" si="7"/>
        <v/>
      </c>
      <c r="P99" s="84" t="str">
        <f t="shared" ca="1" si="8"/>
        <v/>
      </c>
      <c r="Q99" s="84" t="str">
        <f t="shared" ca="1" si="9"/>
        <v/>
      </c>
      <c r="R99" s="151"/>
      <c r="S99" s="91"/>
      <c r="T99" s="84"/>
      <c r="U99" s="180">
        <v>98</v>
      </c>
      <c r="V99" s="180"/>
      <c r="W99" s="180"/>
      <c r="X99" s="180"/>
      <c r="Y99" s="151"/>
      <c r="Z99" s="180"/>
      <c r="AA99" s="179"/>
    </row>
    <row r="100" spans="1:27" ht="126.6" customHeight="1" x14ac:dyDescent="0.3">
      <c r="A100" s="77" t="s">
        <v>180</v>
      </c>
      <c r="B100" s="98" t="s">
        <v>360</v>
      </c>
      <c r="C100" s="45" t="s">
        <v>393</v>
      </c>
      <c r="D100" s="113" t="s">
        <v>514</v>
      </c>
      <c r="E100" s="117" t="s">
        <v>280</v>
      </c>
      <c r="F100" s="47" t="s">
        <v>394</v>
      </c>
      <c r="G100" s="47" t="s">
        <v>210</v>
      </c>
      <c r="H100" s="90">
        <v>45989</v>
      </c>
      <c r="I100" s="90">
        <v>46053</v>
      </c>
      <c r="J100" s="105" t="s">
        <v>395</v>
      </c>
      <c r="K100" s="45" t="s">
        <v>830</v>
      </c>
      <c r="L100" s="37" t="s">
        <v>20</v>
      </c>
      <c r="M100" s="83" t="str">
        <f t="shared" ca="1" si="5"/>
        <v/>
      </c>
      <c r="N100" s="37" t="str">
        <f t="shared" ca="1" si="6"/>
        <v/>
      </c>
      <c r="O100" s="84" t="str">
        <f t="shared" ca="1" si="7"/>
        <v/>
      </c>
      <c r="P100" s="84" t="str">
        <f t="shared" ca="1" si="8"/>
        <v/>
      </c>
      <c r="Q100" s="84" t="str">
        <f t="shared" ca="1" si="9"/>
        <v/>
      </c>
      <c r="R100" s="87" t="s">
        <v>630</v>
      </c>
      <c r="S100" s="91">
        <v>46178</v>
      </c>
      <c r="T100" s="84"/>
      <c r="U100" s="180">
        <v>99</v>
      </c>
      <c r="V100" s="180"/>
      <c r="W100" s="180"/>
      <c r="X100" s="180"/>
      <c r="Y100" s="151"/>
      <c r="Z100" s="180"/>
      <c r="AA100" s="179"/>
    </row>
    <row r="101" spans="1:27" ht="122.4" customHeight="1" x14ac:dyDescent="0.3">
      <c r="A101" s="77" t="s">
        <v>180</v>
      </c>
      <c r="B101" s="98" t="s">
        <v>360</v>
      </c>
      <c r="C101" s="45" t="s">
        <v>397</v>
      </c>
      <c r="D101" s="113" t="s">
        <v>515</v>
      </c>
      <c r="E101" s="117" t="s">
        <v>280</v>
      </c>
      <c r="F101" s="47" t="s">
        <v>394</v>
      </c>
      <c r="G101" s="47" t="s">
        <v>210</v>
      </c>
      <c r="H101" s="90">
        <v>45989</v>
      </c>
      <c r="I101" s="90">
        <v>46053</v>
      </c>
      <c r="J101" s="105" t="s">
        <v>398</v>
      </c>
      <c r="K101" s="45" t="s">
        <v>830</v>
      </c>
      <c r="L101" s="37" t="s">
        <v>20</v>
      </c>
      <c r="M101" s="83" t="str">
        <f t="shared" ca="1" si="5"/>
        <v/>
      </c>
      <c r="N101" s="37" t="str">
        <f t="shared" ca="1" si="6"/>
        <v/>
      </c>
      <c r="O101" s="84" t="str">
        <f t="shared" ca="1" si="7"/>
        <v/>
      </c>
      <c r="P101" s="84" t="str">
        <f t="shared" ca="1" si="8"/>
        <v/>
      </c>
      <c r="Q101" s="84" t="str">
        <f t="shared" ca="1" si="9"/>
        <v/>
      </c>
      <c r="R101" s="87" t="s">
        <v>630</v>
      </c>
      <c r="S101" s="91">
        <v>46178</v>
      </c>
      <c r="T101" s="84"/>
      <c r="U101" s="180">
        <v>100</v>
      </c>
      <c r="V101" s="180"/>
      <c r="W101" s="180"/>
      <c r="X101" s="180"/>
      <c r="Y101" s="151"/>
      <c r="Z101" s="180"/>
      <c r="AA101" s="179"/>
    </row>
    <row r="102" spans="1:27" ht="106.8" customHeight="1" x14ac:dyDescent="0.3">
      <c r="A102" s="77" t="s">
        <v>180</v>
      </c>
      <c r="B102" s="98" t="s">
        <v>399</v>
      </c>
      <c r="C102" s="45" t="s">
        <v>400</v>
      </c>
      <c r="D102" s="45" t="s">
        <v>516</v>
      </c>
      <c r="E102" s="118" t="s">
        <v>188</v>
      </c>
      <c r="F102" s="47" t="s">
        <v>401</v>
      </c>
      <c r="G102" s="47" t="s">
        <v>179</v>
      </c>
      <c r="H102" s="90">
        <v>46020</v>
      </c>
      <c r="I102" s="90">
        <v>46173</v>
      </c>
      <c r="J102" s="87" t="s">
        <v>402</v>
      </c>
      <c r="K102" s="45" t="s">
        <v>867</v>
      </c>
      <c r="L102" s="37" t="s">
        <v>20</v>
      </c>
      <c r="M102" s="83" t="str">
        <f t="shared" ca="1" si="5"/>
        <v/>
      </c>
      <c r="N102" s="37" t="str">
        <f t="shared" ca="1" si="6"/>
        <v/>
      </c>
      <c r="O102" s="84" t="str">
        <f t="shared" ca="1" si="7"/>
        <v/>
      </c>
      <c r="P102" s="84" t="str">
        <f t="shared" ca="1" si="8"/>
        <v/>
      </c>
      <c r="Q102" s="84" t="str">
        <f t="shared" ca="1" si="9"/>
        <v/>
      </c>
      <c r="R102" s="87" t="s">
        <v>644</v>
      </c>
      <c r="S102" s="91">
        <v>46178</v>
      </c>
      <c r="T102" s="84"/>
      <c r="U102" s="180">
        <v>101</v>
      </c>
      <c r="V102" s="180"/>
      <c r="W102" s="180"/>
      <c r="X102" s="180"/>
      <c r="Y102" s="151"/>
      <c r="Z102" s="180"/>
      <c r="AA102" s="179"/>
    </row>
    <row r="103" spans="1:27" ht="100.8" x14ac:dyDescent="0.3">
      <c r="A103" s="152" t="s">
        <v>180</v>
      </c>
      <c r="B103" s="153" t="s">
        <v>399</v>
      </c>
      <c r="C103" s="154" t="s">
        <v>403</v>
      </c>
      <c r="D103" s="154" t="s">
        <v>517</v>
      </c>
      <c r="E103" s="155" t="s">
        <v>188</v>
      </c>
      <c r="F103" s="156" t="s">
        <v>404</v>
      </c>
      <c r="G103" s="156" t="s">
        <v>269</v>
      </c>
      <c r="H103" s="157">
        <v>46020</v>
      </c>
      <c r="I103" s="157">
        <v>46115</v>
      </c>
      <c r="J103" s="160" t="s">
        <v>405</v>
      </c>
      <c r="K103" s="154" t="s">
        <v>873</v>
      </c>
      <c r="L103" s="159" t="s">
        <v>20</v>
      </c>
      <c r="M103" s="83" t="str">
        <f t="shared" ca="1" si="5"/>
        <v/>
      </c>
      <c r="N103" s="37" t="str">
        <f t="shared" ca="1" si="6"/>
        <v/>
      </c>
      <c r="O103" s="84" t="str">
        <f t="shared" ca="1" si="7"/>
        <v/>
      </c>
      <c r="P103" s="84" t="str">
        <f t="shared" ca="1" si="8"/>
        <v/>
      </c>
      <c r="Q103" s="84" t="str">
        <f t="shared" ca="1" si="9"/>
        <v/>
      </c>
      <c r="R103" s="160" t="s">
        <v>635</v>
      </c>
      <c r="S103" s="91">
        <v>46178</v>
      </c>
      <c r="T103" s="92"/>
      <c r="U103" s="180">
        <v>102</v>
      </c>
      <c r="V103" s="180"/>
      <c r="W103" s="180"/>
      <c r="X103" s="180"/>
      <c r="Y103" s="151"/>
      <c r="Z103" s="180"/>
      <c r="AA103" s="179"/>
    </row>
    <row r="104" spans="1:27" ht="72" x14ac:dyDescent="0.3">
      <c r="A104" s="77" t="s">
        <v>180</v>
      </c>
      <c r="B104" s="98" t="s">
        <v>399</v>
      </c>
      <c r="C104" s="45" t="s">
        <v>403</v>
      </c>
      <c r="D104" s="45"/>
      <c r="E104" s="101"/>
      <c r="F104" s="47" t="s">
        <v>406</v>
      </c>
      <c r="G104" s="47" t="s">
        <v>179</v>
      </c>
      <c r="H104" s="90">
        <v>46020</v>
      </c>
      <c r="I104" s="90">
        <v>46387</v>
      </c>
      <c r="J104" s="87" t="s">
        <v>407</v>
      </c>
      <c r="K104" s="119"/>
      <c r="L104" s="37" t="s">
        <v>201</v>
      </c>
      <c r="M104" s="83">
        <f t="shared" ca="1" si="5"/>
        <v>132</v>
      </c>
      <c r="N104" s="37" t="str">
        <f t="shared" ca="1" si="6"/>
        <v/>
      </c>
      <c r="O104" s="84" t="str">
        <f t="shared" ca="1" si="7"/>
        <v/>
      </c>
      <c r="P104" s="84" t="str">
        <f t="shared" ca="1" si="8"/>
        <v/>
      </c>
      <c r="Q104" s="84" t="str">
        <f t="shared" ca="1" si="9"/>
        <v/>
      </c>
      <c r="R104" s="87" t="s">
        <v>644</v>
      </c>
      <c r="S104" s="91"/>
      <c r="T104" s="84"/>
      <c r="U104" s="180">
        <v>103</v>
      </c>
      <c r="V104" s="180"/>
      <c r="W104" s="180"/>
      <c r="X104" s="180"/>
      <c r="Y104" s="151"/>
      <c r="Z104" s="91"/>
      <c r="AA104" s="179"/>
    </row>
    <row r="105" spans="1:27" ht="79.8" x14ac:dyDescent="0.3">
      <c r="A105" s="77" t="s">
        <v>180</v>
      </c>
      <c r="B105" s="98" t="s">
        <v>399</v>
      </c>
      <c r="C105" s="45" t="s">
        <v>409</v>
      </c>
      <c r="D105" s="45" t="s">
        <v>518</v>
      </c>
      <c r="E105" s="118" t="s">
        <v>188</v>
      </c>
      <c r="F105" s="47" t="s">
        <v>410</v>
      </c>
      <c r="G105" s="47" t="s">
        <v>179</v>
      </c>
      <c r="H105" s="90">
        <v>46020</v>
      </c>
      <c r="I105" s="90">
        <v>46295</v>
      </c>
      <c r="J105" s="105" t="s">
        <v>407</v>
      </c>
      <c r="K105" s="211" t="s">
        <v>1334</v>
      </c>
      <c r="L105" s="37" t="s">
        <v>201</v>
      </c>
      <c r="M105" s="83">
        <f t="shared" ca="1" si="5"/>
        <v>40</v>
      </c>
      <c r="N105" s="37" t="str">
        <f t="shared" ca="1" si="6"/>
        <v/>
      </c>
      <c r="O105" s="84" t="str">
        <f t="shared" ca="1" si="7"/>
        <v/>
      </c>
      <c r="P105" s="84" t="str">
        <f t="shared" ca="1" si="8"/>
        <v/>
      </c>
      <c r="Q105" s="84" t="str">
        <f t="shared" ca="1" si="9"/>
        <v/>
      </c>
      <c r="R105" s="87" t="s">
        <v>644</v>
      </c>
      <c r="S105" s="91"/>
      <c r="T105" s="84"/>
      <c r="U105" s="180">
        <v>104</v>
      </c>
      <c r="V105" s="223">
        <v>20265000026423</v>
      </c>
      <c r="W105" s="91">
        <v>46233</v>
      </c>
      <c r="X105" s="180" t="s">
        <v>589</v>
      </c>
      <c r="Y105" s="86" t="s">
        <v>1351</v>
      </c>
      <c r="Z105" s="180" t="s">
        <v>1353</v>
      </c>
      <c r="AA105" s="224" t="s">
        <v>1355</v>
      </c>
    </row>
    <row r="106" spans="1:27" ht="72" x14ac:dyDescent="0.3">
      <c r="A106" s="77" t="s">
        <v>180</v>
      </c>
      <c r="B106" s="98" t="s">
        <v>399</v>
      </c>
      <c r="C106" s="45" t="s">
        <v>409</v>
      </c>
      <c r="D106" s="45"/>
      <c r="E106" s="101"/>
      <c r="F106" s="120"/>
      <c r="G106" s="47" t="s">
        <v>118</v>
      </c>
      <c r="H106" s="90"/>
      <c r="I106" s="90"/>
      <c r="J106" s="105"/>
      <c r="K106" s="119" t="s">
        <v>168</v>
      </c>
      <c r="L106" s="37" t="s">
        <v>171</v>
      </c>
      <c r="M106" s="83" t="str">
        <f t="shared" ca="1" si="5"/>
        <v/>
      </c>
      <c r="N106" s="37" t="str">
        <f t="shared" ca="1" si="6"/>
        <v/>
      </c>
      <c r="O106" s="84" t="str">
        <f t="shared" ca="1" si="7"/>
        <v/>
      </c>
      <c r="P106" s="84" t="str">
        <f t="shared" ca="1" si="8"/>
        <v/>
      </c>
      <c r="Q106" s="84" t="str">
        <f t="shared" ca="1" si="9"/>
        <v/>
      </c>
      <c r="R106" s="86" t="s">
        <v>647</v>
      </c>
      <c r="S106" s="91"/>
      <c r="T106" s="84"/>
      <c r="U106" s="180">
        <v>105</v>
      </c>
      <c r="V106" s="180"/>
      <c r="W106" s="180"/>
      <c r="X106" s="180"/>
      <c r="Y106" s="151"/>
      <c r="Z106" s="180"/>
      <c r="AA106" s="179"/>
    </row>
    <row r="107" spans="1:27" ht="201.6" x14ac:dyDescent="0.3">
      <c r="A107" s="77" t="s">
        <v>180</v>
      </c>
      <c r="B107" s="98" t="s">
        <v>399</v>
      </c>
      <c r="C107" s="45" t="s">
        <v>411</v>
      </c>
      <c r="D107" s="45" t="s">
        <v>519</v>
      </c>
      <c r="E107" s="118" t="s">
        <v>188</v>
      </c>
      <c r="F107" s="47" t="s">
        <v>412</v>
      </c>
      <c r="G107" s="47" t="s">
        <v>413</v>
      </c>
      <c r="H107" s="90">
        <v>46020</v>
      </c>
      <c r="I107" s="90">
        <v>46295</v>
      </c>
      <c r="J107" s="87" t="s">
        <v>414</v>
      </c>
      <c r="K107" s="167" t="s">
        <v>1334</v>
      </c>
      <c r="L107" s="37" t="s">
        <v>201</v>
      </c>
      <c r="M107" s="83">
        <f t="shared" ca="1" si="5"/>
        <v>40</v>
      </c>
      <c r="N107" s="37" t="str">
        <f t="shared" ca="1" si="6"/>
        <v/>
      </c>
      <c r="O107" s="84" t="str">
        <f t="shared" ca="1" si="7"/>
        <v/>
      </c>
      <c r="P107" s="84" t="str">
        <f t="shared" ca="1" si="8"/>
        <v/>
      </c>
      <c r="Q107" s="84" t="str">
        <f t="shared" ca="1" si="9"/>
        <v/>
      </c>
      <c r="R107" s="87" t="s">
        <v>648</v>
      </c>
      <c r="S107" s="91"/>
      <c r="T107" s="84"/>
      <c r="U107" s="180">
        <v>106</v>
      </c>
      <c r="V107" s="223">
        <v>20265000026423</v>
      </c>
      <c r="W107" s="91">
        <v>46233</v>
      </c>
      <c r="X107" s="180" t="s">
        <v>589</v>
      </c>
      <c r="Y107" s="86" t="s">
        <v>1351</v>
      </c>
      <c r="Z107" s="180" t="s">
        <v>1353</v>
      </c>
      <c r="AA107" s="224" t="s">
        <v>1355</v>
      </c>
    </row>
    <row r="108" spans="1:27" ht="79.8" x14ac:dyDescent="0.3">
      <c r="A108" s="77" t="s">
        <v>180</v>
      </c>
      <c r="B108" s="98" t="s">
        <v>399</v>
      </c>
      <c r="C108" s="45" t="s">
        <v>411</v>
      </c>
      <c r="D108" s="45"/>
      <c r="E108" s="101"/>
      <c r="F108" s="47" t="s">
        <v>415</v>
      </c>
      <c r="G108" s="47" t="s">
        <v>179</v>
      </c>
      <c r="H108" s="90">
        <v>46020</v>
      </c>
      <c r="I108" s="90">
        <v>46295</v>
      </c>
      <c r="J108" s="87" t="s">
        <v>414</v>
      </c>
      <c r="K108" s="167" t="s">
        <v>1334</v>
      </c>
      <c r="L108" s="37" t="s">
        <v>201</v>
      </c>
      <c r="M108" s="83">
        <f t="shared" ca="1" si="5"/>
        <v>40</v>
      </c>
      <c r="N108" s="37" t="str">
        <f t="shared" ca="1" si="6"/>
        <v/>
      </c>
      <c r="O108" s="84" t="str">
        <f t="shared" ca="1" si="7"/>
        <v/>
      </c>
      <c r="P108" s="84" t="str">
        <f t="shared" ca="1" si="8"/>
        <v/>
      </c>
      <c r="Q108" s="84" t="str">
        <f t="shared" ca="1" si="9"/>
        <v/>
      </c>
      <c r="R108" s="87" t="s">
        <v>644</v>
      </c>
      <c r="S108" s="91"/>
      <c r="T108" s="84"/>
      <c r="U108" s="180">
        <v>107</v>
      </c>
      <c r="V108" s="223">
        <v>20265000026423</v>
      </c>
      <c r="W108" s="91">
        <v>46233</v>
      </c>
      <c r="X108" s="180" t="s">
        <v>589</v>
      </c>
      <c r="Y108" s="86" t="s">
        <v>1351</v>
      </c>
      <c r="Z108" s="180" t="s">
        <v>1353</v>
      </c>
      <c r="AA108" s="224" t="s">
        <v>1355</v>
      </c>
    </row>
    <row r="109" spans="1:27" ht="72" x14ac:dyDescent="0.3">
      <c r="A109" s="77" t="s">
        <v>180</v>
      </c>
      <c r="B109" s="98" t="s">
        <v>399</v>
      </c>
      <c r="C109" s="45" t="s">
        <v>416</v>
      </c>
      <c r="D109" s="45" t="s">
        <v>520</v>
      </c>
      <c r="E109" s="117" t="s">
        <v>280</v>
      </c>
      <c r="F109" s="47" t="s">
        <v>417</v>
      </c>
      <c r="G109" s="47" t="s">
        <v>179</v>
      </c>
      <c r="H109" s="90">
        <v>46020</v>
      </c>
      <c r="I109" s="90">
        <v>46173</v>
      </c>
      <c r="J109" s="105" t="s">
        <v>418</v>
      </c>
      <c r="K109" s="45" t="s">
        <v>869</v>
      </c>
      <c r="L109" s="37" t="s">
        <v>20</v>
      </c>
      <c r="M109" s="83" t="str">
        <f t="shared" ca="1" si="5"/>
        <v/>
      </c>
      <c r="N109" s="37" t="str">
        <f t="shared" ca="1" si="6"/>
        <v/>
      </c>
      <c r="O109" s="84" t="str">
        <f t="shared" ca="1" si="7"/>
        <v/>
      </c>
      <c r="P109" s="84" t="str">
        <f t="shared" ca="1" si="8"/>
        <v/>
      </c>
      <c r="Q109" s="84" t="str">
        <f t="shared" ca="1" si="9"/>
        <v/>
      </c>
      <c r="R109" s="87" t="s">
        <v>644</v>
      </c>
      <c r="S109" s="91">
        <v>46178</v>
      </c>
      <c r="T109" s="84"/>
      <c r="U109" s="180">
        <v>108</v>
      </c>
      <c r="V109" s="180"/>
      <c r="W109" s="180"/>
      <c r="X109" s="180"/>
      <c r="Y109" s="151"/>
      <c r="Z109" s="180"/>
      <c r="AA109" s="179"/>
    </row>
    <row r="110" spans="1:27" ht="72" x14ac:dyDescent="0.3">
      <c r="A110" s="77" t="s">
        <v>180</v>
      </c>
      <c r="B110" s="98" t="s">
        <v>419</v>
      </c>
      <c r="C110" s="45" t="s">
        <v>420</v>
      </c>
      <c r="D110" s="45" t="s">
        <v>421</v>
      </c>
      <c r="E110" s="118" t="s">
        <v>188</v>
      </c>
      <c r="F110" s="47" t="s">
        <v>422</v>
      </c>
      <c r="G110" s="47" t="s">
        <v>17</v>
      </c>
      <c r="H110" s="90">
        <v>45992</v>
      </c>
      <c r="I110" s="90">
        <v>46218</v>
      </c>
      <c r="J110" s="134" t="s">
        <v>423</v>
      </c>
      <c r="K110" s="121"/>
      <c r="L110" s="37" t="s">
        <v>33</v>
      </c>
      <c r="M110" s="83" t="str">
        <f t="shared" ca="1" si="5"/>
        <v/>
      </c>
      <c r="N110" s="37" t="str">
        <f t="shared" ca="1" si="6"/>
        <v/>
      </c>
      <c r="O110" s="84" t="str">
        <f t="shared" ca="1" si="7"/>
        <v/>
      </c>
      <c r="P110" s="84" t="str">
        <f t="shared" ca="1" si="8"/>
        <v/>
      </c>
      <c r="Q110" s="84" t="str">
        <f t="shared" ca="1" si="9"/>
        <v/>
      </c>
      <c r="R110" s="131" t="s">
        <v>641</v>
      </c>
      <c r="S110" s="132"/>
      <c r="T110" s="187" t="s">
        <v>667</v>
      </c>
      <c r="U110" s="180">
        <v>109</v>
      </c>
      <c r="V110" s="180"/>
      <c r="W110" s="180"/>
      <c r="X110" s="180"/>
      <c r="Y110" s="151"/>
      <c r="Z110" s="180"/>
      <c r="AA110" s="179"/>
    </row>
    <row r="111" spans="1:27" ht="72" x14ac:dyDescent="0.3">
      <c r="A111" s="77" t="s">
        <v>180</v>
      </c>
      <c r="B111" s="98" t="s">
        <v>419</v>
      </c>
      <c r="C111" s="45" t="s">
        <v>420</v>
      </c>
      <c r="D111" s="121"/>
      <c r="E111" s="101"/>
      <c r="F111" s="47" t="s">
        <v>424</v>
      </c>
      <c r="G111" s="47" t="s">
        <v>17</v>
      </c>
      <c r="H111" s="90">
        <v>45992</v>
      </c>
      <c r="I111" s="90">
        <v>46218</v>
      </c>
      <c r="J111" s="134" t="s">
        <v>423</v>
      </c>
      <c r="K111" s="121"/>
      <c r="L111" s="37" t="s">
        <v>33</v>
      </c>
      <c r="M111" s="83" t="str">
        <f t="shared" ca="1" si="5"/>
        <v/>
      </c>
      <c r="N111" s="37" t="str">
        <f t="shared" ca="1" si="6"/>
        <v/>
      </c>
      <c r="O111" s="84" t="str">
        <f t="shared" ca="1" si="7"/>
        <v/>
      </c>
      <c r="P111" s="84" t="str">
        <f t="shared" ca="1" si="8"/>
        <v/>
      </c>
      <c r="Q111" s="84" t="str">
        <f t="shared" ca="1" si="9"/>
        <v/>
      </c>
      <c r="R111" s="131" t="s">
        <v>641</v>
      </c>
      <c r="S111" s="132"/>
      <c r="T111" s="187" t="s">
        <v>667</v>
      </c>
      <c r="U111" s="180">
        <v>110</v>
      </c>
      <c r="V111" s="180"/>
      <c r="W111" s="180"/>
      <c r="X111" s="180"/>
      <c r="Y111" s="151"/>
      <c r="Z111" s="180"/>
      <c r="AA111" s="179"/>
    </row>
    <row r="112" spans="1:27" ht="72" x14ac:dyDescent="0.3">
      <c r="A112" s="77" t="s">
        <v>180</v>
      </c>
      <c r="B112" s="98" t="s">
        <v>419</v>
      </c>
      <c r="C112" s="45" t="s">
        <v>420</v>
      </c>
      <c r="D112" s="121"/>
      <c r="E112" s="101"/>
      <c r="F112" s="47" t="s">
        <v>425</v>
      </c>
      <c r="G112" s="47" t="s">
        <v>17</v>
      </c>
      <c r="H112" s="90">
        <v>45992</v>
      </c>
      <c r="I112" s="90">
        <v>46218</v>
      </c>
      <c r="J112" s="134" t="s">
        <v>423</v>
      </c>
      <c r="K112" s="121"/>
      <c r="L112" s="37" t="s">
        <v>33</v>
      </c>
      <c r="M112" s="83" t="str">
        <f t="shared" ca="1" si="5"/>
        <v/>
      </c>
      <c r="N112" s="37" t="str">
        <f t="shared" ca="1" si="6"/>
        <v/>
      </c>
      <c r="O112" s="84" t="str">
        <f t="shared" ca="1" si="7"/>
        <v/>
      </c>
      <c r="P112" s="84" t="str">
        <f t="shared" ca="1" si="8"/>
        <v/>
      </c>
      <c r="Q112" s="84" t="str">
        <f t="shared" ca="1" si="9"/>
        <v/>
      </c>
      <c r="R112" s="131" t="s">
        <v>641</v>
      </c>
      <c r="S112" s="132"/>
      <c r="T112" s="187" t="s">
        <v>667</v>
      </c>
      <c r="U112" s="180">
        <v>111</v>
      </c>
      <c r="V112" s="180"/>
      <c r="W112" s="180"/>
      <c r="X112" s="180"/>
      <c r="Y112" s="151"/>
      <c r="Z112" s="180"/>
      <c r="AA112" s="179"/>
    </row>
    <row r="113" spans="1:27" ht="72" x14ac:dyDescent="0.3">
      <c r="A113" s="77" t="s">
        <v>180</v>
      </c>
      <c r="B113" s="98" t="s">
        <v>419</v>
      </c>
      <c r="C113" s="45" t="s">
        <v>420</v>
      </c>
      <c r="D113" s="121"/>
      <c r="E113" s="101"/>
      <c r="F113" s="47" t="s">
        <v>426</v>
      </c>
      <c r="G113" s="47" t="s">
        <v>17</v>
      </c>
      <c r="H113" s="90">
        <v>45992</v>
      </c>
      <c r="I113" s="90">
        <v>46218</v>
      </c>
      <c r="J113" s="134" t="s">
        <v>423</v>
      </c>
      <c r="K113" s="121"/>
      <c r="L113" s="37" t="s">
        <v>33</v>
      </c>
      <c r="M113" s="83" t="str">
        <f t="shared" ca="1" si="5"/>
        <v/>
      </c>
      <c r="N113" s="37" t="str">
        <f t="shared" ca="1" si="6"/>
        <v/>
      </c>
      <c r="O113" s="84" t="str">
        <f t="shared" ca="1" si="7"/>
        <v/>
      </c>
      <c r="P113" s="84" t="str">
        <f t="shared" ca="1" si="8"/>
        <v/>
      </c>
      <c r="Q113" s="84" t="str">
        <f t="shared" ca="1" si="9"/>
        <v/>
      </c>
      <c r="R113" s="131" t="s">
        <v>641</v>
      </c>
      <c r="S113" s="132"/>
      <c r="T113" s="187" t="s">
        <v>667</v>
      </c>
      <c r="U113" s="180">
        <v>112</v>
      </c>
      <c r="V113" s="180"/>
      <c r="W113" s="180"/>
      <c r="X113" s="180"/>
      <c r="Y113" s="151"/>
      <c r="Z113" s="180"/>
      <c r="AA113" s="179"/>
    </row>
    <row r="114" spans="1:27" ht="72" x14ac:dyDescent="0.3">
      <c r="A114" s="77" t="s">
        <v>180</v>
      </c>
      <c r="B114" s="98" t="s">
        <v>419</v>
      </c>
      <c r="C114" s="45" t="s">
        <v>420</v>
      </c>
      <c r="D114" s="121"/>
      <c r="E114" s="101"/>
      <c r="F114" s="47" t="s">
        <v>427</v>
      </c>
      <c r="G114" s="47" t="s">
        <v>17</v>
      </c>
      <c r="H114" s="90">
        <v>45992</v>
      </c>
      <c r="I114" s="90">
        <v>46218</v>
      </c>
      <c r="J114" s="134" t="s">
        <v>423</v>
      </c>
      <c r="K114" s="121"/>
      <c r="L114" s="37" t="s">
        <v>33</v>
      </c>
      <c r="M114" s="83" t="str">
        <f t="shared" ca="1" si="5"/>
        <v/>
      </c>
      <c r="N114" s="37" t="str">
        <f t="shared" ca="1" si="6"/>
        <v/>
      </c>
      <c r="O114" s="84" t="str">
        <f t="shared" ca="1" si="7"/>
        <v/>
      </c>
      <c r="P114" s="84" t="str">
        <f t="shared" ca="1" si="8"/>
        <v/>
      </c>
      <c r="Q114" s="84" t="str">
        <f t="shared" ca="1" si="9"/>
        <v/>
      </c>
      <c r="R114" s="131" t="s">
        <v>641</v>
      </c>
      <c r="S114" s="132"/>
      <c r="T114" s="187" t="s">
        <v>667</v>
      </c>
      <c r="U114" s="180">
        <v>113</v>
      </c>
      <c r="V114" s="180"/>
      <c r="W114" s="180"/>
      <c r="X114" s="180"/>
      <c r="Y114" s="151"/>
      <c r="Z114" s="180"/>
      <c r="AA114" s="179"/>
    </row>
    <row r="115" spans="1:27" ht="72" x14ac:dyDescent="0.3">
      <c r="A115" s="77" t="s">
        <v>180</v>
      </c>
      <c r="B115" s="98" t="s">
        <v>419</v>
      </c>
      <c r="C115" s="45" t="s">
        <v>420</v>
      </c>
      <c r="D115" s="121"/>
      <c r="E115" s="101"/>
      <c r="F115" s="47" t="s">
        <v>428</v>
      </c>
      <c r="G115" s="47" t="s">
        <v>17</v>
      </c>
      <c r="H115" s="90">
        <v>45992</v>
      </c>
      <c r="I115" s="90">
        <v>46218</v>
      </c>
      <c r="J115" s="134" t="s">
        <v>423</v>
      </c>
      <c r="K115" s="121"/>
      <c r="L115" s="37" t="s">
        <v>33</v>
      </c>
      <c r="M115" s="83" t="str">
        <f t="shared" ca="1" si="5"/>
        <v/>
      </c>
      <c r="N115" s="37" t="str">
        <f t="shared" ca="1" si="6"/>
        <v/>
      </c>
      <c r="O115" s="84" t="str">
        <f t="shared" ca="1" si="7"/>
        <v/>
      </c>
      <c r="P115" s="84" t="str">
        <f t="shared" ca="1" si="8"/>
        <v/>
      </c>
      <c r="Q115" s="84" t="str">
        <f t="shared" ca="1" si="9"/>
        <v/>
      </c>
      <c r="R115" s="131" t="s">
        <v>641</v>
      </c>
      <c r="S115" s="132"/>
      <c r="T115" s="187" t="s">
        <v>667</v>
      </c>
      <c r="U115" s="180">
        <v>114</v>
      </c>
      <c r="V115" s="180"/>
      <c r="W115" s="180"/>
      <c r="X115" s="180"/>
      <c r="Y115" s="151"/>
      <c r="Z115" s="180"/>
      <c r="AA115" s="179"/>
    </row>
    <row r="116" spans="1:27" ht="183" customHeight="1" x14ac:dyDescent="0.3">
      <c r="A116" s="77" t="s">
        <v>180</v>
      </c>
      <c r="B116" s="98" t="s">
        <v>419</v>
      </c>
      <c r="C116" s="45" t="s">
        <v>429</v>
      </c>
      <c r="D116" s="45" t="s">
        <v>430</v>
      </c>
      <c r="E116" s="118" t="s">
        <v>188</v>
      </c>
      <c r="F116" s="47" t="s">
        <v>431</v>
      </c>
      <c r="G116" s="47" t="s">
        <v>534</v>
      </c>
      <c r="H116" s="90">
        <v>45992</v>
      </c>
      <c r="I116" s="90">
        <v>46142</v>
      </c>
      <c r="J116" s="134" t="s">
        <v>432</v>
      </c>
      <c r="K116" s="121"/>
      <c r="L116" s="37" t="s">
        <v>33</v>
      </c>
      <c r="M116" s="83" t="str">
        <f t="shared" ca="1" si="5"/>
        <v/>
      </c>
      <c r="N116" s="37" t="str">
        <f t="shared" ca="1" si="6"/>
        <v/>
      </c>
      <c r="O116" s="84" t="str">
        <f t="shared" ca="1" si="7"/>
        <v/>
      </c>
      <c r="P116" s="84" t="str">
        <f t="shared" ca="1" si="8"/>
        <v/>
      </c>
      <c r="Q116" s="84" t="str">
        <f t="shared" ca="1" si="9"/>
        <v/>
      </c>
      <c r="R116" s="131" t="s">
        <v>633</v>
      </c>
      <c r="S116" s="132"/>
      <c r="T116" s="187" t="s">
        <v>667</v>
      </c>
      <c r="U116" s="180">
        <v>115</v>
      </c>
      <c r="V116" s="180"/>
      <c r="W116" s="180"/>
      <c r="X116" s="180"/>
      <c r="Y116" s="151"/>
      <c r="Z116" s="180"/>
      <c r="AA116" s="179"/>
    </row>
    <row r="117" spans="1:27" ht="72" x14ac:dyDescent="0.3">
      <c r="A117" s="77" t="s">
        <v>180</v>
      </c>
      <c r="B117" s="98" t="s">
        <v>419</v>
      </c>
      <c r="C117" s="45" t="s">
        <v>429</v>
      </c>
      <c r="D117" s="121"/>
      <c r="E117" s="101"/>
      <c r="F117" s="47" t="s">
        <v>433</v>
      </c>
      <c r="G117" s="47" t="s">
        <v>534</v>
      </c>
      <c r="H117" s="90">
        <v>45992</v>
      </c>
      <c r="I117" s="90">
        <v>46142</v>
      </c>
      <c r="J117" s="134" t="s">
        <v>432</v>
      </c>
      <c r="K117" s="121"/>
      <c r="L117" s="37" t="s">
        <v>33</v>
      </c>
      <c r="M117" s="83" t="str">
        <f t="shared" ca="1" si="5"/>
        <v/>
      </c>
      <c r="N117" s="37" t="str">
        <f t="shared" ca="1" si="6"/>
        <v/>
      </c>
      <c r="O117" s="84" t="str">
        <f t="shared" ca="1" si="7"/>
        <v/>
      </c>
      <c r="P117" s="84" t="str">
        <f t="shared" ca="1" si="8"/>
        <v/>
      </c>
      <c r="Q117" s="84" t="str">
        <f t="shared" ca="1" si="9"/>
        <v/>
      </c>
      <c r="R117" s="131" t="s">
        <v>633</v>
      </c>
      <c r="S117" s="132"/>
      <c r="T117" s="187" t="s">
        <v>667</v>
      </c>
      <c r="U117" s="180">
        <v>116</v>
      </c>
      <c r="V117" s="180"/>
      <c r="W117" s="180"/>
      <c r="X117" s="180"/>
      <c r="Y117" s="151"/>
      <c r="Z117" s="180"/>
      <c r="AA117" s="179"/>
    </row>
    <row r="118" spans="1:27" ht="72" x14ac:dyDescent="0.3">
      <c r="A118" s="77" t="s">
        <v>180</v>
      </c>
      <c r="B118" s="98" t="s">
        <v>419</v>
      </c>
      <c r="C118" s="45" t="s">
        <v>429</v>
      </c>
      <c r="D118" s="121"/>
      <c r="E118" s="101"/>
      <c r="F118" s="47" t="s">
        <v>434</v>
      </c>
      <c r="G118" s="47" t="s">
        <v>534</v>
      </c>
      <c r="H118" s="90">
        <v>45992</v>
      </c>
      <c r="I118" s="90">
        <v>46142</v>
      </c>
      <c r="J118" s="134" t="s">
        <v>432</v>
      </c>
      <c r="K118" s="121"/>
      <c r="L118" s="37" t="s">
        <v>33</v>
      </c>
      <c r="M118" s="83" t="str">
        <f t="shared" ca="1" si="5"/>
        <v/>
      </c>
      <c r="N118" s="37" t="str">
        <f t="shared" ca="1" si="6"/>
        <v/>
      </c>
      <c r="O118" s="84" t="str">
        <f t="shared" ca="1" si="7"/>
        <v/>
      </c>
      <c r="P118" s="84" t="str">
        <f t="shared" ca="1" si="8"/>
        <v/>
      </c>
      <c r="Q118" s="84" t="str">
        <f t="shared" ca="1" si="9"/>
        <v/>
      </c>
      <c r="R118" s="131" t="s">
        <v>633</v>
      </c>
      <c r="S118" s="132"/>
      <c r="T118" s="187" t="s">
        <v>667</v>
      </c>
      <c r="U118" s="180">
        <v>117</v>
      </c>
      <c r="V118" s="180"/>
      <c r="W118" s="180"/>
      <c r="X118" s="180"/>
      <c r="Y118" s="151"/>
      <c r="Z118" s="180"/>
      <c r="AA118" s="179"/>
    </row>
    <row r="119" spans="1:27" ht="72" x14ac:dyDescent="0.3">
      <c r="A119" s="77" t="s">
        <v>180</v>
      </c>
      <c r="B119" s="98" t="s">
        <v>419</v>
      </c>
      <c r="C119" s="45" t="s">
        <v>429</v>
      </c>
      <c r="D119" s="121"/>
      <c r="E119" s="101"/>
      <c r="F119" s="47" t="s">
        <v>435</v>
      </c>
      <c r="G119" s="47" t="s">
        <v>534</v>
      </c>
      <c r="H119" s="90">
        <v>45992</v>
      </c>
      <c r="I119" s="90">
        <v>46142</v>
      </c>
      <c r="J119" s="134" t="s">
        <v>432</v>
      </c>
      <c r="K119" s="121"/>
      <c r="L119" s="37" t="s">
        <v>33</v>
      </c>
      <c r="M119" s="83" t="str">
        <f t="shared" ca="1" si="5"/>
        <v/>
      </c>
      <c r="N119" s="37" t="str">
        <f t="shared" ca="1" si="6"/>
        <v/>
      </c>
      <c r="O119" s="84" t="str">
        <f t="shared" ca="1" si="7"/>
        <v/>
      </c>
      <c r="P119" s="84" t="str">
        <f t="shared" ca="1" si="8"/>
        <v/>
      </c>
      <c r="Q119" s="84" t="str">
        <f t="shared" ca="1" si="9"/>
        <v/>
      </c>
      <c r="R119" s="131" t="s">
        <v>633</v>
      </c>
      <c r="S119" s="132"/>
      <c r="T119" s="187" t="s">
        <v>667</v>
      </c>
      <c r="U119" s="180">
        <v>118</v>
      </c>
      <c r="V119" s="180"/>
      <c r="W119" s="180"/>
      <c r="X119" s="180"/>
      <c r="Y119" s="151"/>
      <c r="Z119" s="180"/>
      <c r="AA119" s="179"/>
    </row>
    <row r="120" spans="1:27" ht="126" x14ac:dyDescent="0.3">
      <c r="A120" s="77" t="s">
        <v>180</v>
      </c>
      <c r="B120" s="98" t="s">
        <v>419</v>
      </c>
      <c r="C120" s="45" t="s">
        <v>436</v>
      </c>
      <c r="D120" s="45" t="s">
        <v>521</v>
      </c>
      <c r="E120" s="118" t="s">
        <v>188</v>
      </c>
      <c r="F120" s="47" t="s">
        <v>437</v>
      </c>
      <c r="G120" s="47" t="s">
        <v>115</v>
      </c>
      <c r="H120" s="90">
        <v>45996</v>
      </c>
      <c r="I120" s="90">
        <v>46386</v>
      </c>
      <c r="J120" s="134" t="s">
        <v>438</v>
      </c>
      <c r="K120" s="121"/>
      <c r="L120" s="37" t="s">
        <v>201</v>
      </c>
      <c r="M120" s="83">
        <f t="shared" ca="1" si="5"/>
        <v>131</v>
      </c>
      <c r="N120" s="37" t="str">
        <f t="shared" ca="1" si="6"/>
        <v/>
      </c>
      <c r="O120" s="84" t="str">
        <f t="shared" ca="1" si="7"/>
        <v/>
      </c>
      <c r="P120" s="84" t="str">
        <f t="shared" ca="1" si="8"/>
        <v/>
      </c>
      <c r="Q120" s="84" t="str">
        <f t="shared" ca="1" si="9"/>
        <v/>
      </c>
      <c r="R120" s="131" t="s">
        <v>632</v>
      </c>
      <c r="S120" s="132"/>
      <c r="T120" s="187" t="s">
        <v>667</v>
      </c>
      <c r="U120" s="180">
        <v>119</v>
      </c>
      <c r="V120" s="180"/>
      <c r="W120" s="180"/>
      <c r="X120" s="180"/>
      <c r="Y120" s="151"/>
      <c r="Z120" s="180"/>
      <c r="AA120" s="179"/>
    </row>
    <row r="121" spans="1:27" ht="43.2" x14ac:dyDescent="0.3">
      <c r="A121" s="77" t="s">
        <v>180</v>
      </c>
      <c r="B121" s="98" t="s">
        <v>419</v>
      </c>
      <c r="C121" s="45" t="s">
        <v>436</v>
      </c>
      <c r="D121" s="121"/>
      <c r="E121" s="101"/>
      <c r="F121" s="47" t="s">
        <v>439</v>
      </c>
      <c r="G121" s="47" t="s">
        <v>115</v>
      </c>
      <c r="H121" s="90">
        <v>45996</v>
      </c>
      <c r="I121" s="90">
        <v>46386</v>
      </c>
      <c r="J121" s="134" t="s">
        <v>438</v>
      </c>
      <c r="K121" s="121"/>
      <c r="L121" s="37" t="s">
        <v>201</v>
      </c>
      <c r="M121" s="83">
        <f t="shared" ca="1" si="5"/>
        <v>131</v>
      </c>
      <c r="N121" s="37" t="str">
        <f t="shared" ca="1" si="6"/>
        <v/>
      </c>
      <c r="O121" s="84" t="str">
        <f t="shared" ca="1" si="7"/>
        <v/>
      </c>
      <c r="P121" s="84" t="str">
        <f t="shared" ca="1" si="8"/>
        <v/>
      </c>
      <c r="Q121" s="84" t="str">
        <f t="shared" ca="1" si="9"/>
        <v/>
      </c>
      <c r="R121" s="131" t="s">
        <v>632</v>
      </c>
      <c r="S121" s="132"/>
      <c r="T121" s="187" t="s">
        <v>667</v>
      </c>
      <c r="U121" s="180">
        <v>120</v>
      </c>
      <c r="V121" s="180"/>
      <c r="W121" s="180"/>
      <c r="X121" s="180"/>
      <c r="Y121" s="151"/>
      <c r="Z121" s="180"/>
      <c r="AA121" s="179"/>
    </row>
    <row r="122" spans="1:27" ht="43.2" x14ac:dyDescent="0.3">
      <c r="A122" s="77" t="s">
        <v>180</v>
      </c>
      <c r="B122" s="98" t="s">
        <v>419</v>
      </c>
      <c r="C122" s="45" t="s">
        <v>436</v>
      </c>
      <c r="D122" s="121"/>
      <c r="E122" s="101"/>
      <c r="F122" s="47" t="s">
        <v>440</v>
      </c>
      <c r="G122" s="47" t="s">
        <v>115</v>
      </c>
      <c r="H122" s="90">
        <v>45996</v>
      </c>
      <c r="I122" s="90">
        <v>46386</v>
      </c>
      <c r="J122" s="134" t="s">
        <v>438</v>
      </c>
      <c r="K122" s="121"/>
      <c r="L122" s="37" t="s">
        <v>201</v>
      </c>
      <c r="M122" s="83">
        <f t="shared" ca="1" si="5"/>
        <v>131</v>
      </c>
      <c r="N122" s="37" t="str">
        <f t="shared" ca="1" si="6"/>
        <v/>
      </c>
      <c r="O122" s="84" t="str">
        <f t="shared" ca="1" si="7"/>
        <v/>
      </c>
      <c r="P122" s="84" t="str">
        <f t="shared" ca="1" si="8"/>
        <v/>
      </c>
      <c r="Q122" s="84" t="str">
        <f t="shared" ca="1" si="9"/>
        <v/>
      </c>
      <c r="R122" s="131" t="s">
        <v>632</v>
      </c>
      <c r="S122" s="132"/>
      <c r="T122" s="187" t="s">
        <v>667</v>
      </c>
      <c r="U122" s="180">
        <v>121</v>
      </c>
      <c r="V122" s="180"/>
      <c r="W122" s="180"/>
      <c r="X122" s="180"/>
      <c r="Y122" s="151"/>
      <c r="Z122" s="180"/>
      <c r="AA122" s="179"/>
    </row>
    <row r="123" spans="1:27" ht="43.2" x14ac:dyDescent="0.3">
      <c r="A123" s="77" t="s">
        <v>180</v>
      </c>
      <c r="B123" s="98" t="s">
        <v>419</v>
      </c>
      <c r="C123" s="45" t="s">
        <v>436</v>
      </c>
      <c r="D123" s="121"/>
      <c r="E123" s="101"/>
      <c r="F123" s="47" t="s">
        <v>441</v>
      </c>
      <c r="G123" s="47" t="s">
        <v>115</v>
      </c>
      <c r="H123" s="90">
        <v>45996</v>
      </c>
      <c r="I123" s="90">
        <v>46386</v>
      </c>
      <c r="J123" s="134" t="s">
        <v>438</v>
      </c>
      <c r="K123" s="121"/>
      <c r="L123" s="37" t="s">
        <v>201</v>
      </c>
      <c r="M123" s="83">
        <f t="shared" ca="1" si="5"/>
        <v>131</v>
      </c>
      <c r="N123" s="37" t="str">
        <f t="shared" ca="1" si="6"/>
        <v/>
      </c>
      <c r="O123" s="84" t="str">
        <f t="shared" ca="1" si="7"/>
        <v/>
      </c>
      <c r="P123" s="84" t="str">
        <f t="shared" ca="1" si="8"/>
        <v/>
      </c>
      <c r="Q123" s="84" t="str">
        <f t="shared" ca="1" si="9"/>
        <v/>
      </c>
      <c r="R123" s="131" t="s">
        <v>632</v>
      </c>
      <c r="S123" s="132"/>
      <c r="T123" s="187" t="s">
        <v>667</v>
      </c>
      <c r="U123" s="180">
        <v>122</v>
      </c>
      <c r="V123" s="180"/>
      <c r="W123" s="180"/>
      <c r="X123" s="180"/>
      <c r="Y123" s="151"/>
      <c r="Z123" s="180"/>
      <c r="AA123" s="179"/>
    </row>
    <row r="124" spans="1:27" ht="45.6" x14ac:dyDescent="0.3">
      <c r="A124" s="77" t="s">
        <v>180</v>
      </c>
      <c r="B124" s="98" t="s">
        <v>419</v>
      </c>
      <c r="C124" s="45" t="s">
        <v>436</v>
      </c>
      <c r="D124" s="121"/>
      <c r="E124" s="101"/>
      <c r="F124" s="47" t="s">
        <v>442</v>
      </c>
      <c r="G124" s="47" t="s">
        <v>115</v>
      </c>
      <c r="H124" s="90">
        <v>45996</v>
      </c>
      <c r="I124" s="90">
        <v>46386</v>
      </c>
      <c r="J124" s="134" t="s">
        <v>438</v>
      </c>
      <c r="K124" s="121"/>
      <c r="L124" s="37" t="s">
        <v>201</v>
      </c>
      <c r="M124" s="83">
        <f t="shared" ca="1" si="5"/>
        <v>131</v>
      </c>
      <c r="N124" s="37" t="str">
        <f t="shared" ca="1" si="6"/>
        <v/>
      </c>
      <c r="O124" s="84" t="str">
        <f t="shared" ca="1" si="7"/>
        <v/>
      </c>
      <c r="P124" s="84" t="str">
        <f t="shared" ca="1" si="8"/>
        <v/>
      </c>
      <c r="Q124" s="84" t="str">
        <f t="shared" ca="1" si="9"/>
        <v/>
      </c>
      <c r="R124" s="131" t="s">
        <v>632</v>
      </c>
      <c r="S124" s="132"/>
      <c r="T124" s="187" t="s">
        <v>667</v>
      </c>
      <c r="U124" s="180">
        <v>123</v>
      </c>
      <c r="V124" s="180"/>
      <c r="W124" s="180"/>
      <c r="X124" s="180"/>
      <c r="Y124" s="151"/>
      <c r="Z124" s="180"/>
      <c r="AA124" s="179"/>
    </row>
    <row r="125" spans="1:27" ht="114.6" x14ac:dyDescent="0.3">
      <c r="A125" s="77" t="s">
        <v>180</v>
      </c>
      <c r="B125" s="98" t="s">
        <v>419</v>
      </c>
      <c r="C125" s="45" t="s">
        <v>443</v>
      </c>
      <c r="D125" s="45" t="s">
        <v>522</v>
      </c>
      <c r="E125" s="118" t="s">
        <v>188</v>
      </c>
      <c r="F125" s="47" t="s">
        <v>444</v>
      </c>
      <c r="G125" s="47" t="s">
        <v>445</v>
      </c>
      <c r="H125" s="90">
        <v>45992</v>
      </c>
      <c r="I125" s="90" t="s">
        <v>1274</v>
      </c>
      <c r="J125" s="134" t="s">
        <v>446</v>
      </c>
      <c r="K125" s="121" t="s">
        <v>1278</v>
      </c>
      <c r="L125" s="37" t="s">
        <v>33</v>
      </c>
      <c r="M125" s="83" t="str">
        <f t="shared" ca="1" si="5"/>
        <v/>
      </c>
      <c r="N125" s="37" t="str">
        <f t="shared" ca="1" si="6"/>
        <v/>
      </c>
      <c r="O125" s="84" t="str">
        <f t="shared" ca="1" si="7"/>
        <v/>
      </c>
      <c r="P125" s="84" t="str">
        <f t="shared" ca="1" si="8"/>
        <v/>
      </c>
      <c r="Q125" s="84" t="str">
        <f t="shared" ca="1" si="9"/>
        <v/>
      </c>
      <c r="R125" s="131" t="s">
        <v>642</v>
      </c>
      <c r="S125" s="132"/>
      <c r="T125" s="187" t="s">
        <v>667</v>
      </c>
      <c r="U125" s="180">
        <v>124</v>
      </c>
      <c r="V125" s="180"/>
      <c r="W125" s="180"/>
      <c r="X125" s="180"/>
      <c r="Y125" s="151"/>
      <c r="Z125" s="180"/>
      <c r="AA125" s="179"/>
    </row>
    <row r="126" spans="1:27" ht="72" x14ac:dyDescent="0.3">
      <c r="A126" s="77" t="s">
        <v>180</v>
      </c>
      <c r="B126" s="98" t="s">
        <v>419</v>
      </c>
      <c r="C126" s="45" t="s">
        <v>443</v>
      </c>
      <c r="D126" s="121"/>
      <c r="E126" s="101"/>
      <c r="F126" s="47" t="s">
        <v>447</v>
      </c>
      <c r="G126" s="47" t="s">
        <v>445</v>
      </c>
      <c r="H126" s="90">
        <v>45992</v>
      </c>
      <c r="I126" s="90">
        <v>46142</v>
      </c>
      <c r="J126" s="134" t="s">
        <v>446</v>
      </c>
      <c r="K126" s="121"/>
      <c r="L126" s="37" t="s">
        <v>33</v>
      </c>
      <c r="M126" s="83" t="str">
        <f t="shared" ca="1" si="5"/>
        <v/>
      </c>
      <c r="N126" s="37" t="str">
        <f t="shared" ca="1" si="6"/>
        <v/>
      </c>
      <c r="O126" s="84" t="str">
        <f t="shared" ca="1" si="7"/>
        <v/>
      </c>
      <c r="P126" s="84" t="str">
        <f t="shared" ca="1" si="8"/>
        <v/>
      </c>
      <c r="Q126" s="84" t="str">
        <f t="shared" ca="1" si="9"/>
        <v/>
      </c>
      <c r="R126" s="131" t="s">
        <v>643</v>
      </c>
      <c r="S126" s="132"/>
      <c r="T126" s="187" t="s">
        <v>667</v>
      </c>
      <c r="U126" s="180">
        <v>125</v>
      </c>
      <c r="V126" s="180"/>
      <c r="W126" s="180"/>
      <c r="X126" s="180"/>
      <c r="Y126" s="151"/>
      <c r="Z126" s="180"/>
      <c r="AA126" s="179"/>
    </row>
    <row r="127" spans="1:27" ht="72" x14ac:dyDescent="0.3">
      <c r="A127" s="77" t="s">
        <v>180</v>
      </c>
      <c r="B127" s="98" t="s">
        <v>419</v>
      </c>
      <c r="C127" s="45" t="s">
        <v>443</v>
      </c>
      <c r="D127" s="121"/>
      <c r="E127" s="101"/>
      <c r="F127" s="47" t="s">
        <v>448</v>
      </c>
      <c r="G127" s="47" t="s">
        <v>445</v>
      </c>
      <c r="H127" s="90">
        <v>45992</v>
      </c>
      <c r="I127" s="90">
        <v>46142</v>
      </c>
      <c r="J127" s="134" t="s">
        <v>446</v>
      </c>
      <c r="K127" s="121"/>
      <c r="L127" s="37" t="s">
        <v>33</v>
      </c>
      <c r="M127" s="83" t="str">
        <f t="shared" ca="1" si="5"/>
        <v/>
      </c>
      <c r="N127" s="37" t="str">
        <f t="shared" ca="1" si="6"/>
        <v/>
      </c>
      <c r="O127" s="84" t="str">
        <f t="shared" ca="1" si="7"/>
        <v/>
      </c>
      <c r="P127" s="84" t="str">
        <f t="shared" ca="1" si="8"/>
        <v/>
      </c>
      <c r="Q127" s="84" t="str">
        <f t="shared" ca="1" si="9"/>
        <v/>
      </c>
      <c r="R127" s="131" t="s">
        <v>643</v>
      </c>
      <c r="S127" s="132"/>
      <c r="T127" s="187" t="s">
        <v>667</v>
      </c>
      <c r="U127" s="180">
        <v>126</v>
      </c>
      <c r="V127" s="180"/>
      <c r="W127" s="180"/>
      <c r="X127" s="180"/>
      <c r="Y127" s="151"/>
      <c r="Z127" s="180"/>
      <c r="AA127" s="179"/>
    </row>
    <row r="128" spans="1:27" ht="210" customHeight="1" x14ac:dyDescent="0.3">
      <c r="A128" s="77" t="s">
        <v>180</v>
      </c>
      <c r="B128" s="98" t="s">
        <v>449</v>
      </c>
      <c r="C128" s="45" t="s">
        <v>450</v>
      </c>
      <c r="D128" s="45" t="s">
        <v>523</v>
      </c>
      <c r="E128" s="99" t="s">
        <v>254</v>
      </c>
      <c r="F128" s="47" t="s">
        <v>451</v>
      </c>
      <c r="G128" s="47" t="s">
        <v>179</v>
      </c>
      <c r="H128" s="90">
        <v>46051</v>
      </c>
      <c r="I128" s="90">
        <v>46171</v>
      </c>
      <c r="J128" s="131" t="s">
        <v>452</v>
      </c>
      <c r="K128" s="121"/>
      <c r="L128" s="37" t="s">
        <v>33</v>
      </c>
      <c r="M128" s="83" t="str">
        <f t="shared" ca="1" si="5"/>
        <v/>
      </c>
      <c r="N128" s="37" t="str">
        <f t="shared" ca="1" si="6"/>
        <v/>
      </c>
      <c r="O128" s="84" t="str">
        <f t="shared" ca="1" si="7"/>
        <v/>
      </c>
      <c r="P128" s="84" t="str">
        <f t="shared" ca="1" si="8"/>
        <v/>
      </c>
      <c r="Q128" s="84" t="str">
        <f t="shared" ca="1" si="9"/>
        <v/>
      </c>
      <c r="R128" s="131" t="s">
        <v>644</v>
      </c>
      <c r="S128" s="132"/>
      <c r="T128" s="187" t="s">
        <v>667</v>
      </c>
      <c r="U128" s="180">
        <v>127</v>
      </c>
      <c r="V128" s="180"/>
      <c r="W128" s="180"/>
      <c r="X128" s="180"/>
      <c r="Y128" s="151"/>
      <c r="Z128" s="180"/>
      <c r="AA128" s="179"/>
    </row>
    <row r="129" spans="1:27" ht="80.400000000000006" x14ac:dyDescent="0.3">
      <c r="A129" s="77" t="s">
        <v>180</v>
      </c>
      <c r="B129" s="98" t="s">
        <v>449</v>
      </c>
      <c r="C129" s="45" t="s">
        <v>453</v>
      </c>
      <c r="D129" s="45" t="s">
        <v>524</v>
      </c>
      <c r="E129" s="118" t="s">
        <v>188</v>
      </c>
      <c r="F129" s="47" t="s">
        <v>454</v>
      </c>
      <c r="G129" s="47" t="s">
        <v>115</v>
      </c>
      <c r="H129" s="90">
        <v>45697</v>
      </c>
      <c r="I129" s="90">
        <v>45715</v>
      </c>
      <c r="J129" s="134" t="s">
        <v>455</v>
      </c>
      <c r="K129" s="121"/>
      <c r="L129" s="37" t="s">
        <v>20</v>
      </c>
      <c r="M129" s="83" t="str">
        <f t="shared" ca="1" si="5"/>
        <v/>
      </c>
      <c r="N129" s="37" t="str">
        <f t="shared" ca="1" si="6"/>
        <v/>
      </c>
      <c r="O129" s="84" t="str">
        <f t="shared" ca="1" si="7"/>
        <v/>
      </c>
      <c r="P129" s="84" t="str">
        <f t="shared" ca="1" si="8"/>
        <v/>
      </c>
      <c r="Q129" s="84" t="str">
        <f t="shared" ca="1" si="9"/>
        <v/>
      </c>
      <c r="R129" s="190"/>
      <c r="S129" s="132"/>
      <c r="T129" s="187" t="s">
        <v>667</v>
      </c>
      <c r="U129" s="180">
        <v>128</v>
      </c>
      <c r="V129" s="180"/>
      <c r="W129" s="180"/>
      <c r="X129" s="180"/>
      <c r="Y129" s="151"/>
      <c r="Z129" s="180"/>
      <c r="AA129" s="179"/>
    </row>
    <row r="130" spans="1:27" ht="114.6" x14ac:dyDescent="0.3">
      <c r="A130" s="77" t="s">
        <v>180</v>
      </c>
      <c r="B130" s="98" t="s">
        <v>449</v>
      </c>
      <c r="C130" s="45" t="s">
        <v>456</v>
      </c>
      <c r="D130" s="45" t="s">
        <v>525</v>
      </c>
      <c r="E130" s="118" t="s">
        <v>188</v>
      </c>
      <c r="F130" s="47" t="s">
        <v>457</v>
      </c>
      <c r="G130" s="47" t="s">
        <v>115</v>
      </c>
      <c r="H130" s="90">
        <v>45697</v>
      </c>
      <c r="I130" s="90">
        <v>45715</v>
      </c>
      <c r="J130" s="134" t="s">
        <v>458</v>
      </c>
      <c r="K130" s="121"/>
      <c r="L130" s="37" t="s">
        <v>20</v>
      </c>
      <c r="M130" s="83" t="str">
        <f t="shared" ca="1" si="5"/>
        <v/>
      </c>
      <c r="N130" s="37" t="str">
        <f t="shared" ca="1" si="6"/>
        <v/>
      </c>
      <c r="O130" s="84" t="str">
        <f t="shared" ca="1" si="7"/>
        <v/>
      </c>
      <c r="P130" s="84" t="str">
        <f t="shared" ca="1" si="8"/>
        <v/>
      </c>
      <c r="Q130" s="84" t="str">
        <f t="shared" ca="1" si="9"/>
        <v/>
      </c>
      <c r="R130" s="190"/>
      <c r="S130" s="132"/>
      <c r="T130" s="187" t="s">
        <v>667</v>
      </c>
      <c r="U130" s="180">
        <v>129</v>
      </c>
      <c r="V130" s="180"/>
      <c r="W130" s="180"/>
      <c r="X130" s="180"/>
      <c r="Y130" s="151"/>
      <c r="Z130" s="180"/>
      <c r="AA130" s="179"/>
    </row>
    <row r="131" spans="1:27" ht="84.6" customHeight="1" x14ac:dyDescent="0.3">
      <c r="A131" s="77" t="s">
        <v>180</v>
      </c>
      <c r="B131" s="98" t="s">
        <v>449</v>
      </c>
      <c r="C131" s="45" t="s">
        <v>459</v>
      </c>
      <c r="D131" s="121" t="s">
        <v>526</v>
      </c>
      <c r="E131" s="104" t="s">
        <v>280</v>
      </c>
      <c r="F131" s="47" t="s">
        <v>646</v>
      </c>
      <c r="G131" s="47" t="s">
        <v>118</v>
      </c>
      <c r="H131" s="90">
        <v>46118</v>
      </c>
      <c r="I131" s="90">
        <v>46118</v>
      </c>
      <c r="J131" s="131" t="s">
        <v>460</v>
      </c>
      <c r="K131" s="112"/>
      <c r="L131" s="37" t="s">
        <v>20</v>
      </c>
      <c r="M131" s="83" t="str">
        <f t="shared" ref="M131:M165" ca="1" si="10">IF(L131="Abierta", I131-TODAY(), "")</f>
        <v/>
      </c>
      <c r="N131" s="37" t="str">
        <f t="shared" ref="N131:N165" ca="1" si="11">IF(AND(L131="Abierta", M131&lt;&gt;"", M131&lt;=10, M131&gt;5), "🚨 CRÍTICO (10d)", "")</f>
        <v/>
      </c>
      <c r="O131" s="84" t="str">
        <f t="shared" ref="O131:O165" ca="1" si="12">IF(AND(L131="Abierta", M131&lt;&gt;"", M131&lt;=20, M131&gt;10), "⏳ URGENTE (20d)", "")</f>
        <v/>
      </c>
      <c r="P131" s="84" t="str">
        <f t="shared" ref="P131:P165" ca="1" si="13">IF(AND(L131="Abierta", M131&lt;&gt;"", M131&lt;=30, M131&gt;20), "📅 SEGUIMIENTO (30d)", "")</f>
        <v/>
      </c>
      <c r="Q131" s="84" t="str">
        <f t="shared" ref="Q131:Q165" ca="1" si="14">IF(AND(L131="Abierta", M131&lt;&gt;"", M131&lt;=5), "⚠️ INMINENTE (5d)", "")</f>
        <v/>
      </c>
      <c r="R131" s="190"/>
      <c r="S131" s="132">
        <v>46118</v>
      </c>
      <c r="T131" s="187" t="s">
        <v>667</v>
      </c>
      <c r="U131" s="180">
        <v>130</v>
      </c>
      <c r="V131" s="180"/>
      <c r="W131" s="180"/>
      <c r="X131" s="180"/>
      <c r="Y131" s="151"/>
      <c r="Z131" s="180"/>
      <c r="AA131" s="179"/>
    </row>
    <row r="132" spans="1:27" ht="114.6" x14ac:dyDescent="0.3">
      <c r="A132" s="77" t="s">
        <v>180</v>
      </c>
      <c r="B132" s="98" t="s">
        <v>461</v>
      </c>
      <c r="C132" s="45" t="s">
        <v>462</v>
      </c>
      <c r="D132" s="45" t="s">
        <v>527</v>
      </c>
      <c r="E132" s="101"/>
      <c r="F132" s="47" t="s">
        <v>463</v>
      </c>
      <c r="G132" s="47" t="s">
        <v>148</v>
      </c>
      <c r="H132" s="90">
        <v>46044</v>
      </c>
      <c r="I132" s="90">
        <v>46293</v>
      </c>
      <c r="J132" s="122" t="s">
        <v>464</v>
      </c>
      <c r="K132" s="37"/>
      <c r="L132" s="37" t="s">
        <v>201</v>
      </c>
      <c r="M132" s="83">
        <f t="shared" ca="1" si="10"/>
        <v>38</v>
      </c>
      <c r="N132" s="37" t="str">
        <f t="shared" ca="1" si="11"/>
        <v/>
      </c>
      <c r="O132" s="84" t="str">
        <f t="shared" ca="1" si="12"/>
        <v/>
      </c>
      <c r="P132" s="84" t="str">
        <f t="shared" ca="1" si="13"/>
        <v/>
      </c>
      <c r="Q132" s="84" t="str">
        <f t="shared" ca="1" si="14"/>
        <v/>
      </c>
      <c r="R132" s="87" t="s">
        <v>652</v>
      </c>
      <c r="S132" s="91"/>
      <c r="T132" s="180" t="s">
        <v>669</v>
      </c>
      <c r="U132" s="180">
        <v>131</v>
      </c>
      <c r="V132" s="180"/>
      <c r="W132" s="180"/>
      <c r="X132" s="180"/>
      <c r="Y132" s="151"/>
      <c r="Z132" s="180"/>
      <c r="AA132" s="179"/>
    </row>
    <row r="133" spans="1:27" ht="241.2" x14ac:dyDescent="0.3">
      <c r="A133" s="77" t="s">
        <v>180</v>
      </c>
      <c r="B133" s="98" t="s">
        <v>461</v>
      </c>
      <c r="C133" s="45" t="s">
        <v>465</v>
      </c>
      <c r="D133" s="121" t="s">
        <v>528</v>
      </c>
      <c r="E133" s="101"/>
      <c r="F133" s="47" t="s">
        <v>466</v>
      </c>
      <c r="G133" s="47" t="s">
        <v>148</v>
      </c>
      <c r="H133" s="90">
        <v>46044</v>
      </c>
      <c r="I133" s="90">
        <v>46310</v>
      </c>
      <c r="J133" s="105" t="s">
        <v>467</v>
      </c>
      <c r="K133" s="121"/>
      <c r="L133" s="37" t="s">
        <v>201</v>
      </c>
      <c r="M133" s="83">
        <f t="shared" ca="1" si="10"/>
        <v>55</v>
      </c>
      <c r="N133" s="37" t="str">
        <f t="shared" ca="1" si="11"/>
        <v/>
      </c>
      <c r="O133" s="84" t="str">
        <f t="shared" ca="1" si="12"/>
        <v/>
      </c>
      <c r="P133" s="84" t="str">
        <f t="shared" ca="1" si="13"/>
        <v/>
      </c>
      <c r="Q133" s="84" t="str">
        <f t="shared" ca="1" si="14"/>
        <v/>
      </c>
      <c r="R133" s="87" t="s">
        <v>652</v>
      </c>
      <c r="S133" s="91"/>
      <c r="T133" s="180" t="s">
        <v>669</v>
      </c>
      <c r="U133" s="180">
        <v>132</v>
      </c>
      <c r="V133" s="180"/>
      <c r="W133" s="180"/>
      <c r="X133" s="180"/>
      <c r="Y133" s="151"/>
      <c r="Z133" s="180"/>
      <c r="AA133" s="179"/>
    </row>
    <row r="134" spans="1:27" ht="72" x14ac:dyDescent="0.3">
      <c r="A134" s="77" t="s">
        <v>180</v>
      </c>
      <c r="B134" s="98" t="s">
        <v>461</v>
      </c>
      <c r="C134" s="45" t="s">
        <v>465</v>
      </c>
      <c r="D134" s="121"/>
      <c r="E134" s="101"/>
      <c r="F134" s="47" t="s">
        <v>468</v>
      </c>
      <c r="G134" s="47" t="s">
        <v>148</v>
      </c>
      <c r="H134" s="90">
        <v>46044</v>
      </c>
      <c r="I134" s="90">
        <v>46310</v>
      </c>
      <c r="J134" s="105" t="s">
        <v>467</v>
      </c>
      <c r="K134" s="121"/>
      <c r="L134" s="37" t="s">
        <v>201</v>
      </c>
      <c r="M134" s="83">
        <f t="shared" ca="1" si="10"/>
        <v>55</v>
      </c>
      <c r="N134" s="37" t="str">
        <f t="shared" ca="1" si="11"/>
        <v/>
      </c>
      <c r="O134" s="84" t="str">
        <f t="shared" ca="1" si="12"/>
        <v/>
      </c>
      <c r="P134" s="84" t="str">
        <f t="shared" ca="1" si="13"/>
        <v/>
      </c>
      <c r="Q134" s="84" t="str">
        <f t="shared" ca="1" si="14"/>
        <v/>
      </c>
      <c r="R134" s="87" t="s">
        <v>652</v>
      </c>
      <c r="S134" s="91"/>
      <c r="T134" s="180" t="s">
        <v>669</v>
      </c>
      <c r="U134" s="180">
        <v>133</v>
      </c>
      <c r="V134" s="180"/>
      <c r="W134" s="180"/>
      <c r="X134" s="180"/>
      <c r="Y134" s="151"/>
      <c r="Z134" s="180"/>
      <c r="AA134" s="179"/>
    </row>
    <row r="135" spans="1:27" ht="72" x14ac:dyDescent="0.3">
      <c r="A135" s="77" t="s">
        <v>180</v>
      </c>
      <c r="B135" s="98" t="s">
        <v>461</v>
      </c>
      <c r="C135" s="45" t="s">
        <v>465</v>
      </c>
      <c r="D135" s="121"/>
      <c r="E135" s="101"/>
      <c r="F135" s="47" t="s">
        <v>469</v>
      </c>
      <c r="G135" s="47" t="s">
        <v>148</v>
      </c>
      <c r="H135" s="90">
        <v>46044</v>
      </c>
      <c r="I135" s="90">
        <v>46310</v>
      </c>
      <c r="J135" s="105" t="s">
        <v>467</v>
      </c>
      <c r="K135" s="121"/>
      <c r="L135" s="37" t="s">
        <v>201</v>
      </c>
      <c r="M135" s="83">
        <f t="shared" ca="1" si="10"/>
        <v>55</v>
      </c>
      <c r="N135" s="37" t="str">
        <f t="shared" ca="1" si="11"/>
        <v/>
      </c>
      <c r="O135" s="84" t="str">
        <f t="shared" ca="1" si="12"/>
        <v/>
      </c>
      <c r="P135" s="84" t="str">
        <f t="shared" ca="1" si="13"/>
        <v/>
      </c>
      <c r="Q135" s="84" t="str">
        <f t="shared" ca="1" si="14"/>
        <v/>
      </c>
      <c r="R135" s="87" t="s">
        <v>652</v>
      </c>
      <c r="S135" s="91"/>
      <c r="T135" s="180" t="s">
        <v>669</v>
      </c>
      <c r="U135" s="180">
        <v>134</v>
      </c>
      <c r="V135" s="180"/>
      <c r="W135" s="180"/>
      <c r="X135" s="180"/>
      <c r="Y135" s="151"/>
      <c r="Z135" s="180"/>
      <c r="AA135" s="179"/>
    </row>
    <row r="136" spans="1:27" ht="72" x14ac:dyDescent="0.3">
      <c r="A136" s="77" t="s">
        <v>180</v>
      </c>
      <c r="B136" s="98" t="s">
        <v>461</v>
      </c>
      <c r="C136" s="45" t="s">
        <v>465</v>
      </c>
      <c r="D136" s="121"/>
      <c r="E136" s="101"/>
      <c r="F136" s="47" t="s">
        <v>470</v>
      </c>
      <c r="G136" s="47" t="s">
        <v>148</v>
      </c>
      <c r="H136" s="90">
        <v>46044</v>
      </c>
      <c r="I136" s="90">
        <v>46300</v>
      </c>
      <c r="J136" s="105" t="s">
        <v>467</v>
      </c>
      <c r="K136" s="121"/>
      <c r="L136" s="37" t="s">
        <v>201</v>
      </c>
      <c r="M136" s="83">
        <f t="shared" ca="1" si="10"/>
        <v>45</v>
      </c>
      <c r="N136" s="37" t="str">
        <f t="shared" ca="1" si="11"/>
        <v/>
      </c>
      <c r="O136" s="84" t="str">
        <f t="shared" ca="1" si="12"/>
        <v/>
      </c>
      <c r="P136" s="84" t="str">
        <f t="shared" ca="1" si="13"/>
        <v/>
      </c>
      <c r="Q136" s="84" t="str">
        <f t="shared" ca="1" si="14"/>
        <v/>
      </c>
      <c r="R136" s="87" t="s">
        <v>652</v>
      </c>
      <c r="S136" s="91"/>
      <c r="T136" s="180" t="s">
        <v>669</v>
      </c>
      <c r="U136" s="180">
        <v>135</v>
      </c>
      <c r="V136" s="180"/>
      <c r="W136" s="180"/>
      <c r="X136" s="180"/>
      <c r="Y136" s="151"/>
      <c r="Z136" s="180"/>
      <c r="AA136" s="179"/>
    </row>
    <row r="137" spans="1:27" ht="229.8" x14ac:dyDescent="0.3">
      <c r="A137" s="77" t="s">
        <v>180</v>
      </c>
      <c r="B137" s="98" t="s">
        <v>471</v>
      </c>
      <c r="C137" s="45" t="s">
        <v>450</v>
      </c>
      <c r="D137" s="121" t="s">
        <v>529</v>
      </c>
      <c r="E137" s="118" t="s">
        <v>188</v>
      </c>
      <c r="F137" s="47" t="s">
        <v>472</v>
      </c>
      <c r="G137" s="77" t="s">
        <v>179</v>
      </c>
      <c r="H137" s="90">
        <v>46051</v>
      </c>
      <c r="I137" s="90">
        <v>46171</v>
      </c>
      <c r="J137" s="131" t="s">
        <v>473</v>
      </c>
      <c r="K137" s="77"/>
      <c r="L137" s="37" t="s">
        <v>33</v>
      </c>
      <c r="M137" s="83" t="str">
        <f t="shared" ca="1" si="10"/>
        <v/>
      </c>
      <c r="N137" s="37" t="str">
        <f t="shared" ca="1" si="11"/>
        <v/>
      </c>
      <c r="O137" s="84" t="str">
        <f t="shared" ca="1" si="12"/>
        <v/>
      </c>
      <c r="P137" s="84" t="str">
        <f t="shared" ca="1" si="13"/>
        <v/>
      </c>
      <c r="Q137" s="84" t="str">
        <f t="shared" ca="1" si="14"/>
        <v/>
      </c>
      <c r="R137" s="131" t="s">
        <v>644</v>
      </c>
      <c r="S137" s="132"/>
      <c r="T137" s="187" t="s">
        <v>667</v>
      </c>
      <c r="U137" s="180">
        <v>136</v>
      </c>
      <c r="V137" s="180"/>
      <c r="W137" s="180"/>
      <c r="X137" s="180"/>
      <c r="Y137" s="151"/>
      <c r="Z137" s="180"/>
      <c r="AA137" s="179"/>
    </row>
    <row r="138" spans="1:27" ht="72" x14ac:dyDescent="0.3">
      <c r="A138" s="77" t="s">
        <v>180</v>
      </c>
      <c r="B138" s="78" t="s">
        <v>471</v>
      </c>
      <c r="C138" s="45" t="s">
        <v>450</v>
      </c>
      <c r="D138" s="77"/>
      <c r="E138" s="101"/>
      <c r="F138" s="77" t="s">
        <v>474</v>
      </c>
      <c r="G138" s="77" t="s">
        <v>179</v>
      </c>
      <c r="H138" s="90">
        <v>46051</v>
      </c>
      <c r="I138" s="90">
        <v>46171</v>
      </c>
      <c r="J138" s="131" t="s">
        <v>475</v>
      </c>
      <c r="K138" s="77"/>
      <c r="L138" s="82" t="s">
        <v>33</v>
      </c>
      <c r="M138" s="83" t="str">
        <f t="shared" ca="1" si="10"/>
        <v/>
      </c>
      <c r="N138" s="37" t="str">
        <f t="shared" ca="1" si="11"/>
        <v/>
      </c>
      <c r="O138" s="84" t="str">
        <f t="shared" ca="1" si="12"/>
        <v/>
      </c>
      <c r="P138" s="84" t="str">
        <f t="shared" ca="1" si="13"/>
        <v/>
      </c>
      <c r="Q138" s="84" t="str">
        <f t="shared" ca="1" si="14"/>
        <v/>
      </c>
      <c r="R138" s="191" t="s">
        <v>644</v>
      </c>
      <c r="S138" s="132"/>
      <c r="T138" s="187" t="s">
        <v>667</v>
      </c>
      <c r="U138" s="180">
        <v>137</v>
      </c>
      <c r="V138" s="180"/>
      <c r="W138" s="180"/>
      <c r="X138" s="180"/>
      <c r="Y138" s="151"/>
      <c r="Z138" s="180"/>
      <c r="AA138" s="179"/>
    </row>
    <row r="139" spans="1:27" ht="126" x14ac:dyDescent="0.3">
      <c r="A139" s="77" t="s">
        <v>180</v>
      </c>
      <c r="B139" s="78" t="s">
        <v>471</v>
      </c>
      <c r="C139" s="77" t="s">
        <v>476</v>
      </c>
      <c r="D139" s="77" t="s">
        <v>530</v>
      </c>
      <c r="E139" s="118" t="s">
        <v>188</v>
      </c>
      <c r="F139" s="47" t="s">
        <v>645</v>
      </c>
      <c r="G139" s="77" t="s">
        <v>118</v>
      </c>
      <c r="H139" s="90">
        <v>46108</v>
      </c>
      <c r="I139" s="90">
        <v>46295</v>
      </c>
      <c r="J139" s="131" t="s">
        <v>475</v>
      </c>
      <c r="K139" s="112"/>
      <c r="L139" s="82" t="s">
        <v>201</v>
      </c>
      <c r="M139" s="83">
        <f t="shared" ca="1" si="10"/>
        <v>40</v>
      </c>
      <c r="N139" s="37" t="str">
        <f t="shared" ca="1" si="11"/>
        <v/>
      </c>
      <c r="O139" s="84" t="str">
        <f t="shared" ca="1" si="12"/>
        <v/>
      </c>
      <c r="P139" s="84" t="str">
        <f t="shared" ca="1" si="13"/>
        <v/>
      </c>
      <c r="Q139" s="84" t="str">
        <f t="shared" ca="1" si="14"/>
        <v/>
      </c>
      <c r="R139" s="131" t="s">
        <v>647</v>
      </c>
      <c r="S139" s="132"/>
      <c r="T139" s="187" t="s">
        <v>667</v>
      </c>
      <c r="U139" s="180">
        <v>138</v>
      </c>
      <c r="V139" s="180"/>
      <c r="W139" s="180"/>
      <c r="X139" s="180"/>
      <c r="Y139" s="151"/>
      <c r="Z139" s="180"/>
      <c r="AA139" s="179"/>
    </row>
    <row r="140" spans="1:27" ht="58.8" x14ac:dyDescent="0.3">
      <c r="A140" s="77" t="s">
        <v>180</v>
      </c>
      <c r="B140" s="98" t="s">
        <v>477</v>
      </c>
      <c r="C140" s="45" t="s">
        <v>478</v>
      </c>
      <c r="D140" s="121" t="s">
        <v>479</v>
      </c>
      <c r="E140" s="118" t="s">
        <v>188</v>
      </c>
      <c r="F140" s="47" t="s">
        <v>480</v>
      </c>
      <c r="G140" s="47" t="s">
        <v>190</v>
      </c>
      <c r="H140" s="90">
        <v>45947</v>
      </c>
      <c r="I140" s="90">
        <v>46052</v>
      </c>
      <c r="J140" s="87" t="s">
        <v>481</v>
      </c>
      <c r="K140" s="121"/>
      <c r="L140" s="37" t="s">
        <v>20</v>
      </c>
      <c r="M140" s="83" t="str">
        <f t="shared" ca="1" si="10"/>
        <v/>
      </c>
      <c r="N140" s="37" t="str">
        <f t="shared" ca="1" si="11"/>
        <v/>
      </c>
      <c r="O140" s="84" t="str">
        <f t="shared" ca="1" si="12"/>
        <v/>
      </c>
      <c r="P140" s="84" t="str">
        <f t="shared" ca="1" si="13"/>
        <v/>
      </c>
      <c r="Q140" s="84" t="str">
        <f t="shared" ca="1" si="14"/>
        <v/>
      </c>
      <c r="R140" s="151"/>
      <c r="S140" s="91">
        <v>46052</v>
      </c>
      <c r="T140" s="84"/>
      <c r="U140" s="180">
        <v>139</v>
      </c>
      <c r="V140" s="180"/>
      <c r="W140" s="180"/>
      <c r="X140" s="180"/>
      <c r="Y140" s="151"/>
      <c r="Z140" s="180"/>
      <c r="AA140" s="179"/>
    </row>
    <row r="141" spans="1:27" ht="115.8" x14ac:dyDescent="0.3">
      <c r="A141" s="77" t="s">
        <v>180</v>
      </c>
      <c r="B141" s="98" t="s">
        <v>477</v>
      </c>
      <c r="C141" s="45" t="s">
        <v>482</v>
      </c>
      <c r="D141" s="121" t="s">
        <v>483</v>
      </c>
      <c r="E141" s="118" t="s">
        <v>188</v>
      </c>
      <c r="F141" s="47" t="s">
        <v>484</v>
      </c>
      <c r="G141" s="47" t="s">
        <v>190</v>
      </c>
      <c r="H141" s="90">
        <v>45947</v>
      </c>
      <c r="I141" s="90">
        <v>46052</v>
      </c>
      <c r="J141" s="87" t="s">
        <v>485</v>
      </c>
      <c r="K141" s="121"/>
      <c r="L141" s="37" t="s">
        <v>20</v>
      </c>
      <c r="M141" s="83" t="str">
        <f t="shared" ca="1" si="10"/>
        <v/>
      </c>
      <c r="N141" s="37" t="str">
        <f t="shared" ca="1" si="11"/>
        <v/>
      </c>
      <c r="O141" s="84" t="str">
        <f t="shared" ca="1" si="12"/>
        <v/>
      </c>
      <c r="P141" s="84" t="str">
        <f t="shared" ca="1" si="13"/>
        <v/>
      </c>
      <c r="Q141" s="84" t="str">
        <f t="shared" ca="1" si="14"/>
        <v/>
      </c>
      <c r="R141" s="151"/>
      <c r="S141" s="91">
        <v>46052</v>
      </c>
      <c r="T141" s="84"/>
      <c r="U141" s="180">
        <v>140</v>
      </c>
      <c r="V141" s="180"/>
      <c r="W141" s="180"/>
      <c r="X141" s="180"/>
      <c r="Y141" s="151"/>
      <c r="Z141" s="180"/>
      <c r="AA141" s="179"/>
    </row>
    <row r="142" spans="1:27" ht="100.8" x14ac:dyDescent="0.3">
      <c r="A142" s="77" t="s">
        <v>180</v>
      </c>
      <c r="B142" s="98" t="s">
        <v>486</v>
      </c>
      <c r="C142" s="45" t="s">
        <v>487</v>
      </c>
      <c r="D142" s="121" t="s">
        <v>531</v>
      </c>
      <c r="E142" s="99" t="s">
        <v>254</v>
      </c>
      <c r="F142" s="47" t="s">
        <v>488</v>
      </c>
      <c r="G142" s="47" t="s">
        <v>269</v>
      </c>
      <c r="H142" s="90">
        <v>46084</v>
      </c>
      <c r="I142" s="123">
        <v>46203</v>
      </c>
      <c r="J142" s="87" t="s">
        <v>489</v>
      </c>
      <c r="K142" s="47" t="s">
        <v>1326</v>
      </c>
      <c r="L142" s="37" t="s">
        <v>20</v>
      </c>
      <c r="M142" s="83" t="str">
        <f t="shared" ca="1" si="10"/>
        <v/>
      </c>
      <c r="N142" s="37" t="str">
        <f t="shared" ca="1" si="11"/>
        <v/>
      </c>
      <c r="O142" s="84" t="str">
        <f t="shared" ca="1" si="12"/>
        <v/>
      </c>
      <c r="P142" s="84" t="str">
        <f t="shared" ca="1" si="13"/>
        <v/>
      </c>
      <c r="Q142" s="84" t="str">
        <f t="shared" ca="1" si="14"/>
        <v/>
      </c>
      <c r="R142" s="124" t="s">
        <v>635</v>
      </c>
      <c r="S142" s="91"/>
      <c r="T142" s="189"/>
      <c r="U142" s="180">
        <v>141</v>
      </c>
      <c r="V142" s="180"/>
      <c r="W142" s="180"/>
      <c r="X142" s="180"/>
      <c r="Y142" s="151"/>
      <c r="Z142" s="180"/>
      <c r="AA142" s="179"/>
    </row>
    <row r="143" spans="1:27" ht="100.8" x14ac:dyDescent="0.3">
      <c r="A143" s="77" t="s">
        <v>180</v>
      </c>
      <c r="B143" s="98" t="s">
        <v>486</v>
      </c>
      <c r="C143" s="45" t="s">
        <v>487</v>
      </c>
      <c r="D143" s="121"/>
      <c r="E143" s="101"/>
      <c r="F143" s="47" t="s">
        <v>490</v>
      </c>
      <c r="G143" s="47" t="s">
        <v>269</v>
      </c>
      <c r="H143" s="90">
        <v>46084</v>
      </c>
      <c r="I143" s="123">
        <v>46203</v>
      </c>
      <c r="J143" s="87" t="s">
        <v>489</v>
      </c>
      <c r="K143" s="212" t="s">
        <v>1330</v>
      </c>
      <c r="L143" s="37" t="s">
        <v>20</v>
      </c>
      <c r="M143" s="83" t="str">
        <f t="shared" ca="1" si="10"/>
        <v/>
      </c>
      <c r="N143" s="37" t="str">
        <f t="shared" ca="1" si="11"/>
        <v/>
      </c>
      <c r="O143" s="84" t="str">
        <f t="shared" ca="1" si="12"/>
        <v/>
      </c>
      <c r="P143" s="84" t="str">
        <f t="shared" ca="1" si="13"/>
        <v/>
      </c>
      <c r="Q143" s="84" t="str">
        <f t="shared" ca="1" si="14"/>
        <v/>
      </c>
      <c r="R143" s="124" t="s">
        <v>635</v>
      </c>
      <c r="S143" s="91"/>
      <c r="T143" s="189"/>
      <c r="U143" s="180">
        <v>142</v>
      </c>
      <c r="V143" s="180"/>
      <c r="W143" s="180"/>
      <c r="X143" s="180"/>
      <c r="Y143" s="151"/>
      <c r="Z143" s="180"/>
      <c r="AA143" s="179"/>
    </row>
    <row r="144" spans="1:27" ht="128.4" customHeight="1" x14ac:dyDescent="0.3">
      <c r="A144" s="77" t="s">
        <v>180</v>
      </c>
      <c r="B144" s="98" t="s">
        <v>486</v>
      </c>
      <c r="C144" s="45" t="s">
        <v>491</v>
      </c>
      <c r="D144" s="45" t="s">
        <v>532</v>
      </c>
      <c r="E144" s="118" t="s">
        <v>188</v>
      </c>
      <c r="F144" s="47" t="s">
        <v>492</v>
      </c>
      <c r="G144" s="47" t="s">
        <v>269</v>
      </c>
      <c r="H144" s="90">
        <v>46084</v>
      </c>
      <c r="I144" s="123">
        <v>46295</v>
      </c>
      <c r="J144" s="87" t="s">
        <v>493</v>
      </c>
      <c r="K144" s="120"/>
      <c r="L144" s="37" t="s">
        <v>201</v>
      </c>
      <c r="M144" s="83">
        <f t="shared" ca="1" si="10"/>
        <v>40</v>
      </c>
      <c r="N144" s="37" t="str">
        <f t="shared" ca="1" si="11"/>
        <v/>
      </c>
      <c r="O144" s="84" t="str">
        <f t="shared" ca="1" si="12"/>
        <v/>
      </c>
      <c r="P144" s="84" t="str">
        <f t="shared" ca="1" si="13"/>
        <v/>
      </c>
      <c r="Q144" s="84" t="str">
        <f t="shared" ca="1" si="14"/>
        <v/>
      </c>
      <c r="R144" s="87" t="s">
        <v>635</v>
      </c>
      <c r="S144" s="91"/>
      <c r="T144" s="189"/>
      <c r="U144" s="180">
        <v>143</v>
      </c>
      <c r="V144" s="180"/>
      <c r="W144" s="180"/>
      <c r="X144" s="180"/>
      <c r="Y144" s="151"/>
      <c r="Z144" s="180"/>
      <c r="AA144" s="179"/>
    </row>
    <row r="145" spans="1:27" ht="100.8" x14ac:dyDescent="0.3">
      <c r="A145" s="77" t="s">
        <v>180</v>
      </c>
      <c r="B145" s="98" t="s">
        <v>486</v>
      </c>
      <c r="C145" s="45" t="s">
        <v>494</v>
      </c>
      <c r="D145" s="121" t="s">
        <v>533</v>
      </c>
      <c r="E145" s="118" t="s">
        <v>188</v>
      </c>
      <c r="F145" s="47" t="s">
        <v>495</v>
      </c>
      <c r="G145" s="47" t="s">
        <v>269</v>
      </c>
      <c r="H145" s="90">
        <v>46084</v>
      </c>
      <c r="I145" s="90">
        <v>46203</v>
      </c>
      <c r="J145" s="125" t="s">
        <v>496</v>
      </c>
      <c r="K145" s="47" t="s">
        <v>1322</v>
      </c>
      <c r="L145" s="37" t="s">
        <v>20</v>
      </c>
      <c r="M145" s="83" t="str">
        <f t="shared" ca="1" si="10"/>
        <v/>
      </c>
      <c r="N145" s="37" t="str">
        <f t="shared" ca="1" si="11"/>
        <v/>
      </c>
      <c r="O145" s="84" t="str">
        <f t="shared" ca="1" si="12"/>
        <v/>
      </c>
      <c r="P145" s="84" t="str">
        <f t="shared" ca="1" si="13"/>
        <v/>
      </c>
      <c r="Q145" s="84" t="str">
        <f t="shared" ca="1" si="14"/>
        <v/>
      </c>
      <c r="R145" s="124" t="s">
        <v>635</v>
      </c>
      <c r="S145" s="91"/>
      <c r="T145" s="84"/>
      <c r="U145" s="180">
        <v>144</v>
      </c>
      <c r="V145" s="180"/>
      <c r="W145" s="180"/>
      <c r="X145" s="180"/>
      <c r="Y145" s="151"/>
      <c r="Z145" s="180"/>
      <c r="AA145" s="179"/>
    </row>
    <row r="146" spans="1:27" ht="100.8" x14ac:dyDescent="0.3">
      <c r="A146" s="77" t="s">
        <v>180</v>
      </c>
      <c r="B146" s="98" t="s">
        <v>486</v>
      </c>
      <c r="C146" s="45" t="s">
        <v>494</v>
      </c>
      <c r="D146" s="121"/>
      <c r="E146" s="101"/>
      <c r="F146" s="47" t="s">
        <v>497</v>
      </c>
      <c r="G146" s="47" t="s">
        <v>269</v>
      </c>
      <c r="H146" s="90">
        <v>46084</v>
      </c>
      <c r="I146" s="90">
        <v>46203</v>
      </c>
      <c r="J146" s="125" t="s">
        <v>496</v>
      </c>
      <c r="K146" s="47" t="s">
        <v>1324</v>
      </c>
      <c r="L146" s="37" t="s">
        <v>20</v>
      </c>
      <c r="M146" s="83" t="str">
        <f t="shared" ca="1" si="10"/>
        <v/>
      </c>
      <c r="N146" s="37" t="str">
        <f t="shared" ca="1" si="11"/>
        <v/>
      </c>
      <c r="O146" s="84" t="str">
        <f t="shared" ca="1" si="12"/>
        <v/>
      </c>
      <c r="P146" s="84" t="str">
        <f t="shared" ca="1" si="13"/>
        <v/>
      </c>
      <c r="Q146" s="84" t="str">
        <f t="shared" ca="1" si="14"/>
        <v/>
      </c>
      <c r="R146" s="87" t="s">
        <v>635</v>
      </c>
      <c r="S146" s="91"/>
      <c r="T146" s="84"/>
      <c r="U146" s="180">
        <v>145</v>
      </c>
      <c r="V146" s="180"/>
      <c r="W146" s="180"/>
      <c r="X146" s="180"/>
      <c r="Y146" s="151"/>
      <c r="Z146" s="180"/>
      <c r="AA146" s="179"/>
    </row>
    <row r="147" spans="1:27" ht="100.8" x14ac:dyDescent="0.3">
      <c r="A147" s="77" t="s">
        <v>180</v>
      </c>
      <c r="B147" s="98" t="s">
        <v>486</v>
      </c>
      <c r="C147" s="45" t="s">
        <v>498</v>
      </c>
      <c r="D147" s="45" t="s">
        <v>499</v>
      </c>
      <c r="E147" s="104" t="s">
        <v>280</v>
      </c>
      <c r="F147" s="47" t="s">
        <v>500</v>
      </c>
      <c r="G147" s="47" t="s">
        <v>269</v>
      </c>
      <c r="H147" s="90">
        <v>46084</v>
      </c>
      <c r="I147" s="90">
        <v>46203</v>
      </c>
      <c r="J147" s="125" t="s">
        <v>501</v>
      </c>
      <c r="K147" s="120"/>
      <c r="L147" s="37" t="s">
        <v>33</v>
      </c>
      <c r="M147" s="83" t="str">
        <f t="shared" ca="1" si="10"/>
        <v/>
      </c>
      <c r="N147" s="37" t="str">
        <f t="shared" ca="1" si="11"/>
        <v/>
      </c>
      <c r="O147" s="84" t="str">
        <f t="shared" ca="1" si="12"/>
        <v/>
      </c>
      <c r="P147" s="84" t="str">
        <f t="shared" ca="1" si="13"/>
        <v/>
      </c>
      <c r="Q147" s="84" t="str">
        <f t="shared" ca="1" si="14"/>
        <v/>
      </c>
      <c r="R147" s="124" t="s">
        <v>635</v>
      </c>
      <c r="S147" s="91"/>
      <c r="T147" s="84"/>
      <c r="U147" s="180">
        <v>146</v>
      </c>
      <c r="V147" s="180"/>
      <c r="W147" s="180"/>
      <c r="X147" s="180"/>
      <c r="Y147" s="151"/>
      <c r="Z147" s="180"/>
      <c r="AA147" s="179"/>
    </row>
    <row r="148" spans="1:27" ht="192.6" customHeight="1" x14ac:dyDescent="0.3">
      <c r="A148" s="45" t="s">
        <v>180</v>
      </c>
      <c r="B148" s="98" t="s">
        <v>925</v>
      </c>
      <c r="C148" s="45" t="s">
        <v>926</v>
      </c>
      <c r="D148" s="176" t="s">
        <v>942</v>
      </c>
      <c r="E148" s="177" t="s">
        <v>254</v>
      </c>
      <c r="F148" s="47" t="s">
        <v>932</v>
      </c>
      <c r="G148" s="47" t="s">
        <v>115</v>
      </c>
      <c r="H148" s="178">
        <v>46191</v>
      </c>
      <c r="I148" s="178">
        <v>46204</v>
      </c>
      <c r="J148" s="87" t="s">
        <v>937</v>
      </c>
      <c r="K148" s="84"/>
      <c r="L148" s="37" t="s">
        <v>33</v>
      </c>
      <c r="M148" s="83" t="str">
        <f t="shared" ca="1" si="10"/>
        <v/>
      </c>
      <c r="N148" s="37" t="str">
        <f t="shared" ca="1" si="11"/>
        <v/>
      </c>
      <c r="O148" s="84" t="str">
        <f t="shared" ca="1" si="12"/>
        <v/>
      </c>
      <c r="P148" s="84" t="str">
        <f t="shared" ca="1" si="13"/>
        <v/>
      </c>
      <c r="Q148" s="84" t="str">
        <f t="shared" ca="1" si="14"/>
        <v/>
      </c>
      <c r="R148" s="87" t="s">
        <v>1019</v>
      </c>
      <c r="S148" s="91"/>
      <c r="T148" s="179" t="s">
        <v>667</v>
      </c>
      <c r="U148" s="180">
        <v>147</v>
      </c>
      <c r="V148" s="180"/>
      <c r="W148" s="180"/>
      <c r="X148" s="180"/>
      <c r="Y148" s="151"/>
      <c r="Z148" s="180"/>
      <c r="AA148" s="179"/>
    </row>
    <row r="149" spans="1:27" ht="237.6" customHeight="1" x14ac:dyDescent="0.3">
      <c r="A149" s="45" t="s">
        <v>180</v>
      </c>
      <c r="B149" s="98" t="s">
        <v>925</v>
      </c>
      <c r="C149" s="45" t="s">
        <v>945</v>
      </c>
      <c r="D149" s="121" t="s">
        <v>943</v>
      </c>
      <c r="E149" s="181" t="s">
        <v>188</v>
      </c>
      <c r="F149" s="47" t="s">
        <v>884</v>
      </c>
      <c r="G149" s="47" t="s">
        <v>950</v>
      </c>
      <c r="H149" s="39" t="s">
        <v>952</v>
      </c>
      <c r="I149" s="178">
        <v>46161</v>
      </c>
      <c r="J149" s="87" t="s">
        <v>955</v>
      </c>
      <c r="K149" s="86" t="s">
        <v>1026</v>
      </c>
      <c r="L149" s="37" t="s">
        <v>20</v>
      </c>
      <c r="M149" s="83" t="str">
        <f t="shared" ca="1" si="10"/>
        <v/>
      </c>
      <c r="N149" s="37" t="str">
        <f t="shared" ca="1" si="11"/>
        <v/>
      </c>
      <c r="O149" s="84" t="str">
        <f t="shared" ca="1" si="12"/>
        <v/>
      </c>
      <c r="P149" s="84" t="str">
        <f t="shared" ca="1" si="13"/>
        <v/>
      </c>
      <c r="Q149" s="84" t="str">
        <f t="shared" ca="1" si="14"/>
        <v/>
      </c>
      <c r="R149" s="87" t="s">
        <v>1024</v>
      </c>
      <c r="S149" s="91"/>
      <c r="T149" s="179" t="s">
        <v>667</v>
      </c>
      <c r="U149" s="180">
        <v>148</v>
      </c>
      <c r="V149" s="180"/>
      <c r="W149" s="180"/>
      <c r="X149" s="180"/>
      <c r="Y149" s="151"/>
      <c r="Z149" s="180"/>
      <c r="AA149" s="179"/>
    </row>
    <row r="150" spans="1:27" ht="343.8" x14ac:dyDescent="0.3">
      <c r="A150" s="45" t="s">
        <v>180</v>
      </c>
      <c r="B150" s="98" t="s">
        <v>925</v>
      </c>
      <c r="C150" s="45" t="s">
        <v>961</v>
      </c>
      <c r="D150" s="121" t="s">
        <v>959</v>
      </c>
      <c r="E150" s="181" t="s">
        <v>188</v>
      </c>
      <c r="F150" s="176" t="s">
        <v>965</v>
      </c>
      <c r="G150" s="47" t="s">
        <v>190</v>
      </c>
      <c r="H150" s="178">
        <v>46235</v>
      </c>
      <c r="I150" s="178">
        <v>46357</v>
      </c>
      <c r="J150" s="87" t="s">
        <v>969</v>
      </c>
      <c r="K150" s="84"/>
      <c r="L150" s="180" t="s">
        <v>201</v>
      </c>
      <c r="M150" s="83">
        <f t="shared" ca="1" si="10"/>
        <v>102</v>
      </c>
      <c r="N150" s="37" t="str">
        <f t="shared" ca="1" si="11"/>
        <v/>
      </c>
      <c r="O150" s="84" t="str">
        <f t="shared" ca="1" si="12"/>
        <v/>
      </c>
      <c r="P150" s="84" t="str">
        <f t="shared" ca="1" si="13"/>
        <v/>
      </c>
      <c r="Q150" s="84" t="str">
        <f t="shared" ca="1" si="14"/>
        <v/>
      </c>
      <c r="R150" s="87" t="s">
        <v>1022</v>
      </c>
      <c r="S150" s="91"/>
      <c r="T150" s="179" t="s">
        <v>667</v>
      </c>
      <c r="U150" s="180">
        <v>149</v>
      </c>
      <c r="V150" s="180"/>
      <c r="W150" s="180"/>
      <c r="X150" s="180"/>
      <c r="Y150" s="151"/>
      <c r="Z150" s="180"/>
      <c r="AA150" s="179"/>
    </row>
    <row r="151" spans="1:27" ht="104.4" x14ac:dyDescent="0.3">
      <c r="A151" s="45" t="s">
        <v>180</v>
      </c>
      <c r="B151" s="98" t="s">
        <v>925</v>
      </c>
      <c r="C151" s="45" t="s">
        <v>975</v>
      </c>
      <c r="D151" s="121" t="s">
        <v>973</v>
      </c>
      <c r="E151" s="181" t="s">
        <v>188</v>
      </c>
      <c r="F151" s="47" t="s">
        <v>977</v>
      </c>
      <c r="G151" s="47" t="s">
        <v>115</v>
      </c>
      <c r="H151" s="178">
        <v>46191</v>
      </c>
      <c r="I151" s="178">
        <v>46113</v>
      </c>
      <c r="J151" s="87" t="s">
        <v>982</v>
      </c>
      <c r="K151" s="84"/>
      <c r="L151" s="180" t="s">
        <v>33</v>
      </c>
      <c r="M151" s="83" t="str">
        <f t="shared" ca="1" si="10"/>
        <v/>
      </c>
      <c r="N151" s="37" t="str">
        <f t="shared" ca="1" si="11"/>
        <v/>
      </c>
      <c r="O151" s="84" t="str">
        <f t="shared" ca="1" si="12"/>
        <v/>
      </c>
      <c r="P151" s="84" t="str">
        <f t="shared" ca="1" si="13"/>
        <v/>
      </c>
      <c r="Q151" s="84" t="str">
        <f t="shared" ca="1" si="14"/>
        <v/>
      </c>
      <c r="R151" s="87" t="s">
        <v>1019</v>
      </c>
      <c r="S151" s="91"/>
      <c r="T151" s="179" t="s">
        <v>667</v>
      </c>
      <c r="U151" s="180">
        <v>150</v>
      </c>
      <c r="V151" s="180"/>
      <c r="W151" s="180"/>
      <c r="X151" s="180"/>
      <c r="Y151" s="151"/>
      <c r="Z151" s="180"/>
      <c r="AA151" s="179"/>
    </row>
    <row r="152" spans="1:27" ht="229.2" customHeight="1" x14ac:dyDescent="0.3">
      <c r="A152" s="45" t="s">
        <v>1030</v>
      </c>
      <c r="B152" s="98" t="s">
        <v>1039</v>
      </c>
      <c r="C152" s="45" t="s">
        <v>1033</v>
      </c>
      <c r="D152" s="121" t="s">
        <v>1038</v>
      </c>
      <c r="E152" s="177" t="s">
        <v>254</v>
      </c>
      <c r="F152" s="47" t="s">
        <v>1042</v>
      </c>
      <c r="G152" s="47" t="s">
        <v>148</v>
      </c>
      <c r="H152" s="178">
        <v>46204</v>
      </c>
      <c r="I152" s="178">
        <v>46295</v>
      </c>
      <c r="J152" s="87" t="s">
        <v>1201</v>
      </c>
      <c r="K152" s="84"/>
      <c r="L152" s="37" t="s">
        <v>201</v>
      </c>
      <c r="M152" s="83">
        <f t="shared" ca="1" si="10"/>
        <v>40</v>
      </c>
      <c r="N152" s="37" t="str">
        <f t="shared" ca="1" si="11"/>
        <v/>
      </c>
      <c r="O152" s="84" t="str">
        <f t="shared" ca="1" si="12"/>
        <v/>
      </c>
      <c r="P152" s="84" t="str">
        <f t="shared" ca="1" si="13"/>
        <v/>
      </c>
      <c r="Q152" s="84" t="str">
        <f t="shared" ca="1" si="14"/>
        <v/>
      </c>
      <c r="R152" s="87" t="s">
        <v>1265</v>
      </c>
      <c r="S152" s="91"/>
      <c r="T152" s="179" t="s">
        <v>669</v>
      </c>
      <c r="U152" s="180">
        <v>151</v>
      </c>
      <c r="V152" s="180"/>
      <c r="W152" s="180"/>
      <c r="X152" s="180"/>
      <c r="Y152" s="151"/>
      <c r="Z152" s="180"/>
      <c r="AA152" s="179"/>
    </row>
    <row r="153" spans="1:27" ht="105.6" customHeight="1" x14ac:dyDescent="0.3">
      <c r="A153" s="45" t="s">
        <v>1030</v>
      </c>
      <c r="B153" s="98" t="s">
        <v>1039</v>
      </c>
      <c r="C153" s="45" t="s">
        <v>1048</v>
      </c>
      <c r="D153" s="121" t="s">
        <v>1142</v>
      </c>
      <c r="E153" s="177" t="s">
        <v>254</v>
      </c>
      <c r="F153" s="47" t="s">
        <v>1052</v>
      </c>
      <c r="G153" s="47" t="s">
        <v>148</v>
      </c>
      <c r="H153" s="178">
        <v>46204</v>
      </c>
      <c r="I153" s="178">
        <v>46264</v>
      </c>
      <c r="J153" s="87" t="s">
        <v>1202</v>
      </c>
      <c r="K153" s="84"/>
      <c r="L153" s="37" t="s">
        <v>201</v>
      </c>
      <c r="M153" s="83">
        <f t="shared" ca="1" si="10"/>
        <v>9</v>
      </c>
      <c r="N153" s="37" t="str">
        <f t="shared" ca="1" si="11"/>
        <v>🚨 CRÍTICO (10d)</v>
      </c>
      <c r="O153" s="84" t="str">
        <f t="shared" ca="1" si="12"/>
        <v/>
      </c>
      <c r="P153" s="84" t="str">
        <f t="shared" ca="1" si="13"/>
        <v/>
      </c>
      <c r="Q153" s="84" t="str">
        <f t="shared" ca="1" si="14"/>
        <v/>
      </c>
      <c r="R153" s="87" t="s">
        <v>1265</v>
      </c>
      <c r="S153" s="91"/>
      <c r="T153" s="179" t="s">
        <v>669</v>
      </c>
      <c r="U153" s="180">
        <v>152</v>
      </c>
      <c r="V153" s="180"/>
      <c r="W153" s="180"/>
      <c r="X153" s="180"/>
      <c r="Y153" s="151"/>
      <c r="Z153" s="180"/>
      <c r="AA153" s="179"/>
    </row>
    <row r="154" spans="1:27" ht="230.4" customHeight="1" x14ac:dyDescent="0.3">
      <c r="A154" s="45" t="s">
        <v>1030</v>
      </c>
      <c r="B154" s="98" t="s">
        <v>1039</v>
      </c>
      <c r="C154" s="45" t="s">
        <v>1058</v>
      </c>
      <c r="D154" s="121" t="s">
        <v>1144</v>
      </c>
      <c r="E154" s="177" t="s">
        <v>254</v>
      </c>
      <c r="F154" s="47" t="s">
        <v>1062</v>
      </c>
      <c r="G154" s="47" t="s">
        <v>148</v>
      </c>
      <c r="H154" s="178">
        <v>46204</v>
      </c>
      <c r="I154" s="178">
        <v>46264</v>
      </c>
      <c r="J154" s="87" t="s">
        <v>1204</v>
      </c>
      <c r="K154" s="84"/>
      <c r="L154" s="37" t="s">
        <v>201</v>
      </c>
      <c r="M154" s="83">
        <f t="shared" ca="1" si="10"/>
        <v>9</v>
      </c>
      <c r="N154" s="37" t="str">
        <f t="shared" ca="1" si="11"/>
        <v>🚨 CRÍTICO (10d)</v>
      </c>
      <c r="O154" s="84" t="str">
        <f t="shared" ca="1" si="12"/>
        <v/>
      </c>
      <c r="P154" s="84" t="str">
        <f t="shared" ca="1" si="13"/>
        <v/>
      </c>
      <c r="Q154" s="84" t="str">
        <f t="shared" ca="1" si="14"/>
        <v/>
      </c>
      <c r="R154" s="87" t="s">
        <v>1265</v>
      </c>
      <c r="S154" s="91"/>
      <c r="T154" s="179" t="s">
        <v>669</v>
      </c>
      <c r="U154" s="180">
        <v>153</v>
      </c>
      <c r="V154" s="180"/>
      <c r="W154" s="180"/>
      <c r="X154" s="180"/>
      <c r="Y154" s="151"/>
      <c r="Z154" s="180"/>
      <c r="AA154" s="179"/>
    </row>
    <row r="155" spans="1:27" ht="377.4" customHeight="1" x14ac:dyDescent="0.3">
      <c r="A155" s="45" t="s">
        <v>1030</v>
      </c>
      <c r="B155" s="98" t="s">
        <v>1039</v>
      </c>
      <c r="C155" s="45" t="s">
        <v>1076</v>
      </c>
      <c r="D155" s="121" t="s">
        <v>1146</v>
      </c>
      <c r="E155" s="177" t="s">
        <v>254</v>
      </c>
      <c r="F155" s="192" t="s">
        <v>1271</v>
      </c>
      <c r="G155" s="47" t="s">
        <v>1181</v>
      </c>
      <c r="H155" s="178">
        <v>46204</v>
      </c>
      <c r="I155" s="178">
        <v>46264</v>
      </c>
      <c r="J155" s="87" t="s">
        <v>1206</v>
      </c>
      <c r="K155" s="84"/>
      <c r="L155" s="37" t="s">
        <v>201</v>
      </c>
      <c r="M155" s="83">
        <f t="shared" ca="1" si="10"/>
        <v>9</v>
      </c>
      <c r="N155" s="37" t="str">
        <f t="shared" ca="1" si="11"/>
        <v>🚨 CRÍTICO (10d)</v>
      </c>
      <c r="O155" s="84" t="str">
        <f t="shared" ca="1" si="12"/>
        <v/>
      </c>
      <c r="P155" s="84" t="str">
        <f t="shared" ca="1" si="13"/>
        <v/>
      </c>
      <c r="Q155" s="84" t="str">
        <f t="shared" ca="1" si="14"/>
        <v/>
      </c>
      <c r="R155" s="87" t="s">
        <v>1267</v>
      </c>
      <c r="S155" s="91"/>
      <c r="T155" s="179" t="s">
        <v>669</v>
      </c>
      <c r="U155" s="180">
        <v>154</v>
      </c>
      <c r="V155" s="180"/>
      <c r="W155" s="180"/>
      <c r="X155" s="180"/>
      <c r="Y155" s="151"/>
      <c r="Z155" s="180"/>
      <c r="AA155" s="179"/>
    </row>
    <row r="156" spans="1:27" ht="253.2" customHeight="1" x14ac:dyDescent="0.3">
      <c r="A156" s="45" t="s">
        <v>1030</v>
      </c>
      <c r="B156" s="98" t="s">
        <v>1039</v>
      </c>
      <c r="C156" s="45" t="s">
        <v>1078</v>
      </c>
      <c r="D156" s="121" t="s">
        <v>1149</v>
      </c>
      <c r="E156" s="177" t="s">
        <v>254</v>
      </c>
      <c r="F156" s="47" t="s">
        <v>1121</v>
      </c>
      <c r="G156" s="47" t="s">
        <v>148</v>
      </c>
      <c r="H156" s="178">
        <v>46204</v>
      </c>
      <c r="I156" s="178">
        <v>46325</v>
      </c>
      <c r="J156" s="87" t="s">
        <v>1208</v>
      </c>
      <c r="K156" s="84"/>
      <c r="L156" s="37" t="s">
        <v>201</v>
      </c>
      <c r="M156" s="83">
        <f t="shared" ca="1" si="10"/>
        <v>70</v>
      </c>
      <c r="N156" s="37" t="str">
        <f t="shared" ca="1" si="11"/>
        <v/>
      </c>
      <c r="O156" s="84" t="str">
        <f t="shared" ca="1" si="12"/>
        <v/>
      </c>
      <c r="P156" s="84" t="str">
        <f t="shared" ca="1" si="13"/>
        <v/>
      </c>
      <c r="Q156" s="84" t="str">
        <f t="shared" ca="1" si="14"/>
        <v/>
      </c>
      <c r="R156" s="87" t="s">
        <v>1265</v>
      </c>
      <c r="S156" s="91"/>
      <c r="T156" s="179" t="s">
        <v>669</v>
      </c>
      <c r="U156" s="180">
        <v>155</v>
      </c>
      <c r="V156" s="180"/>
      <c r="W156" s="180"/>
      <c r="X156" s="180"/>
      <c r="Y156" s="151"/>
      <c r="Z156" s="180"/>
      <c r="AA156" s="179"/>
    </row>
    <row r="157" spans="1:27" ht="313.2" customHeight="1" x14ac:dyDescent="0.3">
      <c r="A157" s="45" t="s">
        <v>1030</v>
      </c>
      <c r="B157" s="98" t="s">
        <v>1039</v>
      </c>
      <c r="C157" s="45" t="s">
        <v>1080</v>
      </c>
      <c r="D157" s="121" t="s">
        <v>1152</v>
      </c>
      <c r="E157" s="177" t="s">
        <v>254</v>
      </c>
      <c r="F157" s="47" t="s">
        <v>1123</v>
      </c>
      <c r="G157" s="47" t="s">
        <v>1181</v>
      </c>
      <c r="H157" s="178">
        <v>46204</v>
      </c>
      <c r="I157" s="178">
        <v>46264</v>
      </c>
      <c r="J157" s="87" t="s">
        <v>1210</v>
      </c>
      <c r="K157" s="84"/>
      <c r="L157" s="37" t="s">
        <v>201</v>
      </c>
      <c r="M157" s="83">
        <f t="shared" ca="1" si="10"/>
        <v>9</v>
      </c>
      <c r="N157" s="37" t="str">
        <f t="shared" ca="1" si="11"/>
        <v>🚨 CRÍTICO (10d)</v>
      </c>
      <c r="O157" s="84" t="str">
        <f t="shared" ca="1" si="12"/>
        <v/>
      </c>
      <c r="P157" s="84" t="str">
        <f t="shared" ca="1" si="13"/>
        <v/>
      </c>
      <c r="Q157" s="84" t="str">
        <f t="shared" ca="1" si="14"/>
        <v/>
      </c>
      <c r="R157" s="87" t="s">
        <v>1267</v>
      </c>
      <c r="S157" s="91"/>
      <c r="T157" s="179" t="s">
        <v>669</v>
      </c>
      <c r="U157" s="180">
        <v>156</v>
      </c>
      <c r="V157" s="180"/>
      <c r="W157" s="180"/>
      <c r="X157" s="180"/>
      <c r="Y157" s="151"/>
      <c r="Z157" s="180"/>
      <c r="AA157" s="179"/>
    </row>
    <row r="158" spans="1:27" ht="138.6" x14ac:dyDescent="0.3">
      <c r="A158" s="45" t="s">
        <v>1030</v>
      </c>
      <c r="B158" s="98" t="s">
        <v>1039</v>
      </c>
      <c r="C158" s="45" t="s">
        <v>1082</v>
      </c>
      <c r="D158" s="121" t="s">
        <v>1155</v>
      </c>
      <c r="E158" s="177" t="s">
        <v>254</v>
      </c>
      <c r="F158" s="47" t="s">
        <v>1125</v>
      </c>
      <c r="G158" s="47" t="s">
        <v>148</v>
      </c>
      <c r="H158" s="178">
        <v>46204</v>
      </c>
      <c r="I158" s="178">
        <v>46264</v>
      </c>
      <c r="J158" s="87" t="s">
        <v>1212</v>
      </c>
      <c r="K158" s="84"/>
      <c r="L158" s="37" t="s">
        <v>201</v>
      </c>
      <c r="M158" s="83">
        <f t="shared" ca="1" si="10"/>
        <v>9</v>
      </c>
      <c r="N158" s="37" t="str">
        <f t="shared" ca="1" si="11"/>
        <v>🚨 CRÍTICO (10d)</v>
      </c>
      <c r="O158" s="84" t="str">
        <f t="shared" ca="1" si="12"/>
        <v/>
      </c>
      <c r="P158" s="84" t="str">
        <f t="shared" ca="1" si="13"/>
        <v/>
      </c>
      <c r="Q158" s="84" t="str">
        <f t="shared" ca="1" si="14"/>
        <v/>
      </c>
      <c r="R158" s="87" t="s">
        <v>1265</v>
      </c>
      <c r="S158" s="91"/>
      <c r="T158" s="179" t="s">
        <v>669</v>
      </c>
      <c r="U158" s="180">
        <v>157</v>
      </c>
      <c r="V158" s="180"/>
      <c r="W158" s="180"/>
      <c r="X158" s="180"/>
      <c r="Y158" s="151"/>
      <c r="Z158" s="180"/>
      <c r="AA158" s="179"/>
    </row>
    <row r="159" spans="1:27" ht="81.599999999999994" x14ac:dyDescent="0.3">
      <c r="A159" s="45" t="s">
        <v>1030</v>
      </c>
      <c r="B159" s="98" t="s">
        <v>1039</v>
      </c>
      <c r="C159" s="45" t="s">
        <v>1084</v>
      </c>
      <c r="D159" s="121" t="s">
        <v>1158</v>
      </c>
      <c r="E159" s="177" t="s">
        <v>254</v>
      </c>
      <c r="F159" s="192" t="s">
        <v>1272</v>
      </c>
      <c r="G159" s="47" t="s">
        <v>148</v>
      </c>
      <c r="H159" s="178">
        <v>46204</v>
      </c>
      <c r="I159" s="178">
        <v>46264</v>
      </c>
      <c r="J159" s="87" t="s">
        <v>1214</v>
      </c>
      <c r="K159" s="84"/>
      <c r="L159" s="37" t="s">
        <v>201</v>
      </c>
      <c r="M159" s="83">
        <f t="shared" ca="1" si="10"/>
        <v>9</v>
      </c>
      <c r="N159" s="37" t="str">
        <f t="shared" ca="1" si="11"/>
        <v>🚨 CRÍTICO (10d)</v>
      </c>
      <c r="O159" s="84" t="str">
        <f t="shared" ca="1" si="12"/>
        <v/>
      </c>
      <c r="P159" s="84" t="str">
        <f t="shared" ca="1" si="13"/>
        <v/>
      </c>
      <c r="Q159" s="84" t="str">
        <f t="shared" ca="1" si="14"/>
        <v/>
      </c>
      <c r="R159" s="87" t="s">
        <v>1265</v>
      </c>
      <c r="S159" s="91"/>
      <c r="T159" s="179" t="s">
        <v>669</v>
      </c>
      <c r="U159" s="180">
        <v>158</v>
      </c>
      <c r="V159" s="180"/>
      <c r="W159" s="180"/>
      <c r="X159" s="180"/>
      <c r="Y159" s="151"/>
      <c r="Z159" s="180"/>
      <c r="AA159" s="179"/>
    </row>
    <row r="160" spans="1:27" ht="138.6" x14ac:dyDescent="0.3">
      <c r="A160" s="45" t="s">
        <v>1030</v>
      </c>
      <c r="B160" s="98" t="s">
        <v>1039</v>
      </c>
      <c r="C160" s="45" t="s">
        <v>1086</v>
      </c>
      <c r="D160" s="121" t="s">
        <v>1161</v>
      </c>
      <c r="E160" s="177" t="s">
        <v>254</v>
      </c>
      <c r="F160" s="47" t="s">
        <v>1130</v>
      </c>
      <c r="G160" s="47" t="s">
        <v>148</v>
      </c>
      <c r="H160" s="178">
        <v>46204</v>
      </c>
      <c r="I160" s="178">
        <v>46264</v>
      </c>
      <c r="J160" s="87" t="s">
        <v>1216</v>
      </c>
      <c r="K160" s="84"/>
      <c r="L160" s="37" t="s">
        <v>201</v>
      </c>
      <c r="M160" s="83">
        <f t="shared" ca="1" si="10"/>
        <v>9</v>
      </c>
      <c r="N160" s="37" t="str">
        <f t="shared" ca="1" si="11"/>
        <v>🚨 CRÍTICO (10d)</v>
      </c>
      <c r="O160" s="84" t="str">
        <f t="shared" ca="1" si="12"/>
        <v/>
      </c>
      <c r="P160" s="84" t="str">
        <f t="shared" ca="1" si="13"/>
        <v/>
      </c>
      <c r="Q160" s="84" t="str">
        <f t="shared" ca="1" si="14"/>
        <v/>
      </c>
      <c r="R160" s="87" t="s">
        <v>1265</v>
      </c>
      <c r="S160" s="91"/>
      <c r="T160" s="179" t="s">
        <v>669</v>
      </c>
      <c r="U160" s="180">
        <v>159</v>
      </c>
      <c r="V160" s="180"/>
      <c r="W160" s="180"/>
      <c r="X160" s="180"/>
      <c r="Y160" s="151"/>
      <c r="Z160" s="180"/>
      <c r="AA160" s="179"/>
    </row>
    <row r="161" spans="1:27" ht="150" x14ac:dyDescent="0.3">
      <c r="A161" s="45" t="s">
        <v>1030</v>
      </c>
      <c r="B161" s="98" t="s">
        <v>1039</v>
      </c>
      <c r="C161" s="45" t="s">
        <v>1088</v>
      </c>
      <c r="D161" s="121" t="s">
        <v>1164</v>
      </c>
      <c r="E161" s="177" t="s">
        <v>254</v>
      </c>
      <c r="F161" s="47" t="s">
        <v>1132</v>
      </c>
      <c r="G161" s="47" t="s">
        <v>148</v>
      </c>
      <c r="H161" s="178">
        <v>46204</v>
      </c>
      <c r="I161" s="178">
        <v>46325</v>
      </c>
      <c r="J161" s="87" t="s">
        <v>1218</v>
      </c>
      <c r="K161" s="84"/>
      <c r="L161" s="37" t="s">
        <v>201</v>
      </c>
      <c r="M161" s="83">
        <f t="shared" ca="1" si="10"/>
        <v>70</v>
      </c>
      <c r="N161" s="37" t="str">
        <f t="shared" ca="1" si="11"/>
        <v/>
      </c>
      <c r="O161" s="84" t="str">
        <f t="shared" ca="1" si="12"/>
        <v/>
      </c>
      <c r="P161" s="84" t="str">
        <f t="shared" ca="1" si="13"/>
        <v/>
      </c>
      <c r="Q161" s="84" t="str">
        <f t="shared" ca="1" si="14"/>
        <v/>
      </c>
      <c r="R161" s="87" t="s">
        <v>1265</v>
      </c>
      <c r="S161" s="91"/>
      <c r="T161" s="179" t="s">
        <v>669</v>
      </c>
      <c r="U161" s="180">
        <v>160</v>
      </c>
      <c r="V161" s="180"/>
      <c r="W161" s="180"/>
      <c r="X161" s="180"/>
      <c r="Y161" s="151"/>
      <c r="Z161" s="180"/>
      <c r="AA161" s="179"/>
    </row>
    <row r="162" spans="1:27" ht="270.60000000000002" customHeight="1" x14ac:dyDescent="0.3">
      <c r="A162" s="45" t="s">
        <v>1030</v>
      </c>
      <c r="B162" s="98" t="s">
        <v>1039</v>
      </c>
      <c r="C162" s="45" t="s">
        <v>1090</v>
      </c>
      <c r="D162" s="121" t="s">
        <v>1167</v>
      </c>
      <c r="E162" s="177" t="s">
        <v>254</v>
      </c>
      <c r="F162" s="47" t="s">
        <v>1134</v>
      </c>
      <c r="G162" s="47" t="s">
        <v>148</v>
      </c>
      <c r="H162" s="178">
        <v>46204</v>
      </c>
      <c r="I162" s="178">
        <v>46264</v>
      </c>
      <c r="J162" s="87" t="s">
        <v>1220</v>
      </c>
      <c r="K162" s="84"/>
      <c r="L162" s="37" t="s">
        <v>201</v>
      </c>
      <c r="M162" s="83">
        <f t="shared" ca="1" si="10"/>
        <v>9</v>
      </c>
      <c r="N162" s="37" t="str">
        <f t="shared" ca="1" si="11"/>
        <v>🚨 CRÍTICO (10d)</v>
      </c>
      <c r="O162" s="84" t="str">
        <f t="shared" ca="1" si="12"/>
        <v/>
      </c>
      <c r="P162" s="84" t="str">
        <f t="shared" ca="1" si="13"/>
        <v/>
      </c>
      <c r="Q162" s="84" t="str">
        <f t="shared" ca="1" si="14"/>
        <v/>
      </c>
      <c r="R162" s="87" t="s">
        <v>1265</v>
      </c>
      <c r="S162" s="91"/>
      <c r="T162" s="179" t="s">
        <v>669</v>
      </c>
      <c r="U162" s="180">
        <v>161</v>
      </c>
      <c r="V162" s="180"/>
      <c r="W162" s="180"/>
      <c r="X162" s="180"/>
      <c r="Y162" s="151"/>
      <c r="Z162" s="180"/>
      <c r="AA162" s="179"/>
    </row>
    <row r="163" spans="1:27" ht="156" customHeight="1" x14ac:dyDescent="0.3">
      <c r="A163" s="45" t="s">
        <v>1030</v>
      </c>
      <c r="B163" s="98" t="s">
        <v>1039</v>
      </c>
      <c r="C163" s="45" t="s">
        <v>1092</v>
      </c>
      <c r="D163" s="121" t="s">
        <v>1170</v>
      </c>
      <c r="E163" s="181" t="s">
        <v>188</v>
      </c>
      <c r="F163" s="47" t="s">
        <v>1136</v>
      </c>
      <c r="G163" s="47" t="s">
        <v>148</v>
      </c>
      <c r="H163" s="178">
        <v>46204</v>
      </c>
      <c r="I163" s="178">
        <v>46325</v>
      </c>
      <c r="J163" s="87" t="s">
        <v>1222</v>
      </c>
      <c r="K163" s="84"/>
      <c r="L163" s="37" t="s">
        <v>201</v>
      </c>
      <c r="M163" s="83">
        <f t="shared" ca="1" si="10"/>
        <v>70</v>
      </c>
      <c r="N163" s="37" t="str">
        <f t="shared" ca="1" si="11"/>
        <v/>
      </c>
      <c r="O163" s="84" t="str">
        <f t="shared" ca="1" si="12"/>
        <v/>
      </c>
      <c r="P163" s="84" t="str">
        <f t="shared" ca="1" si="13"/>
        <v/>
      </c>
      <c r="Q163" s="84" t="str">
        <f t="shared" ca="1" si="14"/>
        <v/>
      </c>
      <c r="R163" s="87" t="s">
        <v>1265</v>
      </c>
      <c r="S163" s="91"/>
      <c r="T163" s="179" t="s">
        <v>669</v>
      </c>
      <c r="U163" s="180">
        <v>162</v>
      </c>
      <c r="V163" s="180"/>
      <c r="W163" s="180"/>
      <c r="X163" s="180"/>
      <c r="Y163" s="151"/>
      <c r="Z163" s="180"/>
      <c r="AA163" s="179"/>
    </row>
    <row r="164" spans="1:27" ht="104.4" x14ac:dyDescent="0.3">
      <c r="A164" s="45" t="s">
        <v>1030</v>
      </c>
      <c r="B164" s="98" t="s">
        <v>1039</v>
      </c>
      <c r="C164" s="45" t="s">
        <v>1094</v>
      </c>
      <c r="D164" s="121" t="s">
        <v>1173</v>
      </c>
      <c r="E164" s="181" t="s">
        <v>188</v>
      </c>
      <c r="F164" s="47" t="s">
        <v>1138</v>
      </c>
      <c r="G164" s="47" t="s">
        <v>148</v>
      </c>
      <c r="H164" s="178">
        <v>46204</v>
      </c>
      <c r="I164" s="178">
        <v>46325</v>
      </c>
      <c r="J164" s="87" t="s">
        <v>1224</v>
      </c>
      <c r="K164" s="84"/>
      <c r="L164" s="37" t="s">
        <v>201</v>
      </c>
      <c r="M164" s="83">
        <f t="shared" ca="1" si="10"/>
        <v>70</v>
      </c>
      <c r="N164" s="37" t="str">
        <f t="shared" ca="1" si="11"/>
        <v/>
      </c>
      <c r="O164" s="84" t="str">
        <f t="shared" ca="1" si="12"/>
        <v/>
      </c>
      <c r="P164" s="84" t="str">
        <f t="shared" ca="1" si="13"/>
        <v/>
      </c>
      <c r="Q164" s="84" t="str">
        <f t="shared" ca="1" si="14"/>
        <v/>
      </c>
      <c r="R164" s="87" t="s">
        <v>1265</v>
      </c>
      <c r="S164" s="91"/>
      <c r="T164" s="179" t="s">
        <v>669</v>
      </c>
      <c r="U164" s="180">
        <v>163</v>
      </c>
      <c r="V164" s="180"/>
      <c r="W164" s="180"/>
      <c r="X164" s="180"/>
      <c r="Y164" s="151"/>
      <c r="Z164" s="180"/>
      <c r="AA164" s="179"/>
    </row>
    <row r="165" spans="1:27" ht="172.8" x14ac:dyDescent="0.3">
      <c r="A165" s="45" t="s">
        <v>1030</v>
      </c>
      <c r="B165" s="98" t="s">
        <v>1039</v>
      </c>
      <c r="C165" s="45" t="s">
        <v>1096</v>
      </c>
      <c r="D165" s="121" t="s">
        <v>1176</v>
      </c>
      <c r="E165" s="177" t="s">
        <v>254</v>
      </c>
      <c r="F165" s="47" t="s">
        <v>1140</v>
      </c>
      <c r="G165" s="47" t="s">
        <v>148</v>
      </c>
      <c r="H165" s="178">
        <v>46204</v>
      </c>
      <c r="I165" s="178">
        <v>46325</v>
      </c>
      <c r="J165" s="87" t="s">
        <v>1226</v>
      </c>
      <c r="K165" s="84"/>
      <c r="L165" s="37" t="s">
        <v>201</v>
      </c>
      <c r="M165" s="83">
        <f t="shared" ca="1" si="10"/>
        <v>70</v>
      </c>
      <c r="N165" s="37" t="str">
        <f t="shared" ca="1" si="11"/>
        <v/>
      </c>
      <c r="O165" s="84" t="str">
        <f t="shared" ca="1" si="12"/>
        <v/>
      </c>
      <c r="P165" s="84" t="str">
        <f t="shared" ca="1" si="13"/>
        <v/>
      </c>
      <c r="Q165" s="84" t="str">
        <f t="shared" ca="1" si="14"/>
        <v/>
      </c>
      <c r="R165" s="87" t="s">
        <v>1265</v>
      </c>
      <c r="S165" s="91"/>
      <c r="T165" s="179" t="s">
        <v>669</v>
      </c>
      <c r="U165" s="180">
        <v>164</v>
      </c>
      <c r="V165" s="180"/>
      <c r="W165" s="180"/>
      <c r="X165" s="180"/>
      <c r="Y165" s="151"/>
      <c r="Z165" s="180"/>
      <c r="AA165" s="179"/>
    </row>
    <row r="166" spans="1:27" x14ac:dyDescent="0.3">
      <c r="D166" s="186"/>
    </row>
  </sheetData>
  <sheetProtection pivotTables="0"/>
  <autoFilter ref="A1:AA1"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50" x14ac:dyDescent="0.3">
      <c r="B3" s="78" t="s">
        <v>14</v>
      </c>
      <c r="C3" s="220" t="s">
        <v>29</v>
      </c>
      <c r="D3" s="77" t="s">
        <v>30</v>
      </c>
      <c r="E3" s="77" t="s">
        <v>269</v>
      </c>
      <c r="F3" s="80">
        <v>46203</v>
      </c>
      <c r="G3" s="85" t="s">
        <v>31</v>
      </c>
    </row>
    <row r="4" spans="2:7" ht="34.200000000000003" x14ac:dyDescent="0.3">
      <c r="B4" s="78" t="s">
        <v>14</v>
      </c>
      <c r="C4" s="221"/>
      <c r="D4" s="77" t="s">
        <v>34</v>
      </c>
      <c r="E4" s="77" t="s">
        <v>269</v>
      </c>
      <c r="F4" s="80">
        <v>46203</v>
      </c>
      <c r="G4" s="85" t="s">
        <v>31</v>
      </c>
    </row>
    <row r="5" spans="2:7" ht="182.4" x14ac:dyDescent="0.3">
      <c r="B5" s="78" t="s">
        <v>112</v>
      </c>
      <c r="C5" s="77" t="s">
        <v>122</v>
      </c>
      <c r="D5" s="77" t="s">
        <v>451</v>
      </c>
      <c r="E5" s="77" t="s">
        <v>118</v>
      </c>
      <c r="F5" s="80">
        <v>46203</v>
      </c>
      <c r="G5" s="85" t="s">
        <v>124</v>
      </c>
    </row>
    <row r="6" spans="2:7" ht="286.2" x14ac:dyDescent="0.3">
      <c r="B6" s="78" t="s">
        <v>181</v>
      </c>
      <c r="C6" s="77" t="s">
        <v>231</v>
      </c>
      <c r="D6" s="77" t="s">
        <v>233</v>
      </c>
      <c r="E6" s="77" t="s">
        <v>210</v>
      </c>
      <c r="F6" s="80">
        <v>46203</v>
      </c>
      <c r="G6" s="85" t="s">
        <v>234</v>
      </c>
    </row>
    <row r="7" spans="2:7" ht="45.6" x14ac:dyDescent="0.3">
      <c r="B7" s="78" t="s">
        <v>181</v>
      </c>
      <c r="C7" s="77" t="s">
        <v>231</v>
      </c>
      <c r="D7" s="77" t="s">
        <v>236</v>
      </c>
      <c r="E7" s="77" t="s">
        <v>210</v>
      </c>
      <c r="F7" s="80">
        <v>46203</v>
      </c>
      <c r="G7" s="88" t="s">
        <v>234</v>
      </c>
    </row>
    <row r="8" spans="2:7" ht="91.2" x14ac:dyDescent="0.3">
      <c r="B8" s="98" t="s">
        <v>399</v>
      </c>
      <c r="C8" s="45" t="s">
        <v>403</v>
      </c>
      <c r="D8" s="47" t="s">
        <v>406</v>
      </c>
      <c r="E8" s="47" t="s">
        <v>179</v>
      </c>
      <c r="F8" s="90">
        <v>46387</v>
      </c>
      <c r="G8" s="103" t="s">
        <v>407</v>
      </c>
    </row>
    <row r="9" spans="2:7" ht="68.400000000000006" x14ac:dyDescent="0.3">
      <c r="B9" s="98" t="s">
        <v>399</v>
      </c>
      <c r="C9" s="45" t="s">
        <v>409</v>
      </c>
      <c r="D9" s="47" t="s">
        <v>410</v>
      </c>
      <c r="E9" s="47" t="s">
        <v>179</v>
      </c>
      <c r="F9" s="90">
        <v>46234</v>
      </c>
      <c r="G9" s="100" t="s">
        <v>407</v>
      </c>
    </row>
    <row r="10" spans="2:7" ht="68.400000000000006" x14ac:dyDescent="0.3">
      <c r="B10" s="98" t="s">
        <v>399</v>
      </c>
      <c r="C10" s="45" t="s">
        <v>411</v>
      </c>
      <c r="D10" s="47" t="s">
        <v>412</v>
      </c>
      <c r="E10" s="47" t="s">
        <v>413</v>
      </c>
      <c r="F10" s="90">
        <v>46234</v>
      </c>
      <c r="G10" s="103" t="s">
        <v>414</v>
      </c>
    </row>
    <row r="11" spans="2:7" ht="45.6" x14ac:dyDescent="0.3">
      <c r="B11" s="98" t="s">
        <v>399</v>
      </c>
      <c r="C11" s="45" t="s">
        <v>411</v>
      </c>
      <c r="D11" s="47" t="s">
        <v>415</v>
      </c>
      <c r="E11" s="47" t="s">
        <v>179</v>
      </c>
      <c r="F11" s="90">
        <v>46234</v>
      </c>
      <c r="G11" s="103" t="s">
        <v>414</v>
      </c>
    </row>
    <row r="12" spans="2:7" ht="57" x14ac:dyDescent="0.3">
      <c r="B12" s="98" t="s">
        <v>419</v>
      </c>
      <c r="C12" s="45" t="s">
        <v>420</v>
      </c>
      <c r="D12" s="47" t="s">
        <v>422</v>
      </c>
      <c r="E12" s="47" t="s">
        <v>17</v>
      </c>
      <c r="F12" s="90">
        <v>46218</v>
      </c>
      <c r="G12" s="168" t="s">
        <v>423</v>
      </c>
    </row>
    <row r="13" spans="2:7" ht="36" x14ac:dyDescent="0.3">
      <c r="B13" s="98" t="s">
        <v>419</v>
      </c>
      <c r="C13" s="45" t="s">
        <v>420</v>
      </c>
      <c r="D13" s="47" t="s">
        <v>424</v>
      </c>
      <c r="E13" s="47" t="s">
        <v>17</v>
      </c>
      <c r="F13" s="90">
        <v>46218</v>
      </c>
      <c r="G13" s="168" t="s">
        <v>423</v>
      </c>
    </row>
    <row r="14" spans="2:7" ht="36" x14ac:dyDescent="0.3">
      <c r="B14" s="98" t="s">
        <v>419</v>
      </c>
      <c r="C14" s="45" t="s">
        <v>420</v>
      </c>
      <c r="D14" s="47" t="s">
        <v>425</v>
      </c>
      <c r="E14" s="47" t="s">
        <v>17</v>
      </c>
      <c r="F14" s="90">
        <v>46218</v>
      </c>
      <c r="G14" s="168" t="s">
        <v>423</v>
      </c>
    </row>
    <row r="15" spans="2:7" ht="36" x14ac:dyDescent="0.3">
      <c r="B15" s="98" t="s">
        <v>419</v>
      </c>
      <c r="C15" s="45" t="s">
        <v>420</v>
      </c>
      <c r="D15" s="47" t="s">
        <v>426</v>
      </c>
      <c r="E15" s="47" t="s">
        <v>17</v>
      </c>
      <c r="F15" s="90">
        <v>46218</v>
      </c>
      <c r="G15" s="168" t="s">
        <v>423</v>
      </c>
    </row>
    <row r="16" spans="2:7" ht="36" x14ac:dyDescent="0.3">
      <c r="B16" s="98" t="s">
        <v>419</v>
      </c>
      <c r="C16" s="45" t="s">
        <v>420</v>
      </c>
      <c r="D16" s="47" t="s">
        <v>427</v>
      </c>
      <c r="E16" s="47" t="s">
        <v>17</v>
      </c>
      <c r="F16" s="90">
        <v>46218</v>
      </c>
      <c r="G16" s="168" t="s">
        <v>423</v>
      </c>
    </row>
    <row r="17" spans="2:7" ht="57" x14ac:dyDescent="0.3">
      <c r="B17" s="98" t="s">
        <v>419</v>
      </c>
      <c r="C17" s="45" t="s">
        <v>420</v>
      </c>
      <c r="D17" s="47" t="s">
        <v>428</v>
      </c>
      <c r="E17" s="47" t="s">
        <v>17</v>
      </c>
      <c r="F17" s="90">
        <v>46218</v>
      </c>
      <c r="G17" s="168" t="s">
        <v>423</v>
      </c>
    </row>
    <row r="18" spans="2:7" ht="36" x14ac:dyDescent="0.3">
      <c r="B18" s="98" t="s">
        <v>419</v>
      </c>
      <c r="C18" s="45" t="s">
        <v>436</v>
      </c>
      <c r="D18" s="47" t="s">
        <v>437</v>
      </c>
      <c r="E18" s="47" t="s">
        <v>115</v>
      </c>
      <c r="F18" s="90">
        <v>46386</v>
      </c>
      <c r="G18" s="168" t="s">
        <v>438</v>
      </c>
    </row>
    <row r="19" spans="2:7" ht="45.6" x14ac:dyDescent="0.3">
      <c r="B19" s="98" t="s">
        <v>419</v>
      </c>
      <c r="C19" s="45" t="s">
        <v>436</v>
      </c>
      <c r="D19" s="47" t="s">
        <v>439</v>
      </c>
      <c r="E19" s="47" t="s">
        <v>115</v>
      </c>
      <c r="F19" s="90">
        <v>46386</v>
      </c>
      <c r="G19" s="168" t="s">
        <v>438</v>
      </c>
    </row>
    <row r="20" spans="2:7" ht="45.6" x14ac:dyDescent="0.3">
      <c r="B20" s="98" t="s">
        <v>419</v>
      </c>
      <c r="C20" s="45" t="s">
        <v>436</v>
      </c>
      <c r="D20" s="47" t="s">
        <v>440</v>
      </c>
      <c r="E20" s="47" t="s">
        <v>115</v>
      </c>
      <c r="F20" s="90">
        <v>46386</v>
      </c>
      <c r="G20" s="168" t="s">
        <v>438</v>
      </c>
    </row>
    <row r="21" spans="2:7" ht="36" x14ac:dyDescent="0.3">
      <c r="B21" s="98" t="s">
        <v>419</v>
      </c>
      <c r="C21" s="45" t="s">
        <v>436</v>
      </c>
      <c r="D21" s="47" t="s">
        <v>441</v>
      </c>
      <c r="E21" s="47" t="s">
        <v>115</v>
      </c>
      <c r="F21" s="90">
        <v>46386</v>
      </c>
      <c r="G21" s="168" t="s">
        <v>438</v>
      </c>
    </row>
    <row r="22" spans="2:7" ht="57" x14ac:dyDescent="0.3">
      <c r="B22" s="98" t="s">
        <v>419</v>
      </c>
      <c r="C22" s="45" t="s">
        <v>436</v>
      </c>
      <c r="D22" s="47" t="s">
        <v>442</v>
      </c>
      <c r="E22" s="47" t="s">
        <v>115</v>
      </c>
      <c r="F22" s="90">
        <v>46386</v>
      </c>
      <c r="G22" s="168" t="s">
        <v>438</v>
      </c>
    </row>
    <row r="23" spans="2:7" ht="24" x14ac:dyDescent="0.3">
      <c r="B23" s="98" t="s">
        <v>461</v>
      </c>
      <c r="C23" s="45" t="s">
        <v>462</v>
      </c>
      <c r="D23" s="47" t="s">
        <v>463</v>
      </c>
      <c r="E23" s="47" t="s">
        <v>148</v>
      </c>
      <c r="F23" s="90">
        <v>46293</v>
      </c>
      <c r="G23" s="88" t="s">
        <v>464</v>
      </c>
    </row>
    <row r="24" spans="2:7" ht="24" x14ac:dyDescent="0.3">
      <c r="B24" s="98" t="s">
        <v>461</v>
      </c>
      <c r="C24" s="45" t="s">
        <v>465</v>
      </c>
      <c r="D24" s="47" t="s">
        <v>466</v>
      </c>
      <c r="E24" s="47" t="s">
        <v>148</v>
      </c>
      <c r="F24" s="90">
        <v>46310</v>
      </c>
      <c r="G24" s="100" t="s">
        <v>467</v>
      </c>
    </row>
    <row r="25" spans="2:7" ht="24" x14ac:dyDescent="0.3">
      <c r="B25" s="98" t="s">
        <v>461</v>
      </c>
      <c r="C25" s="45" t="s">
        <v>465</v>
      </c>
      <c r="D25" s="47" t="s">
        <v>468</v>
      </c>
      <c r="E25" s="47" t="s">
        <v>148</v>
      </c>
      <c r="F25" s="90">
        <v>46310</v>
      </c>
      <c r="G25" s="100" t="s">
        <v>467</v>
      </c>
    </row>
    <row r="26" spans="2:7" ht="24" x14ac:dyDescent="0.3">
      <c r="B26" s="98" t="s">
        <v>461</v>
      </c>
      <c r="C26" s="45" t="s">
        <v>465</v>
      </c>
      <c r="D26" s="47" t="s">
        <v>469</v>
      </c>
      <c r="E26" s="47" t="s">
        <v>148</v>
      </c>
      <c r="F26" s="90">
        <v>46310</v>
      </c>
      <c r="G26" s="100" t="s">
        <v>467</v>
      </c>
    </row>
    <row r="27" spans="2:7" ht="34.200000000000003" x14ac:dyDescent="0.3">
      <c r="B27" s="98" t="s">
        <v>461</v>
      </c>
      <c r="C27" s="45" t="s">
        <v>465</v>
      </c>
      <c r="D27" s="47" t="s">
        <v>470</v>
      </c>
      <c r="E27" s="47" t="s">
        <v>148</v>
      </c>
      <c r="F27" s="90">
        <v>46300</v>
      </c>
      <c r="G27" s="100" t="s">
        <v>467</v>
      </c>
    </row>
    <row r="28" spans="2:7" ht="60" x14ac:dyDescent="0.3">
      <c r="B28" s="78" t="s">
        <v>471</v>
      </c>
      <c r="C28" s="77" t="s">
        <v>476</v>
      </c>
      <c r="D28" s="47" t="s">
        <v>645</v>
      </c>
      <c r="E28" s="77" t="s">
        <v>118</v>
      </c>
      <c r="F28" s="90">
        <v>46295</v>
      </c>
      <c r="G28" s="169" t="s">
        <v>475</v>
      </c>
    </row>
    <row r="29" spans="2:7" ht="36" x14ac:dyDescent="0.3">
      <c r="B29" s="98" t="s">
        <v>486</v>
      </c>
      <c r="C29" s="45" t="s">
        <v>487</v>
      </c>
      <c r="D29" s="47" t="s">
        <v>488</v>
      </c>
      <c r="E29" s="47" t="s">
        <v>269</v>
      </c>
      <c r="F29" s="90">
        <v>46203</v>
      </c>
      <c r="G29" s="103" t="s">
        <v>489</v>
      </c>
    </row>
    <row r="30" spans="2:7" ht="68.400000000000006" x14ac:dyDescent="0.3">
      <c r="B30" s="98" t="s">
        <v>486</v>
      </c>
      <c r="C30" s="45" t="s">
        <v>487</v>
      </c>
      <c r="D30" s="47" t="s">
        <v>490</v>
      </c>
      <c r="E30" s="47" t="s">
        <v>269</v>
      </c>
      <c r="F30" s="90">
        <v>46203</v>
      </c>
      <c r="G30" s="103" t="s">
        <v>489</v>
      </c>
    </row>
    <row r="31" spans="2:7" ht="136.80000000000001" x14ac:dyDescent="0.3">
      <c r="B31" s="98" t="s">
        <v>486</v>
      </c>
      <c r="C31" s="45" t="s">
        <v>491</v>
      </c>
      <c r="D31" s="47" t="s">
        <v>492</v>
      </c>
      <c r="E31" s="47" t="s">
        <v>269</v>
      </c>
      <c r="F31" s="90">
        <v>46295</v>
      </c>
      <c r="G31" s="103" t="s">
        <v>493</v>
      </c>
    </row>
    <row r="32" spans="2:7" ht="45.6" x14ac:dyDescent="0.3">
      <c r="B32" s="98" t="s">
        <v>486</v>
      </c>
      <c r="C32" s="45" t="s">
        <v>494</v>
      </c>
      <c r="D32" s="47" t="s">
        <v>495</v>
      </c>
      <c r="E32" s="47" t="s">
        <v>269</v>
      </c>
      <c r="F32" s="90">
        <v>46203</v>
      </c>
      <c r="G32" s="170" t="s">
        <v>496</v>
      </c>
    </row>
    <row r="33" spans="2:7" ht="45.6" x14ac:dyDescent="0.3">
      <c r="B33" s="98" t="s">
        <v>486</v>
      </c>
      <c r="C33" s="45" t="s">
        <v>494</v>
      </c>
      <c r="D33" s="47" t="s">
        <v>497</v>
      </c>
      <c r="E33" s="47" t="s">
        <v>269</v>
      </c>
      <c r="F33" s="90">
        <v>46203</v>
      </c>
      <c r="G33" s="170" t="s">
        <v>496</v>
      </c>
    </row>
    <row r="34" spans="2:7" ht="79.8" x14ac:dyDescent="0.3">
      <c r="B34" s="98" t="s">
        <v>486</v>
      </c>
      <c r="C34" s="45" t="s">
        <v>498</v>
      </c>
      <c r="D34" s="47" t="s">
        <v>500</v>
      </c>
      <c r="E34" s="47" t="s">
        <v>269</v>
      </c>
      <c r="F34" s="90">
        <v>46203</v>
      </c>
      <c r="G34" s="170"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37.4" x14ac:dyDescent="0.3">
      <c r="B3" s="98" t="s">
        <v>306</v>
      </c>
      <c r="C3" s="45" t="s">
        <v>313</v>
      </c>
      <c r="D3" s="47" t="s">
        <v>315</v>
      </c>
      <c r="E3" s="77" t="s">
        <v>310</v>
      </c>
      <c r="F3" s="90">
        <v>46129</v>
      </c>
      <c r="G3" s="100" t="s">
        <v>316</v>
      </c>
    </row>
    <row r="4" spans="2:7" ht="48" x14ac:dyDescent="0.3">
      <c r="B4" s="98" t="s">
        <v>306</v>
      </c>
      <c r="C4" s="45" t="s">
        <v>318</v>
      </c>
      <c r="D4" s="47" t="s">
        <v>323</v>
      </c>
      <c r="E4" s="77" t="s">
        <v>310</v>
      </c>
      <c r="F4" s="90">
        <v>46127</v>
      </c>
      <c r="G4" s="100" t="s">
        <v>321</v>
      </c>
    </row>
    <row r="5" spans="2:7" ht="34.200000000000003" x14ac:dyDescent="0.3">
      <c r="B5" s="98" t="s">
        <v>360</v>
      </c>
      <c r="C5" s="45" t="s">
        <v>369</v>
      </c>
      <c r="D5" s="47" t="s">
        <v>370</v>
      </c>
      <c r="E5" s="47" t="s">
        <v>371</v>
      </c>
      <c r="F5" s="90">
        <v>46142</v>
      </c>
      <c r="G5" s="103" t="s">
        <v>372</v>
      </c>
    </row>
    <row r="6" spans="2:7" ht="171" x14ac:dyDescent="0.3">
      <c r="B6" s="98" t="s">
        <v>419</v>
      </c>
      <c r="C6" s="45" t="s">
        <v>429</v>
      </c>
      <c r="D6" s="47" t="s">
        <v>431</v>
      </c>
      <c r="E6" s="47" t="s">
        <v>534</v>
      </c>
      <c r="F6" s="90">
        <v>46142</v>
      </c>
      <c r="G6" s="168" t="s">
        <v>432</v>
      </c>
    </row>
    <row r="7" spans="2:7" ht="36" x14ac:dyDescent="0.3">
      <c r="B7" s="98" t="s">
        <v>419</v>
      </c>
      <c r="C7" s="45" t="s">
        <v>429</v>
      </c>
      <c r="D7" s="47" t="s">
        <v>433</v>
      </c>
      <c r="E7" s="47" t="s">
        <v>534</v>
      </c>
      <c r="F7" s="90">
        <v>46142</v>
      </c>
      <c r="G7" s="168" t="s">
        <v>432</v>
      </c>
    </row>
    <row r="8" spans="2:7" ht="36" x14ac:dyDescent="0.3">
      <c r="B8" s="98" t="s">
        <v>419</v>
      </c>
      <c r="C8" s="45" t="s">
        <v>429</v>
      </c>
      <c r="D8" s="47" t="s">
        <v>434</v>
      </c>
      <c r="E8" s="47" t="s">
        <v>534</v>
      </c>
      <c r="F8" s="90">
        <v>46142</v>
      </c>
      <c r="G8" s="168" t="s">
        <v>432</v>
      </c>
    </row>
    <row r="9" spans="2:7" ht="45.6" x14ac:dyDescent="0.3">
      <c r="B9" s="98" t="s">
        <v>419</v>
      </c>
      <c r="C9" s="45" t="s">
        <v>429</v>
      </c>
      <c r="D9" s="47" t="s">
        <v>435</v>
      </c>
      <c r="E9" s="47" t="s">
        <v>534</v>
      </c>
      <c r="F9" s="90">
        <v>46142</v>
      </c>
      <c r="G9" s="168" t="s">
        <v>432</v>
      </c>
    </row>
    <row r="10" spans="2:7" ht="45.6" x14ac:dyDescent="0.3">
      <c r="B10" s="98" t="s">
        <v>419</v>
      </c>
      <c r="C10" s="45" t="s">
        <v>443</v>
      </c>
      <c r="D10" s="47" t="s">
        <v>444</v>
      </c>
      <c r="E10" s="47" t="s">
        <v>445</v>
      </c>
      <c r="F10" s="90">
        <v>46142</v>
      </c>
      <c r="G10" s="168" t="s">
        <v>446</v>
      </c>
    </row>
    <row r="11" spans="2:7" ht="45.6" x14ac:dyDescent="0.3">
      <c r="B11" s="98" t="s">
        <v>419</v>
      </c>
      <c r="C11" s="45" t="s">
        <v>443</v>
      </c>
      <c r="D11" s="47" t="s">
        <v>447</v>
      </c>
      <c r="E11" s="47" t="s">
        <v>445</v>
      </c>
      <c r="F11" s="90">
        <v>46142</v>
      </c>
      <c r="G11" s="168" t="s">
        <v>446</v>
      </c>
    </row>
    <row r="12" spans="2:7" ht="45.6" x14ac:dyDescent="0.3">
      <c r="B12" s="98" t="s">
        <v>419</v>
      </c>
      <c r="C12" s="45" t="s">
        <v>443</v>
      </c>
      <c r="D12" s="47" t="s">
        <v>448</v>
      </c>
      <c r="E12" s="47" t="s">
        <v>445</v>
      </c>
      <c r="F12" s="90">
        <v>46142</v>
      </c>
      <c r="G12" s="168" t="s">
        <v>446</v>
      </c>
    </row>
    <row r="13" spans="2:7" ht="182.4" x14ac:dyDescent="0.3">
      <c r="B13" s="98" t="s">
        <v>449</v>
      </c>
      <c r="C13" s="45" t="s">
        <v>450</v>
      </c>
      <c r="D13" s="47" t="s">
        <v>451</v>
      </c>
      <c r="E13" s="47" t="s">
        <v>179</v>
      </c>
      <c r="F13" s="90">
        <v>46171</v>
      </c>
      <c r="G13" s="169" t="s">
        <v>452</v>
      </c>
    </row>
    <row r="14" spans="2:7" ht="68.400000000000006" x14ac:dyDescent="0.3">
      <c r="B14" s="98" t="s">
        <v>471</v>
      </c>
      <c r="C14" s="45" t="s">
        <v>450</v>
      </c>
      <c r="D14" s="47" t="s">
        <v>472</v>
      </c>
      <c r="E14" s="77" t="s">
        <v>179</v>
      </c>
      <c r="F14" s="90">
        <v>46171</v>
      </c>
      <c r="G14" s="169" t="s">
        <v>473</v>
      </c>
    </row>
    <row r="15" spans="2:7" ht="91.2" x14ac:dyDescent="0.3">
      <c r="B15" s="78" t="s">
        <v>471</v>
      </c>
      <c r="C15" s="45" t="s">
        <v>450</v>
      </c>
      <c r="D15" s="77" t="s">
        <v>474</v>
      </c>
      <c r="E15" s="77" t="s">
        <v>179</v>
      </c>
      <c r="F15" s="90">
        <v>46171</v>
      </c>
      <c r="G15" s="169"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x14ac:dyDescent="0.3"/>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x14ac:dyDescent="0.3">
      <c r="A2" t="s">
        <v>180</v>
      </c>
      <c r="B2" t="s">
        <v>461</v>
      </c>
      <c r="C2" t="s">
        <v>462</v>
      </c>
      <c r="D2" t="s">
        <v>682</v>
      </c>
      <c r="E2" t="s">
        <v>671</v>
      </c>
      <c r="F2" t="s">
        <v>463</v>
      </c>
      <c r="G2" t="s">
        <v>148</v>
      </c>
      <c r="H2" s="135">
        <v>46044</v>
      </c>
      <c r="I2" s="135">
        <v>46293</v>
      </c>
      <c r="J2" t="s">
        <v>464</v>
      </c>
      <c r="K2" t="s">
        <v>671</v>
      </c>
      <c r="L2" t="s">
        <v>201</v>
      </c>
      <c r="M2">
        <v>165</v>
      </c>
      <c r="N2" t="s">
        <v>671</v>
      </c>
      <c r="O2" t="s">
        <v>671</v>
      </c>
      <c r="P2" t="s">
        <v>671</v>
      </c>
      <c r="Q2" t="s">
        <v>671</v>
      </c>
      <c r="R2" t="s">
        <v>652</v>
      </c>
      <c r="S2" t="s">
        <v>671</v>
      </c>
      <c r="T2" t="s">
        <v>669</v>
      </c>
      <c r="U2">
        <v>131</v>
      </c>
    </row>
    <row r="3" spans="1:21" x14ac:dyDescent="0.3">
      <c r="A3" t="s">
        <v>180</v>
      </c>
      <c r="B3" t="s">
        <v>461</v>
      </c>
      <c r="C3" t="s">
        <v>465</v>
      </c>
      <c r="D3" t="s">
        <v>683</v>
      </c>
      <c r="E3" t="s">
        <v>671</v>
      </c>
      <c r="F3" t="s">
        <v>466</v>
      </c>
      <c r="G3" t="s">
        <v>148</v>
      </c>
      <c r="H3" s="135">
        <v>46044</v>
      </c>
      <c r="I3" s="135">
        <v>46310</v>
      </c>
      <c r="J3" t="s">
        <v>467</v>
      </c>
      <c r="K3" t="s">
        <v>671</v>
      </c>
      <c r="L3" t="s">
        <v>201</v>
      </c>
      <c r="M3">
        <v>182</v>
      </c>
      <c r="N3" t="s">
        <v>671</v>
      </c>
      <c r="O3" t="s">
        <v>671</v>
      </c>
      <c r="P3" t="s">
        <v>671</v>
      </c>
      <c r="Q3" t="s">
        <v>671</v>
      </c>
      <c r="R3" t="s">
        <v>652</v>
      </c>
      <c r="S3" t="s">
        <v>671</v>
      </c>
      <c r="T3" t="s">
        <v>669</v>
      </c>
      <c r="U3">
        <v>132</v>
      </c>
    </row>
    <row r="4" spans="1:21" x14ac:dyDescent="0.3">
      <c r="A4" t="s">
        <v>180</v>
      </c>
      <c r="B4" t="s">
        <v>461</v>
      </c>
      <c r="C4" t="s">
        <v>465</v>
      </c>
      <c r="D4" t="s">
        <v>671</v>
      </c>
      <c r="E4" t="s">
        <v>671</v>
      </c>
      <c r="F4" t="s">
        <v>468</v>
      </c>
      <c r="G4" t="s">
        <v>148</v>
      </c>
      <c r="H4" s="135">
        <v>46044</v>
      </c>
      <c r="I4" s="135">
        <v>46310</v>
      </c>
      <c r="J4" t="s">
        <v>467</v>
      </c>
      <c r="K4" t="s">
        <v>671</v>
      </c>
      <c r="L4" t="s">
        <v>201</v>
      </c>
      <c r="M4">
        <v>182</v>
      </c>
      <c r="N4" t="s">
        <v>671</v>
      </c>
      <c r="O4" t="s">
        <v>671</v>
      </c>
      <c r="P4" t="s">
        <v>671</v>
      </c>
      <c r="Q4" t="s">
        <v>671</v>
      </c>
      <c r="R4" t="s">
        <v>652</v>
      </c>
      <c r="S4" t="s">
        <v>671</v>
      </c>
      <c r="T4" t="s">
        <v>669</v>
      </c>
      <c r="U4">
        <v>133</v>
      </c>
    </row>
    <row r="5" spans="1:21" x14ac:dyDescent="0.3">
      <c r="A5" t="s">
        <v>180</v>
      </c>
      <c r="B5" t="s">
        <v>461</v>
      </c>
      <c r="C5" t="s">
        <v>465</v>
      </c>
      <c r="D5" t="s">
        <v>671</v>
      </c>
      <c r="E5" t="s">
        <v>671</v>
      </c>
      <c r="F5" t="s">
        <v>469</v>
      </c>
      <c r="G5" t="s">
        <v>148</v>
      </c>
      <c r="H5" s="135">
        <v>46044</v>
      </c>
      <c r="I5" s="135">
        <v>46310</v>
      </c>
      <c r="J5" t="s">
        <v>467</v>
      </c>
      <c r="K5" t="s">
        <v>671</v>
      </c>
      <c r="L5" t="s">
        <v>201</v>
      </c>
      <c r="M5">
        <v>182</v>
      </c>
      <c r="N5" t="s">
        <v>671</v>
      </c>
      <c r="O5" t="s">
        <v>671</v>
      </c>
      <c r="P5" t="s">
        <v>671</v>
      </c>
      <c r="Q5" t="s">
        <v>671</v>
      </c>
      <c r="R5" t="s">
        <v>652</v>
      </c>
      <c r="S5" t="s">
        <v>671</v>
      </c>
      <c r="T5" t="s">
        <v>669</v>
      </c>
      <c r="U5">
        <v>134</v>
      </c>
    </row>
    <row r="6" spans="1:21" x14ac:dyDescent="0.3">
      <c r="A6" t="s">
        <v>180</v>
      </c>
      <c r="B6" t="s">
        <v>461</v>
      </c>
      <c r="C6" t="s">
        <v>465</v>
      </c>
      <c r="D6" t="s">
        <v>671</v>
      </c>
      <c r="E6" t="s">
        <v>671</v>
      </c>
      <c r="F6" t="s">
        <v>470</v>
      </c>
      <c r="G6" t="s">
        <v>148</v>
      </c>
      <c r="H6" s="135">
        <v>46044</v>
      </c>
      <c r="I6" s="135">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x14ac:dyDescent="0.3"/>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x14ac:dyDescent="0.3">
      <c r="A2" t="s">
        <v>180</v>
      </c>
      <c r="B2" t="s">
        <v>419</v>
      </c>
      <c r="C2" t="s">
        <v>420</v>
      </c>
      <c r="D2" t="s">
        <v>672</v>
      </c>
      <c r="E2" t="s">
        <v>188</v>
      </c>
      <c r="F2" t="s">
        <v>422</v>
      </c>
      <c r="G2" t="s">
        <v>17</v>
      </c>
      <c r="H2" s="135">
        <v>45992</v>
      </c>
      <c r="I2" s="135">
        <v>46218</v>
      </c>
      <c r="J2" t="s">
        <v>423</v>
      </c>
      <c r="K2" t="s">
        <v>671</v>
      </c>
      <c r="L2" t="s">
        <v>201</v>
      </c>
      <c r="M2">
        <v>-11</v>
      </c>
      <c r="N2" t="s">
        <v>671</v>
      </c>
      <c r="O2" t="s">
        <v>671</v>
      </c>
      <c r="P2" t="s">
        <v>671</v>
      </c>
      <c r="Q2" t="s">
        <v>762</v>
      </c>
      <c r="R2" t="s">
        <v>641</v>
      </c>
      <c r="S2" t="s">
        <v>671</v>
      </c>
      <c r="T2" t="s">
        <v>667</v>
      </c>
      <c r="U2">
        <v>109</v>
      </c>
    </row>
    <row r="3" spans="1:21" hidden="1" x14ac:dyDescent="0.3">
      <c r="A3" t="s">
        <v>180</v>
      </c>
      <c r="B3" t="s">
        <v>419</v>
      </c>
      <c r="C3" t="s">
        <v>420</v>
      </c>
      <c r="D3" t="s">
        <v>671</v>
      </c>
      <c r="E3" t="s">
        <v>671</v>
      </c>
      <c r="F3" t="s">
        <v>424</v>
      </c>
      <c r="G3" t="s">
        <v>17</v>
      </c>
      <c r="H3" s="135">
        <v>45992</v>
      </c>
      <c r="I3" s="135">
        <v>46218</v>
      </c>
      <c r="J3" t="s">
        <v>423</v>
      </c>
      <c r="K3" t="s">
        <v>671</v>
      </c>
      <c r="L3" t="s">
        <v>201</v>
      </c>
      <c r="M3">
        <v>-11</v>
      </c>
      <c r="N3" t="s">
        <v>671</v>
      </c>
      <c r="O3" t="s">
        <v>671</v>
      </c>
      <c r="P3" t="s">
        <v>671</v>
      </c>
      <c r="Q3" t="s">
        <v>762</v>
      </c>
      <c r="R3" t="s">
        <v>641</v>
      </c>
      <c r="S3" t="s">
        <v>671</v>
      </c>
      <c r="T3" t="s">
        <v>667</v>
      </c>
      <c r="U3">
        <v>110</v>
      </c>
    </row>
    <row r="4" spans="1:21" hidden="1" x14ac:dyDescent="0.3">
      <c r="A4" t="s">
        <v>180</v>
      </c>
      <c r="B4" t="s">
        <v>419</v>
      </c>
      <c r="C4" t="s">
        <v>420</v>
      </c>
      <c r="D4" t="s">
        <v>671</v>
      </c>
      <c r="E4" t="s">
        <v>671</v>
      </c>
      <c r="F4" t="s">
        <v>425</v>
      </c>
      <c r="G4" t="s">
        <v>17</v>
      </c>
      <c r="H4" s="135">
        <v>45992</v>
      </c>
      <c r="I4" s="135">
        <v>46218</v>
      </c>
      <c r="J4" t="s">
        <v>423</v>
      </c>
      <c r="K4" t="s">
        <v>671</v>
      </c>
      <c r="L4" t="s">
        <v>201</v>
      </c>
      <c r="M4">
        <v>-11</v>
      </c>
      <c r="N4" t="s">
        <v>671</v>
      </c>
      <c r="O4" t="s">
        <v>671</v>
      </c>
      <c r="P4" t="s">
        <v>671</v>
      </c>
      <c r="Q4" t="s">
        <v>762</v>
      </c>
      <c r="R4" t="s">
        <v>641</v>
      </c>
      <c r="S4" t="s">
        <v>671</v>
      </c>
      <c r="T4" t="s">
        <v>667</v>
      </c>
      <c r="U4">
        <v>111</v>
      </c>
    </row>
    <row r="5" spans="1:21" hidden="1" x14ac:dyDescent="0.3">
      <c r="A5" t="s">
        <v>180</v>
      </c>
      <c r="B5" t="s">
        <v>419</v>
      </c>
      <c r="C5" t="s">
        <v>420</v>
      </c>
      <c r="D5" t="s">
        <v>671</v>
      </c>
      <c r="E5" t="s">
        <v>671</v>
      </c>
      <c r="F5" t="s">
        <v>426</v>
      </c>
      <c r="G5" t="s">
        <v>17</v>
      </c>
      <c r="H5" s="135">
        <v>45992</v>
      </c>
      <c r="I5" s="135">
        <v>46218</v>
      </c>
      <c r="J5" t="s">
        <v>423</v>
      </c>
      <c r="K5" t="s">
        <v>671</v>
      </c>
      <c r="L5" t="s">
        <v>201</v>
      </c>
      <c r="M5">
        <v>-11</v>
      </c>
      <c r="N5" t="s">
        <v>671</v>
      </c>
      <c r="O5" t="s">
        <v>671</v>
      </c>
      <c r="P5" t="s">
        <v>671</v>
      </c>
      <c r="Q5" t="s">
        <v>762</v>
      </c>
      <c r="R5" t="s">
        <v>641</v>
      </c>
      <c r="S5" t="s">
        <v>671</v>
      </c>
      <c r="T5" t="s">
        <v>667</v>
      </c>
      <c r="U5">
        <v>112</v>
      </c>
    </row>
    <row r="6" spans="1:21" hidden="1" x14ac:dyDescent="0.3">
      <c r="A6" t="s">
        <v>180</v>
      </c>
      <c r="B6" t="s">
        <v>419</v>
      </c>
      <c r="C6" t="s">
        <v>420</v>
      </c>
      <c r="D6" t="s">
        <v>671</v>
      </c>
      <c r="E6" t="s">
        <v>671</v>
      </c>
      <c r="F6" t="s">
        <v>427</v>
      </c>
      <c r="G6" t="s">
        <v>17</v>
      </c>
      <c r="H6" s="135">
        <v>45992</v>
      </c>
      <c r="I6" s="135">
        <v>46218</v>
      </c>
      <c r="J6" t="s">
        <v>423</v>
      </c>
      <c r="K6" t="s">
        <v>671</v>
      </c>
      <c r="L6" t="s">
        <v>201</v>
      </c>
      <c r="M6">
        <v>-11</v>
      </c>
      <c r="N6" t="s">
        <v>671</v>
      </c>
      <c r="O6" t="s">
        <v>671</v>
      </c>
      <c r="P6" t="s">
        <v>671</v>
      </c>
      <c r="Q6" t="s">
        <v>762</v>
      </c>
      <c r="R6" t="s">
        <v>641</v>
      </c>
      <c r="S6" t="s">
        <v>671</v>
      </c>
      <c r="T6" t="s">
        <v>667</v>
      </c>
      <c r="U6">
        <v>113</v>
      </c>
    </row>
    <row r="7" spans="1:21" hidden="1" x14ac:dyDescent="0.3">
      <c r="A7" t="s">
        <v>180</v>
      </c>
      <c r="B7" t="s">
        <v>419</v>
      </c>
      <c r="C7" t="s">
        <v>420</v>
      </c>
      <c r="D7" t="s">
        <v>671</v>
      </c>
      <c r="E7" t="s">
        <v>671</v>
      </c>
      <c r="F7" t="s">
        <v>428</v>
      </c>
      <c r="G7" t="s">
        <v>17</v>
      </c>
      <c r="H7" s="135">
        <v>45992</v>
      </c>
      <c r="I7" s="135">
        <v>46218</v>
      </c>
      <c r="J7" t="s">
        <v>423</v>
      </c>
      <c r="K7" t="s">
        <v>671</v>
      </c>
      <c r="L7" t="s">
        <v>201</v>
      </c>
      <c r="M7">
        <v>-11</v>
      </c>
      <c r="N7" t="s">
        <v>671</v>
      </c>
      <c r="O7" t="s">
        <v>671</v>
      </c>
      <c r="P7" t="s">
        <v>671</v>
      </c>
      <c r="Q7" t="s">
        <v>762</v>
      </c>
      <c r="R7" t="s">
        <v>641</v>
      </c>
      <c r="S7" t="s">
        <v>671</v>
      </c>
      <c r="T7" t="s">
        <v>667</v>
      </c>
      <c r="U7">
        <v>114</v>
      </c>
    </row>
    <row r="8" spans="1:21" hidden="1" x14ac:dyDescent="0.3">
      <c r="A8" t="s">
        <v>180</v>
      </c>
      <c r="B8" t="s">
        <v>419</v>
      </c>
      <c r="C8" t="s">
        <v>429</v>
      </c>
      <c r="D8" t="s">
        <v>673</v>
      </c>
      <c r="E8" t="s">
        <v>188</v>
      </c>
      <c r="F8" t="s">
        <v>431</v>
      </c>
      <c r="G8" t="s">
        <v>534</v>
      </c>
      <c r="H8" s="135">
        <v>45992</v>
      </c>
      <c r="I8" s="135">
        <v>46142</v>
      </c>
      <c r="J8" t="s">
        <v>432</v>
      </c>
      <c r="K8" t="s">
        <v>671</v>
      </c>
      <c r="L8" t="s">
        <v>33</v>
      </c>
      <c r="N8" t="s">
        <v>671</v>
      </c>
      <c r="O8" t="s">
        <v>671</v>
      </c>
      <c r="P8" t="s">
        <v>671</v>
      </c>
      <c r="Q8" t="s">
        <v>671</v>
      </c>
      <c r="R8" t="s">
        <v>633</v>
      </c>
      <c r="S8" t="s">
        <v>671</v>
      </c>
      <c r="T8" t="s">
        <v>667</v>
      </c>
      <c r="U8">
        <v>115</v>
      </c>
    </row>
    <row r="9" spans="1:21" hidden="1" x14ac:dyDescent="0.3">
      <c r="A9" t="s">
        <v>180</v>
      </c>
      <c r="B9" t="s">
        <v>419</v>
      </c>
      <c r="C9" t="s">
        <v>429</v>
      </c>
      <c r="D9" t="s">
        <v>671</v>
      </c>
      <c r="E9" t="s">
        <v>671</v>
      </c>
      <c r="F9" t="s">
        <v>433</v>
      </c>
      <c r="G9" t="s">
        <v>534</v>
      </c>
      <c r="H9" s="135">
        <v>45992</v>
      </c>
      <c r="I9" s="135">
        <v>46142</v>
      </c>
      <c r="J9" t="s">
        <v>432</v>
      </c>
      <c r="K9" t="s">
        <v>671</v>
      </c>
      <c r="L9" t="s">
        <v>33</v>
      </c>
      <c r="N9" t="s">
        <v>671</v>
      </c>
      <c r="O9" t="s">
        <v>671</v>
      </c>
      <c r="P9" t="s">
        <v>671</v>
      </c>
      <c r="Q9" t="s">
        <v>671</v>
      </c>
      <c r="R9" t="s">
        <v>633</v>
      </c>
      <c r="S9" t="s">
        <v>671</v>
      </c>
      <c r="T9" t="s">
        <v>667</v>
      </c>
      <c r="U9">
        <v>116</v>
      </c>
    </row>
    <row r="10" spans="1:21" hidden="1" x14ac:dyDescent="0.3">
      <c r="A10" t="s">
        <v>180</v>
      </c>
      <c r="B10" t="s">
        <v>419</v>
      </c>
      <c r="C10" t="s">
        <v>429</v>
      </c>
      <c r="D10" t="s">
        <v>671</v>
      </c>
      <c r="E10" t="s">
        <v>671</v>
      </c>
      <c r="F10" t="s">
        <v>434</v>
      </c>
      <c r="G10" t="s">
        <v>534</v>
      </c>
      <c r="H10" s="135">
        <v>45992</v>
      </c>
      <c r="I10" s="135">
        <v>46142</v>
      </c>
      <c r="J10" t="s">
        <v>432</v>
      </c>
      <c r="K10" t="s">
        <v>671</v>
      </c>
      <c r="L10" t="s">
        <v>33</v>
      </c>
      <c r="N10" t="s">
        <v>671</v>
      </c>
      <c r="O10" t="s">
        <v>671</v>
      </c>
      <c r="P10" t="s">
        <v>671</v>
      </c>
      <c r="Q10" t="s">
        <v>671</v>
      </c>
      <c r="R10" t="s">
        <v>633</v>
      </c>
      <c r="S10" t="s">
        <v>671</v>
      </c>
      <c r="T10" t="s">
        <v>667</v>
      </c>
      <c r="U10">
        <v>117</v>
      </c>
    </row>
    <row r="11" spans="1:21" hidden="1" x14ac:dyDescent="0.3">
      <c r="A11" t="s">
        <v>180</v>
      </c>
      <c r="B11" t="s">
        <v>419</v>
      </c>
      <c r="C11" t="s">
        <v>429</v>
      </c>
      <c r="D11" t="s">
        <v>671</v>
      </c>
      <c r="E11" t="s">
        <v>671</v>
      </c>
      <c r="F11" t="s">
        <v>435</v>
      </c>
      <c r="G11" t="s">
        <v>534</v>
      </c>
      <c r="H11" s="135">
        <v>45992</v>
      </c>
      <c r="I11" s="135">
        <v>46142</v>
      </c>
      <c r="J11" t="s">
        <v>432</v>
      </c>
      <c r="K11" t="s">
        <v>671</v>
      </c>
      <c r="L11" t="s">
        <v>33</v>
      </c>
      <c r="N11" t="s">
        <v>671</v>
      </c>
      <c r="O11" t="s">
        <v>671</v>
      </c>
      <c r="P11" t="s">
        <v>671</v>
      </c>
      <c r="Q11" t="s">
        <v>671</v>
      </c>
      <c r="R11" t="s">
        <v>633</v>
      </c>
      <c r="S11" t="s">
        <v>671</v>
      </c>
      <c r="T11" t="s">
        <v>667</v>
      </c>
      <c r="U11">
        <v>118</v>
      </c>
    </row>
    <row r="12" spans="1:21" hidden="1" x14ac:dyDescent="0.3">
      <c r="A12" t="s">
        <v>180</v>
      </c>
      <c r="B12" t="s">
        <v>419</v>
      </c>
      <c r="C12" t="s">
        <v>436</v>
      </c>
      <c r="D12" t="s">
        <v>674</v>
      </c>
      <c r="E12" t="s">
        <v>188</v>
      </c>
      <c r="F12" t="s">
        <v>437</v>
      </c>
      <c r="G12" t="s">
        <v>115</v>
      </c>
      <c r="H12" s="135">
        <v>45996</v>
      </c>
      <c r="I12" s="135">
        <v>46386</v>
      </c>
      <c r="J12" t="s">
        <v>438</v>
      </c>
      <c r="K12" t="s">
        <v>671</v>
      </c>
      <c r="L12" t="s">
        <v>201</v>
      </c>
      <c r="M12">
        <v>157</v>
      </c>
      <c r="N12" t="s">
        <v>671</v>
      </c>
      <c r="O12" t="s">
        <v>671</v>
      </c>
      <c r="P12" t="s">
        <v>671</v>
      </c>
      <c r="Q12" t="s">
        <v>671</v>
      </c>
      <c r="R12" t="s">
        <v>632</v>
      </c>
      <c r="S12" t="s">
        <v>671</v>
      </c>
      <c r="T12" t="s">
        <v>667</v>
      </c>
      <c r="U12">
        <v>119</v>
      </c>
    </row>
    <row r="13" spans="1:21" hidden="1" x14ac:dyDescent="0.3">
      <c r="A13" t="s">
        <v>180</v>
      </c>
      <c r="B13" t="s">
        <v>419</v>
      </c>
      <c r="C13" t="s">
        <v>436</v>
      </c>
      <c r="D13" t="s">
        <v>671</v>
      </c>
      <c r="E13" t="s">
        <v>671</v>
      </c>
      <c r="F13" t="s">
        <v>439</v>
      </c>
      <c r="G13" t="s">
        <v>115</v>
      </c>
      <c r="H13" s="135">
        <v>45996</v>
      </c>
      <c r="I13" s="135">
        <v>46386</v>
      </c>
      <c r="J13" t="s">
        <v>438</v>
      </c>
      <c r="K13" t="s">
        <v>671</v>
      </c>
      <c r="L13" t="s">
        <v>201</v>
      </c>
      <c r="M13">
        <v>157</v>
      </c>
      <c r="N13" t="s">
        <v>671</v>
      </c>
      <c r="O13" t="s">
        <v>671</v>
      </c>
      <c r="P13" t="s">
        <v>671</v>
      </c>
      <c r="Q13" t="s">
        <v>671</v>
      </c>
      <c r="R13" t="s">
        <v>632</v>
      </c>
      <c r="S13" t="s">
        <v>671</v>
      </c>
      <c r="T13" t="s">
        <v>667</v>
      </c>
      <c r="U13">
        <v>120</v>
      </c>
    </row>
    <row r="14" spans="1:21" hidden="1" x14ac:dyDescent="0.3">
      <c r="A14" t="s">
        <v>180</v>
      </c>
      <c r="B14" t="s">
        <v>419</v>
      </c>
      <c r="C14" t="s">
        <v>436</v>
      </c>
      <c r="D14" t="s">
        <v>671</v>
      </c>
      <c r="E14" t="s">
        <v>671</v>
      </c>
      <c r="F14" t="s">
        <v>440</v>
      </c>
      <c r="G14" t="s">
        <v>115</v>
      </c>
      <c r="H14" s="135">
        <v>45996</v>
      </c>
      <c r="I14" s="135">
        <v>46386</v>
      </c>
      <c r="J14" t="s">
        <v>438</v>
      </c>
      <c r="K14" t="s">
        <v>671</v>
      </c>
      <c r="L14" t="s">
        <v>201</v>
      </c>
      <c r="M14">
        <v>157</v>
      </c>
      <c r="N14" t="s">
        <v>671</v>
      </c>
      <c r="O14" t="s">
        <v>671</v>
      </c>
      <c r="P14" t="s">
        <v>671</v>
      </c>
      <c r="Q14" t="s">
        <v>671</v>
      </c>
      <c r="R14" t="s">
        <v>632</v>
      </c>
      <c r="S14" t="s">
        <v>671</v>
      </c>
      <c r="T14" t="s">
        <v>667</v>
      </c>
      <c r="U14">
        <v>121</v>
      </c>
    </row>
    <row r="15" spans="1:21" hidden="1" x14ac:dyDescent="0.3">
      <c r="A15" t="s">
        <v>180</v>
      </c>
      <c r="B15" t="s">
        <v>419</v>
      </c>
      <c r="C15" t="s">
        <v>436</v>
      </c>
      <c r="D15" t="s">
        <v>671</v>
      </c>
      <c r="E15" t="s">
        <v>671</v>
      </c>
      <c r="F15" t="s">
        <v>441</v>
      </c>
      <c r="G15" t="s">
        <v>115</v>
      </c>
      <c r="H15" s="135">
        <v>45996</v>
      </c>
      <c r="I15" s="135">
        <v>46386</v>
      </c>
      <c r="J15" t="s">
        <v>438</v>
      </c>
      <c r="K15" t="s">
        <v>671</v>
      </c>
      <c r="L15" t="s">
        <v>201</v>
      </c>
      <c r="M15">
        <v>157</v>
      </c>
      <c r="N15" t="s">
        <v>671</v>
      </c>
      <c r="O15" t="s">
        <v>671</v>
      </c>
      <c r="P15" t="s">
        <v>671</v>
      </c>
      <c r="Q15" t="s">
        <v>671</v>
      </c>
      <c r="R15" t="s">
        <v>632</v>
      </c>
      <c r="S15" t="s">
        <v>671</v>
      </c>
      <c r="T15" t="s">
        <v>667</v>
      </c>
      <c r="U15">
        <v>122</v>
      </c>
    </row>
    <row r="16" spans="1:21" hidden="1" x14ac:dyDescent="0.3">
      <c r="A16" t="s">
        <v>180</v>
      </c>
      <c r="B16" t="s">
        <v>419</v>
      </c>
      <c r="C16" t="s">
        <v>436</v>
      </c>
      <c r="D16" t="s">
        <v>671</v>
      </c>
      <c r="E16" t="s">
        <v>671</v>
      </c>
      <c r="F16" t="s">
        <v>442</v>
      </c>
      <c r="G16" t="s">
        <v>115</v>
      </c>
      <c r="H16" s="135">
        <v>45996</v>
      </c>
      <c r="I16" s="135">
        <v>46386</v>
      </c>
      <c r="J16" t="s">
        <v>438</v>
      </c>
      <c r="K16" t="s">
        <v>671</v>
      </c>
      <c r="L16" t="s">
        <v>201</v>
      </c>
      <c r="M16">
        <v>157</v>
      </c>
      <c r="N16" t="s">
        <v>671</v>
      </c>
      <c r="O16" t="s">
        <v>671</v>
      </c>
      <c r="P16" t="s">
        <v>671</v>
      </c>
      <c r="Q16" t="s">
        <v>671</v>
      </c>
      <c r="R16" t="s">
        <v>632</v>
      </c>
      <c r="S16" t="s">
        <v>671</v>
      </c>
      <c r="T16" t="s">
        <v>667</v>
      </c>
      <c r="U16">
        <v>123</v>
      </c>
    </row>
    <row r="17" spans="1:21" hidden="1" x14ac:dyDescent="0.3">
      <c r="A17" t="s">
        <v>180</v>
      </c>
      <c r="B17" t="s">
        <v>419</v>
      </c>
      <c r="C17" t="s">
        <v>443</v>
      </c>
      <c r="D17" t="s">
        <v>675</v>
      </c>
      <c r="E17" t="s">
        <v>188</v>
      </c>
      <c r="F17" t="s">
        <v>444</v>
      </c>
      <c r="G17" t="s">
        <v>445</v>
      </c>
      <c r="H17" s="135">
        <v>45992</v>
      </c>
      <c r="I17" s="135">
        <v>46142</v>
      </c>
      <c r="J17" t="s">
        <v>446</v>
      </c>
      <c r="K17" t="s">
        <v>1278</v>
      </c>
      <c r="L17" t="s">
        <v>33</v>
      </c>
      <c r="N17" t="s">
        <v>671</v>
      </c>
      <c r="O17" t="s">
        <v>671</v>
      </c>
      <c r="P17" t="s">
        <v>671</v>
      </c>
      <c r="Q17" t="s">
        <v>671</v>
      </c>
      <c r="R17" t="s">
        <v>642</v>
      </c>
      <c r="S17" t="s">
        <v>671</v>
      </c>
      <c r="T17" t="s">
        <v>667</v>
      </c>
      <c r="U17">
        <v>124</v>
      </c>
    </row>
    <row r="18" spans="1:21" hidden="1" x14ac:dyDescent="0.3">
      <c r="A18" t="s">
        <v>180</v>
      </c>
      <c r="B18" t="s">
        <v>419</v>
      </c>
      <c r="C18" t="s">
        <v>443</v>
      </c>
      <c r="D18" t="s">
        <v>671</v>
      </c>
      <c r="E18" t="s">
        <v>671</v>
      </c>
      <c r="F18" t="s">
        <v>447</v>
      </c>
      <c r="G18" t="s">
        <v>445</v>
      </c>
      <c r="H18" s="135">
        <v>45992</v>
      </c>
      <c r="I18" s="135">
        <v>46142</v>
      </c>
      <c r="J18" t="s">
        <v>446</v>
      </c>
      <c r="K18" t="s">
        <v>671</v>
      </c>
      <c r="L18" t="s">
        <v>33</v>
      </c>
      <c r="N18" t="s">
        <v>671</v>
      </c>
      <c r="O18" t="s">
        <v>671</v>
      </c>
      <c r="P18" t="s">
        <v>671</v>
      </c>
      <c r="Q18" t="s">
        <v>671</v>
      </c>
      <c r="R18" t="s">
        <v>643</v>
      </c>
      <c r="S18" t="s">
        <v>671</v>
      </c>
      <c r="T18" t="s">
        <v>667</v>
      </c>
      <c r="U18">
        <v>125</v>
      </c>
    </row>
    <row r="19" spans="1:21" hidden="1" x14ac:dyDescent="0.3">
      <c r="A19" t="s">
        <v>180</v>
      </c>
      <c r="B19" t="s">
        <v>419</v>
      </c>
      <c r="C19" t="s">
        <v>443</v>
      </c>
      <c r="D19" t="s">
        <v>671</v>
      </c>
      <c r="E19" t="s">
        <v>671</v>
      </c>
      <c r="F19" t="s">
        <v>448</v>
      </c>
      <c r="G19" t="s">
        <v>445</v>
      </c>
      <c r="H19" s="135">
        <v>45992</v>
      </c>
      <c r="I19" s="135">
        <v>46142</v>
      </c>
      <c r="J19" t="s">
        <v>446</v>
      </c>
      <c r="K19" t="s">
        <v>671</v>
      </c>
      <c r="L19" t="s">
        <v>33</v>
      </c>
      <c r="N19" t="s">
        <v>671</v>
      </c>
      <c r="O19" t="s">
        <v>671</v>
      </c>
      <c r="P19" t="s">
        <v>671</v>
      </c>
      <c r="Q19" t="s">
        <v>671</v>
      </c>
      <c r="R19" t="s">
        <v>643</v>
      </c>
      <c r="S19" t="s">
        <v>671</v>
      </c>
      <c r="T19" t="s">
        <v>667</v>
      </c>
      <c r="U19">
        <v>126</v>
      </c>
    </row>
    <row r="20" spans="1:21" hidden="1" x14ac:dyDescent="0.3">
      <c r="A20" t="s">
        <v>180</v>
      </c>
      <c r="B20" t="s">
        <v>449</v>
      </c>
      <c r="C20" t="s">
        <v>450</v>
      </c>
      <c r="D20" t="s">
        <v>676</v>
      </c>
      <c r="E20" t="s">
        <v>254</v>
      </c>
      <c r="F20" t="s">
        <v>451</v>
      </c>
      <c r="G20" t="s">
        <v>179</v>
      </c>
      <c r="H20" s="135">
        <v>46051</v>
      </c>
      <c r="I20" s="135">
        <v>46171</v>
      </c>
      <c r="J20" t="s">
        <v>452</v>
      </c>
      <c r="K20" t="s">
        <v>671</v>
      </c>
      <c r="L20" t="s">
        <v>33</v>
      </c>
      <c r="N20" t="s">
        <v>671</v>
      </c>
      <c r="O20" t="s">
        <v>671</v>
      </c>
      <c r="P20" t="s">
        <v>671</v>
      </c>
      <c r="Q20" t="s">
        <v>671</v>
      </c>
      <c r="R20" t="s">
        <v>644</v>
      </c>
      <c r="S20" t="s">
        <v>671</v>
      </c>
      <c r="T20" t="s">
        <v>667</v>
      </c>
      <c r="U20">
        <v>127</v>
      </c>
    </row>
    <row r="21" spans="1:21" hidden="1" x14ac:dyDescent="0.3">
      <c r="A21" t="s">
        <v>180</v>
      </c>
      <c r="B21" t="s">
        <v>471</v>
      </c>
      <c r="C21" t="s">
        <v>450</v>
      </c>
      <c r="D21" t="s">
        <v>677</v>
      </c>
      <c r="E21" t="s">
        <v>188</v>
      </c>
      <c r="F21" t="s">
        <v>472</v>
      </c>
      <c r="G21" t="s">
        <v>179</v>
      </c>
      <c r="H21" s="135">
        <v>46051</v>
      </c>
      <c r="I21" s="135">
        <v>46171</v>
      </c>
      <c r="J21" t="s">
        <v>473</v>
      </c>
      <c r="K21" t="s">
        <v>671</v>
      </c>
      <c r="L21" t="s">
        <v>33</v>
      </c>
      <c r="N21" t="s">
        <v>671</v>
      </c>
      <c r="O21" t="s">
        <v>671</v>
      </c>
      <c r="P21" t="s">
        <v>671</v>
      </c>
      <c r="Q21" t="s">
        <v>671</v>
      </c>
      <c r="R21" t="s">
        <v>644</v>
      </c>
      <c r="S21" t="s">
        <v>671</v>
      </c>
      <c r="T21" t="s">
        <v>667</v>
      </c>
      <c r="U21">
        <v>136</v>
      </c>
    </row>
    <row r="22" spans="1:21" hidden="1" x14ac:dyDescent="0.3">
      <c r="A22" t="s">
        <v>180</v>
      </c>
      <c r="B22" t="s">
        <v>471</v>
      </c>
      <c r="C22" t="s">
        <v>450</v>
      </c>
      <c r="D22" t="s">
        <v>671</v>
      </c>
      <c r="E22" t="s">
        <v>671</v>
      </c>
      <c r="F22" t="s">
        <v>474</v>
      </c>
      <c r="G22" t="s">
        <v>179</v>
      </c>
      <c r="H22" s="135">
        <v>46051</v>
      </c>
      <c r="I22" s="135">
        <v>46171</v>
      </c>
      <c r="J22" t="s">
        <v>475</v>
      </c>
      <c r="K22" t="s">
        <v>671</v>
      </c>
      <c r="L22" t="s">
        <v>33</v>
      </c>
      <c r="N22" t="s">
        <v>671</v>
      </c>
      <c r="O22" t="s">
        <v>671</v>
      </c>
      <c r="P22" t="s">
        <v>671</v>
      </c>
      <c r="Q22" t="s">
        <v>671</v>
      </c>
      <c r="R22" t="s">
        <v>644</v>
      </c>
      <c r="S22" t="s">
        <v>671</v>
      </c>
      <c r="T22" t="s">
        <v>667</v>
      </c>
      <c r="U22">
        <v>137</v>
      </c>
    </row>
    <row r="23" spans="1:21" hidden="1" x14ac:dyDescent="0.3">
      <c r="A23" t="s">
        <v>180</v>
      </c>
      <c r="B23" t="s">
        <v>471</v>
      </c>
      <c r="C23" t="s">
        <v>476</v>
      </c>
      <c r="D23" t="s">
        <v>678</v>
      </c>
      <c r="E23" t="s">
        <v>188</v>
      </c>
      <c r="F23" t="s">
        <v>645</v>
      </c>
      <c r="G23" t="s">
        <v>118</v>
      </c>
      <c r="H23" s="135">
        <v>46108</v>
      </c>
      <c r="I23" s="135">
        <v>46295</v>
      </c>
      <c r="J23" t="s">
        <v>475</v>
      </c>
      <c r="K23" t="s">
        <v>671</v>
      </c>
      <c r="L23" t="s">
        <v>201</v>
      </c>
      <c r="M23">
        <v>66</v>
      </c>
      <c r="N23" t="s">
        <v>671</v>
      </c>
      <c r="O23" t="s">
        <v>671</v>
      </c>
      <c r="P23" t="s">
        <v>671</v>
      </c>
      <c r="Q23" t="s">
        <v>671</v>
      </c>
      <c r="R23" t="s">
        <v>647</v>
      </c>
      <c r="S23" t="s">
        <v>671</v>
      </c>
      <c r="T23" t="s">
        <v>667</v>
      </c>
      <c r="U23">
        <v>138</v>
      </c>
    </row>
    <row r="24" spans="1:21" ht="144" hidden="1" x14ac:dyDescent="0.3">
      <c r="A24" t="s">
        <v>180</v>
      </c>
      <c r="B24" t="s">
        <v>925</v>
      </c>
      <c r="C24" s="18" t="s">
        <v>926</v>
      </c>
      <c r="D24" s="18" t="s">
        <v>930</v>
      </c>
      <c r="E24" t="s">
        <v>254</v>
      </c>
      <c r="F24" t="s">
        <v>932</v>
      </c>
      <c r="G24" t="s">
        <v>115</v>
      </c>
      <c r="H24" s="135">
        <v>46191</v>
      </c>
      <c r="I24" s="135">
        <v>46204</v>
      </c>
      <c r="J24" t="s">
        <v>937</v>
      </c>
      <c r="K24" t="s">
        <v>671</v>
      </c>
      <c r="L24" t="s">
        <v>201</v>
      </c>
      <c r="M24">
        <v>-25</v>
      </c>
      <c r="N24" t="s">
        <v>671</v>
      </c>
      <c r="O24" t="s">
        <v>671</v>
      </c>
      <c r="P24" t="s">
        <v>671</v>
      </c>
      <c r="Q24" t="s">
        <v>762</v>
      </c>
      <c r="R24" t="s">
        <v>1019</v>
      </c>
      <c r="S24" t="s">
        <v>671</v>
      </c>
      <c r="T24" t="s">
        <v>667</v>
      </c>
      <c r="U24">
        <v>147</v>
      </c>
    </row>
    <row r="25" spans="1:21" hidden="1" x14ac:dyDescent="0.3">
      <c r="A25" t="s">
        <v>180</v>
      </c>
      <c r="B25" t="s">
        <v>925</v>
      </c>
      <c r="C25" t="s">
        <v>961</v>
      </c>
      <c r="D25" t="s">
        <v>960</v>
      </c>
      <c r="E25" t="s">
        <v>188</v>
      </c>
      <c r="F25" t="s">
        <v>965</v>
      </c>
      <c r="G25" t="s">
        <v>190</v>
      </c>
      <c r="H25" s="135">
        <v>46235</v>
      </c>
      <c r="I25" s="135">
        <v>46357</v>
      </c>
      <c r="J25" t="s">
        <v>969</v>
      </c>
      <c r="K25" t="s">
        <v>671</v>
      </c>
      <c r="L25" t="s">
        <v>201</v>
      </c>
      <c r="M25">
        <v>128</v>
      </c>
      <c r="N25" t="s">
        <v>671</v>
      </c>
      <c r="O25" t="s">
        <v>671</v>
      </c>
      <c r="P25" t="s">
        <v>671</v>
      </c>
      <c r="Q25" t="s">
        <v>671</v>
      </c>
      <c r="R25" t="s">
        <v>1022</v>
      </c>
      <c r="S25" t="s">
        <v>671</v>
      </c>
      <c r="T25" t="s">
        <v>667</v>
      </c>
      <c r="U25">
        <v>149</v>
      </c>
    </row>
    <row r="26" spans="1:21" hidden="1" x14ac:dyDescent="0.3">
      <c r="A26" t="s">
        <v>180</v>
      </c>
      <c r="B26" t="s">
        <v>925</v>
      </c>
      <c r="C26" t="s">
        <v>975</v>
      </c>
      <c r="D26" t="s">
        <v>974</v>
      </c>
      <c r="E26" t="s">
        <v>188</v>
      </c>
      <c r="F26" t="s">
        <v>977</v>
      </c>
      <c r="G26" t="s">
        <v>115</v>
      </c>
      <c r="H26" s="135">
        <v>46191</v>
      </c>
      <c r="I26" s="135">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4</vt:i4>
      </vt:variant>
    </vt:vector>
  </HeadingPairs>
  <TitlesOfParts>
    <vt:vector size="16" baseType="lpstr">
      <vt:lpstr>Tablero</vt:lpstr>
      <vt:lpstr>Log_cambios</vt:lpstr>
      <vt:lpstr>Detalle</vt:lpstr>
      <vt:lpstr>Informe_Planes_de_Acción</vt:lpstr>
      <vt:lpstr>Compromisos 1 trimestre</vt:lpstr>
      <vt:lpstr>Calculos</vt:lpstr>
      <vt:lpstr>Resumen</vt:lpstr>
      <vt:lpstr>Base de datos</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2026-08-21T17:36:56Z</dcterms:modified>
</cp:coreProperties>
</file>