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3250" documentId="8_{B94AFFE1-3DFB-409E-960F-FF1A97CB5BC7}" xr6:coauthVersionLast="47" xr6:coauthVersionMax="47" xr10:uidLastSave="{56FB944D-6BD1-4ABF-8C4A-02CE5A1042A5}"/>
  <bookViews>
    <workbookView xWindow="-108" yWindow="-108" windowWidth="23256" windowHeight="13896" firstSheet="5" activeTab="9"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<sst xmlns="http://schemas.openxmlformats.org/spreadsheetml/2006/main" count="7099" uniqueCount="1772">
  <si>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</si>
  <si>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</si>
  <si>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</si>
  <si>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</si>
  <si>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</si>
  <si>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</si>
  <si>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</si>
  <si>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</si>
  <si>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</si>
  <si>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</si>
  <si>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</si>
  <si>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</si>
  <si>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</si>
  <si>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</si>
  <si>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</si>
  <si>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</si>
  <si>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</si>
  <si>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</si>
  <si>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</si>
  <si>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</si>
  <si>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</si>
  <si>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</si>
  <si>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</si>
  <si>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</si>
  <si>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</si>
  <si>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</si>
  <si>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</si>
  <si>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</si>
  <si>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</si>
  <si>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</si>
  <si>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</si>
  <si>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</si>
  <si>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</si>
  <si>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</si>
  <si>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</si>
  <si>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</si>
  <si>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</si>
  <si>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</si>
  <si>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</si>
  <si>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</si>
  <si>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</si>
  <si>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</si>
  <si>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</si>
  <si>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</si>
  <si>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</si>
  <si>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</si>
  <si>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</si>
  <si>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</si>
  <si>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</si>
  <si>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</si>
  <si>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</si>
  <si>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</si>
  <si>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</si>
  <si>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</si>
  <si>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</si>
  <si>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</si>
  <si>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</si>
  <si>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</si>
  <si>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</si>
  <si>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</si>
  <si>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</si>
  <si>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</si>
  <si>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</si>
  <si>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</si>
  <si>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</si>
  <si>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</si>
  <si>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</si>
  <si>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</si>
  <si>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</si>
  <si>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</si>
  <si>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</si>
  <si>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</si>
  <si>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</si>
  <si>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</si>
  <si>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</si>
  <si>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</si>
  <si>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</si>
  <si>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</si>
  <si>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</si>
  <si>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</si>
  <si>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</si>
  <si>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</si>
  <si>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</si>
  <si>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</si>
  <si>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</si>
  <si>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</si>
  <si>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</si>
  <si>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</si>
  <si>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</si>
  <si>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</si>
  <si>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</si>
  <si>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</si>
  <si>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</si>
  <si>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</si>
  <si>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</si>
  <si>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</si>
  <si>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</si>
  <si>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</si>
  <si>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</si>
  <si>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</si>
  <si>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</si>
  <si>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</si>
  <si>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</si>
  <si>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</si>
  <si>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</si>
  <si>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</si>
  <si>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</si>
  <si>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</si>
  <si>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</si>
  <si>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</si>
  <si>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</si>
  <si>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</si>
  <si>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</si>
  <si>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</si>
  <si>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</si>
  <si>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</si>
  <si>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</si>
  <si>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</si>
  <si>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</si>
  <si>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</si>
  <si>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</si>
  <si>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</si>
  <si>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</si>
  <si>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</si>
  <si>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</si>
  <si>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</si>
  <si>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</si>
  <si>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</si>
  <si>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</si>
  <si>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</si>
  <si>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</si>
  <si>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</si>
  <si>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</si>
  <si>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</si>
  <si>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</si>
  <si>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</si>
  <si>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</si>
  <si>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</si>
  <si>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</si>
  <si>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</si>
  <si>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</si>
  <si>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</si>
  <si>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</si>
  <si>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</si>
  <si>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</si>
  <si>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</si>
  <si>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</si>
  <si>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</si>
  <si>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</si>
  <si>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</si>
  <si>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</si>
  <si>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</si>
  <si>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</si>
  <si>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</si>
  <si>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</si>
  <si>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</si>
  <si>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</si>
  <si>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</si>
  <si>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</si>
  <si>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</si>
  <si>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</si>
  <si>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</si>
  <si>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</si>
  <si>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</si>
  <si>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</si>
  <si>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</si>
  <si>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</si>
  <si>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</si>
  <si>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</si>
  <si>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</si>
  <si>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</si>
  <si>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</si>
  <si>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</si>
  <si>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</si>
  <si>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</si>
  <si>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</si>
  <si>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</si>
  <si>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</si>
  <si>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</si>
  <si>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</si>
  <si>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</si>
  <si>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</si>
  <si>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</si>
  <si>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</si>
  <si>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</si>
  <si>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</si>
  <si>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</si>
  <si>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</si>
  <si>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</si>
  <si>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</si>
  <si>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</si>
  <si>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</si>
  <si>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</si>
  <si>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</si>
  <si>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</si>
  <si>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</si>
  <si>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</si>
  <si>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</si>
  <si>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</si>
  <si>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</si>
  <si>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</si>
  <si>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</si>
  <si>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</si>
  <si>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</si>
  <si>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</si>
  <si>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</si>
  <si>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</si>
  <si>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</si>
  <si>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</si>
  <si>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</si>
  <si>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</si>
  <si>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</si>
  <si>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</si>
  <si>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</si>
  <si>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</si>
  <si>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</si>
  <si>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</si>
  <si>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</si>
  <si>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</si>
  <si>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</si>
  <si>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</si>
  <si>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</si>
  <si>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</si>
  <si>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</si>
  <si>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</si>
  <si>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</si>
  <si>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</si>
  <si>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</si>
  <si>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</si>
  <si>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</si>
  <si>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</si>
  <si>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</si>
  <si>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</si>
  <si>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</si>
  <si>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</si>
  <si>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</si>
  <si>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</si>
  <si>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</si>
  <si>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</si>
  <si>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</si>
  <si>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</si>
  <si>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</si>
  <si>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</si>
  <si>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</si>
  <si>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</si>
  <si>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</si>
  <si>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</si>
  <si>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</si>
  <si>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</si>
  <si>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</si>
  <si>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</si>
  <si>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</si>
  <si>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</si>
  <si>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</si>
  <si>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</si>
  <si>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</si>
  <si>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</si>
  <si>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</si>
  <si>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</si>
  <si>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</si>
  <si>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</si>
  <si>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</si>
  <si>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</si>
  <si>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</si>
  <si>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</si>
  <si>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</si>
  <si>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</si>
  <si>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</si>
  <si>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</si>
  <si>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</si>
  <si>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</si>
  <si>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</si>
  <si>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</si>
  <si>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</si>
  <si>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</si>
  <si>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</si>
  <si>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</si>
  <si>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</si>
  <si>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</si>
  <si>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</si>
  <si>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</si>
  <si>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</si>
  <si>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</si>
  <si>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</si>
  <si>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</si>
  <si>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</si>
  <si>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</si>
  <si>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</si>
  <si>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</si>
  <si>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</si>
  <si>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</si>
  <si>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</si>
  <si>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</si>
  <si>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</si>
  <si>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</si>
  <si>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</si>
  <si>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</si>
  <si>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</si>
  <si>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</si>
  <si>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</si>
  <si>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</si>
  <si>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</si>
  <si>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</si>
  <si>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</si>
  <si>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</si>
  <si>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</si>
  <si>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</si>
  <si>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</si>
  <si>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</si>
  <si>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</si>
  <si>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</si>
  <si>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</si>
  <si>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</si>
  <si>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</si>
  <si>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</si>
  <si>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</si>
  <si>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</si>
  <si>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</si>
  <si>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</si>
  <si>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</si>
  <si>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</si>
  <si>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</si>
  <si>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</si>
  <si>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</si>
  <si>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</si>
  <si>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</si>
  <si>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</si>
  <si>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</si>
  <si>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</si>
  <si>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</si>
  <si>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</si>
  <si>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</si>
  <si>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</si>
  <si>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</si>
  <si>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</si>
  <si>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</si>
  <si>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</si>
  <si>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</si>
  <si>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</si>
  <si>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</si>
  <si>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</si>
  <si>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</si>
  <si>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</si>
  <si>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</si>
  <si>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</si>
  <si>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</si>
  <si>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</si>
  <si>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</si>
  <si>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</si>
  <si>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</si>
  <si>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</si>
  <si>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</si>
  <si>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</si>
  <si>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</si>
  <si>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</si>
  <si>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</si>
  <si>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</si>
  <si>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</si>
  <si>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</si>
  <si>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</si>
  <si>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</si>
  <si>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</si>
  <si>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</si>
  <si>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</si>
  <si>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</si>
  <si>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</si>
  <si>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</si>
  <si>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</si>
  <si>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</si>
  <si>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</si>
  <si>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</si>
  <si>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</si>
  <si>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</si>
  <si>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</si>
  <si>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</si>
  <si>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</si>
  <si>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</si>
  <si>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</si>
  <si>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</si>
  <si>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</si>
  <si>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</si>
  <si>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</si>
  <si>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</si>
  <si>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</si>
  <si>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</si>
  <si>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</si>
  <si>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</si>
  <si>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</si>
  <si>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</si>
  <si>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</si>
  <si>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</si>
  <si>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</si>
  <si>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</si>
  <si>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</si>
  <si>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</si>
  <si>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</si>
  <si>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</si>
  <si>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</si>
  <si>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</si>
  <si>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</si>
  <si>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</si>
  <si>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</si>
  <si>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</si>
  <si>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</si>
  <si>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</si>
  <si>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</si>
  <si>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</si>
  <si>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</si>
  <si>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</si>
  <si>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</si>
  <si>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</si>
  <si>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</si>
  <si>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</si>
  <si>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</si>
  <si>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</si>
  <si>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</si>
  <si>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</si>
  <si>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</si>
  <si>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</si>
  <si>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</si>
  <si>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</si>
  <si>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</si>
  <si>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</si>
  <si>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</si>
  <si>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</si>
  <si>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</si>
  <si>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</si>
  <si>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</si>
  <si>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</si>
  <si>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</si>
  <si>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</si>
  <si>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</si>
  <si>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</si>
  <si>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</si>
  <si>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</si>
  <si>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</si>
  <si>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</si>
  <si>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</si>
  <si>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</si>
  <si>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</si>
  <si>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</si>
  <si>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</si>
  <si>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</si>
  <si>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</si>
  <si>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</si>
  <si>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</si>
  <si>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</si>
  <si>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</si>
  <si>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</si>
  <si>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</si>
  <si>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</si>
  <si>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</si>
  <si>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</si>
  <si>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</si>
  <si>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</si>
  <si>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</si>
  <si>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</si>
  <si>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</si>
  <si>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</si>
  <si>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</si>
  <si>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</si>
  <si>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</si>
  <si>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</si>
  <si>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</si>
  <si>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</si>
  <si>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</si>
  <si>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</si>
  <si>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</si>
  <si>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</si>
  <si>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</si>
  <si>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</si>
  <si>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</si>
  <si>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</si>
  <si>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</si>
  <si>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</si>
  <si>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</si>
  <si>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</si>
  <si>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</si>
  <si>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</si>
  <si>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</si>
  <si>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</si>
  <si>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</si>
  <si>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</si>
  <si>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</si>
  <si>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</si>
  <si>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</si>
  <si>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</si>
  <si>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</si>
  <si>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</si>
  <si>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</si>
  <si>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</si>
  <si>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</si>
  <si>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</si>
  <si>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</si>
  <si>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</si>
  <si>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</si>
  <si>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</si>
  <si>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</si>
  <si>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</si>
  <si>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</si>
  <si>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</si>
  <si>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</si>
  <si>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</si>
  <si>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</si>
  <si>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</si>
  <si>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</si>
  <si>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</si>
  <si>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</si>
  <si>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</si>
  <si>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</si>
  <si>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</si>
  <si>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</si>
  <si>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</si>
  <si>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</si>
  <si>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</si>
  <si>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</si>
  <si>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</si>
  <si>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</si>
  <si>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</si>
  <si>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</si>
  <si>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</si>
  <si>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</si>
  <si>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</si>
  <si>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</si>
  <si>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</si>
  <si>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</si>
  <si>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</si>
  <si>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</si>
  <si>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</si>
  <si>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</si>
  <si>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</si>
  <si>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</si>
  <si>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</si>
  <si>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</si>
  <si>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</si>
  <si>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</si>
  <si>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</si>
  <si>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</si>
  <si>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</si>
  <si>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</si>
  <si>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</si>
  <si>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</si>
  <si>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</si>
  <si>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</si>
  <si>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</si>
  <si>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</si>
  <si>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</si>
  <si>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</si>
  <si>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</si>
  <si>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</si>
  <si>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</si>
  <si>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</si>
  <si>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</si>
  <si>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</si>
  <si>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</si>
  <si>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</si>
  <si>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</si>
  <si>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</si>
  <si>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</si>
  <si>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</si>
  <si>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</si>
  <si>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</si>
  <si>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</si>
  <si>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</si>
  <si>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</si>
  <si>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</si>
  <si>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</si>
  <si>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</si>
  <si>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</si>
  <si>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</si>
  <si>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</si>
  <si>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</si>
  <si>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</si>
  <si>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</si>
  <si>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</si>
  <si>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</si>
  <si>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</si>
  <si>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</si>
  <si>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</si>
  <si>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</si>
  <si>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</si>
  <si>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</si>
  <si>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</si>
  <si>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</si>
  <si>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</si>
  <si>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</si>
  <si>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</si>
  <si>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</si>
  <si>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</si>
  <si>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</si>
  <si>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</si>
  <si>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</si>
  <si>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</si>
  <si>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</si>
  <si>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</si>
  <si>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</si>
  <si>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</si>
  <si>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</si>
  <si>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</si>
  <si>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</si>
  <si>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</si>
  <si>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</si>
  <si>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</si>
  <si>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</si>
  <si>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</si>
  <si>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</si>
  <si>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</si>
  <si>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</si>
  <si>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</si>
  <si>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</si>
  <si>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</si>
  <si>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</si>
  <si>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</si>
  <si>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</si>
  <si>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</si>
  <si>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</si>
  <si>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</si>
  <si>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</si>
  <si>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</si>
  <si>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</si>
  <si>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</si>
  <si>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</si>
  <si>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</si>
  <si>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</si>
  <si>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</si>
  <si>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</si>
  <si>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</si>
  <si>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</si>
  <si>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</si>
  <si>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</si>
  <si>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</si>
  <si>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</si>
  <si>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</si>
  <si>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</si>
  <si>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</si>
  <si>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</si>
  <si>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</si>
  <si>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</si>
  <si>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</si>
  <si>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</si>
  <si>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</si>
  <si>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</si>
  <si>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</si>
  <si>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</si>
  <si>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</si>
  <si>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</si>
  <si>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</si>
  <si>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</si>
  <si>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</si>
  <si>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</si>
  <si>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</si>
  <si>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</si>
  <si>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</si>
  <si>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</si>
  <si>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</si>
  <si>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</si>
  <si>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</si>
  <si>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</si>
  <si>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</si>
  <si>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</si>
  <si>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</si>
  <si>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</si>
  <si>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</si>
  <si>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</si>
  <si>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</si>
  <si>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</si>
  <si>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</si>
  <si>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</si>
  <si>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</si>
  <si>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</si>
  <si>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</si>
  <si>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</si>
  <si>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</si>
  <si>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</si>
  <si>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</si>
  <si>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</si>
  <si>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</si>
  <si>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</si>
  <si>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</si>
  <si>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</si>
  <si>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</si>
  <si>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</si>
  <si>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</si>
  <si>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</si>
  <si>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</si>
  <si>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</si>
  <si>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</si>
  <si>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</si>
  <si>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</si>
  <si>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</si>
  <si>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</si>
  <si>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</si>
  <si>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</si>
  <si>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</si>
  <si>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</si>
  <si>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</si>
  <si>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</si>
  <si>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</si>
  <si>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</si>
  <si>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</si>
  <si>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</si>
  <si>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</si>
  <si>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</si>
  <si>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</si>
  <si>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</si>
  <si>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</si>
  <si>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</si>
  <si>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</si>
  <si>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</si>
  <si>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</si>
  <si>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</si>
  <si>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</si>
  <si>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</si>
  <si>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</si>
  <si>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</si>
  <si>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</si>
  <si>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</si>
  <si>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</si>
  <si>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</si>
  <si>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</si>
  <si>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</si>
  <si>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</si>
  <si>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</si>
  <si>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</si>
  <si>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</si>
  <si>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</si>
  <si>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</si>
  <si>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</si>
  <si>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</si>
  <si>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</si>
  <si>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</si>
  <si>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</si>
  <si>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</si>
  <si>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</si>
  <si>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</si>
  <si>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</si>
  <si>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</si>
  <si>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</si>
  <si>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</si>
  <si>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</si>
  <si>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</si>
  <si>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</si>
  <si>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</si>
  <si>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</si>
  <si>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</si>
  <si>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</si>
  <si>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</si>
  <si>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</si>
  <si>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</si>
  <si>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</si>
  <si>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</si>
  <si>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</si>
  <si>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</si>
  <si>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</si>
  <si>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</si>
  <si>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</si>
  <si>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</si>
  <si>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</si>
  <si>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</si>
  <si>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</si>
  <si>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</si>
  <si>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</si>
  <si>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</si>
  <si>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</si>
  <si>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</si>
  <si>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</si>
  <si>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</si>
  <si>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</si>
  <si>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</si>
  <si>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</si>
  <si>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</si>
  <si>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</si>
  <si>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</si>
  <si>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</si>
  <si>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</si>
  <si>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</si>
  <si>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</si>
  <si>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</si>
  <si>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</si>
  <si>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</si>
  <si>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</si>
  <si>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</si>
  <si>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</si>
  <si>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</si>
  <si>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</si>
  <si>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</si>
  <si>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</si>
  <si>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</si>
  <si>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</si>
  <si>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</si>
  <si>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</si>
  <si>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</si>
  <si>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</si>
  <si>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</si>
  <si>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</si>
  <si>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</si>
  <si>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</si>
  <si>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</si>
  <si>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</si>
  <si>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</si>
  <si>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</si>
  <si>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</si>
  <si>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</si>
  <si>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</si>
  <si>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</si>
  <si>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</si>
  <si>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</si>
  <si>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</si>
  <si>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</si>
  <si>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</si>
  <si>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</si>
  <si>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</si>
  <si>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</si>
  <si>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</si>
  <si>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</si>
  <si>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</si>
  <si>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</si>
  <si>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</si>
  <si>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</si>
  <si>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</si>
  <si>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</si>
  <si>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</si>
  <si>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</si>
  <si>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</si>
  <si>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</si>
  <si>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</si>
  <si>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</si>
  <si>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</si>
  <si>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</si>
  <si>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</si>
  <si>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</si>
  <si>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</si>
  <si>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</si>
  <si>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</si>
  <si>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</si>
  <si>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</si>
  <si>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</si>
  <si>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</si>
  <si>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</si>
  <si>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</si>
  <si>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</si>
  <si>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</si>
  <si>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</si>
  <si>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</si>
  <si>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</si>
  <si>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</si>
  <si>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</si>
  <si>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</si>
  <si>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</si>
  <si>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</si>
  <si>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</si>
  <si>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</si>
  <si>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</si>
  <si>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</si>
  <si>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</si>
  <si>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</si>
  <si>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</si>
  <si>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</si>
  <si>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</si>
  <si>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</si>
  <si>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</si>
  <si>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</si>
  <si>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</si>
  <si>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</si>
  <si>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</si>
  <si>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</si>
  <si>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</si>
  <si>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</si>
  <si>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</si>
  <si>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</si>
  <si>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</si>
  <si>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</si>
  <si>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</si>
  <si>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</si>
  <si>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</si>
  <si>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</si>
  <si>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</si>
  <si>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</si>
  <si>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</si>
  <si>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</si>
  <si>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</si>
  <si>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</si>
  <si>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</si>
  <si>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</si>
  <si>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</si>
  <si>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</si>
  <si>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</si>
  <si>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</si>
  <si>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</si>
  <si>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</si>
  <si>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</si>
  <si>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</si>
  <si>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</si>
  <si>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</si>
  <si>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</si>
  <si>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</si>
  <si>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</si>
  <si>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</si>
  <si>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</si>
  <si>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</si>
  <si>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</si>
  <si>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</si>
  <si>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</si>
  <si>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</si>
  <si>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</si>
  <si>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</si>
  <si>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</si>
  <si>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</si>
  <si>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</si>
  <si>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</si>
  <si>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</si>
  <si>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</si>
  <si>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</si>
  <si>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</si>
  <si>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</si>
  <si>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</si>
  <si>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</si>
  <si>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</si>
  <si>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</si>
  <si>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</si>
  <si>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</si>
  <si>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</si>
  <si>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</si>
  <si>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</si>
  <si>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</si>
  <si>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</si>
  <si>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</si>
  <si>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</si>
  <si>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</si>
  <si>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</si>
  <si>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</si>
  <si>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</si>
  <si>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</si>
  <si>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</si>
  <si>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</si>
  <si>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</si>
  <si>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</si>
  <si>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</si>
  <si>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</si>
  <si>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</si>
  <si>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</si>
  <si>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</si>
  <si>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</si>
  <si>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</si>
  <si>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</si>
  <si>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</si>
  <si>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</si>
  <si>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</si>
  <si>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</si>
  <si>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</si>
  <si>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</si>
  <si>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</si>
  <si>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</si>
  <si>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</si>
  <si>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</si>
  <si>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</si>
  <si>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</si>
  <si>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</si>
  <si>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</si>
  <si>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</si>
  <si>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</si>
  <si>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</si>
  <si>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</si>
  <si>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</si>
  <si>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</si>
  <si>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</si>
  <si>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</si>
  <si>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</si>
  <si>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</si>
  <si>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</si>
  <si>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</si>
  <si>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</si>
  <si>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</si>
  <si>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</si>
  <si>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</si>
  <si>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</si>
  <si>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</si>
  <si>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</si>
  <si>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</si>
  <si>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</si>
  <si>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</si>
  <si>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</si>
  <si>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</si>
  <si>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</si>
  <si>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</si>
  <si>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</si>
  <si>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</si>
  <si>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</si>
  <si>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</si>
  <si>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</si>
  <si>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</si>
  <si>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</si>
  <si>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</si>
  <si>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</si>
  <si>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</si>
  <si>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</si>
  <si>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</si>
  <si>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</si>
  <si>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</si>
  <si>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</si>
  <si>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</si>
  <si>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</si>
  <si>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</si>
  <si>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</si>
  <si>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</si>
  <si>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</si>
  <si>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</si>
  <si>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</si>
  <si>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</si>
  <si>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</si>
  <si>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</si>
  <si>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</si>
  <si>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</si>
  <si>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</si>
  <si>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</si>
  <si>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</si>
  <si>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</si>
  <si>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</si>
  <si>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</si>
  <si>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</si>
  <si>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</si>
  <si>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</si>
  <si>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</si>
  <si>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</si>
  <si>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</si>
  <si>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</si>
  <si>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</si>
  <si>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</si>
  <si>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</si>
  <si>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</si>
  <si>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</si>
  <si>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</si>
  <si>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</si>
  <si>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</si>
  <si>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</si>
  <si>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</si>
  <si>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</si>
  <si>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</si>
  <si>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</si>
  <si>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</si>
  <si>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</si>
  <si>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</si>
  <si>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</si>
  <si>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</si>
  <si>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</si>
  <si>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</si>
  <si>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</si>
  <si>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</si>
  <si>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</si>
  <si>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</si>
  <si>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</si>
  <si>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</si>
  <si>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</si>
  <si>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</si>
  <si>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</si>
  <si>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</si>
  <si>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</si>
  <si>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</si>
  <si>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</si>
  <si>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</si>
  <si>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</si>
  <si>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</si>
  <si>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</si>
  <si>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</si>
  <si>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</si>
  <si>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</si>
  <si>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</si>
  <si>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</si>
  <si>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</si>
  <si>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</si>
  <si>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</si>
  <si>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</si>
  <si>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</si>
  <si>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</si>
  <si>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</si>
  <si>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</si>
  <si>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</si>
  <si>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</si>
  <si>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</si>
  <si>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</si>
  <si>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</si>
  <si>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</si>
  <si>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</si>
  <si>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</si>
  <si>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</si>
  <si>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</si>
  <si>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</si>
  <si>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</si>
  <si>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</si>
  <si>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</si>
  <si>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</si>
  <si>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</si>
  <si>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</si>
  <si>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</si>
  <si>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</si>
  <si>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</si>
  <si>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</si>
  <si>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</si>
  <si>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</si>
  <si>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</si>
  <si>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</si>
  <si>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</si>
  <si>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</si>
  <si>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</si>
  <si>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</si>
  <si>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</si>
  <si>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</si>
  <si>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</si>
  <si>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</si>
  <si>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</si>
  <si>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</si>
  <si>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</si>
  <si>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</si>
  <si>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</si>
  <si>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</si>
  <si>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</si>
  <si>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</si>
  <si>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</si>
  <si>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</si>
  <si>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</si>
  <si>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</si>
  <si>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</si>
  <si>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</si>
  <si>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</si>
  <si>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</si>
  <si>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</si>
  <si>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</si>
  <si>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</si>
  <si>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</si>
  <si>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</si>
  <si>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</si>
  <si>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</si>
  <si>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</si>
  <si>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</si>
  <si>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</si>
  <si>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</si>
  <si>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</si>
  <si>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</si>
  <si>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</si>
  <si>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</si>
  <si>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</si>
  <si>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</si>
  <si>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</si>
  <si>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</si>
  <si>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</si>
  <si>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</si>
  <si>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</si>
  <si>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</si>
  <si>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</si>
  <si>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</si>
  <si>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</si>
  <si>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</si>
  <si>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</si>
  <si>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</si>
  <si>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</si>
  <si>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</si>
  <si>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</si>
  <si>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</si>
  <si>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</si>
  <si>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</si>
  <si>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</si>
  <si>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</si>
  <si>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</si>
  <si>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</si>
  <si>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</si>
  <si>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</si>
  <si>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</si>
  <si>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</si>
  <si>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</si>
  <si>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</si>
  <si>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</si>
  <si>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</si>
  <si>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</si>
  <si>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</si>
  <si>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</si>
  <si>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</si>
  <si>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</si>
  <si>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</si>
  <si>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</si>
  <si>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</si>
  <si>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</si>
  <si>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</si>
  <si>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</si>
  <si>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</si>
  <si>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</si>
  <si>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</si>
  <si>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</si>
  <si>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</si>
  <si>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</si>
  <si>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</si>
  <si>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</si>
  <si>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</si>
  <si>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</si>
  <si>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</si>
  <si>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</si>
  <si>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</si>
  <si>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</si>
  <si>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</si>
  <si>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</si>
  <si>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</si>
  <si>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</si>
  <si>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</si>
  <si>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</si>
  <si>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</si>
  <si>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</si>
  <si>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</si>
  <si>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</si>
  <si>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</si>
  <si>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</si>
  <si>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</si>
  <si>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</si>
  <si>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</si>
  <si>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</si>
  <si>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</si>
  <si>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</si>
  <si>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</si>
  <si>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</si>
  <si>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</si>
  <si>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</si>
  <si>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</si>
  <si>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</si>
  <si>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</si>
  <si>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</si>
  <si>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</si>
  <si>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</si>
  <si>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</si>
  <si>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</si>
  <si>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</si>
  <si>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</si>
  <si>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</si>
  <si>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</si>
  <si>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</si>
  <si>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</si>
  <si>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</si>
  <si>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</si>
  <si>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</si>
  <si>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</si>
  <si>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</si>
  <si>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</si>
  <si>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</si>
  <si>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</si>
  <si>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</si>
  <si>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</si>
  <si>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</si>
  <si>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</si>
  <si>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</si>
  <si>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</si>
  <si>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</si>
  <si>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</si>
  <si>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</si>
  <si>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</si>
  <si>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</si>
  <si>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</si>
  <si>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</si>
  <si>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</si>
  <si>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</si>
  <si>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</si>
  <si>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</si>
  <si>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</si>
  <si>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</si>
  <si>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</si>
  <si>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</si>
  <si>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</si>
  <si>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</si>
  <si>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</si>
  <si>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</si>
  <si>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</si>
  <si>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</si>
  <si>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</si>
  <si>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</si>
  <si>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</si>
  <si>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</si>
  <si>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</si>
  <si>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</si>
  <si>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</si>
  <si>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</si>
  <si>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</si>
  <si>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</si>
  <si>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</si>
  <si>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</si>
  <si>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</si>
  <si>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</si>
  <si>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</si>
  <si>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</si>
  <si>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</si>
  <si>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</si>
  <si>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</si>
  <si>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</si>
  <si>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</si>
  <si>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</si>
  <si>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</si>
  <si>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</si>
  <si>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</si>
  <si>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</si>
  <si>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</si>
  <si>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</si>
  <si>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</si>
  <si>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</si>
  <si>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</si>
  <si>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</si>
  <si>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</si>
  <si>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</si>
  <si>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</si>
  <si>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</si>
  <si>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</si>
  <si>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</si>
  <si>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</si>
  <si>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</si>
  <si>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</si>
  <si>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</si>
  <si>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</si>
  <si>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</si>
  <si>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</si>
  <si>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</si>
  <si>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</si>
  <si>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</si>
  <si>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</si>
  <si>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</si>
  <si>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</si>
  <si>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</si>
  <si>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</si>
  <si>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</si>
  <si>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</si>
  <si>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</si>
  <si>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</si>
  <si>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</si>
  <si>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</si>
  <si>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</si>
  <si>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</si>
  <si>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</si>
  <si>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</si>
  <si>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</si>
  <si>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</si>
  <si>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</si>
  <si>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</si>
  <si>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</si>
  <si>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</si>
  <si>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</si>
  <si>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</si>
  <si>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</si>
  <si>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</si>
  <si>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</si>
  <si>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</si>
  <si>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</si>
  <si>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</si>
  <si>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</si>
  <si>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</si>
  <si>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</si>
  <si>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</si>
  <si>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</si>
  <si>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</si>
  <si>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</si>
  <si>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</si>
  <si>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</si>
  <si>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</si>
  <si>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</si>
  <si>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</si>
  <si>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</si>
  <si>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</si>
  <si>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</si>
  <si>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</si>
  <si>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</si>
  <si>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</si>
  <si>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</si>
  <si>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</si>
  <si>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</si>
  <si>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</si>
  <si>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</si>
  <si>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</si>
  <si>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</si>
  <si>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</si>
  <si>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</si>
  <si>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</si>
  <si>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</si>
  <si>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</si>
  <si>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</si>
  <si>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</si>
  <si>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</si>
  <si>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</si>
  <si>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</si>
  <si>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</si>
  <si>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</si>
  <si>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</si>
  <si>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</si>
  <si>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</si>
  <si>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</si>
  <si>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</si>
  <si>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</si>
  <si>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</si>
  <si>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</si>
  <si>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</si>
  <si>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</si>
  <si>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</si>
  <si>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</si>
  <si>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</si>
  <si>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</si>
  <si>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</si>
  <si>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</si>
  <si>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</si>
  <si>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</si>
  <si>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</si>
  <si>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</si>
  <si>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</si>
  <si>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</si>
  <si>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</si>
  <si>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</si>
  <si>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</si>
  <si>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</si>
  <si>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</si>
  <si>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</si>
  <si>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</si>
  <si>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</si>
  <si>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</si>
  <si>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</si>
  <si>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</si>
  <si>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</si>
  <si>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</si>
  <si>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</si>
  <si>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</si>
  <si>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</si>
  <si>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</si>
  <si>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</si>
  <si>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</si>
  <si>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</si>
  <si>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</si>
  <si>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</si>
  <si>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</si>
  <si>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</si>
  <si>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</si>
  <si>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</si>
  <si>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</si>
  <si>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</si>
  <si>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</si>
  <si>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</si>
  <si>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</si>
  <si>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</si>
  <si>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</si>
  <si>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</si>
  <si>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</si>
  <si>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</si>
  <si>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</si>
  <si>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</si>
  <si>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</si>
  <si>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</si>
  <si>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</si>
  <si>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</si>
  <si>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</si>
  <si>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</si>
  <si>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</si>
  <si>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</si>
  <si>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</si>
  <si>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</si>
  <si>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</si>
  <si>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</si>
  <si>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</si>
  <si>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</si>
  <si>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</si>
  <si>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</si>
  <si>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</si>
  <si>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</si>
  <si>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</si>
  <si>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</si>
  <si>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</si>
  <si>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</si>
  <si>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</si>
  <si>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</si>
  <si>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</si>
  <si>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</si>
  <si>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</si>
  <si>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</si>
  <si>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</si>
  <si>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</si>
  <si>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</si>
  <si>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</si>
  <si>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</si>
  <si>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</si>
  <si>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</si>
  <si>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</si>
  <si>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</si>
  <si>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</si>
  <si>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</si>
  <si>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</si>
  <si>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</si>
  <si>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</si>
  <si>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</si>
  <si>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</si>
  <si>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</si>
  <si>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</si>
  <si>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</si>
  <si>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</si>
  <si>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</si>
  <si>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</si>
  <si>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</si>
  <si>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</si>
  <si>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</si>
  <si>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</si>
  <si>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</si>
  <si>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</si>
  <si>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</si>
  <si>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</si>
  <si>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</si>
  <si>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</si>
  <si>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</si>
  <si>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</si>
  <si>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</si>
  <si>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</si>
  <si>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</si>
  <si>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</si>
  <si>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</si>
  <si>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</si>
  <si>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</si>
  <si>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</si>
  <si>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</si>
  <si>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</si>
  <si>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</si>
  <si>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</si>
  <si>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</si>
  <si>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</si>
  <si>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</si>
  <si>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</si>
  <si>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</si>
  <si>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</si>
  <si>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</si>
  <si>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</si>
  <si>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</si>
  <si>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</si>
  <si>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</si>
  <si>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</si>
  <si>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</si>
  <si>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</si>
  <si>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</si>
  <si>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</si>
  <si>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</si>
  <si>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</si>
  <si>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</si>
  <si>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</si>
  <si>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</si>
  <si>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</si>
  <si>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</si>
  <si>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</si>
  <si>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</si>
  <si>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</si>
  <si>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</si>
  <si>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</si>
  <si>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</si>
  <si>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</si>
  <si>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</si>
  <si>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</si>
  <si>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</si>
  <si>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</si>
  <si>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</si>
  <si>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</si>
  <si>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</si>
  <si>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</si>
  <si>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</si>
  <si>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</si>
  <si>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</si>
  <si>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</si>
  <si>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</si>
  <si>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</si>
  <si>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</si>
  <si>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</si>
  <si>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</si>
  <si>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</si>
  <si>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</si>
  <si>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</si>
  <si>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</si>
  <si>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</si>
  <si>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</si>
  <si>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</si>
  <si>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</si>
  <si>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</si>
  <si>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</si>
  <si>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</si>
  <si>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</si>
  <si>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</si>
  <si>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</si>
  <si>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</si>
  <si>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</si>
  <si>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</si>
  <si>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</si>
  <si>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</si>
  <si>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</si>
  <si>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</si>
  <si>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</si>
  <si>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</si>
  <si>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</si>
  <si>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</si>
  <si>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</si>
  <si>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</si>
  <si>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</si>
  <si>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</si>
  <si>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</si>
  <si>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</si>
  <si>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</si>
  <si>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</si>
  <si>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</si>
  <si>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</si>
  <si>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</si>
  <si>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</si>
  <si>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</si>
  <si>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</si>
  <si>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</si>
  <si>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</si>
  <si>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</si>
  <si>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</si>
  <si>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</si>
  <si>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</si>
  <si>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</si>
  <si>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</si>
  <si>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</si>
  <si>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</si>
  <si>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</si>
  <si>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</si>
  <si>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</si>
  <si>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</si>
  <si>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</si>
  <si>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</si>
  <si>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</si>
  <si>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</si>
  <si>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</si>
  <si>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</si>
  <si>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</si>
  <si>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</si>
  <si>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</si>
  <si>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</si>
  <si>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</si>
  <si>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</si>
  <si>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</si>
  <si>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</si>
  <si>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</si>
  <si>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</si>
  <si>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</si>
  <si>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</si>
  <si>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</si>
  <si>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</si>
  <si>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</si>
  <si>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</si>
  <si>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</si>
  <si>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</si>
  <si>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</si>
  <si>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</si>
  <si>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</si>
  <si>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</si>
  <si>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</si>
  <si>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</si>
  <si>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</si>
  <si>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</si>
  <si>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</si>
  <si>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</si>
  <si>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</si>
  <si>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</si>
  <si>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</si>
  <si>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</si>
  <si>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</si>
  <si>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</si>
  <si>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</si>
  <si>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</si>
  <si>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</si>
  <si>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</si>
  <si>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</si>
  <si>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</si>
  <si>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</si>
  <si>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</si>
  <si>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</si>
  <si>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</si>
  <si>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</si>
  <si>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</si>
  <si>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</si>
  <si>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</si>
  <si>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</si>
  <si>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</si>
  <si>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</si>
  <si>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</si>
  <si>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</si>
  <si>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</si>
  <si>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</si>
  <si>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</si>
  <si>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</si>
  <si>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</si>
  <si>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</si>
  <si>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</si>
  <si>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</si>
  <si>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</si>
  <si>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</si>
  <si>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</si>
  <si>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</si>
  <si>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</si>
  <si>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</si>
  <si>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</si>
  <si>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</si>
  <si>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</si>
  <si>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</si>
  <si>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</si>
  <si>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</si>
  <si>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</si>
  <si>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</si>
  <si>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</si>
  <si>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</si>
  <si>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</si>
  <si>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</si>
  <si>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</si>
  <si>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</si>
  <si>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</si>
  <si>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</si>
  <si>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</si>
  <si>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</si>
  <si>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</si>
  <si>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</si>
  <si>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</si>
  <si>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</si>
  <si>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</si>
  <si>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</si>
  <si>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</si>
  <si>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</si>
  <si>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</si>
  <si>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</si>
  <si>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</si>
  <si>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</si>
  <si>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</si>
  <si>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</si>
  <si>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</si>
  <si>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</si>
  <si>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</si>
  <si>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</si>
  <si>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</si>
  <si>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</si>
  <si>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</si>
  <si>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</si>
  <si>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</si>
  <si>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</si>
  <si>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</si>
  <si>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</si>
  <si>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</si>
  <si>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</si>
  <si>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</si>
  <si>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</si>
  <si>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</si>
  <si>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</si>
  <si>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</si>
  <si>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</si>
  <si>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</si>
  <si>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</si>
  <si>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</si>
  <si>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</si>
  <si>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</si>
  <si>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</si>
  <si>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</si>
  <si>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</si>
  <si>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</si>
  <si>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Última fecha de Actualización: 15/09/2026 17:25</t>
  </si>
  <si>
    <t>Mes Programado</t>
  </si>
  <si>
    <t>$D$1</t>
  </si>
  <si>
    <t>Mes finalizada</t>
  </si>
  <si>
    <t>$E$1</t>
  </si>
  <si>
    <t>Mes Programada</t>
  </si>
  <si>
    <t>$D$2</t>
  </si>
  <si>
    <t>$D$3</t>
  </si>
  <si>
    <t>$E$2</t>
  </si>
  <si>
    <t>$E$3</t>
  </si>
  <si>
    <t>$D$5</t>
  </si>
  <si>
    <t>$D$7</t>
  </si>
  <si>
    <t>$D$8</t>
  </si>
  <si>
    <t>$D$9</t>
  </si>
  <si>
    <t>$D$10</t>
  </si>
  <si>
    <t>$D$11</t>
  </si>
  <si>
    <t>$D$12</t>
  </si>
  <si>
    <t>$E$12</t>
  </si>
  <si>
    <t>$D$13</t>
  </si>
  <si>
    <t>$E$13</t>
  </si>
  <si>
    <t>$E$4</t>
  </si>
  <si>
    <t>$E$5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</si>
</sst>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8">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28" fillId="22" borderId="20" xfId="0" applyFont="1" applyFill="1" applyBorder="1" applyAlignment="1">
      <alignment horizontal="center" vertical="center" wrapText="1" readingOrder="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4" tint="0.39997558519241921"/>
        </patternFill>
      </fill>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69">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2">
      <pivotArea dataOnly="0" fieldPosition="0">
        <references count="1">
          <reference field="2" count="2">
            <x v="0"/>
            <x v="1"/>
          </reference>
        </references>
      </pivotArea>
    </format>
    <format dxfId="81">
      <pivotArea dataOnly="0" labelOnly="1" fieldPosition="0">
        <references count="1">
          <reference field="2" count="2">
            <x v="2"/>
            <x v="3"/>
          </reference>
        </references>
      </pivotArea>
    </format>
    <format dxfId="80">
      <pivotArea dataOnly="0" labelOnly="1" fieldPosition="0">
        <references count="1">
          <reference field="2" count="2">
            <x v="6"/>
            <x v="7"/>
          </reference>
        </references>
      </pivotArea>
    </format>
    <format dxfId="79">
      <pivotArea dataOnly="0" labelOnly="1" fieldPosition="0">
        <references count="1">
          <reference field="2" count="1">
            <x v="9"/>
          </reference>
        </references>
      </pivotArea>
    </format>
    <format dxfId="78">
      <pivotArea dataOnly="0" labelOnly="1" fieldPosition="0">
        <references count="1">
          <reference field="2" count="2">
            <x v="11"/>
            <x v="12"/>
          </reference>
        </references>
      </pivotArea>
    </format>
    <format dxfId="77">
      <pivotArea dataOnly="0" labelOnly="1" fieldPosition="0">
        <references count="1">
          <reference field="2" count="1">
            <x v="18"/>
          </reference>
        </references>
      </pivotArea>
    </format>
    <format dxfId="76">
      <pivotArea dataOnly="0" labelOnly="1" fieldPosition="0">
        <references count="1">
          <reference field="2" count="1">
            <x v="14"/>
          </reference>
        </references>
      </pivotArea>
    </format>
    <format dxfId="75">
      <pivotArea dataOnly="0" labelOnly="1" fieldPosition="0">
        <references count="1">
          <reference field="2" count="1">
            <x v="15"/>
          </reference>
        </references>
      </pivotArea>
    </format>
    <format dxfId="74">
      <pivotArea dataOnly="0" labelOnly="1" outline="0" fieldPosition="0">
        <references count="1">
          <reference field="4294967294" count="3">
            <x v="1"/>
            <x v="2"/>
            <x v="3"/>
          </reference>
        </references>
      </pivotArea>
    </format>
    <format dxfId="73">
      <pivotArea outline="0" collapsedLevelsAreSubtotals="1" fieldPosition="0">
        <references count="1">
          <reference field="4294967294" count="3" selected="0">
            <x v="1"/>
            <x v="2"/>
            <x v="3"/>
          </reference>
        </references>
      </pivotArea>
    </format>
    <format dxfId="72">
      <pivotArea dataOnly="0" labelOnly="1" fieldPosition="0">
        <references count="1">
          <reference field="2" count="1">
            <x v="21"/>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1750</v>
      </c>
    </row>
    <row r="33" spans="6:9">
      <c r="F33" s="163"/>
      <c r="G33" s="163"/>
      <c r="H33" s="163"/>
      <c r="I33" s="163"/>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065"/>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9" customWidth="1"/>
    <col min="9" max="16384" width="11.5546875" style="55"/>
  </cols>
  <sheetData>
    <row r="2" spans="2:7">
      <c r="B2" s="57" t="s">
        <v>612</v>
      </c>
      <c r="C2" s="57" t="s">
        <v>613</v>
      </c>
      <c r="D2" s="57" t="s">
        <v>614</v>
      </c>
      <c r="E2" s="57" t="s">
        <v>615</v>
      </c>
      <c r="F2" s="128" t="s">
        <v>616</v>
      </c>
      <c r="G2" s="128" t="s">
        <v>617</v>
      </c>
    </row>
    <row r="3" spans="2:7" ht="26.4">
      <c r="B3" s="56">
        <v>46128</v>
      </c>
      <c r="C3" s="69">
        <v>46128.598622685182</v>
      </c>
      <c r="D3" s="55" t="s">
        <v>680</v>
      </c>
      <c r="E3" s="55" t="s">
        <v>681</v>
      </c>
      <c r="G3" s="129" t="s">
        <v>679</v>
      </c>
    </row>
    <row r="4" spans="2:7" ht="303.60000000000002">
      <c r="B4" s="56">
        <v>46129</v>
      </c>
      <c r="C4" s="69">
        <v>46129.394525462965</v>
      </c>
      <c r="D4" s="55" t="s">
        <v>684</v>
      </c>
      <c r="E4" s="55" t="s">
        <v>685</v>
      </c>
      <c r="F4" s="129" t="s">
        <v>123</v>
      </c>
      <c r="G4" s="129" t="s">
        <v>451</v>
      </c>
    </row>
    <row r="5" spans="2:7">
      <c r="B5" s="56">
        <v>46129</v>
      </c>
      <c r="C5" s="69">
        <v>46129.395092592589</v>
      </c>
      <c r="D5" s="55" t="s">
        <v>684</v>
      </c>
      <c r="E5" s="55" t="s">
        <v>686</v>
      </c>
      <c r="F5" s="130">
        <v>46022</v>
      </c>
      <c r="G5" s="130">
        <v>46171</v>
      </c>
    </row>
    <row r="6" spans="2:7">
      <c r="B6" s="56">
        <v>46129</v>
      </c>
      <c r="C6" s="69">
        <v>46129.395115740743</v>
      </c>
      <c r="D6" s="55" t="s">
        <v>684</v>
      </c>
      <c r="E6" s="55" t="s">
        <v>687</v>
      </c>
      <c r="F6" s="129" t="s">
        <v>33</v>
      </c>
      <c r="G6" s="129" t="s">
        <v>201</v>
      </c>
    </row>
    <row r="7" spans="2:7">
      <c r="B7" s="56">
        <v>46129</v>
      </c>
      <c r="C7" s="69">
        <v>46129.491608796299</v>
      </c>
      <c r="D7" s="55" t="s">
        <v>689</v>
      </c>
      <c r="E7" s="55" t="s">
        <v>681</v>
      </c>
      <c r="G7" s="129" t="s">
        <v>688</v>
      </c>
    </row>
    <row r="8" spans="2:7">
      <c r="B8" s="56">
        <v>46129</v>
      </c>
      <c r="C8" s="69">
        <v>46129.491655092592</v>
      </c>
      <c r="D8" s="55" t="s">
        <v>689</v>
      </c>
      <c r="E8" s="55" t="s">
        <v>681</v>
      </c>
      <c r="G8" s="130" t="s">
        <v>690</v>
      </c>
    </row>
    <row r="9" spans="2:7" ht="26.4">
      <c r="B9" s="56">
        <v>46129</v>
      </c>
      <c r="C9" s="69">
        <v>46129.491770833331</v>
      </c>
      <c r="D9" s="55" t="s">
        <v>689</v>
      </c>
      <c r="E9" s="55" t="s">
        <v>681</v>
      </c>
      <c r="F9" s="130"/>
      <c r="G9" s="130" t="s">
        <v>691</v>
      </c>
    </row>
    <row r="10" spans="2:7" ht="26.4">
      <c r="B10" s="56">
        <v>46129</v>
      </c>
      <c r="C10" s="69">
        <v>46129.49181712963</v>
      </c>
      <c r="D10" s="55" t="s">
        <v>689</v>
      </c>
      <c r="E10" s="55" t="s">
        <v>681</v>
      </c>
      <c r="G10" s="130" t="s">
        <v>692</v>
      </c>
    </row>
    <row r="11" spans="2:7" ht="39.6">
      <c r="B11" s="56">
        <v>46129</v>
      </c>
      <c r="C11" s="69">
        <v>46129.492256944446</v>
      </c>
      <c r="D11" s="55" t="s">
        <v>689</v>
      </c>
      <c r="E11" s="55" t="s">
        <v>681</v>
      </c>
      <c r="F11" s="130"/>
      <c r="G11" s="130" t="s">
        <v>693</v>
      </c>
    </row>
    <row r="12" spans="2:7">
      <c r="B12" s="56">
        <v>46129</v>
      </c>
      <c r="C12" s="69">
        <v>46129.494988425926</v>
      </c>
      <c r="D12" s="55" t="s">
        <v>695</v>
      </c>
      <c r="E12" s="55" t="s">
        <v>696</v>
      </c>
      <c r="G12" s="130" t="s">
        <v>694</v>
      </c>
    </row>
    <row r="13" spans="2:7" ht="26.4">
      <c r="B13" s="56">
        <v>46129</v>
      </c>
      <c r="C13" s="69">
        <v>46129.495706018519</v>
      </c>
      <c r="D13" s="55" t="s">
        <v>695</v>
      </c>
      <c r="E13" s="55" t="s">
        <v>697</v>
      </c>
      <c r="G13" s="129" t="s">
        <v>210</v>
      </c>
    </row>
    <row r="14" spans="2:7" ht="39.6">
      <c r="B14" s="56">
        <v>46129</v>
      </c>
      <c r="C14" s="69">
        <v>46129.496527777781</v>
      </c>
      <c r="D14" s="55" t="s">
        <v>695</v>
      </c>
      <c r="E14" s="55" t="s">
        <v>699</v>
      </c>
      <c r="G14" s="130" t="s">
        <v>698</v>
      </c>
    </row>
    <row r="15" spans="2:7">
      <c r="B15" s="56">
        <v>46129</v>
      </c>
      <c r="C15" s="69">
        <v>46129.49659722222</v>
      </c>
      <c r="D15" s="55" t="s">
        <v>695</v>
      </c>
      <c r="E15" s="55" t="s">
        <v>701</v>
      </c>
      <c r="G15" s="130" t="s">
        <v>700</v>
      </c>
    </row>
    <row r="16" spans="2:7">
      <c r="B16" s="56">
        <v>46129</v>
      </c>
      <c r="C16" s="69">
        <v>46129.496932870374</v>
      </c>
      <c r="D16" s="55" t="s">
        <v>695</v>
      </c>
      <c r="E16" s="55" t="s">
        <v>701</v>
      </c>
      <c r="F16" s="129" t="s">
        <v>700</v>
      </c>
      <c r="G16" s="130"/>
    </row>
    <row r="17" spans="2:7" ht="100.2" customHeight="1">
      <c r="B17" s="56">
        <v>46129</v>
      </c>
      <c r="C17" s="69">
        <v>46129.497002314813</v>
      </c>
      <c r="D17" s="55" t="s">
        <v>695</v>
      </c>
      <c r="E17" s="55" t="s">
        <v>699</v>
      </c>
      <c r="F17" s="129" t="s">
        <v>698</v>
      </c>
      <c r="G17" s="130" t="s">
        <v>702</v>
      </c>
    </row>
    <row r="18" spans="2:7" ht="39.6">
      <c r="B18" s="56">
        <v>46129</v>
      </c>
      <c r="C18" s="69">
        <v>46129.497662037036</v>
      </c>
      <c r="D18" s="55" t="s">
        <v>695</v>
      </c>
      <c r="E18" s="55" t="s">
        <v>697</v>
      </c>
      <c r="F18" s="129" t="s">
        <v>210</v>
      </c>
      <c r="G18" s="130" t="s">
        <v>703</v>
      </c>
    </row>
    <row r="19" spans="2:7" ht="39.6">
      <c r="B19" s="56">
        <v>46129</v>
      </c>
      <c r="C19" s="69">
        <v>46129.497881944444</v>
      </c>
      <c r="D19" s="55" t="s">
        <v>695</v>
      </c>
      <c r="E19" s="55" t="s">
        <v>697</v>
      </c>
      <c r="F19" s="129" t="s">
        <v>703</v>
      </c>
      <c r="G19" s="130" t="s">
        <v>704</v>
      </c>
    </row>
    <row r="20" spans="2:7" ht="92.4">
      <c r="B20" s="56">
        <v>46129</v>
      </c>
      <c r="C20" s="69">
        <v>46129.498969907407</v>
      </c>
      <c r="D20" s="55" t="s">
        <v>695</v>
      </c>
      <c r="E20" s="55" t="s">
        <v>706</v>
      </c>
      <c r="G20" s="130" t="s">
        <v>705</v>
      </c>
    </row>
    <row r="21" spans="2:7" ht="92.4">
      <c r="B21" s="56">
        <v>46129</v>
      </c>
      <c r="C21" s="69">
        <v>46129.499432870369</v>
      </c>
      <c r="D21" s="55" t="s">
        <v>695</v>
      </c>
      <c r="E21" s="55" t="s">
        <v>706</v>
      </c>
      <c r="F21" s="129" t="s">
        <v>705</v>
      </c>
      <c r="G21" s="129" t="s">
        <v>707</v>
      </c>
    </row>
    <row r="22" spans="2:7" ht="52.8">
      <c r="B22" s="56">
        <v>46129</v>
      </c>
      <c r="C22" s="69">
        <v>46129.500324074077</v>
      </c>
      <c r="D22" s="55" t="s">
        <v>695</v>
      </c>
      <c r="E22" s="55" t="s">
        <v>699</v>
      </c>
      <c r="F22" s="129" t="s">
        <v>702</v>
      </c>
      <c r="G22" s="130" t="s">
        <v>708</v>
      </c>
    </row>
    <row r="23" spans="2:7" ht="52.8">
      <c r="B23" s="56">
        <v>46129</v>
      </c>
      <c r="C23" s="69">
        <v>46129.500474537039</v>
      </c>
      <c r="D23" s="55" t="s">
        <v>695</v>
      </c>
      <c r="E23" s="55" t="s">
        <v>699</v>
      </c>
      <c r="F23" s="129" t="s">
        <v>708</v>
      </c>
      <c r="G23" s="129" t="s">
        <v>709</v>
      </c>
    </row>
    <row r="24" spans="2:7" ht="52.8">
      <c r="B24" s="56">
        <v>46129</v>
      </c>
      <c r="C24" s="69">
        <v>46129.500578703701</v>
      </c>
      <c r="D24" s="55" t="s">
        <v>695</v>
      </c>
      <c r="E24" s="55" t="s">
        <v>699</v>
      </c>
      <c r="F24" s="129" t="s">
        <v>709</v>
      </c>
      <c r="G24" s="130" t="s">
        <v>710</v>
      </c>
    </row>
    <row r="25" spans="2:7">
      <c r="B25" s="56">
        <v>46129</v>
      </c>
      <c r="C25" s="69">
        <v>46129.501828703702</v>
      </c>
      <c r="D25" s="55" t="s">
        <v>713</v>
      </c>
      <c r="E25" s="55" t="s">
        <v>714</v>
      </c>
      <c r="G25" s="129" t="s">
        <v>712</v>
      </c>
    </row>
    <row r="26" spans="2:7" ht="52.8">
      <c r="B26" s="56">
        <v>46129</v>
      </c>
      <c r="C26" s="69">
        <v>46129.502662037034</v>
      </c>
      <c r="D26" s="55" t="s">
        <v>713</v>
      </c>
      <c r="E26" s="55" t="s">
        <v>699</v>
      </c>
      <c r="F26" s="129" t="s">
        <v>710</v>
      </c>
      <c r="G26" s="130" t="s">
        <v>715</v>
      </c>
    </row>
    <row r="27" spans="2:7" ht="79.2">
      <c r="B27" s="56">
        <v>46129</v>
      </c>
      <c r="C27" s="69">
        <v>46129.522870370369</v>
      </c>
      <c r="D27" s="55" t="s">
        <v>713</v>
      </c>
      <c r="E27" s="55" t="s">
        <v>717</v>
      </c>
      <c r="F27" s="129" t="s">
        <v>707</v>
      </c>
      <c r="G27" s="129" t="s">
        <v>718</v>
      </c>
    </row>
    <row r="28" spans="2:7" ht="39.6">
      <c r="B28" s="56">
        <v>46129</v>
      </c>
      <c r="C28" s="69">
        <v>46129.523865740739</v>
      </c>
      <c r="D28" s="55" t="s">
        <v>713</v>
      </c>
      <c r="E28" s="55" t="s">
        <v>720</v>
      </c>
      <c r="F28" s="129" t="s">
        <v>715</v>
      </c>
      <c r="G28" s="130" t="s">
        <v>719</v>
      </c>
    </row>
    <row r="29" spans="2:7">
      <c r="B29" s="56">
        <v>46129</v>
      </c>
      <c r="C29" s="69">
        <v>46129.526076388887</v>
      </c>
      <c r="D29" s="55" t="s">
        <v>721</v>
      </c>
      <c r="E29" s="55" t="s">
        <v>686</v>
      </c>
      <c r="G29" s="129" t="s">
        <v>694</v>
      </c>
    </row>
    <row r="30" spans="2:7" ht="39.6">
      <c r="B30" s="56">
        <v>46129</v>
      </c>
      <c r="C30" s="69">
        <v>46129.529560185183</v>
      </c>
      <c r="D30" s="55" t="s">
        <v>721</v>
      </c>
      <c r="E30" s="55" t="s">
        <v>723</v>
      </c>
      <c r="F30" s="129" t="s">
        <v>704</v>
      </c>
      <c r="G30" s="130" t="s">
        <v>722</v>
      </c>
    </row>
    <row r="31" spans="2:7" ht="52.8">
      <c r="B31" s="56">
        <v>46129</v>
      </c>
      <c r="C31" s="69">
        <v>46129.529976851853</v>
      </c>
      <c r="D31" s="55" t="s">
        <v>721</v>
      </c>
      <c r="E31" s="55" t="s">
        <v>725</v>
      </c>
      <c r="F31" s="129" t="s">
        <v>704</v>
      </c>
      <c r="G31" s="130" t="s">
        <v>724</v>
      </c>
    </row>
    <row r="32" spans="2:7" ht="92.4">
      <c r="B32" s="56">
        <v>46129</v>
      </c>
      <c r="C32" s="69">
        <v>46129.530405092592</v>
      </c>
      <c r="D32" s="55" t="s">
        <v>721</v>
      </c>
      <c r="E32" s="55" t="s">
        <v>726</v>
      </c>
      <c r="F32" s="129" t="s">
        <v>718</v>
      </c>
      <c r="G32" s="130" t="s">
        <v>727</v>
      </c>
    </row>
    <row r="33" spans="2:7" ht="105.6">
      <c r="B33" s="56">
        <v>46129</v>
      </c>
      <c r="C33" s="69">
        <v>46129.530601851853</v>
      </c>
      <c r="D33" s="55" t="s">
        <v>721</v>
      </c>
      <c r="E33" s="55" t="s">
        <v>726</v>
      </c>
      <c r="F33" s="129" t="s">
        <v>727</v>
      </c>
      <c r="G33" s="130" t="s">
        <v>729</v>
      </c>
    </row>
    <row r="34" spans="2:7" ht="52.8">
      <c r="B34" s="56">
        <v>46129</v>
      </c>
      <c r="C34" s="69">
        <v>46129.531400462962</v>
      </c>
      <c r="D34" s="55" t="s">
        <v>721</v>
      </c>
      <c r="E34" s="55" t="s">
        <v>699</v>
      </c>
      <c r="F34" s="129" t="s">
        <v>715</v>
      </c>
      <c r="G34" s="130" t="s">
        <v>730</v>
      </c>
    </row>
    <row r="35" spans="2:7" ht="52.8">
      <c r="B35" s="56">
        <v>46129</v>
      </c>
      <c r="C35" s="69">
        <v>46129.531585648147</v>
      </c>
      <c r="D35" s="55" t="s">
        <v>721</v>
      </c>
      <c r="E35" s="55" t="s">
        <v>699</v>
      </c>
      <c r="F35" s="129" t="s">
        <v>730</v>
      </c>
      <c r="G35" s="130" t="s">
        <v>731</v>
      </c>
    </row>
    <row r="36" spans="2:7" ht="39.6">
      <c r="B36" s="56">
        <v>46129</v>
      </c>
      <c r="C36" s="69">
        <v>46129.549178240741</v>
      </c>
      <c r="D36" s="55" t="s">
        <v>721</v>
      </c>
      <c r="E36" s="55" t="s">
        <v>720</v>
      </c>
      <c r="F36" s="129" t="s">
        <v>719</v>
      </c>
      <c r="G36" s="130" t="s">
        <v>715</v>
      </c>
    </row>
    <row r="37" spans="2:7" ht="52.8">
      <c r="B37" s="56">
        <v>46129</v>
      </c>
      <c r="C37" s="69">
        <v>46129.549479166664</v>
      </c>
      <c r="D37" s="55" t="s">
        <v>721</v>
      </c>
      <c r="E37" s="55" t="s">
        <v>720</v>
      </c>
      <c r="F37" s="130" t="s">
        <v>715</v>
      </c>
      <c r="G37" s="130" t="s">
        <v>732</v>
      </c>
    </row>
    <row r="38" spans="2:7">
      <c r="B38" s="56">
        <v>46130</v>
      </c>
      <c r="C38" s="69">
        <v>46130.748425925929</v>
      </c>
      <c r="D38" s="55" t="s">
        <v>734</v>
      </c>
      <c r="E38" s="55" t="s">
        <v>735</v>
      </c>
      <c r="G38" s="130" t="s">
        <v>733</v>
      </c>
    </row>
    <row r="39" spans="2:7">
      <c r="B39" s="56">
        <v>46130</v>
      </c>
      <c r="C39" s="69">
        <v>46130.748425925929</v>
      </c>
      <c r="D39" s="55" t="s">
        <v>734</v>
      </c>
      <c r="E39" s="55" t="s">
        <v>735</v>
      </c>
      <c r="F39" s="130"/>
      <c r="G39" s="130" t="s">
        <v>733</v>
      </c>
    </row>
    <row r="40" spans="2:7">
      <c r="B40" s="56">
        <v>46130</v>
      </c>
      <c r="C40" s="69">
        <v>46130.748472222222</v>
      </c>
      <c r="D40" s="55" t="s">
        <v>734</v>
      </c>
      <c r="E40" s="55" t="s">
        <v>736</v>
      </c>
      <c r="F40" s="129" t="s">
        <v>733</v>
      </c>
      <c r="G40" s="130"/>
    </row>
    <row r="41" spans="2:7">
      <c r="B41" s="56">
        <v>46130</v>
      </c>
      <c r="C41" s="69">
        <v>46130.748738425929</v>
      </c>
      <c r="D41" s="55" t="s">
        <v>734</v>
      </c>
      <c r="E41" s="55" t="s">
        <v>735</v>
      </c>
      <c r="F41" s="130" t="s">
        <v>733</v>
      </c>
      <c r="G41" s="130" t="s">
        <v>737</v>
      </c>
    </row>
    <row r="42" spans="2:7">
      <c r="B42" s="56">
        <v>46130</v>
      </c>
      <c r="C42" s="69">
        <v>46130.748807870368</v>
      </c>
      <c r="D42" s="55" t="s">
        <v>734</v>
      </c>
      <c r="E42" s="55" t="s">
        <v>739</v>
      </c>
      <c r="G42" s="130" t="s">
        <v>738</v>
      </c>
    </row>
    <row r="43" spans="2:7">
      <c r="B43" s="56">
        <v>46130</v>
      </c>
      <c r="C43" s="69">
        <v>46130.748865740738</v>
      </c>
      <c r="D43" s="55" t="s">
        <v>734</v>
      </c>
      <c r="E43" s="55" t="s">
        <v>741</v>
      </c>
      <c r="F43" s="130"/>
      <c r="G43" s="130" t="s">
        <v>740</v>
      </c>
    </row>
    <row r="44" spans="2:7">
      <c r="B44" s="56">
        <v>46130</v>
      </c>
      <c r="C44" s="69">
        <v>46130.748900462961</v>
      </c>
      <c r="D44" s="55" t="s">
        <v>734</v>
      </c>
      <c r="E44" s="55" t="s">
        <v>743</v>
      </c>
      <c r="G44" s="130" t="s">
        <v>742</v>
      </c>
    </row>
    <row r="45" spans="2:7">
      <c r="B45" s="56">
        <v>46130</v>
      </c>
      <c r="C45" s="69">
        <v>46130.74895833333</v>
      </c>
      <c r="D45" s="55" t="s">
        <v>734</v>
      </c>
      <c r="E45" s="55" t="s">
        <v>745</v>
      </c>
      <c r="F45" s="130"/>
      <c r="G45" s="130" t="s">
        <v>744</v>
      </c>
    </row>
    <row r="46" spans="2:7">
      <c r="B46" s="56">
        <v>46130</v>
      </c>
      <c r="C46" s="69">
        <v>46130.759618055556</v>
      </c>
      <c r="D46" s="55" t="s">
        <v>684</v>
      </c>
      <c r="E46" s="55" t="s">
        <v>746</v>
      </c>
      <c r="F46" s="130">
        <v>46387</v>
      </c>
      <c r="G46" s="130"/>
    </row>
    <row r="47" spans="2:7">
      <c r="B47" s="56">
        <v>46130</v>
      </c>
      <c r="C47" s="69">
        <v>46130.763657407406</v>
      </c>
      <c r="D47" s="55" t="s">
        <v>734</v>
      </c>
      <c r="E47" s="55" t="s">
        <v>747</v>
      </c>
      <c r="G47" s="130">
        <v>46144</v>
      </c>
    </row>
    <row r="48" spans="2:7">
      <c r="B48" s="56">
        <v>46130</v>
      </c>
      <c r="C48" s="69">
        <v>46130.763668981483</v>
      </c>
      <c r="D48" s="55" t="s">
        <v>734</v>
      </c>
      <c r="E48" s="55" t="s">
        <v>747</v>
      </c>
      <c r="G48" s="130">
        <v>46144</v>
      </c>
    </row>
    <row r="49" spans="2:7">
      <c r="B49" s="56">
        <v>46130</v>
      </c>
      <c r="C49" s="69">
        <v>46130.763738425929</v>
      </c>
      <c r="D49" s="55" t="s">
        <v>734</v>
      </c>
      <c r="E49" s="55" t="s">
        <v>747</v>
      </c>
      <c r="F49" s="132">
        <v>46144</v>
      </c>
      <c r="G49" s="130" t="s">
        <v>748</v>
      </c>
    </row>
    <row r="50" spans="2:7">
      <c r="B50" s="56">
        <v>46130</v>
      </c>
      <c r="C50" s="69">
        <v>46130.763912037037</v>
      </c>
      <c r="D50" s="55" t="s">
        <v>734</v>
      </c>
      <c r="E50" s="55" t="s">
        <v>747</v>
      </c>
      <c r="F50" s="129" t="s">
        <v>748</v>
      </c>
      <c r="G50" s="130" t="s">
        <v>749</v>
      </c>
    </row>
    <row r="51" spans="2:7">
      <c r="B51" s="56">
        <v>46131</v>
      </c>
      <c r="C51" s="69">
        <v>46131.441030092596</v>
      </c>
      <c r="D51" s="55" t="s">
        <v>684</v>
      </c>
      <c r="E51" s="55" t="s">
        <v>750</v>
      </c>
      <c r="G51" s="130" t="s">
        <v>201</v>
      </c>
    </row>
    <row r="52" spans="2:7">
      <c r="B52" s="56">
        <v>46131</v>
      </c>
      <c r="C52" s="69">
        <v>46131.441180555557</v>
      </c>
      <c r="D52" s="55" t="s">
        <v>684</v>
      </c>
      <c r="E52" s="55" t="s">
        <v>687</v>
      </c>
      <c r="F52" s="129" t="s">
        <v>201</v>
      </c>
      <c r="G52" s="130" t="s">
        <v>20</v>
      </c>
    </row>
    <row r="53" spans="2:7">
      <c r="B53" s="56">
        <v>46131</v>
      </c>
      <c r="C53" s="69">
        <v>46131.442465277774</v>
      </c>
      <c r="D53" s="55" t="s">
        <v>684</v>
      </c>
      <c r="E53" s="55" t="s">
        <v>687</v>
      </c>
      <c r="F53" s="129" t="s">
        <v>20</v>
      </c>
      <c r="G53" s="130" t="s">
        <v>201</v>
      </c>
    </row>
    <row r="54" spans="2:7">
      <c r="B54" s="56">
        <v>46131</v>
      </c>
      <c r="C54" s="69">
        <v>46131.442499999997</v>
      </c>
      <c r="D54" s="55" t="s">
        <v>684</v>
      </c>
      <c r="E54" s="55" t="s">
        <v>750</v>
      </c>
      <c r="F54" s="129" t="s">
        <v>201</v>
      </c>
      <c r="G54" s="130"/>
    </row>
    <row r="55" spans="2:7" ht="26.4">
      <c r="B55" s="56">
        <v>46132</v>
      </c>
      <c r="C55" s="69">
        <v>46132.602002314816</v>
      </c>
      <c r="D55" s="55" t="s">
        <v>721</v>
      </c>
      <c r="E55" s="55" t="s">
        <v>752</v>
      </c>
      <c r="G55" s="130" t="s">
        <v>751</v>
      </c>
    </row>
    <row r="56" spans="2:7" ht="26.4">
      <c r="B56" s="56">
        <v>46132</v>
      </c>
      <c r="C56" s="69">
        <v>46132.602453703701</v>
      </c>
      <c r="D56" s="55" t="s">
        <v>721</v>
      </c>
      <c r="E56" s="55" t="s">
        <v>753</v>
      </c>
      <c r="G56" s="129" t="s">
        <v>751</v>
      </c>
    </row>
    <row r="57" spans="2:7" ht="39.6">
      <c r="B57" s="56">
        <v>46132</v>
      </c>
      <c r="C57" s="69">
        <v>46132.605208333334</v>
      </c>
      <c r="D57" s="55" t="s">
        <v>721</v>
      </c>
      <c r="E57" s="55" t="s">
        <v>754</v>
      </c>
      <c r="G57" s="130" t="s">
        <v>755</v>
      </c>
    </row>
    <row r="58" spans="2:7" ht="26.4">
      <c r="B58" s="56">
        <v>46132</v>
      </c>
      <c r="C58" s="69">
        <v>46132.608240740738</v>
      </c>
      <c r="D58" s="55" t="s">
        <v>721</v>
      </c>
      <c r="E58" s="55" t="s">
        <v>757</v>
      </c>
      <c r="G58" s="130" t="s">
        <v>756</v>
      </c>
    </row>
    <row r="59" spans="2:7" ht="26.4">
      <c r="B59" s="56">
        <v>46132</v>
      </c>
      <c r="C59" s="69">
        <v>46132.617210648146</v>
      </c>
      <c r="D59" s="55" t="s">
        <v>721</v>
      </c>
      <c r="E59" s="55" t="s">
        <v>758</v>
      </c>
      <c r="G59" s="129" t="s">
        <v>756</v>
      </c>
    </row>
    <row r="60" spans="2:7" ht="92.4">
      <c r="B60" s="56">
        <v>46135</v>
      </c>
      <c r="C60" s="69">
        <v>46135.38789351852</v>
      </c>
      <c r="D60" s="55" t="s">
        <v>721</v>
      </c>
      <c r="E60" s="55" t="s">
        <v>717</v>
      </c>
      <c r="F60" s="129" t="s">
        <v>718</v>
      </c>
      <c r="G60" s="130" t="s">
        <v>759</v>
      </c>
    </row>
    <row r="61" spans="2:7" ht="79.2">
      <c r="B61" s="56">
        <v>46135</v>
      </c>
      <c r="C61" s="69">
        <v>46135.388113425928</v>
      </c>
      <c r="D61" s="55" t="s">
        <v>721</v>
      </c>
      <c r="E61" s="55" t="s">
        <v>717</v>
      </c>
      <c r="G61" s="130" t="s">
        <v>718</v>
      </c>
    </row>
    <row r="62" spans="2:7">
      <c r="B62" s="56">
        <v>46135</v>
      </c>
      <c r="C62" s="69">
        <v>46135.520613425928</v>
      </c>
      <c r="D62" s="55" t="s">
        <v>684</v>
      </c>
      <c r="E62" s="55" t="s">
        <v>760</v>
      </c>
      <c r="F62" s="129" t="s">
        <v>201</v>
      </c>
      <c r="G62" s="130" t="s">
        <v>33</v>
      </c>
    </row>
    <row r="63" spans="2:7">
      <c r="B63" s="56">
        <v>46135</v>
      </c>
      <c r="C63" s="69">
        <v>46135.520671296297</v>
      </c>
      <c r="D63" s="55" t="s">
        <v>684</v>
      </c>
      <c r="E63" s="55" t="s">
        <v>761</v>
      </c>
      <c r="F63" s="129" t="s">
        <v>201</v>
      </c>
      <c r="G63" s="130" t="s">
        <v>33</v>
      </c>
    </row>
    <row r="64" spans="2:7">
      <c r="B64" s="56">
        <v>46139</v>
      </c>
      <c r="C64" s="69">
        <v>46139.594606481478</v>
      </c>
      <c r="D64" s="55" t="s">
        <v>721</v>
      </c>
      <c r="E64" s="55" t="s">
        <v>764</v>
      </c>
      <c r="G64" s="130" t="s">
        <v>763</v>
      </c>
    </row>
    <row r="65" spans="2:7">
      <c r="B65" s="56">
        <v>46139</v>
      </c>
      <c r="C65" s="69">
        <v>46139.594953703701</v>
      </c>
      <c r="D65" s="55" t="s">
        <v>721</v>
      </c>
      <c r="E65" s="55" t="s">
        <v>766</v>
      </c>
      <c r="G65" s="129" t="s">
        <v>765</v>
      </c>
    </row>
    <row r="66" spans="2:7">
      <c r="B66" s="56">
        <v>46139</v>
      </c>
      <c r="C66" s="69">
        <v>46139.595069444447</v>
      </c>
      <c r="D66" s="55" t="s">
        <v>721</v>
      </c>
      <c r="E66" s="55" t="s">
        <v>766</v>
      </c>
      <c r="F66" s="129" t="s">
        <v>765</v>
      </c>
      <c r="G66" s="130" t="s">
        <v>767</v>
      </c>
    </row>
    <row r="67" spans="2:7" ht="39.6">
      <c r="B67" s="56">
        <v>46139</v>
      </c>
      <c r="C67" s="69">
        <v>46139.597592592596</v>
      </c>
      <c r="D67" s="55" t="s">
        <v>721</v>
      </c>
      <c r="E67" s="55" t="s">
        <v>769</v>
      </c>
      <c r="G67" s="130" t="s">
        <v>768</v>
      </c>
    </row>
    <row r="68" spans="2:7" ht="39.6">
      <c r="B68" s="56">
        <v>46139</v>
      </c>
      <c r="C68" s="69">
        <v>46139.597881944443</v>
      </c>
      <c r="D68" s="55" t="s">
        <v>721</v>
      </c>
      <c r="E68" s="55" t="s">
        <v>769</v>
      </c>
      <c r="F68" s="129" t="s">
        <v>768</v>
      </c>
      <c r="G68" s="129" t="s">
        <v>770</v>
      </c>
    </row>
    <row r="69" spans="2:7" ht="39.6">
      <c r="B69" s="56">
        <v>46139</v>
      </c>
      <c r="C69" s="69">
        <v>46139.602546296293</v>
      </c>
      <c r="D69" s="55" t="s">
        <v>721</v>
      </c>
      <c r="E69" s="55" t="s">
        <v>772</v>
      </c>
      <c r="G69" s="130" t="s">
        <v>771</v>
      </c>
    </row>
    <row r="70" spans="2:7" ht="39.6">
      <c r="B70" s="56">
        <v>46139</v>
      </c>
      <c r="C70" s="69">
        <v>46139.609351851854</v>
      </c>
      <c r="D70" s="55" t="s">
        <v>721</v>
      </c>
      <c r="E70" s="55" t="s">
        <v>769</v>
      </c>
      <c r="F70" s="129" t="s">
        <v>770</v>
      </c>
      <c r="G70" s="129" t="s">
        <v>773</v>
      </c>
    </row>
    <row r="71" spans="2:7">
      <c r="B71" s="56">
        <v>46153</v>
      </c>
      <c r="C71" s="69">
        <v>46153.402812499997</v>
      </c>
      <c r="D71" s="55" t="s">
        <v>721</v>
      </c>
      <c r="E71" s="55" t="s">
        <v>776</v>
      </c>
      <c r="F71" s="129" t="s">
        <v>33</v>
      </c>
      <c r="G71" s="130" t="s">
        <v>201</v>
      </c>
    </row>
    <row r="72" spans="2:7">
      <c r="B72" s="56">
        <v>46153</v>
      </c>
      <c r="C72" s="69">
        <v>46153.40284722222</v>
      </c>
      <c r="D72" s="55" t="s">
        <v>721</v>
      </c>
      <c r="E72" s="55" t="s">
        <v>777</v>
      </c>
      <c r="F72" s="129" t="s">
        <v>33</v>
      </c>
      <c r="G72" s="130" t="s">
        <v>201</v>
      </c>
    </row>
    <row r="73" spans="2:7">
      <c r="B73" s="56">
        <v>46153</v>
      </c>
      <c r="C73" s="69">
        <v>46153.403009259258</v>
      </c>
      <c r="D73" s="55" t="s">
        <v>721</v>
      </c>
      <c r="E73" s="55" t="s">
        <v>778</v>
      </c>
      <c r="F73" s="129" t="s">
        <v>33</v>
      </c>
      <c r="G73" s="130" t="s">
        <v>20</v>
      </c>
    </row>
    <row r="74" spans="2:7">
      <c r="B74" s="56">
        <v>46153</v>
      </c>
      <c r="C74" s="69">
        <v>46153.403356481482</v>
      </c>
      <c r="D74" s="55" t="s">
        <v>721</v>
      </c>
      <c r="E74" s="55" t="s">
        <v>779</v>
      </c>
      <c r="F74" s="129" t="s">
        <v>33</v>
      </c>
      <c r="G74" s="129" t="s">
        <v>20</v>
      </c>
    </row>
    <row r="75" spans="2:7">
      <c r="B75" s="56">
        <v>46153</v>
      </c>
      <c r="C75" s="69">
        <v>46153.403425925928</v>
      </c>
      <c r="D75" s="55" t="s">
        <v>721</v>
      </c>
      <c r="E75" s="55" t="s">
        <v>780</v>
      </c>
      <c r="F75" s="129" t="s">
        <v>33</v>
      </c>
      <c r="G75" s="129" t="s">
        <v>20</v>
      </c>
    </row>
    <row r="76" spans="2:7">
      <c r="B76" s="56">
        <v>46153</v>
      </c>
      <c r="C76" s="69">
        <v>46153.419398148151</v>
      </c>
      <c r="D76" s="55" t="s">
        <v>721</v>
      </c>
      <c r="E76" s="55" t="s">
        <v>782</v>
      </c>
      <c r="F76" s="129" t="s">
        <v>33</v>
      </c>
      <c r="G76" s="130" t="s">
        <v>781</v>
      </c>
    </row>
    <row r="77" spans="2:7">
      <c r="B77" s="56">
        <v>46153</v>
      </c>
      <c r="C77" s="69">
        <v>46153.419456018521</v>
      </c>
      <c r="D77" s="55" t="s">
        <v>721</v>
      </c>
      <c r="E77" s="55" t="s">
        <v>782</v>
      </c>
      <c r="F77" s="129" t="s">
        <v>781</v>
      </c>
      <c r="G77" s="129" t="s">
        <v>20</v>
      </c>
    </row>
    <row r="78" spans="2:7">
      <c r="B78" s="56">
        <v>46153</v>
      </c>
      <c r="C78" s="69">
        <v>46153.41951388889</v>
      </c>
      <c r="D78" s="55" t="s">
        <v>721</v>
      </c>
      <c r="E78" s="55" t="s">
        <v>784</v>
      </c>
      <c r="G78" s="129" t="s">
        <v>783</v>
      </c>
    </row>
    <row r="79" spans="2:7">
      <c r="B79" s="56">
        <v>46153</v>
      </c>
      <c r="C79" s="69">
        <v>46153.419571759259</v>
      </c>
      <c r="D79" s="55" t="s">
        <v>721</v>
      </c>
      <c r="E79" s="55" t="s">
        <v>785</v>
      </c>
      <c r="G79" s="129" t="s">
        <v>201</v>
      </c>
    </row>
    <row r="80" spans="2:7">
      <c r="B80" s="56">
        <v>46153</v>
      </c>
      <c r="C80" s="69">
        <v>46153.419675925928</v>
      </c>
      <c r="D80" s="55" t="s">
        <v>721</v>
      </c>
      <c r="E80" s="55" t="s">
        <v>786</v>
      </c>
      <c r="F80" s="129" t="s">
        <v>33</v>
      </c>
      <c r="G80" s="129" t="s">
        <v>201</v>
      </c>
    </row>
    <row r="81" spans="2:7">
      <c r="B81" s="56">
        <v>46153</v>
      </c>
      <c r="C81" s="69">
        <v>46153.419687499998</v>
      </c>
      <c r="D81" s="55" t="s">
        <v>721</v>
      </c>
      <c r="E81" s="55" t="s">
        <v>785</v>
      </c>
      <c r="F81" s="129" t="s">
        <v>201</v>
      </c>
    </row>
    <row r="82" spans="2:7">
      <c r="B82" s="56">
        <v>46153</v>
      </c>
      <c r="C82" s="69">
        <v>46153.419803240744</v>
      </c>
      <c r="D82" s="55" t="s">
        <v>721</v>
      </c>
      <c r="E82" s="55" t="s">
        <v>787</v>
      </c>
      <c r="F82" s="129" t="s">
        <v>33</v>
      </c>
      <c r="G82" s="130" t="s">
        <v>20</v>
      </c>
    </row>
    <row r="83" spans="2:7" ht="39.6">
      <c r="B83" s="56">
        <v>46153</v>
      </c>
      <c r="C83" s="69">
        <v>46153.426446759258</v>
      </c>
      <c r="D83" s="55" t="s">
        <v>721</v>
      </c>
      <c r="E83" s="55" t="s">
        <v>789</v>
      </c>
      <c r="F83" s="129" t="s">
        <v>719</v>
      </c>
      <c r="G83" s="130" t="s">
        <v>788</v>
      </c>
    </row>
    <row r="84" spans="2:7" ht="39.6">
      <c r="B84" s="56">
        <v>46153</v>
      </c>
      <c r="C84" s="69">
        <v>46153.465983796297</v>
      </c>
      <c r="D84" s="55" t="s">
        <v>721</v>
      </c>
      <c r="E84" s="55" t="s">
        <v>791</v>
      </c>
      <c r="F84" s="129" t="s">
        <v>755</v>
      </c>
      <c r="G84" s="129" t="s">
        <v>790</v>
      </c>
    </row>
    <row r="85" spans="2:7" ht="26.4">
      <c r="B85" s="56">
        <v>46153</v>
      </c>
      <c r="C85" s="69">
        <v>46153.466319444444</v>
      </c>
      <c r="D85" s="55" t="s">
        <v>721</v>
      </c>
      <c r="E85" s="55" t="s">
        <v>793</v>
      </c>
      <c r="F85" s="129" t="s">
        <v>756</v>
      </c>
      <c r="G85" s="129" t="s">
        <v>794</v>
      </c>
    </row>
    <row r="86" spans="2:7" ht="26.4">
      <c r="B86" s="56">
        <v>46153</v>
      </c>
      <c r="C86" s="69">
        <v>46153.46638888889</v>
      </c>
      <c r="D86" s="55" t="s">
        <v>721</v>
      </c>
      <c r="E86" s="55" t="s">
        <v>795</v>
      </c>
      <c r="F86" s="129" t="s">
        <v>756</v>
      </c>
      <c r="G86" s="129" t="s">
        <v>794</v>
      </c>
    </row>
    <row r="87" spans="2:7">
      <c r="B87" s="56">
        <v>46154</v>
      </c>
      <c r="C87" s="69">
        <v>46154.674733796295</v>
      </c>
      <c r="D87" s="55" t="s">
        <v>721</v>
      </c>
      <c r="E87" s="55" t="s">
        <v>797</v>
      </c>
      <c r="G87" s="129" t="s">
        <v>796</v>
      </c>
    </row>
    <row r="88" spans="2:7" ht="66">
      <c r="B88" s="56">
        <v>46178</v>
      </c>
      <c r="C88" s="69">
        <v>46178.459861111114</v>
      </c>
      <c r="D88" s="55" t="s">
        <v>684</v>
      </c>
      <c r="E88" s="55" t="s">
        <v>799</v>
      </c>
      <c r="F88" s="129" t="s">
        <v>32</v>
      </c>
      <c r="G88" s="130" t="s">
        <v>798</v>
      </c>
    </row>
    <row r="89" spans="2:7" ht="52.8">
      <c r="B89" s="56">
        <v>46178</v>
      </c>
      <c r="C89" s="69">
        <v>46178.459988425922</v>
      </c>
      <c r="D89" s="55" t="s">
        <v>684</v>
      </c>
      <c r="E89" s="55" t="s">
        <v>799</v>
      </c>
      <c r="F89" s="129" t="s">
        <v>798</v>
      </c>
      <c r="G89" s="129" t="s">
        <v>800</v>
      </c>
    </row>
    <row r="90" spans="2:7" ht="52.8">
      <c r="B90" s="56">
        <v>46178</v>
      </c>
      <c r="C90" s="69">
        <v>46178.460023148145</v>
      </c>
      <c r="D90" s="55" t="s">
        <v>684</v>
      </c>
      <c r="E90" s="55" t="s">
        <v>801</v>
      </c>
      <c r="F90" s="129" t="s">
        <v>35</v>
      </c>
      <c r="G90" s="130" t="s">
        <v>800</v>
      </c>
    </row>
    <row r="91" spans="2:7">
      <c r="B91" s="56">
        <v>46178</v>
      </c>
      <c r="C91" s="69">
        <v>46178.460069444445</v>
      </c>
      <c r="D91" s="55" t="s">
        <v>684</v>
      </c>
      <c r="E91" s="55" t="s">
        <v>802</v>
      </c>
      <c r="F91" s="129" t="s">
        <v>33</v>
      </c>
      <c r="G91" s="130" t="s">
        <v>201</v>
      </c>
    </row>
    <row r="92" spans="2:7">
      <c r="B92" s="56">
        <v>46178</v>
      </c>
      <c r="C92" s="69">
        <v>46178.460081018522</v>
      </c>
      <c r="D92" s="55" t="s">
        <v>684</v>
      </c>
      <c r="E92" s="55" t="s">
        <v>803</v>
      </c>
      <c r="F92" s="129" t="s">
        <v>33</v>
      </c>
      <c r="G92" s="129" t="s">
        <v>201</v>
      </c>
    </row>
    <row r="93" spans="2:7" ht="105.6">
      <c r="B93" s="56">
        <v>46178</v>
      </c>
      <c r="C93" s="69">
        <v>46178.460509259261</v>
      </c>
      <c r="D93" s="55" t="s">
        <v>684</v>
      </c>
      <c r="E93" s="55" t="s">
        <v>799</v>
      </c>
      <c r="F93" s="129" t="s">
        <v>800</v>
      </c>
      <c r="G93" s="129" t="s">
        <v>804</v>
      </c>
    </row>
    <row r="94" spans="2:7" ht="105.6">
      <c r="B94" s="56">
        <v>46178</v>
      </c>
      <c r="C94" s="69">
        <v>46178.460543981484</v>
      </c>
      <c r="D94" s="55" t="s">
        <v>684</v>
      </c>
      <c r="E94" s="55" t="s">
        <v>801</v>
      </c>
      <c r="F94" s="129" t="s">
        <v>800</v>
      </c>
      <c r="G94" s="129" t="s">
        <v>804</v>
      </c>
    </row>
    <row r="95" spans="2:7">
      <c r="B95" s="56">
        <v>46178</v>
      </c>
      <c r="C95" s="69">
        <v>46178.460625</v>
      </c>
      <c r="D95" s="55" t="s">
        <v>684</v>
      </c>
      <c r="E95" s="55" t="s">
        <v>696</v>
      </c>
      <c r="F95" s="130">
        <v>46008</v>
      </c>
      <c r="G95" s="130">
        <v>46203</v>
      </c>
    </row>
    <row r="96" spans="2:7">
      <c r="B96" s="56">
        <v>46178</v>
      </c>
      <c r="C96" s="69">
        <v>46178.460706018515</v>
      </c>
      <c r="D96" s="55" t="s">
        <v>684</v>
      </c>
      <c r="E96" s="55" t="s">
        <v>805</v>
      </c>
      <c r="F96" s="130">
        <v>46022</v>
      </c>
      <c r="G96" s="130">
        <v>46203</v>
      </c>
    </row>
    <row r="97" spans="2:7" ht="158.4">
      <c r="B97" s="56">
        <v>46178</v>
      </c>
      <c r="C97" s="69">
        <v>46178.464108796295</v>
      </c>
      <c r="D97" s="55" t="s">
        <v>684</v>
      </c>
      <c r="E97" s="55" t="s">
        <v>807</v>
      </c>
      <c r="F97" s="129" t="s">
        <v>146</v>
      </c>
      <c r="G97" s="129" t="s">
        <v>806</v>
      </c>
    </row>
    <row r="98" spans="2:7">
      <c r="B98" s="56">
        <v>46178</v>
      </c>
      <c r="C98" s="69">
        <v>46178.464178240742</v>
      </c>
      <c r="D98" s="55" t="s">
        <v>684</v>
      </c>
      <c r="E98" s="55" t="s">
        <v>808</v>
      </c>
      <c r="F98" s="129" t="s">
        <v>33</v>
      </c>
      <c r="G98" s="130" t="s">
        <v>20</v>
      </c>
    </row>
    <row r="99" spans="2:7" ht="158.4">
      <c r="B99" s="56">
        <v>46178</v>
      </c>
      <c r="C99" s="69">
        <v>46178.464259259257</v>
      </c>
      <c r="D99" s="55" t="s">
        <v>684</v>
      </c>
      <c r="E99" s="55" t="s">
        <v>809</v>
      </c>
      <c r="F99" s="129" t="s">
        <v>146</v>
      </c>
      <c r="G99" s="129" t="s">
        <v>806</v>
      </c>
    </row>
    <row r="100" spans="2:7">
      <c r="B100" s="56">
        <v>46178</v>
      </c>
      <c r="C100" s="69">
        <v>46178.46429398148</v>
      </c>
      <c r="D100" s="55" t="s">
        <v>684</v>
      </c>
      <c r="E100" s="55" t="s">
        <v>810</v>
      </c>
      <c r="F100" s="129" t="s">
        <v>33</v>
      </c>
      <c r="G100" s="129" t="s">
        <v>20</v>
      </c>
    </row>
    <row r="101" spans="2:7" ht="158.4">
      <c r="B101" s="56">
        <v>46178</v>
      </c>
      <c r="C101" s="69">
        <v>46178.464375000003</v>
      </c>
      <c r="D101" s="55" t="s">
        <v>684</v>
      </c>
      <c r="E101" s="55" t="s">
        <v>811</v>
      </c>
      <c r="F101" s="129" t="s">
        <v>146</v>
      </c>
      <c r="G101" s="129" t="s">
        <v>806</v>
      </c>
    </row>
    <row r="102" spans="2:7">
      <c r="B102" s="56">
        <v>46178</v>
      </c>
      <c r="C102" s="69">
        <v>46178.464409722219</v>
      </c>
      <c r="D102" s="55" t="s">
        <v>684</v>
      </c>
      <c r="E102" s="55" t="s">
        <v>812</v>
      </c>
      <c r="F102" s="129" t="s">
        <v>33</v>
      </c>
      <c r="G102" s="129" t="s">
        <v>20</v>
      </c>
    </row>
    <row r="103" spans="2:7" ht="66">
      <c r="B103" s="56">
        <v>46178</v>
      </c>
      <c r="C103" s="69">
        <v>46178.46769675926</v>
      </c>
      <c r="D103" s="55" t="s">
        <v>684</v>
      </c>
      <c r="E103" s="55" t="s">
        <v>814</v>
      </c>
      <c r="F103" s="129" t="s">
        <v>235</v>
      </c>
      <c r="G103" s="129" t="s">
        <v>813</v>
      </c>
    </row>
    <row r="104" spans="2:7" ht="39.6">
      <c r="B104" s="56">
        <v>46178</v>
      </c>
      <c r="C104" s="69">
        <v>46178.467766203707</v>
      </c>
      <c r="D104" s="55" t="s">
        <v>721</v>
      </c>
      <c r="E104" s="55" t="s">
        <v>815</v>
      </c>
      <c r="F104" s="129" t="s">
        <v>235</v>
      </c>
      <c r="G104" s="129" t="s">
        <v>751</v>
      </c>
    </row>
    <row r="105" spans="2:7" ht="79.2">
      <c r="B105" s="56">
        <v>46178</v>
      </c>
      <c r="C105" s="69">
        <v>46178.467858796299</v>
      </c>
      <c r="D105" s="55" t="s">
        <v>684</v>
      </c>
      <c r="E105" s="55" t="s">
        <v>814</v>
      </c>
      <c r="F105" s="129" t="s">
        <v>235</v>
      </c>
      <c r="G105" s="130" t="s">
        <v>816</v>
      </c>
    </row>
    <row r="106" spans="2:7">
      <c r="B106" s="56">
        <v>46178</v>
      </c>
      <c r="C106" s="69">
        <v>46178.467928240738</v>
      </c>
      <c r="D106" s="55" t="s">
        <v>684</v>
      </c>
      <c r="E106" s="55" t="s">
        <v>817</v>
      </c>
      <c r="F106" s="130">
        <v>46079</v>
      </c>
      <c r="G106" s="130">
        <v>46203</v>
      </c>
    </row>
    <row r="107" spans="2:7">
      <c r="B107" s="56">
        <v>46178</v>
      </c>
      <c r="C107" s="69">
        <v>46178.467974537038</v>
      </c>
      <c r="D107" s="55" t="s">
        <v>684</v>
      </c>
      <c r="E107" s="55" t="s">
        <v>818</v>
      </c>
      <c r="F107" s="129" t="s">
        <v>33</v>
      </c>
      <c r="G107" s="129" t="s">
        <v>201</v>
      </c>
    </row>
    <row r="108" spans="2:7">
      <c r="B108" s="56">
        <v>46178</v>
      </c>
      <c r="C108" s="69">
        <v>46178.468136574076</v>
      </c>
      <c r="D108" s="55" t="s">
        <v>684</v>
      </c>
      <c r="E108" s="55" t="s">
        <v>819</v>
      </c>
      <c r="F108" s="130">
        <v>46079</v>
      </c>
      <c r="G108" s="130">
        <v>46203</v>
      </c>
    </row>
    <row r="109" spans="2:7" ht="79.2">
      <c r="B109" s="56">
        <v>46178</v>
      </c>
      <c r="C109" s="69">
        <v>46178.468171296299</v>
      </c>
      <c r="D109" s="55" t="s">
        <v>684</v>
      </c>
      <c r="E109" s="55" t="s">
        <v>820</v>
      </c>
      <c r="F109" s="129" t="s">
        <v>237</v>
      </c>
      <c r="G109" s="129" t="s">
        <v>816</v>
      </c>
    </row>
    <row r="110" spans="2:7">
      <c r="B110" s="56">
        <v>46178</v>
      </c>
      <c r="C110" s="69">
        <v>46178.468206018515</v>
      </c>
      <c r="D110" s="55" t="s">
        <v>684</v>
      </c>
      <c r="E110" s="55" t="s">
        <v>821</v>
      </c>
      <c r="F110" s="129" t="s">
        <v>33</v>
      </c>
      <c r="G110" s="129" t="s">
        <v>201</v>
      </c>
    </row>
    <row r="111" spans="2:7" ht="66">
      <c r="B111" s="56">
        <v>46178</v>
      </c>
      <c r="C111" s="69">
        <v>46178.469166666669</v>
      </c>
      <c r="D111" s="55" t="s">
        <v>684</v>
      </c>
      <c r="E111" s="55" t="s">
        <v>823</v>
      </c>
      <c r="F111" s="129" t="s">
        <v>293</v>
      </c>
      <c r="G111" s="129" t="s">
        <v>822</v>
      </c>
    </row>
    <row r="112" spans="2:7">
      <c r="B112" s="56">
        <v>46178</v>
      </c>
      <c r="C112" s="69">
        <v>46178.469201388885</v>
      </c>
      <c r="D112" s="55" t="s">
        <v>684</v>
      </c>
      <c r="E112" s="55" t="s">
        <v>824</v>
      </c>
      <c r="F112" s="129" t="s">
        <v>33</v>
      </c>
      <c r="G112" s="130" t="s">
        <v>20</v>
      </c>
    </row>
    <row r="113" spans="2:7" ht="66">
      <c r="B113" s="56">
        <v>46178</v>
      </c>
      <c r="C113" s="69">
        <v>46178.473726851851</v>
      </c>
      <c r="D113" s="55" t="s">
        <v>684</v>
      </c>
      <c r="E113" s="55" t="s">
        <v>826</v>
      </c>
      <c r="F113" s="129" t="s">
        <v>384</v>
      </c>
      <c r="G113" s="129" t="s">
        <v>825</v>
      </c>
    </row>
    <row r="114" spans="2:7">
      <c r="B114" s="56">
        <v>46178</v>
      </c>
      <c r="C114" s="69">
        <v>46178.473900462966</v>
      </c>
      <c r="D114" s="55" t="s">
        <v>684</v>
      </c>
      <c r="E114" s="55" t="s">
        <v>827</v>
      </c>
      <c r="F114" s="129" t="s">
        <v>33</v>
      </c>
      <c r="G114" s="129" t="s">
        <v>20</v>
      </c>
    </row>
    <row r="115" spans="2:7" ht="198">
      <c r="B115" s="56">
        <v>46178</v>
      </c>
      <c r="C115" s="69">
        <v>46178.474907407406</v>
      </c>
      <c r="D115" s="55" t="s">
        <v>684</v>
      </c>
      <c r="E115" s="55" t="s">
        <v>829</v>
      </c>
      <c r="F115" s="129" t="s">
        <v>396</v>
      </c>
      <c r="G115" s="129" t="s">
        <v>828</v>
      </c>
    </row>
    <row r="116" spans="2:7" ht="198">
      <c r="B116" s="56">
        <v>46178</v>
      </c>
      <c r="C116" s="69">
        <v>46178.475173611114</v>
      </c>
      <c r="D116" s="55" t="s">
        <v>684</v>
      </c>
      <c r="E116" s="55" t="s">
        <v>829</v>
      </c>
      <c r="F116" s="129" t="s">
        <v>396</v>
      </c>
      <c r="G116" s="129" t="s">
        <v>830</v>
      </c>
    </row>
    <row r="117" spans="2:7">
      <c r="B117" s="56">
        <v>46178</v>
      </c>
      <c r="C117" s="69">
        <v>46178.475185185183</v>
      </c>
      <c r="D117" s="55" t="s">
        <v>684</v>
      </c>
      <c r="E117" s="55" t="s">
        <v>831</v>
      </c>
      <c r="F117" s="129" t="s">
        <v>33</v>
      </c>
      <c r="G117" s="129" t="s">
        <v>20</v>
      </c>
    </row>
    <row r="118" spans="2:7" ht="198">
      <c r="B118" s="56">
        <v>46178</v>
      </c>
      <c r="C118" s="69">
        <v>46178.475243055553</v>
      </c>
      <c r="D118" s="55" t="s">
        <v>684</v>
      </c>
      <c r="E118" s="55" t="s">
        <v>832</v>
      </c>
      <c r="F118" s="129" t="s">
        <v>396</v>
      </c>
      <c r="G118" s="129" t="s">
        <v>830</v>
      </c>
    </row>
    <row r="119" spans="2:7">
      <c r="B119" s="56">
        <v>46178</v>
      </c>
      <c r="C119" s="69">
        <v>46178.475266203706</v>
      </c>
      <c r="D119" s="55" t="s">
        <v>684</v>
      </c>
      <c r="E119" s="55" t="s">
        <v>833</v>
      </c>
      <c r="F119" s="129" t="s">
        <v>33</v>
      </c>
      <c r="G119" s="130" t="s">
        <v>20</v>
      </c>
    </row>
    <row r="120" spans="2:7">
      <c r="B120" s="56">
        <v>46178</v>
      </c>
      <c r="C120" s="69">
        <v>46178.484513888892</v>
      </c>
      <c r="D120" s="55" t="s">
        <v>684</v>
      </c>
      <c r="E120" s="55" t="s">
        <v>834</v>
      </c>
      <c r="G120" s="130">
        <v>46178</v>
      </c>
    </row>
    <row r="121" spans="2:7">
      <c r="B121" s="56">
        <v>46178</v>
      </c>
      <c r="C121" s="69">
        <v>46178.484583333331</v>
      </c>
      <c r="D121" s="55" t="s">
        <v>684</v>
      </c>
      <c r="E121" s="55" t="s">
        <v>835</v>
      </c>
      <c r="G121" s="130">
        <v>46178</v>
      </c>
    </row>
    <row r="122" spans="2:7">
      <c r="B122" s="56">
        <v>46178</v>
      </c>
      <c r="C122" s="69">
        <v>46178.484629629631</v>
      </c>
      <c r="D122" s="55" t="s">
        <v>684</v>
      </c>
      <c r="E122" s="55" t="s">
        <v>836</v>
      </c>
      <c r="G122" s="130">
        <v>46178</v>
      </c>
    </row>
    <row r="123" spans="2:7">
      <c r="B123" s="56">
        <v>46178</v>
      </c>
      <c r="C123" s="69">
        <v>46178.487164351849</v>
      </c>
      <c r="D123" s="55" t="s">
        <v>684</v>
      </c>
      <c r="E123" s="55" t="s">
        <v>837</v>
      </c>
      <c r="G123" s="130">
        <v>46178</v>
      </c>
    </row>
    <row r="124" spans="2:7">
      <c r="B124" s="56">
        <v>46178</v>
      </c>
      <c r="C124" s="69">
        <v>46178.487511574072</v>
      </c>
      <c r="D124" s="55" t="s">
        <v>684</v>
      </c>
      <c r="E124" s="55" t="s">
        <v>838</v>
      </c>
      <c r="G124" s="130">
        <v>46178</v>
      </c>
    </row>
    <row r="125" spans="2:7">
      <c r="B125" s="56">
        <v>46178</v>
      </c>
      <c r="C125" s="69">
        <v>46178.487581018519</v>
      </c>
      <c r="D125" s="55" t="s">
        <v>684</v>
      </c>
      <c r="E125" s="55" t="s">
        <v>839</v>
      </c>
      <c r="G125" s="130">
        <v>46178</v>
      </c>
    </row>
    <row r="126" spans="2:7" ht="211.2">
      <c r="B126" s="56">
        <v>46178</v>
      </c>
      <c r="C126" s="69">
        <v>46178.490173611113</v>
      </c>
      <c r="D126" s="55" t="s">
        <v>684</v>
      </c>
      <c r="E126" s="55" t="s">
        <v>841</v>
      </c>
      <c r="G126" s="130" t="s">
        <v>840</v>
      </c>
    </row>
    <row r="127" spans="2:7">
      <c r="B127" s="56">
        <v>46178</v>
      </c>
      <c r="C127" s="69">
        <v>46178.490335648145</v>
      </c>
      <c r="D127" s="55" t="s">
        <v>684</v>
      </c>
      <c r="E127" s="55" t="s">
        <v>842</v>
      </c>
      <c r="F127" s="129" t="s">
        <v>201</v>
      </c>
      <c r="G127" s="129" t="s">
        <v>20</v>
      </c>
    </row>
    <row r="128" spans="2:7">
      <c r="B128" s="56">
        <v>46178</v>
      </c>
      <c r="C128" s="69">
        <v>46178.49082175926</v>
      </c>
      <c r="D128" s="55" t="s">
        <v>684</v>
      </c>
      <c r="E128" s="55" t="s">
        <v>843</v>
      </c>
      <c r="G128" s="130">
        <v>46178</v>
      </c>
    </row>
    <row r="129" spans="2:7" ht="184.8">
      <c r="B129" s="56">
        <v>46178</v>
      </c>
      <c r="C129" s="69">
        <v>46178.500752314816</v>
      </c>
      <c r="D129" s="55" t="s">
        <v>684</v>
      </c>
      <c r="E129" s="55" t="s">
        <v>845</v>
      </c>
      <c r="F129" s="129" t="s">
        <v>374</v>
      </c>
      <c r="G129" s="129" t="s">
        <v>844</v>
      </c>
    </row>
    <row r="130" spans="2:7" ht="52.8">
      <c r="B130" s="56">
        <v>46178</v>
      </c>
      <c r="C130" s="69">
        <v>46178.500810185185</v>
      </c>
      <c r="D130" s="55" t="s">
        <v>684</v>
      </c>
      <c r="E130" s="55" t="s">
        <v>845</v>
      </c>
      <c r="F130" s="129" t="s">
        <v>844</v>
      </c>
      <c r="G130" s="129" t="s">
        <v>846</v>
      </c>
    </row>
    <row r="131" spans="2:7">
      <c r="B131" s="56">
        <v>46178</v>
      </c>
      <c r="C131" s="69">
        <v>46178.500821759262</v>
      </c>
      <c r="D131" s="55" t="s">
        <v>684</v>
      </c>
      <c r="E131" s="55" t="s">
        <v>847</v>
      </c>
      <c r="F131" s="129" t="s">
        <v>201</v>
      </c>
      <c r="G131" s="129" t="s">
        <v>20</v>
      </c>
    </row>
    <row r="132" spans="2:7">
      <c r="B132" s="56">
        <v>46178</v>
      </c>
      <c r="C132" s="69">
        <v>46178.500868055555</v>
      </c>
      <c r="D132" s="55" t="s">
        <v>684</v>
      </c>
      <c r="E132" s="55" t="s">
        <v>848</v>
      </c>
      <c r="F132" s="129" t="s">
        <v>201</v>
      </c>
      <c r="G132" s="129" t="s">
        <v>33</v>
      </c>
    </row>
    <row r="133" spans="2:7">
      <c r="B133" s="56">
        <v>46178</v>
      </c>
      <c r="C133" s="69">
        <v>46178.501030092593</v>
      </c>
      <c r="D133" s="55" t="s">
        <v>684</v>
      </c>
      <c r="E133" s="55" t="s">
        <v>849</v>
      </c>
      <c r="G133" s="130">
        <v>46178</v>
      </c>
    </row>
    <row r="134" spans="2:7" ht="66">
      <c r="B134" s="56">
        <v>46178</v>
      </c>
      <c r="C134" s="69">
        <v>46178.502951388888</v>
      </c>
      <c r="D134" s="55" t="s">
        <v>684</v>
      </c>
      <c r="E134" s="55" t="s">
        <v>851</v>
      </c>
      <c r="F134" s="129" t="s">
        <v>380</v>
      </c>
      <c r="G134" s="130" t="s">
        <v>850</v>
      </c>
    </row>
    <row r="135" spans="2:7" ht="66">
      <c r="B135" s="56">
        <v>46178</v>
      </c>
      <c r="C135" s="69">
        <v>46178.503425925926</v>
      </c>
      <c r="D135" s="55" t="s">
        <v>684</v>
      </c>
      <c r="E135" s="55" t="s">
        <v>851</v>
      </c>
      <c r="F135" s="129" t="s">
        <v>850</v>
      </c>
      <c r="G135" s="129" t="s">
        <v>852</v>
      </c>
    </row>
    <row r="136" spans="2:7">
      <c r="B136" s="56">
        <v>46178</v>
      </c>
      <c r="C136" s="69">
        <v>46178.503449074073</v>
      </c>
      <c r="D136" s="55" t="s">
        <v>684</v>
      </c>
      <c r="E136" s="55" t="s">
        <v>853</v>
      </c>
      <c r="F136" s="129" t="s">
        <v>201</v>
      </c>
      <c r="G136" s="129" t="s">
        <v>20</v>
      </c>
    </row>
    <row r="137" spans="2:7">
      <c r="B137" s="56">
        <v>46178</v>
      </c>
      <c r="C137" s="69">
        <v>46178.503530092596</v>
      </c>
      <c r="D137" s="55" t="s">
        <v>684</v>
      </c>
      <c r="E137" s="55" t="s">
        <v>854</v>
      </c>
      <c r="G137" s="130">
        <v>46178</v>
      </c>
    </row>
    <row r="138" spans="2:7" ht="92.4">
      <c r="B138" s="56">
        <v>46178</v>
      </c>
      <c r="C138" s="69">
        <v>46178.505312499998</v>
      </c>
      <c r="D138" s="55" t="s">
        <v>684</v>
      </c>
      <c r="E138" s="55" t="s">
        <v>856</v>
      </c>
      <c r="G138" s="129" t="s">
        <v>855</v>
      </c>
    </row>
    <row r="139" spans="2:7">
      <c r="B139" s="56">
        <v>46178</v>
      </c>
      <c r="C139" s="69">
        <v>46178.505335648151</v>
      </c>
      <c r="D139" s="55" t="s">
        <v>684</v>
      </c>
      <c r="E139" s="55" t="s">
        <v>857</v>
      </c>
      <c r="F139" s="129" t="s">
        <v>201</v>
      </c>
      <c r="G139" s="129" t="s">
        <v>20</v>
      </c>
    </row>
    <row r="140" spans="2:7">
      <c r="B140" s="56">
        <v>46178</v>
      </c>
      <c r="C140" s="69">
        <v>46178.505428240744</v>
      </c>
      <c r="D140" s="55" t="s">
        <v>684</v>
      </c>
      <c r="E140" s="55" t="s">
        <v>858</v>
      </c>
      <c r="G140" s="130">
        <v>46178</v>
      </c>
    </row>
    <row r="141" spans="2:7" ht="52.8">
      <c r="B141" s="56">
        <v>46178</v>
      </c>
      <c r="C141" s="69">
        <v>46178.506724537037</v>
      </c>
      <c r="D141" s="55" t="s">
        <v>684</v>
      </c>
      <c r="E141" s="55" t="s">
        <v>860</v>
      </c>
      <c r="G141" s="129" t="s">
        <v>859</v>
      </c>
    </row>
    <row r="142" spans="2:7" ht="92.4">
      <c r="B142" s="56">
        <v>46178</v>
      </c>
      <c r="C142" s="69">
        <v>46178.506932870368</v>
      </c>
      <c r="D142" s="55" t="s">
        <v>684</v>
      </c>
      <c r="E142" s="55" t="s">
        <v>860</v>
      </c>
      <c r="F142" s="129" t="s">
        <v>859</v>
      </c>
      <c r="G142" s="129" t="s">
        <v>861</v>
      </c>
    </row>
    <row r="143" spans="2:7">
      <c r="B143" s="56">
        <v>46178</v>
      </c>
      <c r="C143" s="69">
        <v>46178.507071759261</v>
      </c>
      <c r="D143" s="55" t="s">
        <v>684</v>
      </c>
      <c r="E143" s="55" t="s">
        <v>862</v>
      </c>
      <c r="F143" s="130">
        <v>46173</v>
      </c>
      <c r="G143" s="130">
        <v>46234</v>
      </c>
    </row>
    <row r="144" spans="2:7">
      <c r="B144" s="56">
        <v>46178</v>
      </c>
      <c r="C144" s="69">
        <v>46178.507407407407</v>
      </c>
      <c r="D144" s="55" t="s">
        <v>684</v>
      </c>
      <c r="E144" s="55" t="s">
        <v>863</v>
      </c>
      <c r="F144" s="130">
        <v>46173</v>
      </c>
      <c r="G144" s="130">
        <v>46234</v>
      </c>
    </row>
    <row r="145" spans="2:7" ht="92.4">
      <c r="B145" s="56">
        <v>46178</v>
      </c>
      <c r="C145" s="69">
        <v>46178.507453703707</v>
      </c>
      <c r="D145" s="55" t="s">
        <v>684</v>
      </c>
      <c r="E145" s="55" t="s">
        <v>864</v>
      </c>
      <c r="G145" s="129" t="s">
        <v>861</v>
      </c>
    </row>
    <row r="146" spans="2:7">
      <c r="B146" s="56">
        <v>46178</v>
      </c>
      <c r="C146" s="69">
        <v>46178.507928240739</v>
      </c>
      <c r="D146" s="55" t="s">
        <v>684</v>
      </c>
      <c r="E146" s="55" t="s">
        <v>865</v>
      </c>
      <c r="F146" s="130">
        <v>46173</v>
      </c>
      <c r="G146" s="130">
        <v>46234</v>
      </c>
    </row>
    <row r="147" spans="2:7" ht="92.4">
      <c r="B147" s="56">
        <v>46178</v>
      </c>
      <c r="C147" s="69">
        <v>46178.507951388892</v>
      </c>
      <c r="D147" s="55" t="s">
        <v>684</v>
      </c>
      <c r="E147" s="55" t="s">
        <v>866</v>
      </c>
      <c r="G147" s="129" t="s">
        <v>861</v>
      </c>
    </row>
    <row r="148" spans="2:7" ht="92.4">
      <c r="B148" s="56">
        <v>46178</v>
      </c>
      <c r="C148" s="69">
        <v>46178.508449074077</v>
      </c>
      <c r="D148" s="55" t="s">
        <v>684</v>
      </c>
      <c r="E148" s="55" t="s">
        <v>856</v>
      </c>
      <c r="F148" s="129" t="s">
        <v>855</v>
      </c>
      <c r="G148" s="129" t="s">
        <v>867</v>
      </c>
    </row>
    <row r="149" spans="2:7" ht="92.4">
      <c r="B149" s="56">
        <v>46178</v>
      </c>
      <c r="C149" s="69">
        <v>46178.508611111109</v>
      </c>
      <c r="D149" s="55" t="s">
        <v>684</v>
      </c>
      <c r="E149" s="55" t="s">
        <v>868</v>
      </c>
      <c r="G149" s="129" t="s">
        <v>867</v>
      </c>
    </row>
    <row r="150" spans="2:7" ht="105.6">
      <c r="B150" s="56">
        <v>46178</v>
      </c>
      <c r="C150" s="69">
        <v>46178.509340277778</v>
      </c>
      <c r="D150" s="55" t="s">
        <v>684</v>
      </c>
      <c r="E150" s="55" t="s">
        <v>868</v>
      </c>
      <c r="F150" s="129" t="s">
        <v>867</v>
      </c>
      <c r="G150" s="129" t="s">
        <v>869</v>
      </c>
    </row>
    <row r="151" spans="2:7">
      <c r="B151" s="56">
        <v>46178</v>
      </c>
      <c r="C151" s="69">
        <v>46178.509456018517</v>
      </c>
      <c r="D151" s="55" t="s">
        <v>684</v>
      </c>
      <c r="E151" s="55" t="s">
        <v>870</v>
      </c>
      <c r="F151" s="129" t="s">
        <v>201</v>
      </c>
      <c r="G151" s="130" t="s">
        <v>20</v>
      </c>
    </row>
    <row r="152" spans="2:7">
      <c r="B152" s="56">
        <v>46178</v>
      </c>
      <c r="C152" s="69">
        <v>46178.510335648149</v>
      </c>
      <c r="D152" s="55" t="s">
        <v>684</v>
      </c>
      <c r="E152" s="55" t="s">
        <v>871</v>
      </c>
      <c r="G152" s="130">
        <v>46178</v>
      </c>
    </row>
    <row r="153" spans="2:7" ht="132">
      <c r="B153" s="56">
        <v>46178</v>
      </c>
      <c r="C153" s="69">
        <v>46178.52511574074</v>
      </c>
      <c r="D153" s="55" t="s">
        <v>684</v>
      </c>
      <c r="E153" s="55" t="s">
        <v>874</v>
      </c>
      <c r="G153" s="130" t="s">
        <v>873</v>
      </c>
    </row>
    <row r="154" spans="2:7">
      <c r="B154" s="56">
        <v>46178</v>
      </c>
      <c r="C154" s="69">
        <v>46178.52516203704</v>
      </c>
      <c r="D154" s="55" t="s">
        <v>684</v>
      </c>
      <c r="E154" s="55" t="s">
        <v>875</v>
      </c>
      <c r="F154" s="130" t="s">
        <v>33</v>
      </c>
      <c r="G154" s="129" t="s">
        <v>20</v>
      </c>
    </row>
    <row r="155" spans="2:7">
      <c r="B155" s="56">
        <v>46178</v>
      </c>
      <c r="C155" s="69">
        <v>46178.525289351855</v>
      </c>
      <c r="D155" s="55" t="s">
        <v>684</v>
      </c>
      <c r="E155" s="55" t="s">
        <v>876</v>
      </c>
      <c r="F155" s="130"/>
      <c r="G155" s="130">
        <v>46178</v>
      </c>
    </row>
    <row r="156" spans="2:7" ht="26.4">
      <c r="B156" s="56">
        <v>46181</v>
      </c>
      <c r="C156" s="69">
        <v>46181.812789351854</v>
      </c>
      <c r="D156" s="55" t="s">
        <v>734</v>
      </c>
      <c r="E156" s="55" t="s">
        <v>877</v>
      </c>
      <c r="F156" s="130">
        <v>0</v>
      </c>
      <c r="G156" s="130" t="s">
        <v>14</v>
      </c>
    </row>
    <row r="157" spans="2:7" ht="26.4">
      <c r="B157" s="56">
        <v>46182</v>
      </c>
      <c r="C157" s="69">
        <v>46182.619097222225</v>
      </c>
      <c r="D157" s="55" t="s">
        <v>684</v>
      </c>
      <c r="E157" s="55" t="s">
        <v>879</v>
      </c>
      <c r="F157" s="130"/>
      <c r="G157" s="129" t="s">
        <v>878</v>
      </c>
    </row>
    <row r="158" spans="2:7" ht="26.4">
      <c r="B158" s="56">
        <v>46182</v>
      </c>
      <c r="C158" s="69">
        <v>46182.619606481479</v>
      </c>
      <c r="D158" s="55" t="s">
        <v>684</v>
      </c>
      <c r="E158" s="55" t="s">
        <v>881</v>
      </c>
      <c r="G158" s="130" t="s">
        <v>880</v>
      </c>
    </row>
    <row r="159" spans="2:7" ht="39.6">
      <c r="B159" s="56">
        <v>46182</v>
      </c>
      <c r="C159" s="69">
        <v>46182.619756944441</v>
      </c>
      <c r="D159" s="55" t="s">
        <v>684</v>
      </c>
      <c r="E159" s="55" t="s">
        <v>879</v>
      </c>
      <c r="F159" s="130" t="s">
        <v>878</v>
      </c>
      <c r="G159" s="130" t="s">
        <v>882</v>
      </c>
    </row>
    <row r="160" spans="2:7">
      <c r="B160" s="56">
        <v>46183</v>
      </c>
      <c r="C160" s="69">
        <v>46183.572546296295</v>
      </c>
      <c r="D160" s="55" t="s">
        <v>684</v>
      </c>
      <c r="E160" s="55" t="s">
        <v>886</v>
      </c>
      <c r="F160" s="129" t="s">
        <v>201</v>
      </c>
      <c r="G160" s="130" t="s">
        <v>33</v>
      </c>
    </row>
    <row r="161" spans="2:7">
      <c r="B161" s="56">
        <v>46183</v>
      </c>
      <c r="C161" s="69">
        <v>46183.572581018518</v>
      </c>
      <c r="D161" s="55" t="s">
        <v>684</v>
      </c>
      <c r="E161" s="55" t="s">
        <v>887</v>
      </c>
      <c r="F161" s="130" t="s">
        <v>201</v>
      </c>
      <c r="G161" s="130" t="s">
        <v>33</v>
      </c>
    </row>
    <row r="162" spans="2:7">
      <c r="B162" s="56">
        <v>46183</v>
      </c>
      <c r="C162" s="69">
        <v>46183.572592592594</v>
      </c>
      <c r="D162" s="55" t="s">
        <v>684</v>
      </c>
      <c r="E162" s="55" t="s">
        <v>888</v>
      </c>
      <c r="F162" s="129" t="s">
        <v>201</v>
      </c>
      <c r="G162" s="129" t="s">
        <v>33</v>
      </c>
    </row>
    <row r="163" spans="2:7">
      <c r="B163" s="56">
        <v>46183</v>
      </c>
      <c r="C163" s="69">
        <v>46183.572870370372</v>
      </c>
      <c r="D163" s="55" t="s">
        <v>684</v>
      </c>
      <c r="E163" s="55" t="s">
        <v>889</v>
      </c>
      <c r="F163" s="129" t="s">
        <v>201</v>
      </c>
      <c r="G163" s="130" t="s">
        <v>33</v>
      </c>
    </row>
    <row r="164" spans="2:7">
      <c r="B164" s="56">
        <v>46183</v>
      </c>
      <c r="C164" s="69">
        <v>46183.602060185185</v>
      </c>
      <c r="D164" s="55" t="s">
        <v>890</v>
      </c>
      <c r="E164" s="55" t="s">
        <v>891</v>
      </c>
      <c r="G164" s="130" t="s">
        <v>572</v>
      </c>
    </row>
    <row r="165" spans="2:7">
      <c r="B165" s="56">
        <v>46183</v>
      </c>
      <c r="C165" s="69">
        <v>46183.602129629631</v>
      </c>
      <c r="D165" s="55" t="s">
        <v>890</v>
      </c>
      <c r="E165" s="55" t="s">
        <v>891</v>
      </c>
      <c r="F165" s="129" t="s">
        <v>572</v>
      </c>
      <c r="G165" s="130" t="s">
        <v>1</v>
      </c>
    </row>
    <row r="166" spans="2:7" ht="52.8">
      <c r="B166" s="56">
        <v>46183</v>
      </c>
      <c r="C166" s="69">
        <v>46183.602280092593</v>
      </c>
      <c r="D166" s="55" t="s">
        <v>890</v>
      </c>
      <c r="E166" s="55" t="s">
        <v>892</v>
      </c>
      <c r="F166" s="130"/>
      <c r="G166" s="130" t="s">
        <v>306</v>
      </c>
    </row>
    <row r="167" spans="2:7" ht="26.4">
      <c r="B167" s="56">
        <v>46183</v>
      </c>
      <c r="C167" s="69">
        <v>46183.602546296293</v>
      </c>
      <c r="D167" s="55" t="s">
        <v>890</v>
      </c>
      <c r="E167" s="55" t="s">
        <v>893</v>
      </c>
      <c r="F167" s="130"/>
      <c r="G167" s="130" t="s">
        <v>360</v>
      </c>
    </row>
    <row r="168" spans="2:7" ht="52.8">
      <c r="B168" s="56">
        <v>46183</v>
      </c>
      <c r="C168" s="69">
        <v>46183.602650462963</v>
      </c>
      <c r="D168" s="55" t="s">
        <v>890</v>
      </c>
      <c r="E168" s="55" t="s">
        <v>894</v>
      </c>
      <c r="F168" s="130"/>
      <c r="G168" s="130" t="s">
        <v>419</v>
      </c>
    </row>
    <row r="169" spans="2:7">
      <c r="B169" s="56">
        <v>46183</v>
      </c>
      <c r="C169" s="69">
        <v>46183.602766203701</v>
      </c>
      <c r="D169" s="55" t="s">
        <v>890</v>
      </c>
      <c r="E169" s="55" t="s">
        <v>895</v>
      </c>
      <c r="G169" s="129">
        <v>3</v>
      </c>
    </row>
    <row r="170" spans="2:7">
      <c r="B170" s="56">
        <v>46183</v>
      </c>
      <c r="C170" s="69">
        <v>46183.602812500001</v>
      </c>
      <c r="D170" s="55" t="s">
        <v>890</v>
      </c>
      <c r="E170" s="55" t="s">
        <v>896</v>
      </c>
      <c r="G170" s="129">
        <v>7</v>
      </c>
    </row>
    <row r="171" spans="2:7">
      <c r="B171" s="56">
        <v>46183</v>
      </c>
      <c r="C171" s="69">
        <v>46183.602858796294</v>
      </c>
      <c r="D171" s="55" t="s">
        <v>890</v>
      </c>
      <c r="E171" s="55" t="s">
        <v>897</v>
      </c>
      <c r="G171" s="129">
        <v>10</v>
      </c>
    </row>
    <row r="172" spans="2:7">
      <c r="B172" s="56">
        <v>46183</v>
      </c>
      <c r="C172" s="69">
        <v>46183.603009259263</v>
      </c>
      <c r="D172" s="55" t="s">
        <v>890</v>
      </c>
      <c r="E172" s="55" t="s">
        <v>898</v>
      </c>
      <c r="G172" s="129" t="s">
        <v>585</v>
      </c>
    </row>
    <row r="173" spans="2:7" ht="409.6">
      <c r="B173" s="56">
        <v>46183</v>
      </c>
      <c r="C173" s="69">
        <v>46183.617696759262</v>
      </c>
      <c r="D173" s="55" t="s">
        <v>689</v>
      </c>
      <c r="E173" s="55" t="s">
        <v>899</v>
      </c>
      <c r="F173" s="129" t="s">
        <v>883</v>
      </c>
      <c r="G173" s="129" t="s">
        <v>900</v>
      </c>
    </row>
    <row r="174" spans="2:7">
      <c r="B174" s="56">
        <v>46183</v>
      </c>
      <c r="C174" s="69">
        <v>46183.638993055552</v>
      </c>
      <c r="D174" s="55" t="s">
        <v>684</v>
      </c>
      <c r="E174" s="55" t="s">
        <v>901</v>
      </c>
      <c r="F174" s="129" t="s">
        <v>201</v>
      </c>
      <c r="G174" s="129" t="s">
        <v>33</v>
      </c>
    </row>
    <row r="175" spans="2:7">
      <c r="B175" s="56">
        <v>46183</v>
      </c>
      <c r="C175" s="69">
        <v>46183.639386574076</v>
      </c>
      <c r="D175" s="55" t="s">
        <v>684</v>
      </c>
      <c r="E175" s="55" t="s">
        <v>902</v>
      </c>
      <c r="F175" s="129" t="s">
        <v>201</v>
      </c>
      <c r="G175" s="129" t="s">
        <v>33</v>
      </c>
    </row>
    <row r="176" spans="2:7">
      <c r="B176" s="56">
        <v>46183</v>
      </c>
      <c r="C176" s="69">
        <v>46183.639398148145</v>
      </c>
      <c r="D176" s="55" t="s">
        <v>684</v>
      </c>
      <c r="E176" s="55" t="s">
        <v>903</v>
      </c>
      <c r="F176" s="129" t="s">
        <v>201</v>
      </c>
      <c r="G176" s="130" t="s">
        <v>33</v>
      </c>
    </row>
    <row r="177" spans="2:7">
      <c r="B177" s="56">
        <v>46183</v>
      </c>
      <c r="C177" s="69">
        <v>46183.639421296299</v>
      </c>
      <c r="D177" s="55" t="s">
        <v>684</v>
      </c>
      <c r="E177" s="55" t="s">
        <v>904</v>
      </c>
      <c r="F177" s="130" t="s">
        <v>201</v>
      </c>
      <c r="G177" s="129" t="s">
        <v>33</v>
      </c>
    </row>
    <row r="178" spans="2:7">
      <c r="B178" s="56">
        <v>46183</v>
      </c>
      <c r="C178" s="69">
        <v>46183.639664351853</v>
      </c>
      <c r="D178" s="55" t="s">
        <v>684</v>
      </c>
      <c r="E178" s="55" t="s">
        <v>905</v>
      </c>
      <c r="F178" s="129" t="s">
        <v>201</v>
      </c>
      <c r="G178" s="129" t="s">
        <v>33</v>
      </c>
    </row>
    <row r="179" spans="2:7">
      <c r="B179" s="56">
        <v>46183</v>
      </c>
      <c r="C179" s="69">
        <v>46183.639699074076</v>
      </c>
      <c r="D179" s="55" t="s">
        <v>684</v>
      </c>
      <c r="E179" s="55" t="s">
        <v>906</v>
      </c>
      <c r="F179" s="129" t="s">
        <v>201</v>
      </c>
      <c r="G179" s="129" t="s">
        <v>33</v>
      </c>
    </row>
    <row r="180" spans="2:7" ht="39.6">
      <c r="B180" s="56">
        <v>46183</v>
      </c>
      <c r="C180" s="69">
        <v>46183.646458333336</v>
      </c>
      <c r="D180" s="55" t="s">
        <v>689</v>
      </c>
      <c r="E180" s="55" t="s">
        <v>907</v>
      </c>
      <c r="F180" s="129" t="s">
        <v>14</v>
      </c>
      <c r="G180" s="129" t="s">
        <v>461</v>
      </c>
    </row>
    <row r="181" spans="2:7" ht="26.4">
      <c r="B181" s="56">
        <v>46183</v>
      </c>
      <c r="C181" s="69">
        <v>46183.646469907406</v>
      </c>
      <c r="D181" s="55" t="s">
        <v>689</v>
      </c>
      <c r="E181" s="55" t="s">
        <v>908</v>
      </c>
      <c r="F181" s="129" t="s">
        <v>14</v>
      </c>
      <c r="G181" s="129" t="s">
        <v>181</v>
      </c>
    </row>
    <row r="182" spans="2:7" ht="39.6">
      <c r="B182" s="56">
        <v>46183</v>
      </c>
      <c r="C182" s="69">
        <v>46183.646527777775</v>
      </c>
      <c r="D182" s="55" t="s">
        <v>689</v>
      </c>
      <c r="E182" s="55" t="s">
        <v>909</v>
      </c>
      <c r="F182" s="129" t="s">
        <v>1</v>
      </c>
      <c r="G182" s="129" t="s">
        <v>461</v>
      </c>
    </row>
    <row r="183" spans="2:7" ht="26.4">
      <c r="B183" s="56">
        <v>46183</v>
      </c>
      <c r="C183" s="69">
        <v>46183.646527777775</v>
      </c>
      <c r="D183" s="55" t="s">
        <v>689</v>
      </c>
      <c r="E183" s="55" t="s">
        <v>910</v>
      </c>
      <c r="F183" s="129" t="s">
        <v>1</v>
      </c>
      <c r="G183" s="129" t="s">
        <v>112</v>
      </c>
    </row>
    <row r="184" spans="2:7" ht="66">
      <c r="B184" s="56">
        <v>46183</v>
      </c>
      <c r="C184" s="69">
        <v>46183.668657407405</v>
      </c>
      <c r="D184" s="55" t="s">
        <v>890</v>
      </c>
      <c r="E184" s="55" t="s">
        <v>892</v>
      </c>
      <c r="G184" s="129" t="s">
        <v>471</v>
      </c>
    </row>
    <row r="185" spans="2:7" ht="52.8">
      <c r="B185" s="56">
        <v>46183</v>
      </c>
      <c r="C185" s="69">
        <v>46183.668796296297</v>
      </c>
      <c r="D185" s="55" t="s">
        <v>890</v>
      </c>
      <c r="E185" s="55" t="s">
        <v>893</v>
      </c>
      <c r="F185" s="130"/>
      <c r="G185" s="129" t="s">
        <v>306</v>
      </c>
    </row>
    <row r="186" spans="2:7" ht="26.4">
      <c r="B186" s="56">
        <v>46183</v>
      </c>
      <c r="C186" s="69">
        <v>46183.669247685182</v>
      </c>
      <c r="D186" s="55" t="s">
        <v>890</v>
      </c>
      <c r="E186" s="55" t="s">
        <v>894</v>
      </c>
      <c r="F186" s="130"/>
      <c r="G186" s="130" t="s">
        <v>360</v>
      </c>
    </row>
    <row r="187" spans="2:7" ht="52.8">
      <c r="B187" s="56">
        <v>46183</v>
      </c>
      <c r="C187" s="69">
        <v>46183.669386574074</v>
      </c>
      <c r="D187" s="55" t="s">
        <v>890</v>
      </c>
      <c r="E187" s="55" t="s">
        <v>894</v>
      </c>
      <c r="F187" s="129" t="s">
        <v>360</v>
      </c>
      <c r="G187" s="129" t="s">
        <v>911</v>
      </c>
    </row>
    <row r="188" spans="2:7" ht="66">
      <c r="B188" s="56">
        <v>46183</v>
      </c>
      <c r="C188" s="69">
        <v>46183.669421296298</v>
      </c>
      <c r="D188" s="55" t="s">
        <v>890</v>
      </c>
      <c r="E188" s="55" t="s">
        <v>894</v>
      </c>
      <c r="F188" s="129" t="s">
        <v>911</v>
      </c>
      <c r="G188" s="129" t="s">
        <v>912</v>
      </c>
    </row>
    <row r="189" spans="2:7" ht="66">
      <c r="B189" s="56">
        <v>46183</v>
      </c>
      <c r="C189" s="69">
        <v>46183.669745370367</v>
      </c>
      <c r="D189" s="55" t="s">
        <v>890</v>
      </c>
      <c r="E189" s="55" t="s">
        <v>894</v>
      </c>
      <c r="F189" s="129" t="s">
        <v>912</v>
      </c>
      <c r="G189" s="129" t="s">
        <v>913</v>
      </c>
    </row>
    <row r="190" spans="2:7" ht="52.8">
      <c r="B190" s="56">
        <v>46183</v>
      </c>
      <c r="C190" s="69">
        <v>46183.670081018521</v>
      </c>
      <c r="D190" s="55" t="s">
        <v>890</v>
      </c>
      <c r="E190" s="55" t="s">
        <v>898</v>
      </c>
      <c r="G190" s="129" t="s">
        <v>419</v>
      </c>
    </row>
    <row r="191" spans="2:7" ht="52.8">
      <c r="B191" s="56">
        <v>46183</v>
      </c>
      <c r="C191" s="69">
        <v>46183.670300925929</v>
      </c>
      <c r="D191" s="55" t="s">
        <v>890</v>
      </c>
      <c r="E191" s="55" t="s">
        <v>914</v>
      </c>
      <c r="G191" s="129" t="s">
        <v>419</v>
      </c>
    </row>
    <row r="192" spans="2:7">
      <c r="B192" s="56">
        <v>46183</v>
      </c>
      <c r="C192" s="69">
        <v>46183.67119212963</v>
      </c>
      <c r="D192" s="55" t="s">
        <v>890</v>
      </c>
      <c r="E192" s="55" t="s">
        <v>915</v>
      </c>
      <c r="G192" s="129">
        <v>6</v>
      </c>
    </row>
    <row r="193" spans="2:7">
      <c r="B193" s="56">
        <v>46183</v>
      </c>
      <c r="C193" s="69">
        <v>46183.671215277776</v>
      </c>
      <c r="D193" s="55" t="s">
        <v>890</v>
      </c>
      <c r="E193" s="55" t="s">
        <v>916</v>
      </c>
      <c r="G193" s="129">
        <v>13</v>
      </c>
    </row>
    <row r="194" spans="2:7">
      <c r="B194" s="56">
        <v>46183</v>
      </c>
      <c r="C194" s="69">
        <v>46183.671238425923</v>
      </c>
      <c r="D194" s="55" t="s">
        <v>890</v>
      </c>
      <c r="E194" s="55" t="s">
        <v>917</v>
      </c>
      <c r="G194" s="129">
        <v>3</v>
      </c>
    </row>
    <row r="195" spans="2:7">
      <c r="B195" s="56">
        <v>46183</v>
      </c>
      <c r="C195" s="69">
        <v>46183.671261574076</v>
      </c>
      <c r="D195" s="55" t="s">
        <v>890</v>
      </c>
      <c r="E195" s="55" t="s">
        <v>918</v>
      </c>
      <c r="G195" s="129">
        <v>22</v>
      </c>
    </row>
    <row r="196" spans="2:7">
      <c r="B196" s="56">
        <v>46183</v>
      </c>
      <c r="C196" s="69">
        <v>46183.671423611115</v>
      </c>
      <c r="D196" s="55" t="s">
        <v>890</v>
      </c>
      <c r="E196" s="55" t="s">
        <v>919</v>
      </c>
      <c r="G196" s="129" t="s">
        <v>585</v>
      </c>
    </row>
    <row r="197" spans="2:7">
      <c r="B197" s="56">
        <v>46183</v>
      </c>
      <c r="C197" s="69">
        <v>46183.69458333333</v>
      </c>
      <c r="D197" s="55" t="s">
        <v>684</v>
      </c>
      <c r="E197" s="55" t="s">
        <v>686</v>
      </c>
      <c r="F197" s="130">
        <v>46171</v>
      </c>
      <c r="G197" s="130">
        <v>46203</v>
      </c>
    </row>
    <row r="198" spans="2:7">
      <c r="B198" s="56">
        <v>46183</v>
      </c>
      <c r="C198" s="69">
        <v>46183.694918981484</v>
      </c>
      <c r="D198" s="55" t="s">
        <v>689</v>
      </c>
      <c r="E198" s="55" t="s">
        <v>920</v>
      </c>
      <c r="F198" s="130">
        <v>46171</v>
      </c>
      <c r="G198" s="130">
        <v>46203</v>
      </c>
    </row>
    <row r="199" spans="2:7">
      <c r="B199" s="56">
        <v>46184</v>
      </c>
      <c r="C199" s="69">
        <v>46184.367037037038</v>
      </c>
      <c r="D199" s="55" t="s">
        <v>684</v>
      </c>
      <c r="E199" s="55" t="s">
        <v>922</v>
      </c>
      <c r="G199" s="129" t="s">
        <v>921</v>
      </c>
    </row>
    <row r="200" spans="2:7" ht="52.8">
      <c r="B200" s="56">
        <v>46195</v>
      </c>
      <c r="C200" s="69">
        <v>46195.405995370369</v>
      </c>
      <c r="D200" s="55" t="s">
        <v>684</v>
      </c>
      <c r="E200" s="55" t="s">
        <v>924</v>
      </c>
      <c r="G200" s="129" t="s">
        <v>923</v>
      </c>
    </row>
    <row r="201" spans="2:7" ht="52.8">
      <c r="B201" s="56">
        <v>46195</v>
      </c>
      <c r="C201" s="69">
        <v>46195.406226851854</v>
      </c>
      <c r="D201" s="55" t="s">
        <v>684</v>
      </c>
      <c r="E201" s="55" t="s">
        <v>924</v>
      </c>
      <c r="F201" s="129" t="s">
        <v>923</v>
      </c>
      <c r="G201" s="129" t="s">
        <v>925</v>
      </c>
    </row>
    <row r="202" spans="2:7" ht="52.8">
      <c r="B202" s="56">
        <v>46195</v>
      </c>
      <c r="C202" s="69">
        <v>46195.406909722224</v>
      </c>
      <c r="D202" s="55" t="s">
        <v>684</v>
      </c>
      <c r="E202" s="55" t="s">
        <v>927</v>
      </c>
      <c r="G202" s="129" t="s">
        <v>926</v>
      </c>
    </row>
    <row r="203" spans="2:7" ht="409.6">
      <c r="B203" s="56">
        <v>46195</v>
      </c>
      <c r="C203" s="69">
        <v>46195.407013888886</v>
      </c>
      <c r="D203" s="55" t="s">
        <v>684</v>
      </c>
      <c r="E203" s="55" t="s">
        <v>929</v>
      </c>
      <c r="G203" s="129" t="s">
        <v>928</v>
      </c>
    </row>
    <row r="204" spans="2:7" ht="409.6">
      <c r="B204" s="56">
        <v>46195</v>
      </c>
      <c r="C204" s="69">
        <v>46195.407465277778</v>
      </c>
      <c r="D204" s="55" t="s">
        <v>684</v>
      </c>
      <c r="E204" s="55" t="s">
        <v>929</v>
      </c>
      <c r="F204" s="129" t="s">
        <v>928</v>
      </c>
      <c r="G204" s="129" t="s">
        <v>930</v>
      </c>
    </row>
    <row r="205" spans="2:7">
      <c r="B205" s="56">
        <v>46195</v>
      </c>
      <c r="C205" s="69">
        <v>46195.408101851855</v>
      </c>
      <c r="D205" s="55" t="s">
        <v>684</v>
      </c>
      <c r="E205" s="55" t="s">
        <v>931</v>
      </c>
      <c r="G205" s="129" t="s">
        <v>254</v>
      </c>
    </row>
    <row r="206" spans="2:7" ht="184.8">
      <c r="B206" s="56">
        <v>46195</v>
      </c>
      <c r="C206" s="69">
        <v>46195.408530092594</v>
      </c>
      <c r="D206" s="55" t="s">
        <v>684</v>
      </c>
      <c r="E206" s="55" t="s">
        <v>933</v>
      </c>
      <c r="G206" s="129" t="s">
        <v>932</v>
      </c>
    </row>
    <row r="207" spans="2:7" ht="26.4">
      <c r="B207" s="56">
        <v>46195</v>
      </c>
      <c r="C207" s="69">
        <v>46195.408726851849</v>
      </c>
      <c r="D207" s="55" t="s">
        <v>684</v>
      </c>
      <c r="E207" s="55" t="s">
        <v>934</v>
      </c>
      <c r="G207" s="129" t="s">
        <v>115</v>
      </c>
    </row>
    <row r="208" spans="2:7">
      <c r="B208" s="56">
        <v>46195</v>
      </c>
      <c r="C208" s="69">
        <v>46195.408865740741</v>
      </c>
      <c r="D208" s="55" t="s">
        <v>684</v>
      </c>
      <c r="E208" s="55" t="s">
        <v>935</v>
      </c>
      <c r="G208" s="130">
        <v>46191</v>
      </c>
    </row>
    <row r="209" spans="2:7">
      <c r="B209" s="56">
        <v>46195</v>
      </c>
      <c r="C209" s="69">
        <v>46195.408958333333</v>
      </c>
      <c r="D209" s="55" t="s">
        <v>684</v>
      </c>
      <c r="E209" s="55" t="s">
        <v>936</v>
      </c>
      <c r="G209" s="130">
        <v>46204</v>
      </c>
    </row>
    <row r="210" spans="2:7" ht="39.6">
      <c r="B210" s="56">
        <v>46195</v>
      </c>
      <c r="C210" s="69">
        <v>46195.410243055558</v>
      </c>
      <c r="D210" s="55" t="s">
        <v>684</v>
      </c>
      <c r="E210" s="55" t="s">
        <v>938</v>
      </c>
      <c r="G210" s="129" t="s">
        <v>937</v>
      </c>
    </row>
    <row r="211" spans="2:7">
      <c r="B211" s="56">
        <v>46195</v>
      </c>
      <c r="C211" s="69">
        <v>46195.410416666666</v>
      </c>
      <c r="D211" s="55" t="s">
        <v>684</v>
      </c>
      <c r="E211" s="55" t="s">
        <v>939</v>
      </c>
      <c r="G211" s="129" t="s">
        <v>20</v>
      </c>
    </row>
    <row r="212" spans="2:7" ht="409.6">
      <c r="B212" s="56">
        <v>46195</v>
      </c>
      <c r="C212" s="69">
        <v>46195.411597222221</v>
      </c>
      <c r="D212" s="55" t="s">
        <v>684</v>
      </c>
      <c r="E212" s="55" t="s">
        <v>941</v>
      </c>
      <c r="G212" s="129" t="s">
        <v>940</v>
      </c>
    </row>
    <row r="213" spans="2:7" ht="409.6">
      <c r="B213" s="56">
        <v>46195</v>
      </c>
      <c r="C213" s="69">
        <v>46195.412800925929</v>
      </c>
      <c r="D213" s="55" t="s">
        <v>684</v>
      </c>
      <c r="E213" s="55" t="s">
        <v>941</v>
      </c>
      <c r="F213" s="129" t="s">
        <v>940</v>
      </c>
      <c r="G213" s="129" t="s">
        <v>944</v>
      </c>
    </row>
    <row r="214" spans="2:7" ht="52.8">
      <c r="B214" s="56">
        <v>46195</v>
      </c>
      <c r="C214" s="69">
        <v>46195.412939814814</v>
      </c>
      <c r="D214" s="55" t="s">
        <v>684</v>
      </c>
      <c r="E214" s="55" t="s">
        <v>946</v>
      </c>
      <c r="G214" s="129" t="s">
        <v>945</v>
      </c>
    </row>
    <row r="215" spans="2:7" ht="52.8">
      <c r="B215" s="56">
        <v>46195</v>
      </c>
      <c r="C215" s="69">
        <v>46195.413437499999</v>
      </c>
      <c r="D215" s="55" t="s">
        <v>684</v>
      </c>
      <c r="E215" s="55" t="s">
        <v>947</v>
      </c>
      <c r="G215" s="129" t="s">
        <v>945</v>
      </c>
    </row>
    <row r="216" spans="2:7" ht="52.8">
      <c r="B216" s="56">
        <v>46195</v>
      </c>
      <c r="C216" s="69">
        <v>46195.413599537038</v>
      </c>
      <c r="D216" s="55" t="s">
        <v>684</v>
      </c>
      <c r="E216" s="55" t="s">
        <v>947</v>
      </c>
      <c r="F216" s="129" t="s">
        <v>945</v>
      </c>
    </row>
    <row r="217" spans="2:7">
      <c r="B217" s="56">
        <v>46195</v>
      </c>
      <c r="C217" s="69">
        <v>46195.413854166669</v>
      </c>
      <c r="D217" s="55" t="s">
        <v>684</v>
      </c>
      <c r="E217" s="55" t="s">
        <v>948</v>
      </c>
      <c r="G217" s="129" t="s">
        <v>188</v>
      </c>
    </row>
    <row r="218" spans="2:7" ht="250.8">
      <c r="B218" s="56">
        <v>46195</v>
      </c>
      <c r="C218" s="69">
        <v>46195.414097222223</v>
      </c>
      <c r="D218" s="55" t="s">
        <v>684</v>
      </c>
      <c r="E218" s="55" t="s">
        <v>949</v>
      </c>
      <c r="G218" s="129" t="s">
        <v>884</v>
      </c>
    </row>
    <row r="219" spans="2:7" ht="26.4">
      <c r="B219" s="56">
        <v>46195</v>
      </c>
      <c r="C219" s="69">
        <v>46195.414641203701</v>
      </c>
      <c r="D219" s="55" t="s">
        <v>684</v>
      </c>
      <c r="E219" s="55" t="s">
        <v>951</v>
      </c>
      <c r="G219" s="129" t="s">
        <v>950</v>
      </c>
    </row>
    <row r="220" spans="2:7">
      <c r="B220" s="56">
        <v>46195</v>
      </c>
      <c r="C220" s="69">
        <v>46195.41474537037</v>
      </c>
      <c r="D220" s="55" t="s">
        <v>684</v>
      </c>
      <c r="E220" s="55" t="s">
        <v>953</v>
      </c>
      <c r="G220" s="129" t="s">
        <v>952</v>
      </c>
    </row>
    <row r="221" spans="2:7">
      <c r="B221" s="56">
        <v>46195</v>
      </c>
      <c r="C221" s="69">
        <v>46195.414872685185</v>
      </c>
      <c r="D221" s="55" t="s">
        <v>684</v>
      </c>
      <c r="E221" s="55" t="s">
        <v>954</v>
      </c>
      <c r="G221" s="130">
        <v>46161</v>
      </c>
    </row>
    <row r="222" spans="2:7" ht="39.6">
      <c r="B222" s="56">
        <v>46195</v>
      </c>
      <c r="C222" s="69">
        <v>46195.415138888886</v>
      </c>
      <c r="D222" s="55" t="s">
        <v>684</v>
      </c>
      <c r="E222" s="55" t="s">
        <v>956</v>
      </c>
      <c r="G222" s="129" t="s">
        <v>955</v>
      </c>
    </row>
    <row r="223" spans="2:7">
      <c r="B223" s="56">
        <v>46195</v>
      </c>
      <c r="C223" s="69">
        <v>46195.415370370371</v>
      </c>
      <c r="D223" s="55" t="s">
        <v>684</v>
      </c>
      <c r="E223" s="55" t="s">
        <v>957</v>
      </c>
      <c r="G223" s="129" t="s">
        <v>33</v>
      </c>
    </row>
    <row r="224" spans="2:7" ht="409.6">
      <c r="B224" s="56">
        <v>46195</v>
      </c>
      <c r="C224" s="69">
        <v>46195.415775462963</v>
      </c>
      <c r="D224" s="55" t="s">
        <v>684</v>
      </c>
      <c r="E224" s="55" t="s">
        <v>958</v>
      </c>
      <c r="G224" s="129" t="s">
        <v>885</v>
      </c>
    </row>
    <row r="225" spans="2:7" ht="409.6">
      <c r="B225" s="56">
        <v>46195</v>
      </c>
      <c r="C225" s="69">
        <v>46195.416388888887</v>
      </c>
      <c r="D225" s="55" t="s">
        <v>684</v>
      </c>
      <c r="E225" s="55" t="s">
        <v>958</v>
      </c>
      <c r="F225" s="129" t="s">
        <v>885</v>
      </c>
      <c r="G225" s="129" t="s">
        <v>960</v>
      </c>
    </row>
    <row r="226" spans="2:7" ht="79.2">
      <c r="B226" s="56">
        <v>46195</v>
      </c>
      <c r="C226" s="69">
        <v>46195.416493055556</v>
      </c>
      <c r="D226" s="55" t="s">
        <v>684</v>
      </c>
      <c r="E226" s="55" t="s">
        <v>947</v>
      </c>
      <c r="G226" s="129" t="s">
        <v>961</v>
      </c>
    </row>
    <row r="227" spans="2:7">
      <c r="B227" s="56">
        <v>46195</v>
      </c>
      <c r="C227" s="69">
        <v>46195.416597222225</v>
      </c>
      <c r="D227" s="55" t="s">
        <v>684</v>
      </c>
      <c r="E227" s="55" t="s">
        <v>962</v>
      </c>
      <c r="G227" s="129" t="s">
        <v>188</v>
      </c>
    </row>
    <row r="228" spans="2:7" ht="409.6">
      <c r="B228" s="56">
        <v>46195</v>
      </c>
      <c r="C228" s="69">
        <v>46195.417361111111</v>
      </c>
      <c r="D228" s="55" t="s">
        <v>684</v>
      </c>
      <c r="E228" s="55" t="s">
        <v>964</v>
      </c>
      <c r="G228" s="129" t="s">
        <v>963</v>
      </c>
    </row>
    <row r="229" spans="2:7" ht="409.6">
      <c r="B229" s="56">
        <v>46195</v>
      </c>
      <c r="C229" s="69">
        <v>46195.417916666665</v>
      </c>
      <c r="D229" s="55" t="s">
        <v>684</v>
      </c>
      <c r="E229" s="55" t="s">
        <v>964</v>
      </c>
      <c r="F229" s="129" t="s">
        <v>963</v>
      </c>
      <c r="G229" s="129" t="s">
        <v>965</v>
      </c>
    </row>
    <row r="230" spans="2:7" ht="26.4">
      <c r="B230" s="56">
        <v>46195</v>
      </c>
      <c r="C230" s="69">
        <v>46195.418506944443</v>
      </c>
      <c r="D230" s="55" t="s">
        <v>684</v>
      </c>
      <c r="E230" s="55" t="s">
        <v>966</v>
      </c>
      <c r="G230" s="129" t="s">
        <v>190</v>
      </c>
    </row>
    <row r="231" spans="2:7">
      <c r="B231" s="56">
        <v>46195</v>
      </c>
      <c r="C231" s="69">
        <v>46195.418738425928</v>
      </c>
      <c r="D231" s="55" t="s">
        <v>684</v>
      </c>
      <c r="E231" s="55" t="s">
        <v>967</v>
      </c>
      <c r="F231" s="130"/>
      <c r="G231" s="130">
        <v>46235</v>
      </c>
    </row>
    <row r="232" spans="2:7">
      <c r="B232" s="56">
        <v>46195</v>
      </c>
      <c r="C232" s="69">
        <v>46195.41883101852</v>
      </c>
      <c r="D232" s="55" t="s">
        <v>684</v>
      </c>
      <c r="E232" s="55" t="s">
        <v>968</v>
      </c>
      <c r="F232" s="130"/>
      <c r="G232" s="130">
        <v>46357</v>
      </c>
    </row>
    <row r="233" spans="2:7" ht="39.6">
      <c r="B233" s="56">
        <v>46195</v>
      </c>
      <c r="C233" s="69">
        <v>46195.419027777774</v>
      </c>
      <c r="D233" s="55" t="s">
        <v>684</v>
      </c>
      <c r="E233" s="55" t="s">
        <v>879</v>
      </c>
      <c r="F233" s="130"/>
      <c r="G233" s="130" t="s">
        <v>969</v>
      </c>
    </row>
    <row r="234" spans="2:7" ht="303.60000000000002">
      <c r="B234" s="56">
        <v>46195</v>
      </c>
      <c r="C234" s="69">
        <v>46195.419305555559</v>
      </c>
      <c r="D234" s="55" t="s">
        <v>684</v>
      </c>
      <c r="E234" s="55" t="s">
        <v>971</v>
      </c>
      <c r="F234" s="130"/>
      <c r="G234" s="130" t="s">
        <v>970</v>
      </c>
    </row>
    <row r="235" spans="2:7" ht="303.60000000000002">
      <c r="B235" s="56">
        <v>46195</v>
      </c>
      <c r="C235" s="69">
        <v>46195.419340277775</v>
      </c>
      <c r="D235" s="55" t="s">
        <v>684</v>
      </c>
      <c r="E235" s="55" t="s">
        <v>971</v>
      </c>
      <c r="F235" s="129" t="s">
        <v>970</v>
      </c>
    </row>
    <row r="236" spans="2:7" ht="303.60000000000002">
      <c r="B236" s="56">
        <v>46195</v>
      </c>
      <c r="C236" s="69">
        <v>46195.419374999998</v>
      </c>
      <c r="D236" s="55" t="s">
        <v>684</v>
      </c>
      <c r="E236" s="55" t="s">
        <v>972</v>
      </c>
      <c r="G236" s="129" t="s">
        <v>970</v>
      </c>
    </row>
    <row r="237" spans="2:7" ht="303.60000000000002">
      <c r="B237" s="56">
        <v>46195</v>
      </c>
      <c r="C237" s="69">
        <v>46195.419699074075</v>
      </c>
      <c r="D237" s="55" t="s">
        <v>684</v>
      </c>
      <c r="E237" s="55" t="s">
        <v>972</v>
      </c>
      <c r="F237" s="129" t="s">
        <v>970</v>
      </c>
      <c r="G237" s="129" t="s">
        <v>974</v>
      </c>
    </row>
    <row r="238" spans="2:7" ht="52.8">
      <c r="B238" s="56">
        <v>46195</v>
      </c>
      <c r="C238" s="69">
        <v>46195.419791666667</v>
      </c>
      <c r="D238" s="55" t="s">
        <v>684</v>
      </c>
      <c r="E238" s="55" t="s">
        <v>971</v>
      </c>
      <c r="G238" s="129" t="s">
        <v>975</v>
      </c>
    </row>
    <row r="239" spans="2:7">
      <c r="B239" s="56">
        <v>46195</v>
      </c>
      <c r="C239" s="69">
        <v>46195.420069444444</v>
      </c>
      <c r="D239" s="55" t="s">
        <v>684</v>
      </c>
      <c r="E239" s="55" t="s">
        <v>976</v>
      </c>
      <c r="G239" s="129" t="s">
        <v>188</v>
      </c>
    </row>
    <row r="240" spans="2:7" ht="224.4">
      <c r="B240" s="56">
        <v>46195</v>
      </c>
      <c r="C240" s="69">
        <v>46195.420254629629</v>
      </c>
      <c r="D240" s="55" t="s">
        <v>684</v>
      </c>
      <c r="E240" s="55" t="s">
        <v>978</v>
      </c>
      <c r="G240" s="129" t="s">
        <v>977</v>
      </c>
    </row>
    <row r="241" spans="2:7" ht="26.4">
      <c r="B241" s="56">
        <v>46195</v>
      </c>
      <c r="C241" s="69">
        <v>46195.420416666668</v>
      </c>
      <c r="D241" s="55" t="s">
        <v>684</v>
      </c>
      <c r="E241" s="55" t="s">
        <v>979</v>
      </c>
      <c r="G241" s="129" t="s">
        <v>115</v>
      </c>
    </row>
    <row r="242" spans="2:7">
      <c r="B242" s="56">
        <v>46195</v>
      </c>
      <c r="C242" s="69">
        <v>46195.420555555553</v>
      </c>
      <c r="D242" s="55" t="s">
        <v>684</v>
      </c>
      <c r="E242" s="55" t="s">
        <v>980</v>
      </c>
      <c r="G242" s="130">
        <v>46191</v>
      </c>
    </row>
    <row r="243" spans="2:7">
      <c r="B243" s="56">
        <v>46195</v>
      </c>
      <c r="C243" s="69">
        <v>46195.420636574076</v>
      </c>
      <c r="D243" s="55" t="s">
        <v>684</v>
      </c>
      <c r="E243" s="55" t="s">
        <v>981</v>
      </c>
      <c r="G243" s="130">
        <v>46113</v>
      </c>
    </row>
    <row r="244" spans="2:7" ht="39.6">
      <c r="B244" s="56">
        <v>46195</v>
      </c>
      <c r="C244" s="69">
        <v>46195.42082175926</v>
      </c>
      <c r="D244" s="55" t="s">
        <v>684</v>
      </c>
      <c r="E244" s="55" t="s">
        <v>983</v>
      </c>
      <c r="G244" s="129" t="s">
        <v>982</v>
      </c>
    </row>
    <row r="245" spans="2:7">
      <c r="B245" s="56">
        <v>46195</v>
      </c>
      <c r="C245" s="69">
        <v>46195.42150462963</v>
      </c>
      <c r="D245" s="55" t="s">
        <v>684</v>
      </c>
      <c r="E245" s="55" t="s">
        <v>984</v>
      </c>
      <c r="G245" s="129" t="s">
        <v>201</v>
      </c>
    </row>
    <row r="246" spans="2:7">
      <c r="B246" s="56">
        <v>46195</v>
      </c>
      <c r="C246" s="69">
        <v>46195.421643518515</v>
      </c>
      <c r="D246" s="55" t="s">
        <v>684</v>
      </c>
      <c r="E246" s="55" t="s">
        <v>985</v>
      </c>
      <c r="G246" s="129" t="s">
        <v>33</v>
      </c>
    </row>
    <row r="247" spans="2:7">
      <c r="B247" s="56">
        <v>46195</v>
      </c>
      <c r="C247" s="69">
        <v>46195.421886574077</v>
      </c>
      <c r="D247" s="55" t="s">
        <v>684</v>
      </c>
      <c r="E247" s="55" t="s">
        <v>986</v>
      </c>
      <c r="F247" s="129">
        <v>162</v>
      </c>
    </row>
    <row r="248" spans="2:7">
      <c r="B248" s="56">
        <v>46195</v>
      </c>
      <c r="C248" s="69">
        <v>46195.422893518517</v>
      </c>
      <c r="D248" s="55" t="s">
        <v>684</v>
      </c>
      <c r="E248" s="55" t="s">
        <v>939</v>
      </c>
      <c r="F248" s="129" t="s">
        <v>20</v>
      </c>
      <c r="G248" s="129" t="s">
        <v>201</v>
      </c>
    </row>
    <row r="249" spans="2:7">
      <c r="B249" s="56">
        <v>46195</v>
      </c>
      <c r="C249" s="69">
        <v>46195.431087962963</v>
      </c>
      <c r="D249" s="55" t="s">
        <v>890</v>
      </c>
      <c r="E249" s="55" t="s">
        <v>987</v>
      </c>
      <c r="G249" s="129">
        <v>2025</v>
      </c>
    </row>
    <row r="250" spans="2:7">
      <c r="B250" s="56">
        <v>46195</v>
      </c>
      <c r="C250" s="69">
        <v>46195.431886574072</v>
      </c>
      <c r="D250" s="55" t="s">
        <v>890</v>
      </c>
      <c r="E250" s="55" t="s">
        <v>988</v>
      </c>
      <c r="G250" s="129">
        <v>4</v>
      </c>
    </row>
    <row r="251" spans="2:7">
      <c r="B251" s="56">
        <v>46195</v>
      </c>
      <c r="C251" s="69">
        <v>46195.432152777779</v>
      </c>
      <c r="D251" s="55" t="s">
        <v>890</v>
      </c>
      <c r="E251" s="55" t="s">
        <v>989</v>
      </c>
      <c r="G251" s="129">
        <v>4</v>
      </c>
    </row>
    <row r="252" spans="2:7">
      <c r="B252" s="56">
        <v>46195</v>
      </c>
      <c r="C252" s="69">
        <v>46195.432245370372</v>
      </c>
      <c r="D252" s="55" t="s">
        <v>890</v>
      </c>
      <c r="E252" s="55" t="s">
        <v>990</v>
      </c>
      <c r="G252" s="129">
        <v>2</v>
      </c>
    </row>
    <row r="253" spans="2:7">
      <c r="B253" s="56">
        <v>46195</v>
      </c>
      <c r="C253" s="69">
        <v>46195.432337962964</v>
      </c>
      <c r="D253" s="55" t="s">
        <v>890</v>
      </c>
      <c r="E253" s="55" t="s">
        <v>991</v>
      </c>
      <c r="G253" s="129">
        <v>2</v>
      </c>
    </row>
    <row r="254" spans="2:7">
      <c r="B254" s="56">
        <v>46195</v>
      </c>
      <c r="C254" s="69">
        <v>46195.432743055557</v>
      </c>
      <c r="D254" s="55" t="s">
        <v>890</v>
      </c>
      <c r="E254" s="55" t="s">
        <v>992</v>
      </c>
      <c r="F254" s="129">
        <v>145</v>
      </c>
    </row>
    <row r="255" spans="2:7">
      <c r="B255" s="56">
        <v>46195</v>
      </c>
      <c r="C255" s="69">
        <v>46195.432766203703</v>
      </c>
      <c r="D255" s="55" t="s">
        <v>890</v>
      </c>
      <c r="E255" s="55" t="s">
        <v>993</v>
      </c>
      <c r="F255" s="129">
        <v>32</v>
      </c>
    </row>
    <row r="256" spans="2:7">
      <c r="B256" s="56">
        <v>46195</v>
      </c>
      <c r="C256" s="69">
        <v>46195.43277777778</v>
      </c>
      <c r="D256" s="55" t="s">
        <v>890</v>
      </c>
      <c r="E256" s="55" t="s">
        <v>994</v>
      </c>
      <c r="F256" s="129">
        <v>13</v>
      </c>
    </row>
    <row r="257" spans="2:7">
      <c r="B257" s="56">
        <v>46195</v>
      </c>
      <c r="C257" s="69">
        <v>46195.432789351849</v>
      </c>
      <c r="D257" s="55" t="s">
        <v>890</v>
      </c>
      <c r="E257" s="55" t="s">
        <v>995</v>
      </c>
      <c r="F257" s="129">
        <v>100</v>
      </c>
    </row>
    <row r="258" spans="2:7">
      <c r="B258" s="56">
        <v>46195</v>
      </c>
      <c r="C258" s="69">
        <v>46195.432812500003</v>
      </c>
      <c r="D258" s="55" t="s">
        <v>890</v>
      </c>
      <c r="E258" s="55" t="s">
        <v>996</v>
      </c>
      <c r="F258" s="129">
        <v>1</v>
      </c>
    </row>
    <row r="259" spans="2:7">
      <c r="B259" s="56">
        <v>46195</v>
      </c>
      <c r="C259" s="69">
        <v>46195.432824074072</v>
      </c>
      <c r="D259" s="55" t="s">
        <v>890</v>
      </c>
      <c r="E259" s="55" t="s">
        <v>997</v>
      </c>
      <c r="F259" s="129">
        <v>101</v>
      </c>
    </row>
    <row r="260" spans="2:7">
      <c r="B260" s="56">
        <v>46195</v>
      </c>
      <c r="C260" s="69">
        <v>46195.432893518519</v>
      </c>
      <c r="D260" s="55" t="s">
        <v>890</v>
      </c>
      <c r="E260" s="55" t="s">
        <v>997</v>
      </c>
      <c r="G260" s="129">
        <v>105</v>
      </c>
    </row>
    <row r="261" spans="2:7">
      <c r="B261" s="56">
        <v>46195</v>
      </c>
      <c r="C261" s="69">
        <v>46195.432928240742</v>
      </c>
      <c r="D261" s="55" t="s">
        <v>890</v>
      </c>
      <c r="E261" s="55" t="s">
        <v>992</v>
      </c>
      <c r="G261" s="129">
        <v>149</v>
      </c>
    </row>
    <row r="262" spans="2:7">
      <c r="B262" s="56">
        <v>46195</v>
      </c>
      <c r="C262" s="69">
        <v>46195.432951388888</v>
      </c>
      <c r="D262" s="55" t="s">
        <v>890</v>
      </c>
      <c r="E262" s="55" t="s">
        <v>993</v>
      </c>
      <c r="G262" s="129">
        <v>34</v>
      </c>
    </row>
    <row r="263" spans="2:7">
      <c r="B263" s="56">
        <v>46195</v>
      </c>
      <c r="C263" s="69">
        <v>46195.432986111111</v>
      </c>
      <c r="D263" s="55" t="s">
        <v>890</v>
      </c>
      <c r="E263" s="55" t="s">
        <v>994</v>
      </c>
      <c r="G263" s="129">
        <v>15</v>
      </c>
    </row>
    <row r="264" spans="2:7">
      <c r="B264" s="56">
        <v>46195</v>
      </c>
      <c r="C264" s="69">
        <v>46195.433009259257</v>
      </c>
      <c r="D264" s="55" t="s">
        <v>890</v>
      </c>
      <c r="E264" s="55" t="s">
        <v>995</v>
      </c>
      <c r="G264" s="129">
        <v>100</v>
      </c>
    </row>
    <row r="265" spans="2:7">
      <c r="B265" s="56">
        <v>46195</v>
      </c>
      <c r="C265" s="69">
        <v>46195.43304398148</v>
      </c>
      <c r="D265" s="55" t="s">
        <v>890</v>
      </c>
      <c r="E265" s="55" t="s">
        <v>996</v>
      </c>
      <c r="G265" s="129">
        <v>1</v>
      </c>
    </row>
    <row r="266" spans="2:7" ht="26.4">
      <c r="B266" s="56">
        <v>46195</v>
      </c>
      <c r="C266" s="69">
        <v>46195.435925925929</v>
      </c>
      <c r="D266" s="55" t="s">
        <v>890</v>
      </c>
      <c r="E266" s="55" t="s">
        <v>717</v>
      </c>
      <c r="G266" s="129" t="s">
        <v>998</v>
      </c>
    </row>
    <row r="267" spans="2:7" ht="26.4">
      <c r="B267" s="56">
        <v>46195</v>
      </c>
      <c r="C267" s="69">
        <v>46195.436111111114</v>
      </c>
      <c r="D267" s="55" t="s">
        <v>890</v>
      </c>
      <c r="E267" s="55" t="s">
        <v>999</v>
      </c>
      <c r="F267" s="129" t="s">
        <v>950</v>
      </c>
      <c r="G267" s="129">
        <v>1</v>
      </c>
    </row>
    <row r="268" spans="2:7">
      <c r="B268" s="56">
        <v>46195</v>
      </c>
      <c r="C268" s="69">
        <v>46195.436249999999</v>
      </c>
      <c r="D268" s="55" t="s">
        <v>890</v>
      </c>
      <c r="E268" s="55" t="s">
        <v>1000</v>
      </c>
      <c r="G268" s="129">
        <v>1</v>
      </c>
    </row>
    <row r="269" spans="2:7">
      <c r="B269" s="56">
        <v>46195</v>
      </c>
      <c r="C269" s="69">
        <v>46195.436666666668</v>
      </c>
      <c r="D269" s="55" t="s">
        <v>890</v>
      </c>
      <c r="E269" s="55" t="s">
        <v>1001</v>
      </c>
      <c r="G269" s="129">
        <v>133</v>
      </c>
    </row>
    <row r="270" spans="2:7">
      <c r="B270" s="56">
        <v>46195</v>
      </c>
      <c r="C270" s="69">
        <v>46195.436712962961</v>
      </c>
      <c r="D270" s="55" t="s">
        <v>890</v>
      </c>
      <c r="E270" s="55" t="s">
        <v>1002</v>
      </c>
      <c r="G270" s="129">
        <v>33</v>
      </c>
    </row>
    <row r="271" spans="2:7">
      <c r="B271" s="56">
        <v>46195</v>
      </c>
      <c r="C271" s="69">
        <v>46195.436736111114</v>
      </c>
      <c r="D271" s="55" t="s">
        <v>890</v>
      </c>
      <c r="E271" s="55" t="s">
        <v>1003</v>
      </c>
      <c r="G271" s="129">
        <v>7</v>
      </c>
    </row>
    <row r="272" spans="2:7">
      <c r="B272" s="56">
        <v>46195</v>
      </c>
      <c r="C272" s="69">
        <v>46195.436759259261</v>
      </c>
      <c r="D272" s="55" t="s">
        <v>890</v>
      </c>
      <c r="E272" s="55" t="s">
        <v>1004</v>
      </c>
      <c r="G272" s="129">
        <v>93</v>
      </c>
    </row>
    <row r="273" spans="2:7">
      <c r="B273" s="56">
        <v>46195</v>
      </c>
      <c r="C273" s="69">
        <v>46195.436782407407</v>
      </c>
      <c r="D273" s="55" t="s">
        <v>890</v>
      </c>
      <c r="E273" s="55" t="s">
        <v>1005</v>
      </c>
      <c r="G273" s="129">
        <v>1</v>
      </c>
    </row>
    <row r="274" spans="2:7">
      <c r="B274" s="56">
        <v>46196</v>
      </c>
      <c r="C274" s="69">
        <v>46196.461770833332</v>
      </c>
      <c r="D274" s="55" t="s">
        <v>684</v>
      </c>
      <c r="E274" s="55" t="s">
        <v>1015</v>
      </c>
      <c r="G274" s="129" t="s">
        <v>667</v>
      </c>
    </row>
    <row r="275" spans="2:7">
      <c r="B275" s="56">
        <v>46196</v>
      </c>
      <c r="C275" s="69">
        <v>46196.461793981478</v>
      </c>
      <c r="D275" s="55" t="s">
        <v>684</v>
      </c>
      <c r="E275" s="55" t="s">
        <v>1016</v>
      </c>
      <c r="G275" s="129" t="s">
        <v>667</v>
      </c>
    </row>
    <row r="276" spans="2:7">
      <c r="B276" s="56">
        <v>46196</v>
      </c>
      <c r="C276" s="69">
        <v>46196.461805555555</v>
      </c>
      <c r="D276" s="55" t="s">
        <v>684</v>
      </c>
      <c r="E276" s="55" t="s">
        <v>1017</v>
      </c>
      <c r="G276" s="129" t="s">
        <v>667</v>
      </c>
    </row>
    <row r="277" spans="2:7">
      <c r="B277" s="56">
        <v>46196</v>
      </c>
      <c r="C277" s="69">
        <v>46196.461828703701</v>
      </c>
      <c r="D277" s="55" t="s">
        <v>684</v>
      </c>
      <c r="E277" s="55" t="s">
        <v>1018</v>
      </c>
      <c r="G277" s="129" t="s">
        <v>667</v>
      </c>
    </row>
    <row r="278" spans="2:7" ht="39.6">
      <c r="B278" s="56">
        <v>46196</v>
      </c>
      <c r="C278" s="69">
        <v>46196.463229166664</v>
      </c>
      <c r="D278" s="55" t="s">
        <v>684</v>
      </c>
      <c r="E278" s="55" t="s">
        <v>1020</v>
      </c>
      <c r="G278" s="129" t="s">
        <v>1019</v>
      </c>
    </row>
    <row r="279" spans="2:7" ht="39.6">
      <c r="B279" s="56">
        <v>46196</v>
      </c>
      <c r="C279" s="69">
        <v>46196.463518518518</v>
      </c>
      <c r="D279" s="55" t="s">
        <v>684</v>
      </c>
      <c r="E279" s="55" t="s">
        <v>1021</v>
      </c>
      <c r="G279" s="129" t="s">
        <v>1019</v>
      </c>
    </row>
    <row r="280" spans="2:7" ht="52.8">
      <c r="B280" s="56">
        <v>46196</v>
      </c>
      <c r="C280" s="69">
        <v>46196.464201388888</v>
      </c>
      <c r="D280" s="55" t="s">
        <v>684</v>
      </c>
      <c r="E280" s="55" t="s">
        <v>1023</v>
      </c>
      <c r="G280" s="129" t="s">
        <v>1022</v>
      </c>
    </row>
    <row r="281" spans="2:7" ht="39.6">
      <c r="B281" s="56">
        <v>46196</v>
      </c>
      <c r="C281" s="69">
        <v>46196.464699074073</v>
      </c>
      <c r="D281" s="55" t="s">
        <v>684</v>
      </c>
      <c r="E281" s="55" t="s">
        <v>1025</v>
      </c>
      <c r="G281" s="129" t="s">
        <v>1024</v>
      </c>
    </row>
    <row r="282" spans="2:7">
      <c r="B282" s="56">
        <v>46196</v>
      </c>
      <c r="C282" s="69">
        <v>46196.500902777778</v>
      </c>
      <c r="D282" s="55" t="s">
        <v>684</v>
      </c>
      <c r="E282" s="55" t="s">
        <v>957</v>
      </c>
      <c r="F282" s="129" t="s">
        <v>33</v>
      </c>
      <c r="G282" s="129" t="s">
        <v>20</v>
      </c>
    </row>
    <row r="283" spans="2:7" ht="66">
      <c r="B283" s="56">
        <v>46196</v>
      </c>
      <c r="C283" s="69">
        <v>46196.505046296297</v>
      </c>
      <c r="D283" s="55" t="s">
        <v>684</v>
      </c>
      <c r="E283" s="55" t="s">
        <v>1027</v>
      </c>
      <c r="G283" s="129" t="s">
        <v>1028</v>
      </c>
    </row>
    <row r="284" spans="2:7" ht="26.4">
      <c r="B284" s="56">
        <v>46210</v>
      </c>
      <c r="C284" s="69">
        <v>46210.525231481479</v>
      </c>
      <c r="D284" s="55" t="s">
        <v>684</v>
      </c>
      <c r="E284" s="55" t="s">
        <v>1029</v>
      </c>
      <c r="G284" s="130" t="s">
        <v>180</v>
      </c>
    </row>
    <row r="285" spans="2:7" ht="26.4">
      <c r="B285" s="56">
        <v>46210</v>
      </c>
      <c r="C285" s="69">
        <v>46210.525300925925</v>
      </c>
      <c r="D285" s="55" t="s">
        <v>684</v>
      </c>
      <c r="E285" s="55" t="s">
        <v>1029</v>
      </c>
      <c r="G285" s="130" t="s">
        <v>1030</v>
      </c>
    </row>
    <row r="286" spans="2:7">
      <c r="B286" s="56">
        <v>46210</v>
      </c>
      <c r="C286" s="69">
        <v>46210.526319444441</v>
      </c>
      <c r="D286" s="55" t="s">
        <v>684</v>
      </c>
      <c r="E286" s="55" t="s">
        <v>1032</v>
      </c>
      <c r="G286" s="129" t="s">
        <v>1031</v>
      </c>
    </row>
    <row r="287" spans="2:7" ht="26.4">
      <c r="B287" s="56">
        <v>46210</v>
      </c>
      <c r="C287" s="69">
        <v>46210.526516203703</v>
      </c>
      <c r="D287" s="55" t="s">
        <v>684</v>
      </c>
      <c r="E287" s="55" t="s">
        <v>1034</v>
      </c>
      <c r="G287" s="129" t="s">
        <v>1033</v>
      </c>
    </row>
    <row r="288" spans="2:7" ht="409.6">
      <c r="B288" s="56">
        <v>46210</v>
      </c>
      <c r="C288" s="69">
        <v>46210.526643518519</v>
      </c>
      <c r="D288" s="55" t="s">
        <v>684</v>
      </c>
      <c r="E288" s="55" t="s">
        <v>1036</v>
      </c>
      <c r="G288" s="130" t="s">
        <v>1035</v>
      </c>
    </row>
    <row r="289" spans="2:7" ht="409.6">
      <c r="B289" s="56">
        <v>46210</v>
      </c>
      <c r="C289" s="69">
        <v>46210.526712962965</v>
      </c>
      <c r="D289" s="55" t="s">
        <v>684</v>
      </c>
      <c r="E289" s="55" t="s">
        <v>1036</v>
      </c>
      <c r="F289" s="129" t="s">
        <v>1035</v>
      </c>
      <c r="G289" s="130" t="s">
        <v>1037</v>
      </c>
    </row>
    <row r="290" spans="2:7" ht="26.4">
      <c r="B290" s="56">
        <v>46210</v>
      </c>
      <c r="C290" s="69">
        <v>46210.52884259259</v>
      </c>
      <c r="D290" s="55" t="s">
        <v>684</v>
      </c>
      <c r="E290" s="55" t="s">
        <v>1032</v>
      </c>
      <c r="F290" s="129" t="s">
        <v>1031</v>
      </c>
      <c r="G290" s="129" t="s">
        <v>1039</v>
      </c>
    </row>
    <row r="291" spans="2:7" ht="145.19999999999999">
      <c r="B291" s="56">
        <v>46210</v>
      </c>
      <c r="C291" s="69">
        <v>46210.529270833336</v>
      </c>
      <c r="D291" s="55" t="s">
        <v>684</v>
      </c>
      <c r="E291" s="55" t="s">
        <v>1041</v>
      </c>
      <c r="G291" s="129" t="s">
        <v>1040</v>
      </c>
    </row>
    <row r="292" spans="2:7" ht="184.8">
      <c r="B292" s="56">
        <v>46210</v>
      </c>
      <c r="C292" s="69">
        <v>46210.529502314814</v>
      </c>
      <c r="D292" s="55" t="s">
        <v>684</v>
      </c>
      <c r="E292" s="55" t="s">
        <v>1041</v>
      </c>
      <c r="F292" s="129" t="s">
        <v>1040</v>
      </c>
      <c r="G292" s="129" t="s">
        <v>1043</v>
      </c>
    </row>
    <row r="293" spans="2:7" ht="26.4">
      <c r="B293" s="56">
        <v>46210</v>
      </c>
      <c r="C293" s="69">
        <v>46210.530219907407</v>
      </c>
      <c r="D293" s="55" t="s">
        <v>684</v>
      </c>
      <c r="E293" s="55" t="s">
        <v>1044</v>
      </c>
      <c r="G293" s="129" t="s">
        <v>148</v>
      </c>
    </row>
    <row r="294" spans="2:7">
      <c r="B294" s="56">
        <v>46210</v>
      </c>
      <c r="C294" s="69">
        <v>46210.530335648145</v>
      </c>
      <c r="D294" s="55" t="s">
        <v>684</v>
      </c>
      <c r="E294" s="55" t="s">
        <v>1045</v>
      </c>
      <c r="G294" s="130">
        <v>46204</v>
      </c>
    </row>
    <row r="295" spans="2:7">
      <c r="B295" s="56">
        <v>46210</v>
      </c>
      <c r="C295" s="69">
        <v>46210.530416666668</v>
      </c>
      <c r="D295" s="55" t="s">
        <v>684</v>
      </c>
      <c r="E295" s="55" t="s">
        <v>1046</v>
      </c>
      <c r="G295" s="130">
        <v>46295</v>
      </c>
    </row>
    <row r="296" spans="2:7">
      <c r="B296" s="56">
        <v>46210</v>
      </c>
      <c r="C296" s="69">
        <v>46210.530601851853</v>
      </c>
      <c r="D296" s="55" t="s">
        <v>684</v>
      </c>
      <c r="E296" s="55" t="s">
        <v>1047</v>
      </c>
      <c r="G296" s="129" t="s">
        <v>201</v>
      </c>
    </row>
    <row r="297" spans="2:7" ht="26.4">
      <c r="B297" s="56">
        <v>46210</v>
      </c>
      <c r="C297" s="69">
        <v>46210.530995370369</v>
      </c>
      <c r="D297" s="55" t="s">
        <v>684</v>
      </c>
      <c r="E297" s="55" t="s">
        <v>1049</v>
      </c>
      <c r="G297" s="129" t="s">
        <v>1048</v>
      </c>
    </row>
    <row r="298" spans="2:7" ht="211.2">
      <c r="B298" s="56">
        <v>46210</v>
      </c>
      <c r="C298" s="69">
        <v>46210.531145833331</v>
      </c>
      <c r="D298" s="55" t="s">
        <v>684</v>
      </c>
      <c r="E298" s="55" t="s">
        <v>1051</v>
      </c>
      <c r="G298" s="129" t="s">
        <v>1050</v>
      </c>
    </row>
    <row r="299" spans="2:7" ht="105.6">
      <c r="B299" s="56">
        <v>46210</v>
      </c>
      <c r="C299" s="69">
        <v>46210.531458333331</v>
      </c>
      <c r="D299" s="55" t="s">
        <v>684</v>
      </c>
      <c r="E299" s="55" t="s">
        <v>1053</v>
      </c>
      <c r="G299" s="129" t="s">
        <v>1052</v>
      </c>
    </row>
    <row r="300" spans="2:7" ht="26.4">
      <c r="B300" s="56">
        <v>46210</v>
      </c>
      <c r="C300" s="69">
        <v>46210.531550925924</v>
      </c>
      <c r="D300" s="55" t="s">
        <v>684</v>
      </c>
      <c r="E300" s="55" t="s">
        <v>1054</v>
      </c>
      <c r="G300" s="129" t="s">
        <v>148</v>
      </c>
    </row>
    <row r="301" spans="2:7">
      <c r="B301" s="56">
        <v>46210</v>
      </c>
      <c r="C301" s="69">
        <v>46210.531643518516</v>
      </c>
      <c r="D301" s="55" t="s">
        <v>684</v>
      </c>
      <c r="E301" s="55" t="s">
        <v>1055</v>
      </c>
      <c r="G301" s="130">
        <v>46204</v>
      </c>
    </row>
    <row r="302" spans="2:7">
      <c r="B302" s="56">
        <v>46210</v>
      </c>
      <c r="C302" s="69">
        <v>46210.531701388885</v>
      </c>
      <c r="D302" s="55" t="s">
        <v>684</v>
      </c>
      <c r="E302" s="55" t="s">
        <v>1056</v>
      </c>
      <c r="G302" s="130">
        <v>46264</v>
      </c>
    </row>
    <row r="303" spans="2:7">
      <c r="B303" s="56">
        <v>46210</v>
      </c>
      <c r="C303" s="69">
        <v>46210.531747685185</v>
      </c>
      <c r="D303" s="55" t="s">
        <v>684</v>
      </c>
      <c r="E303" s="55" t="s">
        <v>1057</v>
      </c>
      <c r="G303" s="129" t="s">
        <v>201</v>
      </c>
    </row>
    <row r="304" spans="2:7" ht="52.8">
      <c r="B304" s="56">
        <v>46210</v>
      </c>
      <c r="C304" s="69">
        <v>46210.536087962966</v>
      </c>
      <c r="D304" s="55" t="s">
        <v>684</v>
      </c>
      <c r="E304" s="55" t="s">
        <v>1059</v>
      </c>
      <c r="G304" s="129" t="s">
        <v>1058</v>
      </c>
    </row>
    <row r="305" spans="2:7" ht="409.6">
      <c r="B305" s="56">
        <v>46210</v>
      </c>
      <c r="C305" s="69">
        <v>46210.536180555559</v>
      </c>
      <c r="D305" s="55" t="s">
        <v>684</v>
      </c>
      <c r="E305" s="55" t="s">
        <v>1061</v>
      </c>
      <c r="G305" s="129" t="s">
        <v>1060</v>
      </c>
    </row>
    <row r="306" spans="2:7" ht="92.4">
      <c r="B306" s="56">
        <v>46210</v>
      </c>
      <c r="C306" s="69">
        <v>46210.536412037036</v>
      </c>
      <c r="D306" s="55" t="s">
        <v>684</v>
      </c>
      <c r="E306" s="55" t="s">
        <v>1063</v>
      </c>
      <c r="G306" s="129" t="s">
        <v>1062</v>
      </c>
    </row>
    <row r="307" spans="2:7" ht="26.4">
      <c r="B307" s="56">
        <v>46210</v>
      </c>
      <c r="C307" s="69">
        <v>46210.536504629628</v>
      </c>
      <c r="D307" s="55" t="s">
        <v>684</v>
      </c>
      <c r="E307" s="55" t="s">
        <v>1064</v>
      </c>
      <c r="G307" s="129" t="s">
        <v>148</v>
      </c>
    </row>
    <row r="308" spans="2:7" ht="79.2">
      <c r="B308" s="56">
        <v>46210</v>
      </c>
      <c r="C308" s="69">
        <v>46210.537442129629</v>
      </c>
      <c r="D308" s="55" t="s">
        <v>684</v>
      </c>
      <c r="E308" s="55" t="s">
        <v>1077</v>
      </c>
      <c r="F308" s="129" t="s">
        <v>1065</v>
      </c>
      <c r="G308" s="129" t="s">
        <v>1076</v>
      </c>
    </row>
    <row r="309" spans="2:7">
      <c r="B309" s="56">
        <v>46210</v>
      </c>
      <c r="C309" s="69">
        <v>46210.537476851852</v>
      </c>
      <c r="D309" s="55" t="s">
        <v>684</v>
      </c>
      <c r="E309" s="55" t="s">
        <v>1079</v>
      </c>
      <c r="F309" s="129" t="s">
        <v>1066</v>
      </c>
      <c r="G309" s="129" t="s">
        <v>1078</v>
      </c>
    </row>
    <row r="310" spans="2:7" ht="39.6">
      <c r="B310" s="56">
        <v>46210</v>
      </c>
      <c r="C310" s="69">
        <v>46210.537557870368</v>
      </c>
      <c r="D310" s="55" t="s">
        <v>684</v>
      </c>
      <c r="E310" s="55" t="s">
        <v>1081</v>
      </c>
      <c r="F310" s="129" t="s">
        <v>1067</v>
      </c>
      <c r="G310" s="129" t="s">
        <v>1080</v>
      </c>
    </row>
    <row r="311" spans="2:7" ht="66">
      <c r="B311" s="56">
        <v>46210</v>
      </c>
      <c r="C311" s="69">
        <v>46210.537604166668</v>
      </c>
      <c r="D311" s="55" t="s">
        <v>684</v>
      </c>
      <c r="E311" s="55" t="s">
        <v>1083</v>
      </c>
      <c r="F311" s="129" t="s">
        <v>1068</v>
      </c>
      <c r="G311" s="129" t="s">
        <v>1082</v>
      </c>
    </row>
    <row r="312" spans="2:7" ht="26.4">
      <c r="B312" s="56">
        <v>46210</v>
      </c>
      <c r="C312" s="69">
        <v>46210.537708333337</v>
      </c>
      <c r="D312" s="55" t="s">
        <v>684</v>
      </c>
      <c r="E312" s="55" t="s">
        <v>1085</v>
      </c>
      <c r="F312" s="129" t="s">
        <v>1069</v>
      </c>
      <c r="G312" s="129" t="s">
        <v>1084</v>
      </c>
    </row>
    <row r="313" spans="2:7" ht="79.2">
      <c r="B313" s="56">
        <v>46210</v>
      </c>
      <c r="C313" s="69">
        <v>46210.537743055553</v>
      </c>
      <c r="D313" s="55" t="s">
        <v>684</v>
      </c>
      <c r="E313" s="55" t="s">
        <v>1087</v>
      </c>
      <c r="F313" s="130" t="s">
        <v>1070</v>
      </c>
      <c r="G313" s="130" t="s">
        <v>1086</v>
      </c>
    </row>
    <row r="314" spans="2:7" ht="79.2">
      <c r="B314" s="56">
        <v>46210</v>
      </c>
      <c r="C314" s="69">
        <v>46210.537824074076</v>
      </c>
      <c r="D314" s="55" t="s">
        <v>684</v>
      </c>
      <c r="E314" s="55" t="s">
        <v>1089</v>
      </c>
      <c r="F314" s="129" t="s">
        <v>1071</v>
      </c>
      <c r="G314" s="129" t="s">
        <v>1088</v>
      </c>
    </row>
    <row r="315" spans="2:7" ht="79.2">
      <c r="B315" s="56">
        <v>46210</v>
      </c>
      <c r="C315" s="69">
        <v>46210.537858796299</v>
      </c>
      <c r="D315" s="55" t="s">
        <v>684</v>
      </c>
      <c r="E315" s="55" t="s">
        <v>1091</v>
      </c>
      <c r="F315" s="129" t="s">
        <v>1072</v>
      </c>
      <c r="G315" s="129" t="s">
        <v>1090</v>
      </c>
    </row>
    <row r="316" spans="2:7" ht="39.6">
      <c r="B316" s="56">
        <v>46210</v>
      </c>
      <c r="C316" s="69">
        <v>46210.537905092591</v>
      </c>
      <c r="D316" s="55" t="s">
        <v>684</v>
      </c>
      <c r="E316" s="55" t="s">
        <v>1093</v>
      </c>
      <c r="F316" s="129" t="s">
        <v>1073</v>
      </c>
      <c r="G316" s="130" t="s">
        <v>1092</v>
      </c>
    </row>
    <row r="317" spans="2:7" ht="52.8">
      <c r="B317" s="56">
        <v>46210</v>
      </c>
      <c r="C317" s="69">
        <v>46210.537951388891</v>
      </c>
      <c r="D317" s="55" t="s">
        <v>684</v>
      </c>
      <c r="E317" s="55" t="s">
        <v>1095</v>
      </c>
      <c r="F317" s="129" t="s">
        <v>1074</v>
      </c>
      <c r="G317" s="130" t="s">
        <v>1094</v>
      </c>
    </row>
    <row r="318" spans="2:7" ht="52.8">
      <c r="B318" s="56">
        <v>46210</v>
      </c>
      <c r="C318" s="69">
        <v>46210.537986111114</v>
      </c>
      <c r="D318" s="55" t="s">
        <v>684</v>
      </c>
      <c r="E318" s="55" t="s">
        <v>1097</v>
      </c>
      <c r="F318" s="129" t="s">
        <v>1075</v>
      </c>
      <c r="G318" s="130" t="s">
        <v>1096</v>
      </c>
    </row>
    <row r="319" spans="2:7" ht="118.8">
      <c r="B319" s="56">
        <v>46210</v>
      </c>
      <c r="C319" s="69">
        <v>46210.54078703704</v>
      </c>
      <c r="D319" s="55" t="s">
        <v>684</v>
      </c>
      <c r="E319" s="55" t="s">
        <v>1118</v>
      </c>
      <c r="F319" s="129" t="s">
        <v>1119</v>
      </c>
      <c r="G319" s="130" t="s">
        <v>1120</v>
      </c>
    </row>
    <row r="320" spans="2:7" ht="79.2">
      <c r="B320" s="56">
        <v>46210</v>
      </c>
      <c r="C320" s="69">
        <v>46210.540856481479</v>
      </c>
      <c r="D320" s="55" t="s">
        <v>684</v>
      </c>
      <c r="E320" s="55" t="s">
        <v>1122</v>
      </c>
      <c r="F320" s="129" t="s">
        <v>1109</v>
      </c>
      <c r="G320" s="130" t="s">
        <v>1121</v>
      </c>
    </row>
    <row r="321" spans="2:7" ht="118.8">
      <c r="B321" s="56">
        <v>46210</v>
      </c>
      <c r="C321" s="69">
        <v>46210.540902777779</v>
      </c>
      <c r="D321" s="55" t="s">
        <v>684</v>
      </c>
      <c r="E321" s="55" t="s">
        <v>1124</v>
      </c>
      <c r="F321" s="129" t="s">
        <v>1110</v>
      </c>
      <c r="G321" s="130" t="s">
        <v>1123</v>
      </c>
    </row>
    <row r="322" spans="2:7" ht="171.6">
      <c r="B322" s="56">
        <v>46210</v>
      </c>
      <c r="C322" s="69">
        <v>46210.540949074071</v>
      </c>
      <c r="D322" s="55" t="s">
        <v>684</v>
      </c>
      <c r="E322" s="55" t="s">
        <v>1126</v>
      </c>
      <c r="F322" s="129" t="s">
        <v>1111</v>
      </c>
      <c r="G322" s="130" t="s">
        <v>1125</v>
      </c>
    </row>
    <row r="323" spans="2:7" ht="132">
      <c r="B323" s="56">
        <v>46210</v>
      </c>
      <c r="C323" s="69">
        <v>46210.541030092594</v>
      </c>
      <c r="D323" s="55" t="s">
        <v>684</v>
      </c>
      <c r="E323" s="55" t="s">
        <v>1127</v>
      </c>
      <c r="F323" s="129" t="s">
        <v>1128</v>
      </c>
      <c r="G323" s="130" t="s">
        <v>1129</v>
      </c>
    </row>
    <row r="324" spans="2:7" ht="105.6">
      <c r="B324" s="56">
        <v>46210</v>
      </c>
      <c r="C324" s="69">
        <v>46210.541076388887</v>
      </c>
      <c r="D324" s="55" t="s">
        <v>684</v>
      </c>
      <c r="E324" s="55" t="s">
        <v>1131</v>
      </c>
      <c r="F324" s="129" t="s">
        <v>1112</v>
      </c>
      <c r="G324" s="130" t="s">
        <v>1130</v>
      </c>
    </row>
    <row r="325" spans="2:7" ht="79.2">
      <c r="B325" s="56">
        <v>46210</v>
      </c>
      <c r="C325" s="69">
        <v>46210.541134259256</v>
      </c>
      <c r="D325" s="55" t="s">
        <v>684</v>
      </c>
      <c r="E325" s="55" t="s">
        <v>1133</v>
      </c>
      <c r="F325" s="129" t="s">
        <v>1113</v>
      </c>
      <c r="G325" s="130" t="s">
        <v>1132</v>
      </c>
    </row>
    <row r="326" spans="2:7" ht="79.2">
      <c r="B326" s="56">
        <v>46210</v>
      </c>
      <c r="C326" s="69">
        <v>46210.541168981479</v>
      </c>
      <c r="D326" s="55" t="s">
        <v>684</v>
      </c>
      <c r="E326" s="55" t="s">
        <v>1135</v>
      </c>
      <c r="F326" s="129" t="s">
        <v>1114</v>
      </c>
      <c r="G326" s="130" t="s">
        <v>1134</v>
      </c>
    </row>
    <row r="327" spans="2:7" ht="92.4">
      <c r="B327" s="56">
        <v>46210</v>
      </c>
      <c r="C327" s="69">
        <v>46210.541261574072</v>
      </c>
      <c r="D327" s="55" t="s">
        <v>684</v>
      </c>
      <c r="E327" s="55" t="s">
        <v>1137</v>
      </c>
      <c r="F327" s="129" t="s">
        <v>1115</v>
      </c>
      <c r="G327" s="130" t="s">
        <v>1136</v>
      </c>
    </row>
    <row r="328" spans="2:7" ht="92.4">
      <c r="B328" s="56">
        <v>46210</v>
      </c>
      <c r="C328" s="69">
        <v>46210.541296296295</v>
      </c>
      <c r="D328" s="55" t="s">
        <v>684</v>
      </c>
      <c r="E328" s="55" t="s">
        <v>1139</v>
      </c>
      <c r="F328" s="129" t="s">
        <v>1116</v>
      </c>
      <c r="G328" s="130" t="s">
        <v>1138</v>
      </c>
    </row>
    <row r="329" spans="2:7" ht="118.8">
      <c r="B329" s="56">
        <v>46210</v>
      </c>
      <c r="C329" s="69">
        <v>46210.541342592594</v>
      </c>
      <c r="D329" s="55" t="s">
        <v>684</v>
      </c>
      <c r="E329" s="55" t="s">
        <v>1141</v>
      </c>
      <c r="F329" s="129" t="s">
        <v>1117</v>
      </c>
      <c r="G329" s="130" t="s">
        <v>1140</v>
      </c>
    </row>
    <row r="330" spans="2:7" ht="211.2">
      <c r="B330" s="56">
        <v>46210</v>
      </c>
      <c r="C330" s="69">
        <v>46210.541759259257</v>
      </c>
      <c r="D330" s="55" t="s">
        <v>684</v>
      </c>
      <c r="E330" s="55" t="s">
        <v>1051</v>
      </c>
      <c r="F330" s="129" t="s">
        <v>1050</v>
      </c>
      <c r="G330" s="130" t="s">
        <v>1143</v>
      </c>
    </row>
    <row r="331" spans="2:7" ht="409.6">
      <c r="B331" s="56">
        <v>46210</v>
      </c>
      <c r="C331" s="69">
        <v>46210.541851851849</v>
      </c>
      <c r="D331" s="55" t="s">
        <v>684</v>
      </c>
      <c r="E331" s="55" t="s">
        <v>1061</v>
      </c>
      <c r="F331" s="129" t="s">
        <v>1060</v>
      </c>
      <c r="G331" s="130" t="s">
        <v>1145</v>
      </c>
    </row>
    <row r="332" spans="2:7" ht="409.6">
      <c r="B332" s="56">
        <v>46210</v>
      </c>
      <c r="C332" s="69">
        <v>46210.541956018518</v>
      </c>
      <c r="D332" s="55" t="s">
        <v>684</v>
      </c>
      <c r="E332" s="55" t="s">
        <v>1147</v>
      </c>
      <c r="F332" s="129" t="s">
        <v>1098</v>
      </c>
      <c r="G332" s="130" t="s">
        <v>1148</v>
      </c>
    </row>
    <row r="333" spans="2:7" ht="409.6">
      <c r="B333" s="56">
        <v>46210</v>
      </c>
      <c r="C333" s="69">
        <v>46210.542025462964</v>
      </c>
      <c r="D333" s="55" t="s">
        <v>684</v>
      </c>
      <c r="E333" s="55" t="s">
        <v>1150</v>
      </c>
      <c r="F333" s="129" t="s">
        <v>1099</v>
      </c>
      <c r="G333" s="130" t="s">
        <v>1151</v>
      </c>
    </row>
    <row r="334" spans="2:7" ht="409.6">
      <c r="B334" s="56">
        <v>46210</v>
      </c>
      <c r="C334" s="69">
        <v>46210.54210648148</v>
      </c>
      <c r="D334" s="55" t="s">
        <v>684</v>
      </c>
      <c r="E334" s="55" t="s">
        <v>1153</v>
      </c>
      <c r="F334" s="129" t="s">
        <v>1100</v>
      </c>
      <c r="G334" s="130" t="s">
        <v>1154</v>
      </c>
    </row>
    <row r="335" spans="2:7" ht="356.4">
      <c r="B335" s="56">
        <v>46210</v>
      </c>
      <c r="C335" s="69">
        <v>46210.542187500003</v>
      </c>
      <c r="D335" s="55" t="s">
        <v>684</v>
      </c>
      <c r="E335" s="55" t="s">
        <v>1156</v>
      </c>
      <c r="F335" s="129" t="s">
        <v>1101</v>
      </c>
      <c r="G335" s="129" t="s">
        <v>1157</v>
      </c>
    </row>
    <row r="336" spans="2:7" ht="198">
      <c r="B336" s="56">
        <v>46210</v>
      </c>
      <c r="C336" s="69">
        <v>46210.542268518519</v>
      </c>
      <c r="D336" s="55" t="s">
        <v>684</v>
      </c>
      <c r="E336" s="55" t="s">
        <v>1159</v>
      </c>
      <c r="F336" s="129" t="s">
        <v>1102</v>
      </c>
      <c r="G336" s="129" t="s">
        <v>1160</v>
      </c>
    </row>
    <row r="337" spans="2:7" ht="330">
      <c r="B337" s="56">
        <v>46210</v>
      </c>
      <c r="C337" s="69">
        <v>46210.542349537034</v>
      </c>
      <c r="D337" s="55" t="s">
        <v>684</v>
      </c>
      <c r="E337" s="55" t="s">
        <v>1162</v>
      </c>
      <c r="F337" s="129" t="s">
        <v>1103</v>
      </c>
      <c r="G337" s="129" t="s">
        <v>1163</v>
      </c>
    </row>
    <row r="338" spans="2:7" ht="356.4">
      <c r="B338" s="56">
        <v>46210</v>
      </c>
      <c r="C338" s="69">
        <v>46210.542442129627</v>
      </c>
      <c r="D338" s="55" t="s">
        <v>684</v>
      </c>
      <c r="E338" s="55" t="s">
        <v>1165</v>
      </c>
      <c r="F338" s="129" t="s">
        <v>1104</v>
      </c>
      <c r="G338" s="129" t="s">
        <v>1166</v>
      </c>
    </row>
    <row r="339" spans="2:7" ht="409.6">
      <c r="B339" s="56">
        <v>46210</v>
      </c>
      <c r="C339" s="69">
        <v>46210.542523148149</v>
      </c>
      <c r="D339" s="55" t="s">
        <v>684</v>
      </c>
      <c r="E339" s="55" t="s">
        <v>1168</v>
      </c>
      <c r="F339" s="129" t="s">
        <v>1105</v>
      </c>
      <c r="G339" s="129" t="s">
        <v>1169</v>
      </c>
    </row>
    <row r="340" spans="2:7" ht="343.2">
      <c r="B340" s="56">
        <v>46210</v>
      </c>
      <c r="C340" s="69">
        <v>46210.542615740742</v>
      </c>
      <c r="D340" s="55" t="s">
        <v>684</v>
      </c>
      <c r="E340" s="55" t="s">
        <v>1171</v>
      </c>
      <c r="F340" s="129" t="s">
        <v>1106</v>
      </c>
      <c r="G340" s="129" t="s">
        <v>1172</v>
      </c>
    </row>
    <row r="341" spans="2:7" ht="224.4">
      <c r="B341" s="56">
        <v>46210</v>
      </c>
      <c r="C341" s="69">
        <v>46210.542685185188</v>
      </c>
      <c r="D341" s="55" t="s">
        <v>684</v>
      </c>
      <c r="E341" s="55" t="s">
        <v>1174</v>
      </c>
      <c r="F341" s="129" t="s">
        <v>1107</v>
      </c>
      <c r="G341" s="129" t="s">
        <v>1175</v>
      </c>
    </row>
    <row r="342" spans="2:7" ht="409.6">
      <c r="B342" s="56">
        <v>46210</v>
      </c>
      <c r="C342" s="69">
        <v>46210.542766203704</v>
      </c>
      <c r="D342" s="55" t="s">
        <v>684</v>
      </c>
      <c r="E342" s="55" t="s">
        <v>1177</v>
      </c>
      <c r="F342" s="129" t="s">
        <v>1108</v>
      </c>
      <c r="G342" s="129" t="s">
        <v>1178</v>
      </c>
    </row>
    <row r="343" spans="2:7" ht="26.4">
      <c r="B343" s="56">
        <v>46210</v>
      </c>
      <c r="C343" s="69">
        <v>46210.543356481481</v>
      </c>
      <c r="D343" s="55" t="s">
        <v>684</v>
      </c>
      <c r="E343" s="55" t="s">
        <v>1179</v>
      </c>
      <c r="G343" s="129" t="s">
        <v>148</v>
      </c>
    </row>
    <row r="344" spans="2:7" ht="66">
      <c r="B344" s="56">
        <v>46210</v>
      </c>
      <c r="C344" s="69">
        <v>46210.544074074074</v>
      </c>
      <c r="D344" s="55" t="s">
        <v>684</v>
      </c>
      <c r="E344" s="55" t="s">
        <v>1179</v>
      </c>
      <c r="F344" s="129" t="s">
        <v>148</v>
      </c>
      <c r="G344" s="129" t="s">
        <v>1180</v>
      </c>
    </row>
    <row r="345" spans="2:7" ht="79.2">
      <c r="B345" s="56">
        <v>46210</v>
      </c>
      <c r="C345" s="69">
        <v>46210.544398148151</v>
      </c>
      <c r="D345" s="55" t="s">
        <v>684</v>
      </c>
      <c r="E345" s="55" t="s">
        <v>1179</v>
      </c>
      <c r="F345" s="129" t="s">
        <v>1180</v>
      </c>
      <c r="G345" s="129" t="s">
        <v>1181</v>
      </c>
    </row>
    <row r="346" spans="2:7" ht="26.4">
      <c r="B346" s="56">
        <v>46210</v>
      </c>
      <c r="C346" s="69">
        <v>46210.544548611113</v>
      </c>
      <c r="D346" s="55" t="s">
        <v>684</v>
      </c>
      <c r="E346" s="55" t="s">
        <v>1182</v>
      </c>
      <c r="G346" s="129" t="s">
        <v>148</v>
      </c>
    </row>
    <row r="347" spans="2:7" ht="79.2">
      <c r="B347" s="56">
        <v>46210</v>
      </c>
      <c r="C347" s="69">
        <v>46210.544594907406</v>
      </c>
      <c r="D347" s="55" t="s">
        <v>684</v>
      </c>
      <c r="E347" s="55" t="s">
        <v>1183</v>
      </c>
      <c r="G347" s="129" t="s">
        <v>1181</v>
      </c>
    </row>
    <row r="348" spans="2:7">
      <c r="B348" s="56">
        <v>46210</v>
      </c>
      <c r="C348" s="69">
        <v>46210.547638888886</v>
      </c>
      <c r="D348" s="55" t="s">
        <v>684</v>
      </c>
      <c r="E348" s="55" t="s">
        <v>1184</v>
      </c>
      <c r="G348" s="129" t="s">
        <v>254</v>
      </c>
    </row>
    <row r="349" spans="2:7">
      <c r="B349" s="56">
        <v>46210</v>
      </c>
      <c r="C349" s="69">
        <v>46210.547662037039</v>
      </c>
      <c r="D349" s="55" t="s">
        <v>684</v>
      </c>
      <c r="E349" s="55" t="s">
        <v>1185</v>
      </c>
      <c r="F349" s="130"/>
      <c r="G349" s="130" t="s">
        <v>254</v>
      </c>
    </row>
    <row r="350" spans="2:7">
      <c r="B350" s="56">
        <v>46210</v>
      </c>
      <c r="C350" s="69">
        <v>46210.547673611109</v>
      </c>
      <c r="D350" s="55" t="s">
        <v>684</v>
      </c>
      <c r="E350" s="55" t="s">
        <v>1186</v>
      </c>
      <c r="G350" s="129" t="s">
        <v>254</v>
      </c>
    </row>
    <row r="351" spans="2:7">
      <c r="B351" s="56">
        <v>46210</v>
      </c>
      <c r="C351" s="69">
        <v>46210.54787037037</v>
      </c>
      <c r="D351" s="55" t="s">
        <v>684</v>
      </c>
      <c r="E351" s="55" t="s">
        <v>1187</v>
      </c>
      <c r="G351" s="129" t="s">
        <v>254</v>
      </c>
    </row>
    <row r="352" spans="2:7">
      <c r="B352" s="56">
        <v>46210</v>
      </c>
      <c r="C352" s="69">
        <v>46210.54791666667</v>
      </c>
      <c r="D352" s="55" t="s">
        <v>684</v>
      </c>
      <c r="E352" s="55" t="s">
        <v>1188</v>
      </c>
      <c r="G352" s="130" t="s">
        <v>254</v>
      </c>
    </row>
    <row r="353" spans="2:7">
      <c r="B353" s="56">
        <v>46210</v>
      </c>
      <c r="C353" s="69">
        <v>46210.547974537039</v>
      </c>
      <c r="D353" s="55" t="s">
        <v>684</v>
      </c>
      <c r="E353" s="55" t="s">
        <v>1189</v>
      </c>
      <c r="F353" s="130"/>
      <c r="G353" s="129" t="s">
        <v>254</v>
      </c>
    </row>
    <row r="354" spans="2:7">
      <c r="B354" s="56">
        <v>46210</v>
      </c>
      <c r="C354" s="69">
        <v>46210.548009259262</v>
      </c>
      <c r="D354" s="55" t="s">
        <v>684</v>
      </c>
      <c r="E354" s="55" t="s">
        <v>1190</v>
      </c>
      <c r="G354" s="130" t="s">
        <v>254</v>
      </c>
    </row>
    <row r="355" spans="2:7">
      <c r="B355" s="56">
        <v>46210</v>
      </c>
      <c r="C355" s="69">
        <v>46210.548067129632</v>
      </c>
      <c r="D355" s="55" t="s">
        <v>684</v>
      </c>
      <c r="E355" s="55" t="s">
        <v>1191</v>
      </c>
      <c r="F355" s="130"/>
      <c r="G355" s="129" t="s">
        <v>254</v>
      </c>
    </row>
    <row r="356" spans="2:7">
      <c r="B356" s="56">
        <v>46210</v>
      </c>
      <c r="C356" s="69">
        <v>46210.548090277778</v>
      </c>
      <c r="D356" s="55" t="s">
        <v>684</v>
      </c>
      <c r="E356" s="55" t="s">
        <v>1192</v>
      </c>
      <c r="G356" s="129" t="s">
        <v>254</v>
      </c>
    </row>
    <row r="357" spans="2:7">
      <c r="B357" s="56">
        <v>46210</v>
      </c>
      <c r="C357" s="69">
        <v>46210.548148148147</v>
      </c>
      <c r="D357" s="55" t="s">
        <v>684</v>
      </c>
      <c r="E357" s="55" t="s">
        <v>1193</v>
      </c>
      <c r="G357" s="129" t="s">
        <v>254</v>
      </c>
    </row>
    <row r="358" spans="2:7">
      <c r="B358" s="56">
        <v>46210</v>
      </c>
      <c r="C358" s="69">
        <v>46210.548194444447</v>
      </c>
      <c r="D358" s="55" t="s">
        <v>684</v>
      </c>
      <c r="E358" s="55" t="s">
        <v>1194</v>
      </c>
      <c r="G358" s="129" t="s">
        <v>254</v>
      </c>
    </row>
    <row r="359" spans="2:7">
      <c r="B359" s="56">
        <v>46210</v>
      </c>
      <c r="C359" s="69">
        <v>46210.54828703704</v>
      </c>
      <c r="D359" s="55" t="s">
        <v>684</v>
      </c>
      <c r="E359" s="55" t="s">
        <v>1195</v>
      </c>
      <c r="G359" s="129" t="s">
        <v>188</v>
      </c>
    </row>
    <row r="360" spans="2:7">
      <c r="B360" s="56">
        <v>46210</v>
      </c>
      <c r="C360" s="69">
        <v>46210.548321759263</v>
      </c>
      <c r="D360" s="55" t="s">
        <v>684</v>
      </c>
      <c r="E360" s="55" t="s">
        <v>1196</v>
      </c>
      <c r="G360" s="129" t="s">
        <v>188</v>
      </c>
    </row>
    <row r="361" spans="2:7">
      <c r="B361" s="56">
        <v>46210</v>
      </c>
      <c r="C361" s="69">
        <v>46210.548368055555</v>
      </c>
      <c r="D361" s="55" t="s">
        <v>684</v>
      </c>
      <c r="E361" s="55" t="s">
        <v>1197</v>
      </c>
      <c r="G361" s="129" t="s">
        <v>254</v>
      </c>
    </row>
    <row r="362" spans="2:7" ht="39.6">
      <c r="B362" s="56">
        <v>46210</v>
      </c>
      <c r="C362" s="69">
        <v>46210.554548611108</v>
      </c>
      <c r="D362" s="55" t="s">
        <v>1199</v>
      </c>
      <c r="E362" s="55" t="s">
        <v>1200</v>
      </c>
      <c r="G362" s="129" t="s">
        <v>1198</v>
      </c>
    </row>
    <row r="363" spans="2:7" ht="39.6">
      <c r="B363" s="56">
        <v>46210</v>
      </c>
      <c r="C363" s="69">
        <v>46210.613240740742</v>
      </c>
      <c r="D363" s="55" t="s">
        <v>684</v>
      </c>
      <c r="E363" s="55" t="s">
        <v>881</v>
      </c>
      <c r="G363" s="129" t="s">
        <v>1201</v>
      </c>
    </row>
    <row r="364" spans="2:7" ht="39.6">
      <c r="B364" s="56">
        <v>46210</v>
      </c>
      <c r="C364" s="69">
        <v>46210.613379629627</v>
      </c>
      <c r="D364" s="55" t="s">
        <v>684</v>
      </c>
      <c r="E364" s="55" t="s">
        <v>1203</v>
      </c>
      <c r="G364" s="129" t="s">
        <v>1202</v>
      </c>
    </row>
    <row r="365" spans="2:7" ht="52.8">
      <c r="B365" s="56">
        <v>46210</v>
      </c>
      <c r="C365" s="69">
        <v>46210.613495370373</v>
      </c>
      <c r="D365" s="55" t="s">
        <v>684</v>
      </c>
      <c r="E365" s="55" t="s">
        <v>1205</v>
      </c>
      <c r="G365" s="129" t="s">
        <v>1204</v>
      </c>
    </row>
    <row r="366" spans="2:7" ht="39.6">
      <c r="B366" s="56">
        <v>46210</v>
      </c>
      <c r="C366" s="69">
        <v>46210.613622685189</v>
      </c>
      <c r="D366" s="55" t="s">
        <v>684</v>
      </c>
      <c r="E366" s="55" t="s">
        <v>1207</v>
      </c>
      <c r="G366" s="129" t="s">
        <v>1206</v>
      </c>
    </row>
    <row r="367" spans="2:7" ht="39.6">
      <c r="B367" s="56">
        <v>46210</v>
      </c>
      <c r="C367" s="69">
        <v>46210.613738425927</v>
      </c>
      <c r="D367" s="55" t="s">
        <v>684</v>
      </c>
      <c r="E367" s="55" t="s">
        <v>1209</v>
      </c>
      <c r="G367" s="129" t="s">
        <v>1208</v>
      </c>
    </row>
    <row r="368" spans="2:7" ht="39.6">
      <c r="B368" s="56">
        <v>46210</v>
      </c>
      <c r="C368" s="69">
        <v>46210.613865740743</v>
      </c>
      <c r="D368" s="55" t="s">
        <v>684</v>
      </c>
      <c r="E368" s="55" t="s">
        <v>1211</v>
      </c>
      <c r="G368" s="129" t="s">
        <v>1210</v>
      </c>
    </row>
    <row r="369" spans="2:7" ht="39.6">
      <c r="B369" s="56">
        <v>46210</v>
      </c>
      <c r="C369" s="69">
        <v>46210.613969907405</v>
      </c>
      <c r="D369" s="55" t="s">
        <v>684</v>
      </c>
      <c r="E369" s="55" t="s">
        <v>1213</v>
      </c>
      <c r="G369" s="129" t="s">
        <v>1212</v>
      </c>
    </row>
    <row r="370" spans="2:7" ht="39.6">
      <c r="B370" s="56">
        <v>46210</v>
      </c>
      <c r="C370" s="69">
        <v>46210.614074074074</v>
      </c>
      <c r="D370" s="55" t="s">
        <v>684</v>
      </c>
      <c r="E370" s="55" t="s">
        <v>1215</v>
      </c>
      <c r="G370" s="129" t="s">
        <v>1214</v>
      </c>
    </row>
    <row r="371" spans="2:7" ht="52.8">
      <c r="B371" s="56">
        <v>46210</v>
      </c>
      <c r="C371" s="69">
        <v>46210.614189814813</v>
      </c>
      <c r="D371" s="55" t="s">
        <v>684</v>
      </c>
      <c r="E371" s="55" t="s">
        <v>1217</v>
      </c>
      <c r="G371" s="129" t="s">
        <v>1216</v>
      </c>
    </row>
    <row r="372" spans="2:7" ht="39.6">
      <c r="B372" s="56">
        <v>46210</v>
      </c>
      <c r="C372" s="69">
        <v>46210.614293981482</v>
      </c>
      <c r="D372" s="55" t="s">
        <v>684</v>
      </c>
      <c r="E372" s="55" t="s">
        <v>1219</v>
      </c>
      <c r="G372" s="129" t="s">
        <v>1218</v>
      </c>
    </row>
    <row r="373" spans="2:7" ht="39.6">
      <c r="B373" s="56">
        <v>46210</v>
      </c>
      <c r="C373" s="69">
        <v>46210.614490740743</v>
      </c>
      <c r="D373" s="55" t="s">
        <v>684</v>
      </c>
      <c r="E373" s="55" t="s">
        <v>1221</v>
      </c>
      <c r="G373" s="129" t="s">
        <v>1220</v>
      </c>
    </row>
    <row r="374" spans="2:7" ht="39.6">
      <c r="B374" s="56">
        <v>46210</v>
      </c>
      <c r="C374" s="69">
        <v>46210.614629629628</v>
      </c>
      <c r="D374" s="55" t="s">
        <v>684</v>
      </c>
      <c r="E374" s="55" t="s">
        <v>1223</v>
      </c>
      <c r="G374" s="129" t="s">
        <v>1222</v>
      </c>
    </row>
    <row r="375" spans="2:7" ht="52.8">
      <c r="B375" s="56">
        <v>46210</v>
      </c>
      <c r="C375" s="69">
        <v>46210.614756944444</v>
      </c>
      <c r="D375" s="55" t="s">
        <v>684</v>
      </c>
      <c r="E375" s="55" t="s">
        <v>1225</v>
      </c>
      <c r="G375" s="129" t="s">
        <v>1224</v>
      </c>
    </row>
    <row r="376" spans="2:7" ht="39.6">
      <c r="B376" s="56">
        <v>46210</v>
      </c>
      <c r="C376" s="69">
        <v>46210.614895833336</v>
      </c>
      <c r="D376" s="55" t="s">
        <v>684</v>
      </c>
      <c r="E376" s="55" t="s">
        <v>1227</v>
      </c>
      <c r="G376" s="129" t="s">
        <v>1226</v>
      </c>
    </row>
    <row r="377" spans="2:7">
      <c r="B377" s="56">
        <v>46210</v>
      </c>
      <c r="C377" s="69">
        <v>46210.616030092591</v>
      </c>
      <c r="D377" s="55" t="s">
        <v>684</v>
      </c>
      <c r="E377" s="55" t="s">
        <v>1228</v>
      </c>
      <c r="G377" s="129" t="s">
        <v>669</v>
      </c>
    </row>
    <row r="378" spans="2:7">
      <c r="B378" s="56">
        <v>46210</v>
      </c>
      <c r="C378" s="69">
        <v>46210.616053240738</v>
      </c>
      <c r="D378" s="55" t="s">
        <v>684</v>
      </c>
      <c r="E378" s="55" t="s">
        <v>1229</v>
      </c>
      <c r="G378" s="129" t="s">
        <v>669</v>
      </c>
    </row>
    <row r="379" spans="2:7">
      <c r="B379" s="56">
        <v>46210</v>
      </c>
      <c r="C379" s="69">
        <v>46210.616053240738</v>
      </c>
      <c r="D379" s="55" t="s">
        <v>684</v>
      </c>
      <c r="E379" s="55" t="s">
        <v>1230</v>
      </c>
      <c r="G379" s="129" t="s">
        <v>669</v>
      </c>
    </row>
    <row r="380" spans="2:7">
      <c r="B380" s="56">
        <v>46210</v>
      </c>
      <c r="C380" s="69">
        <v>46210.616064814814</v>
      </c>
      <c r="D380" s="55" t="s">
        <v>684</v>
      </c>
      <c r="E380" s="55" t="s">
        <v>1231</v>
      </c>
      <c r="G380" s="129" t="s">
        <v>669</v>
      </c>
    </row>
    <row r="381" spans="2:7">
      <c r="B381" s="56">
        <v>46210</v>
      </c>
      <c r="C381" s="69">
        <v>46210.616076388891</v>
      </c>
      <c r="D381" s="55" t="s">
        <v>684</v>
      </c>
      <c r="E381" s="55" t="s">
        <v>1232</v>
      </c>
      <c r="G381" s="129" t="s">
        <v>669</v>
      </c>
    </row>
    <row r="382" spans="2:7">
      <c r="B382" s="56">
        <v>46210</v>
      </c>
      <c r="C382" s="69">
        <v>46210.616087962961</v>
      </c>
      <c r="D382" s="55" t="s">
        <v>684</v>
      </c>
      <c r="E382" s="55" t="s">
        <v>1233</v>
      </c>
      <c r="G382" s="129" t="s">
        <v>669</v>
      </c>
    </row>
    <row r="383" spans="2:7">
      <c r="B383" s="56">
        <v>46210</v>
      </c>
      <c r="C383" s="69">
        <v>46210.616099537037</v>
      </c>
      <c r="D383" s="55" t="s">
        <v>684</v>
      </c>
      <c r="E383" s="55" t="s">
        <v>1234</v>
      </c>
      <c r="G383" s="129" t="s">
        <v>669</v>
      </c>
    </row>
    <row r="384" spans="2:7">
      <c r="B384" s="56">
        <v>46210</v>
      </c>
      <c r="C384" s="69">
        <v>46210.616111111114</v>
      </c>
      <c r="D384" s="55" t="s">
        <v>684</v>
      </c>
      <c r="E384" s="55" t="s">
        <v>1235</v>
      </c>
      <c r="G384" s="129" t="s">
        <v>669</v>
      </c>
    </row>
    <row r="385" spans="2:7">
      <c r="B385" s="56">
        <v>46210</v>
      </c>
      <c r="C385" s="69">
        <v>46210.616122685184</v>
      </c>
      <c r="D385" s="55" t="s">
        <v>684</v>
      </c>
      <c r="E385" s="55" t="s">
        <v>1236</v>
      </c>
      <c r="G385" s="129" t="s">
        <v>669</v>
      </c>
    </row>
    <row r="386" spans="2:7">
      <c r="B386" s="56">
        <v>46210</v>
      </c>
      <c r="C386" s="69">
        <v>46210.61613425926</v>
      </c>
      <c r="D386" s="55" t="s">
        <v>684</v>
      </c>
      <c r="E386" s="55" t="s">
        <v>1237</v>
      </c>
      <c r="G386" s="129" t="s">
        <v>669</v>
      </c>
    </row>
    <row r="387" spans="2:7">
      <c r="B387" s="56">
        <v>46210</v>
      </c>
      <c r="C387" s="69">
        <v>46210.61614583333</v>
      </c>
      <c r="D387" s="55" t="s">
        <v>684</v>
      </c>
      <c r="E387" s="55" t="s">
        <v>1238</v>
      </c>
      <c r="G387" s="129" t="s">
        <v>669</v>
      </c>
    </row>
    <row r="388" spans="2:7">
      <c r="B388" s="56">
        <v>46210</v>
      </c>
      <c r="C388" s="69">
        <v>46210.616157407407</v>
      </c>
      <c r="D388" s="55" t="s">
        <v>684</v>
      </c>
      <c r="E388" s="55" t="s">
        <v>1239</v>
      </c>
      <c r="G388" s="129" t="s">
        <v>669</v>
      </c>
    </row>
    <row r="389" spans="2:7">
      <c r="B389" s="56">
        <v>46210</v>
      </c>
      <c r="C389" s="69">
        <v>46210.616168981483</v>
      </c>
      <c r="D389" s="55" t="s">
        <v>684</v>
      </c>
      <c r="E389" s="55" t="s">
        <v>1240</v>
      </c>
      <c r="G389" s="129" t="s">
        <v>669</v>
      </c>
    </row>
    <row r="390" spans="2:7">
      <c r="B390" s="56">
        <v>46210</v>
      </c>
      <c r="C390" s="69">
        <v>46210.616180555553</v>
      </c>
      <c r="D390" s="55" t="s">
        <v>684</v>
      </c>
      <c r="E390" s="55" t="s">
        <v>1241</v>
      </c>
      <c r="G390" s="129" t="s">
        <v>669</v>
      </c>
    </row>
    <row r="391" spans="2:7" ht="39.6">
      <c r="B391" s="56">
        <v>46210</v>
      </c>
      <c r="C391" s="69">
        <v>46210.616388888891</v>
      </c>
      <c r="D391" s="55" t="s">
        <v>1199</v>
      </c>
      <c r="E391" s="55" t="s">
        <v>1200</v>
      </c>
      <c r="F391" s="129" t="s">
        <v>1198</v>
      </c>
      <c r="G391" s="129" t="s">
        <v>1242</v>
      </c>
    </row>
    <row r="392" spans="2:7" ht="26.4">
      <c r="B392" s="56">
        <v>46211</v>
      </c>
      <c r="C392" s="69">
        <v>46211.449236111112</v>
      </c>
      <c r="D392" s="55" t="s">
        <v>890</v>
      </c>
      <c r="E392" s="55" t="s">
        <v>1243</v>
      </c>
      <c r="G392" s="129" t="s">
        <v>581</v>
      </c>
    </row>
    <row r="393" spans="2:7" ht="26.4">
      <c r="B393" s="56">
        <v>46211</v>
      </c>
      <c r="C393" s="69">
        <v>46211.450995370367</v>
      </c>
      <c r="D393" s="55" t="s">
        <v>890</v>
      </c>
      <c r="E393" s="55" t="s">
        <v>1243</v>
      </c>
      <c r="F393" s="129" t="s">
        <v>581</v>
      </c>
    </row>
    <row r="394" spans="2:7">
      <c r="B394" s="56">
        <v>46211</v>
      </c>
      <c r="C394" s="69">
        <v>46211.452627314815</v>
      </c>
      <c r="D394" s="55" t="s">
        <v>890</v>
      </c>
      <c r="E394" s="55" t="s">
        <v>1244</v>
      </c>
      <c r="F394" s="129">
        <v>161</v>
      </c>
    </row>
    <row r="395" spans="2:7">
      <c r="B395" s="56">
        <v>46211</v>
      </c>
      <c r="C395" s="69">
        <v>46211.452650462961</v>
      </c>
      <c r="D395" s="55" t="s">
        <v>890</v>
      </c>
      <c r="E395" s="55" t="s">
        <v>1245</v>
      </c>
      <c r="F395" s="129">
        <v>46</v>
      </c>
    </row>
    <row r="396" spans="2:7">
      <c r="B396" s="56">
        <v>46211</v>
      </c>
      <c r="C396" s="69">
        <v>46211.452673611115</v>
      </c>
      <c r="D396" s="55" t="s">
        <v>890</v>
      </c>
      <c r="E396" s="55" t="s">
        <v>1246</v>
      </c>
      <c r="F396" s="129">
        <v>14</v>
      </c>
    </row>
    <row r="397" spans="2:7">
      <c r="B397" s="56">
        <v>46211</v>
      </c>
      <c r="C397" s="69">
        <v>46211.452685185184</v>
      </c>
      <c r="D397" s="55" t="s">
        <v>890</v>
      </c>
      <c r="E397" s="55" t="s">
        <v>1247</v>
      </c>
      <c r="F397" s="129">
        <v>101</v>
      </c>
    </row>
    <row r="398" spans="2:7">
      <c r="B398" s="56">
        <v>46211</v>
      </c>
      <c r="C398" s="69">
        <v>46211.452696759261</v>
      </c>
      <c r="D398" s="55" t="s">
        <v>890</v>
      </c>
      <c r="E398" s="55" t="s">
        <v>1248</v>
      </c>
      <c r="F398" s="129">
        <v>1</v>
      </c>
    </row>
    <row r="399" spans="2:7">
      <c r="B399" s="56">
        <v>46211</v>
      </c>
      <c r="C399" s="69">
        <v>46211.452800925923</v>
      </c>
      <c r="D399" s="55" t="s">
        <v>890</v>
      </c>
      <c r="E399" s="55" t="s">
        <v>1244</v>
      </c>
      <c r="G399" s="129">
        <v>161</v>
      </c>
    </row>
    <row r="400" spans="2:7">
      <c r="B400" s="56">
        <v>46211</v>
      </c>
      <c r="C400" s="69">
        <v>46211.452881944446</v>
      </c>
      <c r="D400" s="55" t="s">
        <v>890</v>
      </c>
      <c r="E400" s="55" t="s">
        <v>1245</v>
      </c>
      <c r="G400" s="129">
        <v>45</v>
      </c>
    </row>
    <row r="401" spans="2:7">
      <c r="B401" s="56">
        <v>46211</v>
      </c>
      <c r="C401" s="69">
        <v>46211.452974537038</v>
      </c>
      <c r="D401" s="55" t="s">
        <v>890</v>
      </c>
      <c r="E401" s="55" t="s">
        <v>1245</v>
      </c>
      <c r="F401" s="129">
        <v>45</v>
      </c>
      <c r="G401" s="129">
        <v>46</v>
      </c>
    </row>
    <row r="402" spans="2:7">
      <c r="B402" s="56">
        <v>46211</v>
      </c>
      <c r="C402" s="69">
        <v>46211.453043981484</v>
      </c>
      <c r="D402" s="55" t="s">
        <v>890</v>
      </c>
      <c r="E402" s="55" t="s">
        <v>1246</v>
      </c>
      <c r="G402" s="129">
        <v>14</v>
      </c>
    </row>
    <row r="403" spans="2:7">
      <c r="B403" s="56">
        <v>46211</v>
      </c>
      <c r="C403" s="69">
        <v>46211.453125</v>
      </c>
      <c r="D403" s="55" t="s">
        <v>890</v>
      </c>
      <c r="E403" s="55" t="s">
        <v>1247</v>
      </c>
      <c r="G403" s="129">
        <v>101</v>
      </c>
    </row>
    <row r="404" spans="2:7">
      <c r="B404" s="56">
        <v>46211</v>
      </c>
      <c r="C404" s="69">
        <v>46211.453194444446</v>
      </c>
      <c r="D404" s="55" t="s">
        <v>890</v>
      </c>
      <c r="E404" s="55" t="s">
        <v>1248</v>
      </c>
      <c r="G404" s="129">
        <v>1</v>
      </c>
    </row>
    <row r="405" spans="2:7" ht="39.6">
      <c r="B405" s="56">
        <v>46211</v>
      </c>
      <c r="C405" s="69">
        <v>46211.454814814817</v>
      </c>
      <c r="D405" s="55" t="s">
        <v>890</v>
      </c>
      <c r="E405" s="55" t="s">
        <v>1250</v>
      </c>
      <c r="G405" s="129" t="s">
        <v>1249</v>
      </c>
    </row>
    <row r="406" spans="2:7" ht="52.8">
      <c r="B406" s="56">
        <v>46211</v>
      </c>
      <c r="C406" s="69">
        <v>46211.454907407409</v>
      </c>
      <c r="D406" s="55" t="s">
        <v>890</v>
      </c>
      <c r="E406" s="55" t="s">
        <v>1250</v>
      </c>
      <c r="F406" s="129" t="s">
        <v>1249</v>
      </c>
      <c r="G406" s="129" t="s">
        <v>1251</v>
      </c>
    </row>
    <row r="407" spans="2:7">
      <c r="B407" s="56">
        <v>46211</v>
      </c>
      <c r="C407" s="69">
        <v>46211.455011574071</v>
      </c>
      <c r="D407" s="55" t="s">
        <v>890</v>
      </c>
      <c r="E407" s="55" t="s">
        <v>1252</v>
      </c>
      <c r="G407" s="129">
        <v>2</v>
      </c>
    </row>
    <row r="408" spans="2:7">
      <c r="B408" s="56">
        <v>46211</v>
      </c>
      <c r="C408" s="69">
        <v>46211.455092592594</v>
      </c>
      <c r="D408" s="55" t="s">
        <v>890</v>
      </c>
      <c r="E408" s="55" t="s">
        <v>1253</v>
      </c>
      <c r="G408" s="129">
        <v>2</v>
      </c>
    </row>
    <row r="409" spans="2:7">
      <c r="B409" s="56">
        <v>46211</v>
      </c>
      <c r="C409" s="69">
        <v>46211.455474537041</v>
      </c>
      <c r="D409" s="55" t="s">
        <v>890</v>
      </c>
      <c r="E409" s="55" t="s">
        <v>1254</v>
      </c>
      <c r="F409" s="129">
        <v>16</v>
      </c>
    </row>
    <row r="410" spans="2:7">
      <c r="B410" s="56">
        <v>46211</v>
      </c>
      <c r="C410" s="69">
        <v>46211.455671296295</v>
      </c>
      <c r="D410" s="55" t="s">
        <v>890</v>
      </c>
      <c r="E410" s="55" t="s">
        <v>1254</v>
      </c>
      <c r="G410" s="129">
        <v>18</v>
      </c>
    </row>
    <row r="411" spans="2:7">
      <c r="B411" s="56">
        <v>46211</v>
      </c>
      <c r="C411" s="69">
        <v>46211.455706018518</v>
      </c>
      <c r="D411" s="55" t="s">
        <v>890</v>
      </c>
      <c r="E411" s="55" t="s">
        <v>1255</v>
      </c>
      <c r="G411" s="129">
        <v>3</v>
      </c>
    </row>
    <row r="412" spans="2:7">
      <c r="B412" s="56">
        <v>46211</v>
      </c>
      <c r="C412" s="69">
        <v>46211.455740740741</v>
      </c>
      <c r="D412" s="55" t="s">
        <v>890</v>
      </c>
      <c r="E412" s="55" t="s">
        <v>1256</v>
      </c>
      <c r="G412" s="129">
        <v>8</v>
      </c>
    </row>
    <row r="413" spans="2:7">
      <c r="B413" s="56">
        <v>46211</v>
      </c>
      <c r="C413" s="69">
        <v>46211.455775462964</v>
      </c>
      <c r="D413" s="55" t="s">
        <v>890</v>
      </c>
      <c r="E413" s="55" t="s">
        <v>1257</v>
      </c>
      <c r="G413" s="129">
        <v>7</v>
      </c>
    </row>
    <row r="414" spans="2:7">
      <c r="B414" s="56">
        <v>46211</v>
      </c>
      <c r="C414" s="69">
        <v>46211.456076388888</v>
      </c>
      <c r="D414" s="55" t="s">
        <v>890</v>
      </c>
      <c r="E414" s="55" t="s">
        <v>1258</v>
      </c>
      <c r="G414" s="129">
        <v>2026</v>
      </c>
    </row>
    <row r="415" spans="2:7">
      <c r="B415" s="56">
        <v>46211</v>
      </c>
      <c r="C415" s="69">
        <v>46211.457245370373</v>
      </c>
      <c r="D415" s="55" t="s">
        <v>890</v>
      </c>
      <c r="E415" s="55" t="s">
        <v>997</v>
      </c>
      <c r="G415" s="129">
        <v>14</v>
      </c>
    </row>
    <row r="416" spans="2:7">
      <c r="B416" s="56">
        <v>46211</v>
      </c>
      <c r="C416" s="69">
        <v>46211.457314814812</v>
      </c>
      <c r="D416" s="55" t="s">
        <v>890</v>
      </c>
      <c r="E416" s="55" t="s">
        <v>992</v>
      </c>
      <c r="G416" s="129">
        <v>14</v>
      </c>
    </row>
    <row r="417" spans="2:7">
      <c r="B417" s="56">
        <v>46211</v>
      </c>
      <c r="C417" s="69">
        <v>46211.457372685189</v>
      </c>
      <c r="D417" s="55" t="s">
        <v>890</v>
      </c>
      <c r="E417" s="55" t="s">
        <v>993</v>
      </c>
      <c r="G417" s="129">
        <v>14</v>
      </c>
    </row>
    <row r="418" spans="2:7">
      <c r="B418" s="56">
        <v>46211</v>
      </c>
      <c r="C418" s="69">
        <v>46211.457824074074</v>
      </c>
      <c r="D418" s="55" t="s">
        <v>890</v>
      </c>
      <c r="E418" s="55" t="s">
        <v>1259</v>
      </c>
      <c r="G418" s="129">
        <v>119</v>
      </c>
    </row>
    <row r="419" spans="2:7">
      <c r="B419" s="56">
        <v>46211</v>
      </c>
      <c r="C419" s="69">
        <v>46211.45784722222</v>
      </c>
      <c r="D419" s="55" t="s">
        <v>890</v>
      </c>
      <c r="E419" s="55" t="s">
        <v>1260</v>
      </c>
      <c r="G419" s="129">
        <v>163</v>
      </c>
    </row>
    <row r="420" spans="2:7">
      <c r="B420" s="56">
        <v>46211</v>
      </c>
      <c r="C420" s="69">
        <v>46211.457881944443</v>
      </c>
      <c r="D420" s="55" t="s">
        <v>890</v>
      </c>
      <c r="E420" s="55" t="s">
        <v>1261</v>
      </c>
      <c r="G420" s="130">
        <v>48</v>
      </c>
    </row>
    <row r="421" spans="2:7">
      <c r="B421" s="56">
        <v>46211</v>
      </c>
      <c r="C421" s="69">
        <v>46211.457905092589</v>
      </c>
      <c r="D421" s="55" t="s">
        <v>890</v>
      </c>
      <c r="E421" s="55" t="s">
        <v>1262</v>
      </c>
      <c r="G421" s="129">
        <v>14</v>
      </c>
    </row>
    <row r="422" spans="2:7">
      <c r="B422" s="56">
        <v>46211</v>
      </c>
      <c r="C422" s="69">
        <v>46211.457928240743</v>
      </c>
      <c r="D422" s="55" t="s">
        <v>890</v>
      </c>
      <c r="E422" s="55" t="s">
        <v>1263</v>
      </c>
      <c r="G422" s="129">
        <v>101</v>
      </c>
    </row>
    <row r="423" spans="2:7">
      <c r="B423" s="56">
        <v>46211</v>
      </c>
      <c r="C423" s="69">
        <v>46211.457951388889</v>
      </c>
      <c r="D423" s="55" t="s">
        <v>890</v>
      </c>
      <c r="E423" s="55" t="s">
        <v>1264</v>
      </c>
      <c r="G423" s="129">
        <v>1</v>
      </c>
    </row>
    <row r="424" spans="2:7" ht="52.8">
      <c r="B424" s="56">
        <v>46211</v>
      </c>
      <c r="C424" s="69">
        <v>46211.460370370369</v>
      </c>
      <c r="D424" s="55" t="s">
        <v>684</v>
      </c>
      <c r="E424" s="55" t="s">
        <v>1266</v>
      </c>
      <c r="G424" s="129" t="s">
        <v>1265</v>
      </c>
    </row>
    <row r="425" spans="2:7" ht="92.4">
      <c r="B425" s="56">
        <v>46211</v>
      </c>
      <c r="C425" s="69">
        <v>46211.461909722224</v>
      </c>
      <c r="D425" s="55" t="s">
        <v>684</v>
      </c>
      <c r="E425" s="55" t="s">
        <v>1268</v>
      </c>
      <c r="G425" s="129" t="s">
        <v>1267</v>
      </c>
    </row>
    <row r="426" spans="2:7" ht="92.4">
      <c r="B426" s="56">
        <v>46211</v>
      </c>
      <c r="C426" s="69">
        <v>46211.462071759262</v>
      </c>
      <c r="D426" s="55" t="s">
        <v>684</v>
      </c>
      <c r="E426" s="55" t="s">
        <v>1269</v>
      </c>
      <c r="G426" s="129" t="s">
        <v>1267</v>
      </c>
    </row>
    <row r="427" spans="2:7" ht="52.8">
      <c r="B427" s="56">
        <v>46211</v>
      </c>
      <c r="C427" s="69">
        <v>46211.462175925924</v>
      </c>
      <c r="D427" s="55" t="s">
        <v>684</v>
      </c>
      <c r="E427" s="55" t="s">
        <v>1270</v>
      </c>
      <c r="G427" s="129" t="s">
        <v>1265</v>
      </c>
    </row>
    <row r="428" spans="2:7">
      <c r="B428" s="56">
        <v>46229</v>
      </c>
      <c r="C428" s="69">
        <v>46229.791516203702</v>
      </c>
      <c r="D428" s="55" t="s">
        <v>684</v>
      </c>
      <c r="E428" s="55" t="s">
        <v>1273</v>
      </c>
      <c r="F428" s="129" t="s">
        <v>201</v>
      </c>
      <c r="G428" s="129" t="s">
        <v>20</v>
      </c>
    </row>
    <row r="429" spans="2:7">
      <c r="B429" s="56">
        <v>46229</v>
      </c>
      <c r="C429" s="69">
        <v>46229.792384259257</v>
      </c>
      <c r="D429" s="55" t="s">
        <v>684</v>
      </c>
      <c r="E429" s="55" t="s">
        <v>1273</v>
      </c>
      <c r="F429" s="129" t="s">
        <v>20</v>
      </c>
      <c r="G429" s="129" t="s">
        <v>201</v>
      </c>
    </row>
    <row r="430" spans="2:7">
      <c r="B430" s="56">
        <v>46229</v>
      </c>
      <c r="C430" s="69">
        <v>46229.801539351851</v>
      </c>
      <c r="D430" s="55" t="s">
        <v>684</v>
      </c>
      <c r="E430" s="55" t="s">
        <v>1275</v>
      </c>
      <c r="G430" s="129" t="s">
        <v>1274</v>
      </c>
    </row>
    <row r="431" spans="2:7">
      <c r="B431" s="56">
        <v>46229</v>
      </c>
      <c r="C431" s="69">
        <v>46229.801562499997</v>
      </c>
      <c r="D431" s="55" t="s">
        <v>684</v>
      </c>
      <c r="E431" s="55" t="s">
        <v>901</v>
      </c>
      <c r="G431" s="129" t="s">
        <v>33</v>
      </c>
    </row>
    <row r="432" spans="2:7" ht="66">
      <c r="B432" s="56">
        <v>46229</v>
      </c>
      <c r="C432" s="69">
        <v>46229.80159722222</v>
      </c>
      <c r="D432" s="55" t="s">
        <v>684</v>
      </c>
      <c r="E432" s="55" t="s">
        <v>1276</v>
      </c>
      <c r="G432" s="129" t="s">
        <v>445</v>
      </c>
    </row>
    <row r="433" spans="2:7" ht="39.6">
      <c r="B433" s="56">
        <v>46229</v>
      </c>
      <c r="C433" s="69">
        <v>46229.801620370374</v>
      </c>
      <c r="D433" s="55" t="s">
        <v>684</v>
      </c>
      <c r="E433" s="55" t="s">
        <v>1277</v>
      </c>
      <c r="G433" s="129" t="s">
        <v>444</v>
      </c>
    </row>
    <row r="434" spans="2:7" ht="39.6">
      <c r="B434" s="56">
        <v>46229</v>
      </c>
      <c r="C434" s="69">
        <v>46229.80164351852</v>
      </c>
      <c r="D434" s="55" t="s">
        <v>684</v>
      </c>
      <c r="E434" s="55" t="s">
        <v>1279</v>
      </c>
      <c r="G434" s="129" t="s">
        <v>1278</v>
      </c>
    </row>
    <row r="435" spans="2:7">
      <c r="B435" s="56">
        <v>46229</v>
      </c>
      <c r="C435" s="69">
        <v>46229.805358796293</v>
      </c>
      <c r="D435" s="55" t="s">
        <v>684</v>
      </c>
      <c r="E435" s="55" t="s">
        <v>1280</v>
      </c>
      <c r="G435" s="129" t="s">
        <v>1274</v>
      </c>
    </row>
    <row r="436" spans="2:7">
      <c r="B436" s="56">
        <v>46229</v>
      </c>
      <c r="C436" s="69">
        <v>46229.805393518516</v>
      </c>
      <c r="D436" s="55" t="s">
        <v>684</v>
      </c>
      <c r="E436" s="55" t="s">
        <v>848</v>
      </c>
      <c r="G436" s="129" t="s">
        <v>33</v>
      </c>
    </row>
    <row r="437" spans="2:7" ht="66">
      <c r="B437" s="56">
        <v>46229</v>
      </c>
      <c r="C437" s="69">
        <v>46229.805428240739</v>
      </c>
      <c r="D437" s="55" t="s">
        <v>684</v>
      </c>
      <c r="E437" s="55" t="s">
        <v>1281</v>
      </c>
      <c r="G437" s="129" t="s">
        <v>371</v>
      </c>
    </row>
    <row r="438" spans="2:7" ht="52.8">
      <c r="B438" s="56">
        <v>46229</v>
      </c>
      <c r="C438" s="69">
        <v>46229.805451388886</v>
      </c>
      <c r="D438" s="55" t="s">
        <v>684</v>
      </c>
      <c r="E438" s="55" t="s">
        <v>1282</v>
      </c>
      <c r="G438" s="129" t="s">
        <v>370</v>
      </c>
    </row>
    <row r="439" spans="2:7" ht="237.6">
      <c r="B439" s="56">
        <v>46229</v>
      </c>
      <c r="C439" s="69">
        <v>46229.805462962962</v>
      </c>
      <c r="D439" s="55" t="s">
        <v>684</v>
      </c>
      <c r="E439" s="55" t="s">
        <v>1284</v>
      </c>
      <c r="G439" s="129" t="s">
        <v>1283</v>
      </c>
    </row>
    <row r="440" spans="2:7">
      <c r="B440" s="56">
        <v>46229</v>
      </c>
      <c r="C440" s="69">
        <v>46229.807916666665</v>
      </c>
      <c r="D440" s="55" t="s">
        <v>684</v>
      </c>
      <c r="E440" s="55" t="s">
        <v>1285</v>
      </c>
      <c r="G440" s="130">
        <v>46229</v>
      </c>
    </row>
    <row r="441" spans="2:7">
      <c r="B441" s="56">
        <v>46229</v>
      </c>
      <c r="C441" s="69">
        <v>46229.807962962965</v>
      </c>
      <c r="D441" s="55" t="s">
        <v>684</v>
      </c>
      <c r="E441" s="55" t="s">
        <v>1273</v>
      </c>
      <c r="F441" s="129" t="s">
        <v>201</v>
      </c>
      <c r="G441" s="129" t="s">
        <v>20</v>
      </c>
    </row>
    <row r="442" spans="2:7">
      <c r="B442" s="56">
        <v>46229</v>
      </c>
      <c r="C442" s="69">
        <v>46229.815092592595</v>
      </c>
      <c r="D442" s="55" t="s">
        <v>734</v>
      </c>
      <c r="E442" s="55" t="s">
        <v>1292</v>
      </c>
      <c r="F442" s="129" t="s">
        <v>1290</v>
      </c>
      <c r="G442" s="129" t="s">
        <v>1291</v>
      </c>
    </row>
    <row r="443" spans="2:7">
      <c r="B443" s="56">
        <v>46229</v>
      </c>
      <c r="C443" s="69">
        <v>46229.817071759258</v>
      </c>
      <c r="D443" s="55" t="s">
        <v>1294</v>
      </c>
      <c r="E443" s="55" t="s">
        <v>1295</v>
      </c>
      <c r="G443" s="129" t="s">
        <v>1293</v>
      </c>
    </row>
    <row r="444" spans="2:7">
      <c r="B444" s="56">
        <v>46229</v>
      </c>
      <c r="C444" s="69">
        <v>46229.817094907405</v>
      </c>
      <c r="D444" s="55" t="s">
        <v>1294</v>
      </c>
      <c r="E444" s="55" t="s">
        <v>1297</v>
      </c>
      <c r="G444" s="129" t="s">
        <v>1296</v>
      </c>
    </row>
    <row r="445" spans="2:7">
      <c r="B445" s="56">
        <v>46229</v>
      </c>
      <c r="C445" s="69">
        <v>46229.817152777781</v>
      </c>
      <c r="D445" s="55" t="s">
        <v>1294</v>
      </c>
      <c r="E445" s="55" t="s">
        <v>1299</v>
      </c>
      <c r="G445" s="129" t="s">
        <v>1298</v>
      </c>
    </row>
    <row r="446" spans="2:7">
      <c r="B446" s="56">
        <v>46229</v>
      </c>
      <c r="C446" s="69">
        <v>46229.817175925928</v>
      </c>
      <c r="D446" s="55" t="s">
        <v>1294</v>
      </c>
      <c r="E446" s="55" t="s">
        <v>1301</v>
      </c>
      <c r="G446" s="129" t="s">
        <v>1300</v>
      </c>
    </row>
    <row r="447" spans="2:7">
      <c r="B447" s="56">
        <v>46229</v>
      </c>
      <c r="C447" s="69">
        <v>46229.817210648151</v>
      </c>
      <c r="D447" s="55" t="s">
        <v>1294</v>
      </c>
      <c r="E447" s="55" t="s">
        <v>1303</v>
      </c>
      <c r="G447" s="129" t="s">
        <v>1302</v>
      </c>
    </row>
    <row r="448" spans="2:7">
      <c r="B448" s="56">
        <v>46229</v>
      </c>
      <c r="C448" s="69">
        <v>46229.817245370374</v>
      </c>
      <c r="D448" s="55" t="s">
        <v>1294</v>
      </c>
      <c r="E448" s="55" t="s">
        <v>1305</v>
      </c>
      <c r="G448" s="129" t="s">
        <v>1304</v>
      </c>
    </row>
    <row r="449" spans="2:7">
      <c r="B449" s="56">
        <v>46229</v>
      </c>
      <c r="C449" s="69">
        <v>46229.817777777775</v>
      </c>
      <c r="D449" s="55" t="s">
        <v>1294</v>
      </c>
      <c r="E449" s="55" t="s">
        <v>1306</v>
      </c>
      <c r="G449" s="129">
        <v>1</v>
      </c>
    </row>
    <row r="450" spans="2:7">
      <c r="B450" s="56">
        <v>46229</v>
      </c>
      <c r="C450" s="69">
        <v>46229.821180555555</v>
      </c>
      <c r="D450" s="55" t="s">
        <v>684</v>
      </c>
      <c r="E450" s="55" t="s">
        <v>1273</v>
      </c>
      <c r="F450" s="129" t="s">
        <v>20</v>
      </c>
      <c r="G450" s="129" t="s">
        <v>201</v>
      </c>
    </row>
    <row r="451" spans="2:7">
      <c r="B451" s="56">
        <v>46229</v>
      </c>
      <c r="C451" s="69">
        <v>46229.821203703701</v>
      </c>
      <c r="D451" s="55" t="s">
        <v>684</v>
      </c>
      <c r="E451" s="55" t="s">
        <v>1285</v>
      </c>
      <c r="F451" s="130">
        <v>46229</v>
      </c>
    </row>
    <row r="452" spans="2:7">
      <c r="B452" s="56">
        <v>46230</v>
      </c>
      <c r="C452" s="69">
        <v>46230.440462962964</v>
      </c>
      <c r="D452" s="55" t="s">
        <v>684</v>
      </c>
      <c r="E452" s="55" t="s">
        <v>802</v>
      </c>
      <c r="F452" s="129" t="s">
        <v>201</v>
      </c>
      <c r="G452" s="129" t="s">
        <v>20</v>
      </c>
    </row>
    <row r="453" spans="2:7" ht="118.8">
      <c r="B453" s="56">
        <v>46230</v>
      </c>
      <c r="C453" s="69">
        <v>46230.444756944446</v>
      </c>
      <c r="D453" s="55" t="s">
        <v>684</v>
      </c>
      <c r="E453" s="55" t="s">
        <v>814</v>
      </c>
      <c r="F453" s="129" t="s">
        <v>816</v>
      </c>
      <c r="G453" s="129" t="s">
        <v>1308</v>
      </c>
    </row>
    <row r="454" spans="2:7">
      <c r="B454" s="56">
        <v>46230</v>
      </c>
      <c r="C454" s="69">
        <v>46230.444814814815</v>
      </c>
      <c r="D454" s="55" t="s">
        <v>684</v>
      </c>
      <c r="E454" s="55" t="s">
        <v>818</v>
      </c>
      <c r="F454" s="129" t="s">
        <v>201</v>
      </c>
      <c r="G454" s="129" t="s">
        <v>33</v>
      </c>
    </row>
    <row r="455" spans="2:7">
      <c r="B455" s="56">
        <v>46230</v>
      </c>
      <c r="C455" s="69">
        <v>46230.444930555554</v>
      </c>
      <c r="D455" s="55" t="s">
        <v>684</v>
      </c>
      <c r="E455" s="55" t="s">
        <v>821</v>
      </c>
      <c r="F455" s="129" t="s">
        <v>201</v>
      </c>
      <c r="G455" s="129" t="s">
        <v>33</v>
      </c>
    </row>
    <row r="456" spans="2:7" ht="237.6">
      <c r="B456" s="56">
        <v>46230</v>
      </c>
      <c r="C456" s="69">
        <v>46230.445138888892</v>
      </c>
      <c r="D456" s="55" t="s">
        <v>684</v>
      </c>
      <c r="E456" s="55" t="s">
        <v>1284</v>
      </c>
      <c r="F456" s="129" t="s">
        <v>1283</v>
      </c>
      <c r="G456" s="129" t="s">
        <v>1309</v>
      </c>
    </row>
    <row r="457" spans="2:7" ht="26.4">
      <c r="B457" s="56">
        <v>46230</v>
      </c>
      <c r="C457" s="69">
        <v>46230.445625</v>
      </c>
      <c r="D457" s="55" t="s">
        <v>684</v>
      </c>
      <c r="E457" s="55" t="s">
        <v>1310</v>
      </c>
      <c r="F457" s="129" t="s">
        <v>408</v>
      </c>
    </row>
    <row r="458" spans="2:7">
      <c r="B458" s="56">
        <v>46230</v>
      </c>
      <c r="C458" s="69">
        <v>46230.446932870371</v>
      </c>
      <c r="D458" s="55" t="s">
        <v>684</v>
      </c>
      <c r="E458" s="55" t="s">
        <v>1311</v>
      </c>
      <c r="F458" s="129" t="s">
        <v>201</v>
      </c>
      <c r="G458" s="129" t="s">
        <v>33</v>
      </c>
    </row>
    <row r="459" spans="2:7">
      <c r="B459" s="56">
        <v>46230</v>
      </c>
      <c r="C459" s="69">
        <v>46230.447291666664</v>
      </c>
      <c r="D459" s="55" t="s">
        <v>684</v>
      </c>
      <c r="E459" s="55" t="s">
        <v>1312</v>
      </c>
      <c r="F459" s="129" t="s">
        <v>201</v>
      </c>
      <c r="G459" s="129" t="s">
        <v>33</v>
      </c>
    </row>
    <row r="460" spans="2:7">
      <c r="B460" s="56">
        <v>46230</v>
      </c>
      <c r="C460" s="69">
        <v>46230.447743055556</v>
      </c>
      <c r="D460" s="55" t="s">
        <v>684</v>
      </c>
      <c r="E460" s="55" t="s">
        <v>1313</v>
      </c>
      <c r="F460" s="129" t="s">
        <v>201</v>
      </c>
      <c r="G460" s="129" t="s">
        <v>33</v>
      </c>
    </row>
    <row r="461" spans="2:7">
      <c r="B461" s="56">
        <v>46230</v>
      </c>
      <c r="C461" s="69">
        <v>46230.447962962964</v>
      </c>
      <c r="D461" s="55" t="s">
        <v>684</v>
      </c>
      <c r="E461" s="55" t="s">
        <v>1314</v>
      </c>
      <c r="F461" s="129" t="s">
        <v>201</v>
      </c>
      <c r="G461" s="129" t="s">
        <v>33</v>
      </c>
    </row>
    <row r="462" spans="2:7">
      <c r="B462" s="56">
        <v>46230</v>
      </c>
      <c r="C462" s="69">
        <v>46230.448171296295</v>
      </c>
      <c r="D462" s="55" t="s">
        <v>684</v>
      </c>
      <c r="E462" s="55" t="s">
        <v>1315</v>
      </c>
      <c r="F462" s="129" t="s">
        <v>201</v>
      </c>
      <c r="G462" s="129" t="s">
        <v>33</v>
      </c>
    </row>
    <row r="463" spans="2:7">
      <c r="B463" s="56">
        <v>46232</v>
      </c>
      <c r="C463" s="69">
        <v>46232.707696759258</v>
      </c>
      <c r="D463" s="55" t="s">
        <v>684</v>
      </c>
      <c r="E463" s="55" t="s">
        <v>1316</v>
      </c>
      <c r="F463" s="129" t="s">
        <v>201</v>
      </c>
      <c r="G463" s="129" t="s">
        <v>33</v>
      </c>
    </row>
    <row r="464" spans="2:7">
      <c r="B464" s="56">
        <v>46232</v>
      </c>
      <c r="C464" s="69">
        <v>46232.707835648151</v>
      </c>
      <c r="D464" s="55" t="s">
        <v>684</v>
      </c>
      <c r="E464" s="55" t="s">
        <v>1317</v>
      </c>
      <c r="F464" s="129" t="s">
        <v>201</v>
      </c>
      <c r="G464" s="129" t="s">
        <v>33</v>
      </c>
    </row>
    <row r="465" spans="2:7">
      <c r="B465" s="56">
        <v>46232</v>
      </c>
      <c r="C465" s="69">
        <v>46232.708020833335</v>
      </c>
      <c r="D465" s="55" t="s">
        <v>684</v>
      </c>
      <c r="E465" s="55" t="s">
        <v>1318</v>
      </c>
      <c r="F465" s="129" t="s">
        <v>201</v>
      </c>
      <c r="G465" s="129" t="s">
        <v>33</v>
      </c>
    </row>
    <row r="466" spans="2:7">
      <c r="B466" s="56">
        <v>46232</v>
      </c>
      <c r="C466" s="69">
        <v>46232.70815972222</v>
      </c>
      <c r="D466" s="55" t="s">
        <v>684</v>
      </c>
      <c r="E466" s="55" t="s">
        <v>1319</v>
      </c>
      <c r="F466" s="129" t="s">
        <v>201</v>
      </c>
      <c r="G466" s="129" t="s">
        <v>33</v>
      </c>
    </row>
    <row r="467" spans="2:7">
      <c r="B467" s="56">
        <v>46232</v>
      </c>
      <c r="C467" s="69">
        <v>46232.708275462966</v>
      </c>
      <c r="D467" s="55" t="s">
        <v>684</v>
      </c>
      <c r="E467" s="55" t="s">
        <v>1320</v>
      </c>
      <c r="F467" s="129" t="s">
        <v>201</v>
      </c>
      <c r="G467" s="129" t="s">
        <v>33</v>
      </c>
    </row>
    <row r="468" spans="2:7">
      <c r="B468" s="56">
        <v>46232</v>
      </c>
      <c r="C468" s="69">
        <v>46232.708402777775</v>
      </c>
      <c r="D468" s="55" t="s">
        <v>684</v>
      </c>
      <c r="E468" s="55" t="s">
        <v>1321</v>
      </c>
      <c r="F468" s="129" t="s">
        <v>201</v>
      </c>
      <c r="G468" s="129" t="s">
        <v>33</v>
      </c>
    </row>
    <row r="469" spans="2:7">
      <c r="B469" s="56">
        <v>46232</v>
      </c>
      <c r="C469" s="69">
        <v>46232.708692129629</v>
      </c>
      <c r="D469" s="55" t="s">
        <v>684</v>
      </c>
      <c r="E469" s="55" t="s">
        <v>939</v>
      </c>
      <c r="F469" s="129" t="s">
        <v>201</v>
      </c>
      <c r="G469" s="129" t="s">
        <v>33</v>
      </c>
    </row>
    <row r="470" spans="2:7">
      <c r="B470" s="56">
        <v>46232</v>
      </c>
      <c r="C470" s="69">
        <v>46232.961481481485</v>
      </c>
      <c r="D470" s="55" t="s">
        <v>684</v>
      </c>
      <c r="E470" s="55" t="s">
        <v>803</v>
      </c>
      <c r="F470" s="129" t="s">
        <v>201</v>
      </c>
      <c r="G470" s="129" t="s">
        <v>33</v>
      </c>
    </row>
    <row r="471" spans="2:7">
      <c r="B471" s="56">
        <v>46232</v>
      </c>
      <c r="C471" s="69">
        <v>46232.961574074077</v>
      </c>
      <c r="D471" s="55" t="s">
        <v>684</v>
      </c>
      <c r="E471" s="55" t="s">
        <v>687</v>
      </c>
      <c r="F471" s="129" t="s">
        <v>201</v>
      </c>
      <c r="G471" s="129" t="s">
        <v>33</v>
      </c>
    </row>
    <row r="472" spans="2:7">
      <c r="B472" s="56">
        <v>46233</v>
      </c>
      <c r="C472" s="69">
        <v>46233.618750000001</v>
      </c>
      <c r="D472" s="55" t="s">
        <v>684</v>
      </c>
      <c r="E472" s="55" t="s">
        <v>1311</v>
      </c>
      <c r="F472" s="129" t="s">
        <v>33</v>
      </c>
      <c r="G472" s="129" t="s">
        <v>20</v>
      </c>
    </row>
    <row r="473" spans="2:7">
      <c r="B473" s="56">
        <v>46233</v>
      </c>
      <c r="C473" s="69">
        <v>46233.619467592594</v>
      </c>
      <c r="D473" s="55" t="s">
        <v>684</v>
      </c>
      <c r="E473" s="55" t="s">
        <v>1313</v>
      </c>
      <c r="F473" s="129" t="s">
        <v>33</v>
      </c>
      <c r="G473" s="129" t="s">
        <v>20</v>
      </c>
    </row>
    <row r="474" spans="2:7">
      <c r="B474" s="56">
        <v>46233</v>
      </c>
      <c r="C474" s="69">
        <v>46233.619791666664</v>
      </c>
      <c r="D474" s="55" t="s">
        <v>684</v>
      </c>
      <c r="E474" s="55" t="s">
        <v>1314</v>
      </c>
      <c r="F474" s="129" t="s">
        <v>33</v>
      </c>
      <c r="G474" s="129" t="s">
        <v>20</v>
      </c>
    </row>
    <row r="475" spans="2:7" ht="66">
      <c r="B475" s="56">
        <v>46233</v>
      </c>
      <c r="C475" s="69">
        <v>46233.620925925927</v>
      </c>
      <c r="D475" s="55" t="s">
        <v>684</v>
      </c>
      <c r="E475" s="55" t="s">
        <v>1323</v>
      </c>
      <c r="G475" s="129" t="s">
        <v>1322</v>
      </c>
    </row>
    <row r="476" spans="2:7" ht="66">
      <c r="B476" s="56">
        <v>46233</v>
      </c>
      <c r="C476" s="69">
        <v>46233.621516203704</v>
      </c>
      <c r="D476" s="55" t="s">
        <v>684</v>
      </c>
      <c r="E476" s="55" t="s">
        <v>1325</v>
      </c>
      <c r="G476" s="129" t="s">
        <v>1324</v>
      </c>
    </row>
    <row r="477" spans="2:7" ht="52.8">
      <c r="B477" s="56">
        <v>46233</v>
      </c>
      <c r="C477" s="69">
        <v>46233.622604166667</v>
      </c>
      <c r="D477" s="55" t="s">
        <v>684</v>
      </c>
      <c r="E477" s="55" t="s">
        <v>1327</v>
      </c>
      <c r="G477" s="129" t="s">
        <v>1326</v>
      </c>
    </row>
    <row r="478" spans="2:7">
      <c r="B478" s="56">
        <v>46233</v>
      </c>
      <c r="C478" s="69">
        <v>46233.636666666665</v>
      </c>
      <c r="D478" s="55" t="s">
        <v>684</v>
      </c>
      <c r="E478" s="55" t="s">
        <v>1329</v>
      </c>
      <c r="G478" s="129" t="s">
        <v>1328</v>
      </c>
    </row>
    <row r="479" spans="2:7" ht="92.4">
      <c r="B479" s="56">
        <v>46233</v>
      </c>
      <c r="C479" s="69">
        <v>46233.637094907404</v>
      </c>
      <c r="D479" s="55" t="s">
        <v>684</v>
      </c>
      <c r="E479" s="55" t="s">
        <v>1329</v>
      </c>
      <c r="F479" s="129" t="s">
        <v>1328</v>
      </c>
      <c r="G479" s="129" t="s">
        <v>1330</v>
      </c>
    </row>
    <row r="480" spans="2:7">
      <c r="B480" s="56">
        <v>46233</v>
      </c>
      <c r="C480" s="69">
        <v>46233.637118055558</v>
      </c>
      <c r="D480" s="55" t="s">
        <v>684</v>
      </c>
      <c r="E480" s="55" t="s">
        <v>1312</v>
      </c>
      <c r="F480" s="129" t="s">
        <v>33</v>
      </c>
      <c r="G480" s="129" t="s">
        <v>20</v>
      </c>
    </row>
    <row r="481" spans="2:7">
      <c r="B481" s="56">
        <v>46236</v>
      </c>
      <c r="C481" s="69">
        <v>46236.649398148147</v>
      </c>
      <c r="D481" s="55" t="s">
        <v>684</v>
      </c>
      <c r="E481" s="55" t="s">
        <v>1331</v>
      </c>
      <c r="F481" s="129" t="s">
        <v>201</v>
      </c>
      <c r="G481" s="129" t="s">
        <v>33</v>
      </c>
    </row>
    <row r="482" spans="2:7">
      <c r="B482" s="56">
        <v>46236</v>
      </c>
      <c r="C482" s="69">
        <v>46236.649421296293</v>
      </c>
      <c r="D482" s="55" t="s">
        <v>684</v>
      </c>
      <c r="E482" s="55" t="s">
        <v>1332</v>
      </c>
      <c r="F482" s="129" t="s">
        <v>201</v>
      </c>
      <c r="G482" s="129" t="s">
        <v>33</v>
      </c>
    </row>
    <row r="483" spans="2:7">
      <c r="B483" s="56">
        <v>46236</v>
      </c>
      <c r="C483" s="69">
        <v>46236.64943287037</v>
      </c>
      <c r="D483" s="55" t="s">
        <v>684</v>
      </c>
      <c r="E483" s="55" t="s">
        <v>1333</v>
      </c>
      <c r="F483" s="129" t="s">
        <v>201</v>
      </c>
      <c r="G483" s="129" t="s">
        <v>33</v>
      </c>
    </row>
    <row r="484" spans="2:7" ht="105.6">
      <c r="B484" s="56">
        <v>46244</v>
      </c>
      <c r="C484" s="69">
        <v>46244.617962962962</v>
      </c>
      <c r="D484" s="55" t="s">
        <v>684</v>
      </c>
      <c r="E484" s="55" t="s">
        <v>864</v>
      </c>
      <c r="F484" s="129" t="s">
        <v>861</v>
      </c>
      <c r="G484" s="129" t="s">
        <v>1334</v>
      </c>
    </row>
    <row r="485" spans="2:7" ht="105.6">
      <c r="B485" s="56">
        <v>46244</v>
      </c>
      <c r="C485" s="69">
        <v>46244.618032407408</v>
      </c>
      <c r="D485" s="55" t="s">
        <v>684</v>
      </c>
      <c r="E485" s="55" t="s">
        <v>860</v>
      </c>
      <c r="F485" s="129" t="s">
        <v>861</v>
      </c>
      <c r="G485" s="129" t="s">
        <v>1334</v>
      </c>
    </row>
    <row r="486" spans="2:7" ht="105.6">
      <c r="B486" s="56">
        <v>46244</v>
      </c>
      <c r="C486" s="69">
        <v>46244.618078703701</v>
      </c>
      <c r="D486" s="55" t="s">
        <v>684</v>
      </c>
      <c r="E486" s="55" t="s">
        <v>866</v>
      </c>
      <c r="F486" s="129" t="s">
        <v>861</v>
      </c>
      <c r="G486" s="129" t="s">
        <v>1334</v>
      </c>
    </row>
    <row r="487" spans="2:7">
      <c r="B487" s="56">
        <v>46244</v>
      </c>
      <c r="C487" s="69">
        <v>46244.618194444447</v>
      </c>
      <c r="D487" s="55" t="s">
        <v>684</v>
      </c>
      <c r="E487" s="55" t="s">
        <v>863</v>
      </c>
      <c r="F487" s="130">
        <v>46234</v>
      </c>
      <c r="G487" s="130">
        <v>46295</v>
      </c>
    </row>
    <row r="488" spans="2:7">
      <c r="B488" s="56">
        <v>46244</v>
      </c>
      <c r="C488" s="69">
        <v>46244.618321759262</v>
      </c>
      <c r="D488" s="55" t="s">
        <v>684</v>
      </c>
      <c r="E488" s="55" t="s">
        <v>862</v>
      </c>
      <c r="F488" s="130">
        <v>46234</v>
      </c>
      <c r="G488" s="130">
        <v>46295</v>
      </c>
    </row>
    <row r="489" spans="2:7">
      <c r="B489" s="56">
        <v>46244</v>
      </c>
      <c r="C489" s="69">
        <v>46244.618425925924</v>
      </c>
      <c r="D489" s="55" t="s">
        <v>684</v>
      </c>
      <c r="E489" s="55" t="s">
        <v>865</v>
      </c>
      <c r="F489" s="130">
        <v>46234</v>
      </c>
      <c r="G489" s="130">
        <v>46295</v>
      </c>
    </row>
    <row r="490" spans="2:7">
      <c r="B490" s="56">
        <v>46244</v>
      </c>
      <c r="C490" s="69">
        <v>46244.618495370371</v>
      </c>
      <c r="D490" s="55" t="s">
        <v>684</v>
      </c>
      <c r="E490" s="55" t="s">
        <v>1331</v>
      </c>
      <c r="F490" s="129" t="s">
        <v>33</v>
      </c>
      <c r="G490" s="129" t="s">
        <v>201</v>
      </c>
    </row>
    <row r="491" spans="2:7">
      <c r="B491" s="56">
        <v>46244</v>
      </c>
      <c r="C491" s="69">
        <v>46244.618506944447</v>
      </c>
      <c r="D491" s="55" t="s">
        <v>684</v>
      </c>
      <c r="E491" s="55" t="s">
        <v>1332</v>
      </c>
      <c r="F491" s="129" t="s">
        <v>33</v>
      </c>
      <c r="G491" s="129" t="s">
        <v>201</v>
      </c>
    </row>
    <row r="492" spans="2:7">
      <c r="B492" s="56">
        <v>46244</v>
      </c>
      <c r="C492" s="69">
        <v>46244.618530092594</v>
      </c>
      <c r="D492" s="55" t="s">
        <v>684</v>
      </c>
      <c r="E492" s="55" t="s">
        <v>1333</v>
      </c>
      <c r="F492" s="129" t="s">
        <v>33</v>
      </c>
      <c r="G492" s="129" t="s">
        <v>201</v>
      </c>
    </row>
    <row r="493" spans="2:7">
      <c r="B493" s="56">
        <v>46255</v>
      </c>
      <c r="C493" s="69">
        <v>46255.4684375</v>
      </c>
      <c r="D493" s="55" t="s">
        <v>1294</v>
      </c>
      <c r="E493" s="55" t="s">
        <v>1335</v>
      </c>
      <c r="F493" s="129">
        <v>0</v>
      </c>
      <c r="G493" s="129">
        <v>8</v>
      </c>
    </row>
    <row r="494" spans="2:7">
      <c r="B494" s="56">
        <v>46255</v>
      </c>
      <c r="C494" s="69">
        <v>46255.512962962966</v>
      </c>
      <c r="D494" s="55" t="s">
        <v>684</v>
      </c>
      <c r="E494" s="55" t="s">
        <v>747</v>
      </c>
      <c r="G494" s="129" t="s">
        <v>1336</v>
      </c>
    </row>
    <row r="495" spans="2:7">
      <c r="B495" s="56">
        <v>46255</v>
      </c>
      <c r="C495" s="69">
        <v>46255.512997685182</v>
      </c>
      <c r="D495" s="55" t="s">
        <v>684</v>
      </c>
      <c r="E495" s="55" t="s">
        <v>1337</v>
      </c>
      <c r="G495" s="129" t="s">
        <v>612</v>
      </c>
    </row>
    <row r="496" spans="2:7">
      <c r="B496" s="56">
        <v>46255</v>
      </c>
      <c r="C496" s="69">
        <v>46255.513182870367</v>
      </c>
      <c r="D496" s="55" t="s">
        <v>684</v>
      </c>
      <c r="E496" s="55" t="s">
        <v>1339</v>
      </c>
      <c r="G496" s="129" t="s">
        <v>1338</v>
      </c>
    </row>
    <row r="497" spans="2:7">
      <c r="B497" s="56">
        <v>46255</v>
      </c>
      <c r="C497" s="69">
        <v>46255.51326388889</v>
      </c>
      <c r="D497" s="55" t="s">
        <v>684</v>
      </c>
      <c r="E497" s="55" t="s">
        <v>1341</v>
      </c>
      <c r="G497" s="129" t="s">
        <v>1340</v>
      </c>
    </row>
    <row r="498" spans="2:7">
      <c r="B498" s="56">
        <v>46255</v>
      </c>
      <c r="C498" s="69">
        <v>46255.513321759259</v>
      </c>
      <c r="D498" s="55" t="s">
        <v>684</v>
      </c>
      <c r="E498" s="55" t="s">
        <v>1342</v>
      </c>
      <c r="G498" s="129" t="s">
        <v>11</v>
      </c>
    </row>
    <row r="499" spans="2:7">
      <c r="B499" s="56">
        <v>46255</v>
      </c>
      <c r="C499" s="69">
        <v>46255.513402777775</v>
      </c>
      <c r="D499" s="55" t="s">
        <v>684</v>
      </c>
      <c r="E499" s="55" t="s">
        <v>1344</v>
      </c>
      <c r="G499" s="129" t="s">
        <v>1343</v>
      </c>
    </row>
    <row r="500" spans="2:7">
      <c r="B500" s="56">
        <v>46255</v>
      </c>
      <c r="C500" s="69">
        <v>46255.51357638889</v>
      </c>
      <c r="D500" s="55" t="s">
        <v>684</v>
      </c>
      <c r="E500" s="55" t="s">
        <v>1337</v>
      </c>
      <c r="F500" s="129" t="s">
        <v>612</v>
      </c>
      <c r="G500" s="129" t="s">
        <v>1345</v>
      </c>
    </row>
    <row r="501" spans="2:7">
      <c r="B501" s="56">
        <v>46255</v>
      </c>
      <c r="C501" s="69">
        <v>46255.515162037038</v>
      </c>
      <c r="D501" s="55" t="s">
        <v>684</v>
      </c>
      <c r="E501" s="55" t="s">
        <v>1346</v>
      </c>
      <c r="G501" s="129">
        <v>20265000026423</v>
      </c>
    </row>
    <row r="502" spans="2:7">
      <c r="B502" s="56">
        <v>46255</v>
      </c>
      <c r="C502" s="69">
        <v>46255.515474537038</v>
      </c>
      <c r="D502" s="55" t="s">
        <v>684</v>
      </c>
      <c r="E502" s="55" t="s">
        <v>1347</v>
      </c>
      <c r="G502" s="130">
        <v>46233</v>
      </c>
    </row>
    <row r="503" spans="2:7">
      <c r="B503" s="56">
        <v>46255</v>
      </c>
      <c r="C503" s="69">
        <v>46255.515775462962</v>
      </c>
      <c r="D503" s="55" t="s">
        <v>684</v>
      </c>
      <c r="E503" s="55" t="s">
        <v>1348</v>
      </c>
      <c r="G503" s="129" t="s">
        <v>589</v>
      </c>
    </row>
    <row r="504" spans="2:7" ht="79.2">
      <c r="B504" s="56">
        <v>46255</v>
      </c>
      <c r="C504" s="69">
        <v>46255.515949074077</v>
      </c>
      <c r="D504" s="55" t="s">
        <v>684</v>
      </c>
      <c r="E504" s="55" t="s">
        <v>1350</v>
      </c>
      <c r="G504" s="129" t="s">
        <v>1349</v>
      </c>
    </row>
    <row r="505" spans="2:7" ht="79.2">
      <c r="B505" s="56">
        <v>46255</v>
      </c>
      <c r="C505" s="69">
        <v>46255.516099537039</v>
      </c>
      <c r="D505" s="55" t="s">
        <v>684</v>
      </c>
      <c r="E505" s="55" t="s">
        <v>1350</v>
      </c>
      <c r="F505" s="129" t="s">
        <v>1349</v>
      </c>
      <c r="G505" s="129" t="s">
        <v>1351</v>
      </c>
    </row>
    <row r="506" spans="2:7">
      <c r="B506" s="56">
        <v>46255</v>
      </c>
      <c r="C506" s="69">
        <v>46255.516689814816</v>
      </c>
      <c r="D506" s="55" t="s">
        <v>684</v>
      </c>
      <c r="E506" s="55" t="s">
        <v>1342</v>
      </c>
      <c r="F506" s="129" t="s">
        <v>11</v>
      </c>
      <c r="G506" s="129" t="s">
        <v>1352</v>
      </c>
    </row>
    <row r="507" spans="2:7">
      <c r="B507" s="56">
        <v>46255</v>
      </c>
      <c r="C507" s="69">
        <v>46255.516736111109</v>
      </c>
      <c r="D507" s="55" t="s">
        <v>684</v>
      </c>
      <c r="E507" s="55" t="s">
        <v>1354</v>
      </c>
      <c r="G507" s="129" t="s">
        <v>1353</v>
      </c>
    </row>
    <row r="508" spans="2:7" ht="39.6">
      <c r="B508" s="56">
        <v>46255</v>
      </c>
      <c r="C508" s="69">
        <v>46255.519525462965</v>
      </c>
      <c r="D508" s="55" t="s">
        <v>684</v>
      </c>
      <c r="E508" s="55" t="s">
        <v>1356</v>
      </c>
      <c r="G508" s="129" t="s">
        <v>1355</v>
      </c>
    </row>
    <row r="509" spans="2:7">
      <c r="B509" s="56">
        <v>46255</v>
      </c>
      <c r="C509" s="69">
        <v>46255.530497685184</v>
      </c>
      <c r="D509" s="55" t="s">
        <v>684</v>
      </c>
      <c r="E509" s="55" t="s">
        <v>922</v>
      </c>
      <c r="F509" s="129" t="s">
        <v>921</v>
      </c>
    </row>
    <row r="510" spans="2:7">
      <c r="B510" s="56">
        <v>46263</v>
      </c>
      <c r="C510" s="69">
        <v>46263.80809027778</v>
      </c>
      <c r="D510" s="55" t="s">
        <v>1359</v>
      </c>
      <c r="E510" s="55" t="s">
        <v>1360</v>
      </c>
      <c r="G510" s="129">
        <v>2025</v>
      </c>
    </row>
    <row r="511" spans="2:7">
      <c r="B511" s="56">
        <v>46263</v>
      </c>
      <c r="C511" s="69">
        <v>46263.808252314811</v>
      </c>
      <c r="D511" s="55" t="s">
        <v>1359</v>
      </c>
      <c r="E511" s="55" t="s">
        <v>1360</v>
      </c>
      <c r="G511" s="129">
        <v>2025</v>
      </c>
    </row>
    <row r="512" spans="2:7" ht="26.4">
      <c r="B512" s="56">
        <v>46263</v>
      </c>
      <c r="C512" s="69">
        <v>46263.808368055557</v>
      </c>
      <c r="D512" s="55" t="s">
        <v>1359</v>
      </c>
      <c r="E512" s="55" t="s">
        <v>1362</v>
      </c>
      <c r="G512" s="129" t="s">
        <v>1361</v>
      </c>
    </row>
    <row r="513" spans="2:7" ht="26.4">
      <c r="B513" s="56">
        <v>46263</v>
      </c>
      <c r="C513" s="69">
        <v>46263.808425925927</v>
      </c>
      <c r="D513" s="55" t="s">
        <v>1359</v>
      </c>
      <c r="E513" s="55" t="s">
        <v>1362</v>
      </c>
      <c r="F513" s="129" t="s">
        <v>1361</v>
      </c>
      <c r="G513" s="129" t="s">
        <v>1363</v>
      </c>
    </row>
    <row r="514" spans="2:7" ht="39.6">
      <c r="B514" s="56">
        <v>46263</v>
      </c>
      <c r="C514" s="69">
        <v>46263.808541666665</v>
      </c>
      <c r="D514" s="55" t="s">
        <v>1359</v>
      </c>
      <c r="E514" s="55" t="s">
        <v>1365</v>
      </c>
      <c r="G514" s="129" t="s">
        <v>1364</v>
      </c>
    </row>
    <row r="515" spans="2:7" ht="39.6">
      <c r="B515" s="56">
        <v>46263</v>
      </c>
      <c r="C515" s="69">
        <v>46263.809606481482</v>
      </c>
      <c r="D515" s="55" t="s">
        <v>1359</v>
      </c>
      <c r="E515" s="55" t="s">
        <v>1367</v>
      </c>
      <c r="G515" s="129" t="s">
        <v>1366</v>
      </c>
    </row>
    <row r="516" spans="2:7" ht="39.6">
      <c r="B516" s="56">
        <v>46263</v>
      </c>
      <c r="C516" s="69">
        <v>46263.809675925928</v>
      </c>
      <c r="D516" s="55" t="s">
        <v>1359</v>
      </c>
      <c r="E516" s="55" t="s">
        <v>1367</v>
      </c>
      <c r="F516" s="129" t="s">
        <v>1366</v>
      </c>
      <c r="G516" s="129" t="s">
        <v>1368</v>
      </c>
    </row>
    <row r="517" spans="2:7">
      <c r="B517" s="56">
        <v>46263</v>
      </c>
      <c r="C517" s="69">
        <v>46263.809756944444</v>
      </c>
      <c r="D517" s="55" t="s">
        <v>1359</v>
      </c>
      <c r="E517" s="55" t="s">
        <v>1369</v>
      </c>
      <c r="G517" s="129">
        <v>2025</v>
      </c>
    </row>
    <row r="518" spans="2:7" ht="39.6">
      <c r="B518" s="56">
        <v>46263</v>
      </c>
      <c r="C518" s="69">
        <v>46263.809872685182</v>
      </c>
      <c r="D518" s="55" t="s">
        <v>1359</v>
      </c>
      <c r="E518" s="55" t="s">
        <v>697</v>
      </c>
      <c r="G518" s="129" t="s">
        <v>1370</v>
      </c>
    </row>
    <row r="519" spans="2:7" ht="39.6">
      <c r="B519" s="56">
        <v>46263</v>
      </c>
      <c r="C519" s="69">
        <v>46263.811157407406</v>
      </c>
      <c r="D519" s="55" t="s">
        <v>1359</v>
      </c>
      <c r="E519" s="55" t="s">
        <v>699</v>
      </c>
      <c r="G519" s="129" t="s">
        <v>1371</v>
      </c>
    </row>
    <row r="520" spans="2:7" ht="26.4">
      <c r="B520" s="56">
        <v>46263</v>
      </c>
      <c r="C520" s="69">
        <v>46263.811284722222</v>
      </c>
      <c r="D520" s="55" t="s">
        <v>1359</v>
      </c>
      <c r="E520" s="55" t="s">
        <v>1373</v>
      </c>
      <c r="G520" s="129" t="s">
        <v>1372</v>
      </c>
    </row>
    <row r="521" spans="2:7">
      <c r="B521" s="56">
        <v>46263</v>
      </c>
      <c r="C521" s="69">
        <v>46263.811319444445</v>
      </c>
      <c r="D521" s="55" t="s">
        <v>1359</v>
      </c>
      <c r="E521" s="55" t="s">
        <v>1374</v>
      </c>
      <c r="G521" s="129">
        <v>2025</v>
      </c>
    </row>
    <row r="522" spans="2:7" ht="26.4">
      <c r="B522" s="56">
        <v>46263</v>
      </c>
      <c r="C522" s="69">
        <v>46263.811412037037</v>
      </c>
      <c r="D522" s="55" t="s">
        <v>1359</v>
      </c>
      <c r="E522" s="55" t="s">
        <v>1373</v>
      </c>
      <c r="F522" s="129" t="s">
        <v>1372</v>
      </c>
      <c r="G522" s="129" t="s">
        <v>1375</v>
      </c>
    </row>
    <row r="523" spans="2:7" ht="39.6">
      <c r="B523" s="56">
        <v>46263</v>
      </c>
      <c r="C523" s="69">
        <v>46263.812210648146</v>
      </c>
      <c r="D523" s="55" t="s">
        <v>1359</v>
      </c>
      <c r="E523" s="55" t="s">
        <v>701</v>
      </c>
      <c r="G523" s="129" t="s">
        <v>1376</v>
      </c>
    </row>
    <row r="524" spans="2:7" ht="26.4">
      <c r="B524" s="56">
        <v>46263</v>
      </c>
      <c r="C524" s="69">
        <v>46263.812337962961</v>
      </c>
      <c r="D524" s="55" t="s">
        <v>1359</v>
      </c>
      <c r="E524" s="55" t="s">
        <v>910</v>
      </c>
      <c r="G524" s="129" t="s">
        <v>1377</v>
      </c>
    </row>
    <row r="525" spans="2:7" ht="26.4">
      <c r="B525" s="56">
        <v>46263</v>
      </c>
      <c r="C525" s="69">
        <v>46263.812384259261</v>
      </c>
      <c r="D525" s="55" t="s">
        <v>1359</v>
      </c>
      <c r="E525" s="55" t="s">
        <v>910</v>
      </c>
      <c r="F525" s="129" t="s">
        <v>1377</v>
      </c>
      <c r="G525" s="129" t="s">
        <v>1378</v>
      </c>
    </row>
    <row r="526" spans="2:7">
      <c r="B526" s="56">
        <v>46263</v>
      </c>
      <c r="C526" s="69">
        <v>46263.812442129631</v>
      </c>
      <c r="D526" s="55" t="s">
        <v>1359</v>
      </c>
      <c r="E526" s="55" t="s">
        <v>1379</v>
      </c>
      <c r="G526" s="129">
        <v>2025</v>
      </c>
    </row>
    <row r="527" spans="2:7" ht="39.6">
      <c r="B527" s="56">
        <v>46263</v>
      </c>
      <c r="C527" s="69">
        <v>46263.813449074078</v>
      </c>
      <c r="D527" s="55" t="s">
        <v>1359</v>
      </c>
      <c r="E527" s="55" t="s">
        <v>908</v>
      </c>
      <c r="G527" s="129" t="s">
        <v>477</v>
      </c>
    </row>
    <row r="528" spans="2:7">
      <c r="B528" s="56">
        <v>46263</v>
      </c>
      <c r="C528" s="69">
        <v>46263.813472222224</v>
      </c>
      <c r="D528" s="55" t="s">
        <v>1359</v>
      </c>
      <c r="E528" s="55" t="s">
        <v>1380</v>
      </c>
      <c r="G528" s="129">
        <v>2025</v>
      </c>
    </row>
    <row r="529" spans="2:7" ht="39.6">
      <c r="B529" s="56">
        <v>46263</v>
      </c>
      <c r="C529" s="69">
        <v>46263.813576388886</v>
      </c>
      <c r="D529" s="55" t="s">
        <v>1359</v>
      </c>
      <c r="E529" s="55" t="s">
        <v>706</v>
      </c>
      <c r="G529" s="129" t="s">
        <v>1381</v>
      </c>
    </row>
    <row r="530" spans="2:7" ht="52.8">
      <c r="B530" s="56">
        <v>46263</v>
      </c>
      <c r="C530" s="69">
        <v>46263.814606481479</v>
      </c>
      <c r="D530" s="55" t="s">
        <v>1359</v>
      </c>
      <c r="E530" s="55" t="s">
        <v>1383</v>
      </c>
      <c r="G530" s="129" t="s">
        <v>1382</v>
      </c>
    </row>
    <row r="531" spans="2:7" ht="52.8">
      <c r="B531" s="56">
        <v>46263</v>
      </c>
      <c r="C531" s="69">
        <v>46263.814733796295</v>
      </c>
      <c r="D531" s="55" t="s">
        <v>1359</v>
      </c>
      <c r="E531" s="55" t="s">
        <v>1383</v>
      </c>
      <c r="F531" s="129" t="s">
        <v>1382</v>
      </c>
      <c r="G531" s="129" t="s">
        <v>1384</v>
      </c>
    </row>
    <row r="532" spans="2:7">
      <c r="B532" s="56">
        <v>46263</v>
      </c>
      <c r="C532" s="69">
        <v>46263.814756944441</v>
      </c>
      <c r="D532" s="55" t="s">
        <v>1359</v>
      </c>
      <c r="E532" s="55" t="s">
        <v>1385</v>
      </c>
      <c r="G532" s="129">
        <v>2025</v>
      </c>
    </row>
    <row r="533" spans="2:7" ht="39.6">
      <c r="B533" s="56">
        <v>46263</v>
      </c>
      <c r="C533" s="69">
        <v>46263.814849537041</v>
      </c>
      <c r="D533" s="55" t="s">
        <v>1359</v>
      </c>
      <c r="E533" s="55" t="s">
        <v>714</v>
      </c>
      <c r="G533" s="129" t="s">
        <v>1386</v>
      </c>
    </row>
    <row r="534" spans="2:7">
      <c r="B534" s="56">
        <v>46263</v>
      </c>
      <c r="C534" s="69">
        <v>46263.81521990741</v>
      </c>
      <c r="D534" s="55" t="s">
        <v>1359</v>
      </c>
      <c r="E534" s="55" t="s">
        <v>1387</v>
      </c>
      <c r="G534" s="129">
        <v>2025</v>
      </c>
    </row>
    <row r="535" spans="2:7" ht="39.6">
      <c r="B535" s="56">
        <v>46263</v>
      </c>
      <c r="C535" s="69">
        <v>46263.815324074072</v>
      </c>
      <c r="D535" s="55" t="s">
        <v>1359</v>
      </c>
      <c r="E535" s="55" t="s">
        <v>1389</v>
      </c>
      <c r="G535" s="129" t="s">
        <v>1388</v>
      </c>
    </row>
    <row r="536" spans="2:7" ht="39.6">
      <c r="B536" s="56">
        <v>46263</v>
      </c>
      <c r="C536" s="69">
        <v>46263.815416666665</v>
      </c>
      <c r="D536" s="55" t="s">
        <v>1359</v>
      </c>
      <c r="E536" s="55" t="s">
        <v>1391</v>
      </c>
      <c r="G536" s="129" t="s">
        <v>1390</v>
      </c>
    </row>
    <row r="537" spans="2:7" ht="52.8">
      <c r="B537" s="56">
        <v>46263</v>
      </c>
      <c r="C537" s="69">
        <v>46263.816087962965</v>
      </c>
      <c r="D537" s="55" t="s">
        <v>1359</v>
      </c>
      <c r="E537" s="55" t="s">
        <v>1391</v>
      </c>
      <c r="F537" s="129" t="s">
        <v>1390</v>
      </c>
      <c r="G537" s="129" t="s">
        <v>1392</v>
      </c>
    </row>
    <row r="538" spans="2:7" ht="79.2">
      <c r="B538" s="56">
        <v>46263</v>
      </c>
      <c r="C538" s="69">
        <v>46263.816435185188</v>
      </c>
      <c r="D538" s="55" t="s">
        <v>1359</v>
      </c>
      <c r="E538" s="55" t="s">
        <v>1394</v>
      </c>
      <c r="G538" s="129" t="s">
        <v>1393</v>
      </c>
    </row>
    <row r="539" spans="2:7" ht="79.2">
      <c r="B539" s="56">
        <v>46263</v>
      </c>
      <c r="C539" s="69">
        <v>46263.81653935185</v>
      </c>
      <c r="D539" s="55" t="s">
        <v>1359</v>
      </c>
      <c r="E539" s="55" t="s">
        <v>1394</v>
      </c>
      <c r="F539" s="129" t="s">
        <v>1393</v>
      </c>
      <c r="G539" s="129" t="s">
        <v>1395</v>
      </c>
    </row>
    <row r="540" spans="2:7">
      <c r="B540" s="56">
        <v>46263</v>
      </c>
      <c r="C540" s="69">
        <v>46263.816574074073</v>
      </c>
      <c r="D540" s="55" t="s">
        <v>1359</v>
      </c>
      <c r="E540" s="55" t="s">
        <v>1396</v>
      </c>
      <c r="G540" s="129">
        <v>2025</v>
      </c>
    </row>
    <row r="541" spans="2:7" ht="39.6">
      <c r="B541" s="56">
        <v>46263</v>
      </c>
      <c r="C541" s="69">
        <v>46263.816817129627</v>
      </c>
      <c r="D541" s="55" t="s">
        <v>1359</v>
      </c>
      <c r="E541" s="55" t="s">
        <v>1398</v>
      </c>
      <c r="G541" s="129" t="s">
        <v>1397</v>
      </c>
    </row>
    <row r="542" spans="2:7" ht="26.4">
      <c r="B542" s="56">
        <v>46263</v>
      </c>
      <c r="C542" s="69">
        <v>46263.818078703705</v>
      </c>
      <c r="D542" s="55" t="s">
        <v>1359</v>
      </c>
      <c r="E542" s="55" t="s">
        <v>1400</v>
      </c>
      <c r="G542" s="129" t="s">
        <v>1399</v>
      </c>
    </row>
    <row r="543" spans="2:7">
      <c r="B543" s="56">
        <v>46263</v>
      </c>
      <c r="C543" s="69">
        <v>46263.818113425928</v>
      </c>
      <c r="D543" s="55" t="s">
        <v>1359</v>
      </c>
      <c r="E543" s="55" t="s">
        <v>1401</v>
      </c>
      <c r="G543" s="129">
        <v>2025</v>
      </c>
    </row>
    <row r="544" spans="2:7" ht="39.6">
      <c r="B544" s="56">
        <v>46263</v>
      </c>
      <c r="C544" s="69">
        <v>46263.818449074075</v>
      </c>
      <c r="D544" s="55" t="s">
        <v>1359</v>
      </c>
      <c r="E544" s="55" t="s">
        <v>1403</v>
      </c>
      <c r="G544" s="129" t="s">
        <v>1402</v>
      </c>
    </row>
    <row r="545" spans="2:7" ht="39.6">
      <c r="B545" s="56">
        <v>46263</v>
      </c>
      <c r="C545" s="69">
        <v>46263.81927083333</v>
      </c>
      <c r="D545" s="55" t="s">
        <v>1359</v>
      </c>
      <c r="E545" s="55" t="s">
        <v>1405</v>
      </c>
      <c r="G545" s="129" t="s">
        <v>1404</v>
      </c>
    </row>
    <row r="546" spans="2:7">
      <c r="B546" s="56">
        <v>46263</v>
      </c>
      <c r="C546" s="69">
        <v>46263.819305555553</v>
      </c>
      <c r="D546" s="55" t="s">
        <v>1359</v>
      </c>
      <c r="E546" s="55" t="s">
        <v>1406</v>
      </c>
      <c r="G546" s="129">
        <v>2025</v>
      </c>
    </row>
    <row r="547" spans="2:7" ht="26.4">
      <c r="B547" s="56">
        <v>46263</v>
      </c>
      <c r="C547" s="69">
        <v>46263.819849537038</v>
      </c>
      <c r="D547" s="55" t="s">
        <v>1359</v>
      </c>
      <c r="E547" s="55" t="s">
        <v>1408</v>
      </c>
      <c r="G547" s="129" t="s">
        <v>1407</v>
      </c>
    </row>
    <row r="548" spans="2:7" ht="26.4">
      <c r="B548" s="56">
        <v>46263</v>
      </c>
      <c r="C548" s="69">
        <v>46263.820335648146</v>
      </c>
      <c r="D548" s="55" t="s">
        <v>1359</v>
      </c>
      <c r="E548" s="55" t="s">
        <v>1410</v>
      </c>
      <c r="G548" s="129" t="s">
        <v>1409</v>
      </c>
    </row>
    <row r="549" spans="2:7">
      <c r="B549" s="56">
        <v>46263</v>
      </c>
      <c r="C549" s="69">
        <v>46263.8203587963</v>
      </c>
      <c r="D549" s="55" t="s">
        <v>1359</v>
      </c>
      <c r="E549" s="55" t="s">
        <v>1411</v>
      </c>
      <c r="G549" s="129">
        <v>2025</v>
      </c>
    </row>
    <row r="550" spans="2:7" ht="39.6">
      <c r="B550" s="56">
        <v>46263</v>
      </c>
      <c r="C550" s="69">
        <v>46263.820543981485</v>
      </c>
      <c r="D550" s="55" t="s">
        <v>1359</v>
      </c>
      <c r="E550" s="55" t="s">
        <v>1413</v>
      </c>
      <c r="G550" s="129" t="s">
        <v>1412</v>
      </c>
    </row>
    <row r="551" spans="2:7" ht="52.8">
      <c r="B551" s="56">
        <v>46263</v>
      </c>
      <c r="C551" s="69">
        <v>46263.82130787037</v>
      </c>
      <c r="D551" s="55" t="s">
        <v>1359</v>
      </c>
      <c r="E551" s="55" t="s">
        <v>1415</v>
      </c>
      <c r="G551" s="129" t="s">
        <v>1414</v>
      </c>
    </row>
    <row r="552" spans="2:7">
      <c r="B552" s="56">
        <v>46263</v>
      </c>
      <c r="C552" s="69">
        <v>46263.82167824074</v>
      </c>
      <c r="D552" s="55" t="s">
        <v>1359</v>
      </c>
      <c r="E552" s="55" t="s">
        <v>1417</v>
      </c>
      <c r="G552" s="129" t="s">
        <v>1416</v>
      </c>
    </row>
    <row r="553" spans="2:7">
      <c r="B553" s="56">
        <v>46263</v>
      </c>
      <c r="C553" s="69">
        <v>46263.821701388886</v>
      </c>
      <c r="D553" s="55" t="s">
        <v>1359</v>
      </c>
      <c r="E553" s="55" t="s">
        <v>1418</v>
      </c>
      <c r="G553" s="129">
        <v>2025</v>
      </c>
    </row>
    <row r="554" spans="2:7">
      <c r="B554" s="56">
        <v>46263</v>
      </c>
      <c r="C554" s="69">
        <v>46263.822222222225</v>
      </c>
      <c r="D554" s="55" t="s">
        <v>1359</v>
      </c>
      <c r="E554" s="55" t="s">
        <v>1420</v>
      </c>
      <c r="G554" s="129" t="s">
        <v>1419</v>
      </c>
    </row>
    <row r="555" spans="2:7">
      <c r="B555" s="56">
        <v>46263</v>
      </c>
      <c r="C555" s="69">
        <v>46263.822233796294</v>
      </c>
      <c r="D555" s="55" t="s">
        <v>1359</v>
      </c>
      <c r="E555" s="55" t="s">
        <v>1421</v>
      </c>
      <c r="G555" s="129">
        <v>2025</v>
      </c>
    </row>
    <row r="556" spans="2:7" ht="39.6">
      <c r="B556" s="56">
        <v>46263</v>
      </c>
      <c r="C556" s="69">
        <v>46263.82240740741</v>
      </c>
      <c r="D556" s="55" t="s">
        <v>1359</v>
      </c>
      <c r="E556" s="55" t="s">
        <v>1423</v>
      </c>
      <c r="G556" s="129" t="s">
        <v>1422</v>
      </c>
    </row>
    <row r="557" spans="2:7" ht="39.6">
      <c r="B557" s="56">
        <v>46263</v>
      </c>
      <c r="C557" s="69">
        <v>46263.822847222225</v>
      </c>
      <c r="D557" s="55" t="s">
        <v>1359</v>
      </c>
      <c r="E557" s="55" t="s">
        <v>1425</v>
      </c>
      <c r="G557" s="129" t="s">
        <v>1424</v>
      </c>
    </row>
    <row r="558" spans="2:7">
      <c r="B558" s="56">
        <v>46263</v>
      </c>
      <c r="C558" s="69">
        <v>46263.822893518518</v>
      </c>
      <c r="D558" s="55" t="s">
        <v>1359</v>
      </c>
      <c r="E558" s="55" t="s">
        <v>1426</v>
      </c>
      <c r="G558" s="129">
        <v>2025</v>
      </c>
    </row>
    <row r="559" spans="2:7" ht="39.6">
      <c r="B559" s="56">
        <v>46263</v>
      </c>
      <c r="C559" s="69">
        <v>46263.822939814818</v>
      </c>
      <c r="D559" s="55" t="s">
        <v>1359</v>
      </c>
      <c r="E559" s="55" t="s">
        <v>1425</v>
      </c>
      <c r="F559" s="129" t="s">
        <v>1424</v>
      </c>
      <c r="G559" s="129" t="s">
        <v>1427</v>
      </c>
    </row>
    <row r="560" spans="2:7" ht="39.6">
      <c r="B560" s="56">
        <v>46263</v>
      </c>
      <c r="C560" s="69">
        <v>46263.823136574072</v>
      </c>
      <c r="D560" s="55" t="s">
        <v>1359</v>
      </c>
      <c r="E560" s="55" t="s">
        <v>723</v>
      </c>
      <c r="G560" s="129" t="s">
        <v>1428</v>
      </c>
    </row>
    <row r="561" spans="2:7">
      <c r="B561" s="56">
        <v>46263</v>
      </c>
      <c r="C561" s="69">
        <v>46263.837685185186</v>
      </c>
      <c r="D561" s="55" t="s">
        <v>1359</v>
      </c>
      <c r="E561" s="55" t="s">
        <v>1360</v>
      </c>
      <c r="G561" s="129" t="s">
        <v>1429</v>
      </c>
    </row>
    <row r="562" spans="2:7">
      <c r="B562" s="56">
        <v>46263</v>
      </c>
      <c r="C562" s="69">
        <v>46263.837743055556</v>
      </c>
      <c r="D562" s="55" t="s">
        <v>1359</v>
      </c>
      <c r="E562" s="55" t="s">
        <v>1360</v>
      </c>
      <c r="G562" s="129">
        <v>2025</v>
      </c>
    </row>
    <row r="563" spans="2:7">
      <c r="B563" s="56">
        <v>46263</v>
      </c>
      <c r="C563" s="69">
        <v>46263.837951388887</v>
      </c>
      <c r="D563" s="55" t="s">
        <v>1359</v>
      </c>
      <c r="E563" s="55" t="s">
        <v>1360</v>
      </c>
      <c r="G563" s="129">
        <v>2024</v>
      </c>
    </row>
    <row r="564" spans="2:7" ht="26.4">
      <c r="B564" s="56">
        <v>46263</v>
      </c>
      <c r="C564" s="69">
        <v>46263.838969907411</v>
      </c>
      <c r="D564" s="55" t="s">
        <v>1359</v>
      </c>
      <c r="E564" s="55" t="s">
        <v>1362</v>
      </c>
      <c r="G564" s="129" t="s">
        <v>1430</v>
      </c>
    </row>
    <row r="565" spans="2:7" ht="39.6">
      <c r="B565" s="56">
        <v>46263</v>
      </c>
      <c r="C565" s="69">
        <v>46263.839050925926</v>
      </c>
      <c r="D565" s="55" t="s">
        <v>1359</v>
      </c>
      <c r="E565" s="55" t="s">
        <v>1365</v>
      </c>
      <c r="G565" s="129" t="s">
        <v>1431</v>
      </c>
    </row>
    <row r="566" spans="2:7">
      <c r="B566" s="56">
        <v>46263</v>
      </c>
      <c r="C566" s="69">
        <v>46263.839733796296</v>
      </c>
      <c r="D566" s="55" t="s">
        <v>1359</v>
      </c>
      <c r="E566" s="55" t="s">
        <v>1367</v>
      </c>
      <c r="G566" s="129" t="s">
        <v>1432</v>
      </c>
    </row>
    <row r="567" spans="2:7" ht="39.6">
      <c r="B567" s="56">
        <v>46263</v>
      </c>
      <c r="C567" s="69">
        <v>46263.839988425927</v>
      </c>
      <c r="D567" s="55" t="s">
        <v>1359</v>
      </c>
      <c r="E567" s="55" t="s">
        <v>697</v>
      </c>
      <c r="G567" s="129" t="s">
        <v>1433</v>
      </c>
    </row>
    <row r="568" spans="2:7" ht="26.4">
      <c r="B568" s="56">
        <v>46263</v>
      </c>
      <c r="C568" s="69">
        <v>46263.840543981481</v>
      </c>
      <c r="D568" s="55" t="s">
        <v>1359</v>
      </c>
      <c r="E568" s="55" t="s">
        <v>1373</v>
      </c>
      <c r="G568" s="129" t="s">
        <v>1434</v>
      </c>
    </row>
    <row r="569" spans="2:7" ht="26.4">
      <c r="B569" s="56">
        <v>46263</v>
      </c>
      <c r="C569" s="69">
        <v>46263.840671296297</v>
      </c>
      <c r="D569" s="55" t="s">
        <v>1359</v>
      </c>
      <c r="E569" s="55" t="s">
        <v>1373</v>
      </c>
      <c r="F569" s="129" t="s">
        <v>1434</v>
      </c>
      <c r="G569" s="129" t="s">
        <v>1435</v>
      </c>
    </row>
    <row r="570" spans="2:7" ht="52.8">
      <c r="B570" s="56">
        <v>46263</v>
      </c>
      <c r="C570" s="69">
        <v>46263.840775462966</v>
      </c>
      <c r="D570" s="55" t="s">
        <v>1359</v>
      </c>
      <c r="E570" s="55" t="s">
        <v>699</v>
      </c>
      <c r="G570" s="129" t="s">
        <v>1436</v>
      </c>
    </row>
    <row r="571" spans="2:7">
      <c r="B571" s="56">
        <v>46263</v>
      </c>
      <c r="C571" s="69">
        <v>46263.841504629629</v>
      </c>
      <c r="D571" s="55" t="s">
        <v>1359</v>
      </c>
      <c r="E571" s="55" t="s">
        <v>910</v>
      </c>
      <c r="G571" s="129" t="s">
        <v>1437</v>
      </c>
    </row>
    <row r="572" spans="2:7" ht="52.8">
      <c r="B572" s="56">
        <v>46263</v>
      </c>
      <c r="C572" s="69">
        <v>46263.841643518521</v>
      </c>
      <c r="D572" s="55" t="s">
        <v>1359</v>
      </c>
      <c r="E572" s="55" t="s">
        <v>701</v>
      </c>
      <c r="G572" s="129" t="s">
        <v>1438</v>
      </c>
    </row>
    <row r="573" spans="2:7">
      <c r="B573" s="56">
        <v>46263</v>
      </c>
      <c r="C573" s="69">
        <v>46263.842152777775</v>
      </c>
      <c r="D573" s="55" t="s">
        <v>1359</v>
      </c>
      <c r="E573" s="55" t="s">
        <v>908</v>
      </c>
      <c r="G573" s="129" t="s">
        <v>1439</v>
      </c>
    </row>
    <row r="574" spans="2:7" ht="39.6">
      <c r="B574" s="56">
        <v>46263</v>
      </c>
      <c r="C574" s="69">
        <v>46263.842291666668</v>
      </c>
      <c r="D574" s="55" t="s">
        <v>1359</v>
      </c>
      <c r="E574" s="55" t="s">
        <v>706</v>
      </c>
      <c r="G574" s="129" t="s">
        <v>1440</v>
      </c>
    </row>
    <row r="575" spans="2:7" ht="26.4">
      <c r="B575" s="56">
        <v>46263</v>
      </c>
      <c r="C575" s="69">
        <v>46263.843101851853</v>
      </c>
      <c r="D575" s="55" t="s">
        <v>1359</v>
      </c>
      <c r="E575" s="55" t="s">
        <v>1383</v>
      </c>
      <c r="G575" s="129" t="s">
        <v>1378</v>
      </c>
    </row>
    <row r="576" spans="2:7" ht="39.6">
      <c r="B576" s="56">
        <v>46263</v>
      </c>
      <c r="C576" s="69">
        <v>46263.843229166669</v>
      </c>
      <c r="D576" s="55" t="s">
        <v>1359</v>
      </c>
      <c r="E576" s="55" t="s">
        <v>714</v>
      </c>
      <c r="G576" s="129" t="s">
        <v>1441</v>
      </c>
    </row>
    <row r="577" spans="2:7" ht="26.4">
      <c r="B577" s="56">
        <v>46263</v>
      </c>
      <c r="C577" s="69">
        <v>46263.84375</v>
      </c>
      <c r="D577" s="55" t="s">
        <v>1359</v>
      </c>
      <c r="E577" s="55" t="s">
        <v>1389</v>
      </c>
      <c r="G577" s="129" t="s">
        <v>1442</v>
      </c>
    </row>
    <row r="578" spans="2:7" ht="26.4">
      <c r="B578" s="56">
        <v>46263</v>
      </c>
      <c r="C578" s="69">
        <v>46263.8437962963</v>
      </c>
      <c r="D578" s="55" t="s">
        <v>1359</v>
      </c>
      <c r="E578" s="55" t="s">
        <v>1389</v>
      </c>
      <c r="F578" s="129" t="s">
        <v>1442</v>
      </c>
      <c r="G578" s="129" t="s">
        <v>1443</v>
      </c>
    </row>
    <row r="579" spans="2:7" ht="39.6">
      <c r="B579" s="56">
        <v>46263</v>
      </c>
      <c r="C579" s="69">
        <v>46263.843946759262</v>
      </c>
      <c r="D579" s="55" t="s">
        <v>1359</v>
      </c>
      <c r="E579" s="55" t="s">
        <v>1391</v>
      </c>
      <c r="G579" s="129" t="s">
        <v>1444</v>
      </c>
    </row>
    <row r="580" spans="2:7" ht="39.6">
      <c r="B580" s="56">
        <v>46263</v>
      </c>
      <c r="C580" s="69">
        <v>46263.844560185185</v>
      </c>
      <c r="D580" s="55" t="s">
        <v>1359</v>
      </c>
      <c r="E580" s="55" t="s">
        <v>1394</v>
      </c>
      <c r="G580" s="129" t="s">
        <v>1445</v>
      </c>
    </row>
    <row r="581" spans="2:7" ht="39.6">
      <c r="B581" s="56">
        <v>46263</v>
      </c>
      <c r="C581" s="69">
        <v>46263.844641203701</v>
      </c>
      <c r="D581" s="55" t="s">
        <v>1359</v>
      </c>
      <c r="E581" s="55" t="s">
        <v>1394</v>
      </c>
      <c r="F581" s="129" t="s">
        <v>1445</v>
      </c>
      <c r="G581" s="129" t="s">
        <v>1446</v>
      </c>
    </row>
    <row r="582" spans="2:7" ht="52.8">
      <c r="B582" s="56">
        <v>46263</v>
      </c>
      <c r="C582" s="69">
        <v>46263.844768518517</v>
      </c>
      <c r="D582" s="55" t="s">
        <v>1359</v>
      </c>
      <c r="E582" s="55" t="s">
        <v>1398</v>
      </c>
      <c r="G582" s="129" t="s">
        <v>1447</v>
      </c>
    </row>
    <row r="583" spans="2:7" ht="26.4">
      <c r="B583" s="56">
        <v>46263</v>
      </c>
      <c r="C583" s="69">
        <v>46263.845266203702</v>
      </c>
      <c r="D583" s="55" t="s">
        <v>1359</v>
      </c>
      <c r="E583" s="55" t="s">
        <v>1400</v>
      </c>
      <c r="G583" s="129" t="s">
        <v>1363</v>
      </c>
    </row>
    <row r="584" spans="2:7" ht="39.6">
      <c r="B584" s="56">
        <v>46263</v>
      </c>
      <c r="C584" s="69">
        <v>46263.845416666663</v>
      </c>
      <c r="D584" s="55" t="s">
        <v>1359</v>
      </c>
      <c r="E584" s="55" t="s">
        <v>1403</v>
      </c>
      <c r="G584" s="129" t="s">
        <v>1448</v>
      </c>
    </row>
    <row r="585" spans="2:7">
      <c r="B585" s="56">
        <v>46263</v>
      </c>
      <c r="C585" s="69">
        <v>46263.876307870371</v>
      </c>
      <c r="D585" s="55" t="s">
        <v>1463</v>
      </c>
      <c r="E585" s="55" t="s">
        <v>1464</v>
      </c>
      <c r="G585" s="129" t="s">
        <v>11</v>
      </c>
    </row>
    <row r="586" spans="2:7">
      <c r="B586" s="56">
        <v>46263</v>
      </c>
      <c r="C586" s="69">
        <v>46263.876354166663</v>
      </c>
      <c r="D586" s="55" t="s">
        <v>1463</v>
      </c>
      <c r="E586" s="55" t="s">
        <v>1464</v>
      </c>
      <c r="F586" s="129" t="s">
        <v>1450</v>
      </c>
      <c r="G586" s="129" t="s">
        <v>11</v>
      </c>
    </row>
    <row r="587" spans="2:7">
      <c r="B587" s="56">
        <v>46263</v>
      </c>
      <c r="C587" s="69">
        <v>46263.876469907409</v>
      </c>
      <c r="D587" s="55" t="s">
        <v>1463</v>
      </c>
      <c r="E587" s="55" t="s">
        <v>1365</v>
      </c>
      <c r="G587" s="129" t="s">
        <v>20</v>
      </c>
    </row>
    <row r="588" spans="2:7">
      <c r="B588" s="56">
        <v>46263</v>
      </c>
      <c r="C588" s="69">
        <v>46263.876516203702</v>
      </c>
      <c r="D588" s="55" t="s">
        <v>1463</v>
      </c>
      <c r="E588" s="55" t="s">
        <v>697</v>
      </c>
      <c r="G588" s="129" t="s">
        <v>20</v>
      </c>
    </row>
    <row r="589" spans="2:7">
      <c r="B589" s="56">
        <v>46263</v>
      </c>
      <c r="C589" s="69">
        <v>46263.877233796295</v>
      </c>
      <c r="D589" s="55" t="s">
        <v>1463</v>
      </c>
      <c r="E589" s="55" t="s">
        <v>681</v>
      </c>
      <c r="G589" s="129" t="s">
        <v>1465</v>
      </c>
    </row>
    <row r="590" spans="2:7">
      <c r="B590" s="56">
        <v>46263</v>
      </c>
      <c r="C590" s="69">
        <v>46263.877349537041</v>
      </c>
      <c r="D590" s="55" t="s">
        <v>1463</v>
      </c>
      <c r="E590" s="55" t="s">
        <v>1360</v>
      </c>
      <c r="G590" s="129">
        <v>2025</v>
      </c>
    </row>
    <row r="591" spans="2:7">
      <c r="B591" s="56">
        <v>46263</v>
      </c>
      <c r="C591" s="69">
        <v>46263.877615740741</v>
      </c>
      <c r="D591" s="55" t="s">
        <v>1463</v>
      </c>
      <c r="E591" s="55" t="s">
        <v>1467</v>
      </c>
      <c r="G591" s="129" t="s">
        <v>1466</v>
      </c>
    </row>
    <row r="592" spans="2:7">
      <c r="B592" s="56">
        <v>46263</v>
      </c>
      <c r="C592" s="69">
        <v>46263.877789351849</v>
      </c>
      <c r="D592" s="55" t="s">
        <v>1463</v>
      </c>
      <c r="E592" s="55" t="s">
        <v>681</v>
      </c>
      <c r="F592" s="129" t="s">
        <v>1449</v>
      </c>
      <c r="G592" s="129" t="s">
        <v>1465</v>
      </c>
    </row>
    <row r="593" spans="2:7">
      <c r="B593" s="56">
        <v>46263</v>
      </c>
      <c r="C593" s="69">
        <v>46263.883553240739</v>
      </c>
      <c r="D593" s="55" t="s">
        <v>1463</v>
      </c>
      <c r="E593" s="55" t="s">
        <v>1362</v>
      </c>
      <c r="F593" s="129" t="s">
        <v>1451</v>
      </c>
      <c r="G593" s="129" t="s">
        <v>1477</v>
      </c>
    </row>
    <row r="594" spans="2:7" ht="26.4">
      <c r="B594" s="56">
        <v>46263</v>
      </c>
      <c r="C594" s="69">
        <v>46263.883587962962</v>
      </c>
      <c r="D594" s="55" t="s">
        <v>1463</v>
      </c>
      <c r="E594" s="55" t="s">
        <v>1367</v>
      </c>
      <c r="F594" s="129" t="s">
        <v>1452</v>
      </c>
      <c r="G594" s="129" t="s">
        <v>1478</v>
      </c>
    </row>
    <row r="595" spans="2:7" ht="39.6">
      <c r="B595" s="56">
        <v>46263</v>
      </c>
      <c r="C595" s="69">
        <v>46263.883622685185</v>
      </c>
      <c r="D595" s="55" t="s">
        <v>1463</v>
      </c>
      <c r="E595" s="55" t="s">
        <v>1373</v>
      </c>
      <c r="F595" s="129" t="s">
        <v>1453</v>
      </c>
      <c r="G595" s="129" t="s">
        <v>1479</v>
      </c>
    </row>
    <row r="596" spans="2:7" ht="26.4">
      <c r="B596" s="56">
        <v>46263</v>
      </c>
      <c r="C596" s="69">
        <v>46263.883645833332</v>
      </c>
      <c r="D596" s="55" t="s">
        <v>1463</v>
      </c>
      <c r="E596" s="55" t="s">
        <v>910</v>
      </c>
      <c r="F596" s="129" t="s">
        <v>1454</v>
      </c>
      <c r="G596" s="129" t="s">
        <v>1480</v>
      </c>
    </row>
    <row r="597" spans="2:7" ht="26.4">
      <c r="B597" s="56">
        <v>46263</v>
      </c>
      <c r="C597" s="69">
        <v>46263.883680555555</v>
      </c>
      <c r="D597" s="55" t="s">
        <v>1463</v>
      </c>
      <c r="E597" s="55" t="s">
        <v>908</v>
      </c>
      <c r="F597" s="129" t="s">
        <v>1455</v>
      </c>
      <c r="G597" s="129" t="s">
        <v>1481</v>
      </c>
    </row>
    <row r="598" spans="2:7" ht="26.4">
      <c r="B598" s="56">
        <v>46263</v>
      </c>
      <c r="C598" s="69">
        <v>46263.883703703701</v>
      </c>
      <c r="D598" s="55" t="s">
        <v>1463</v>
      </c>
      <c r="E598" s="55" t="s">
        <v>1389</v>
      </c>
      <c r="F598" s="129" t="s">
        <v>1457</v>
      </c>
      <c r="G598" s="129" t="s">
        <v>1482</v>
      </c>
    </row>
    <row r="599" spans="2:7">
      <c r="B599" s="56">
        <v>46263</v>
      </c>
      <c r="C599" s="69">
        <v>46263.883738425924</v>
      </c>
      <c r="D599" s="55" t="s">
        <v>1463</v>
      </c>
      <c r="E599" s="55" t="s">
        <v>1383</v>
      </c>
      <c r="F599" s="129" t="s">
        <v>1456</v>
      </c>
      <c r="G599" s="129" t="s">
        <v>1483</v>
      </c>
    </row>
    <row r="600" spans="2:7" ht="26.4">
      <c r="B600" s="56">
        <v>46263</v>
      </c>
      <c r="C600" s="69">
        <v>46263.883773148147</v>
      </c>
      <c r="D600" s="55" t="s">
        <v>1463</v>
      </c>
      <c r="E600" s="55" t="s">
        <v>1394</v>
      </c>
      <c r="F600" s="129" t="s">
        <v>1458</v>
      </c>
      <c r="G600" s="129" t="s">
        <v>1484</v>
      </c>
    </row>
    <row r="601" spans="2:7" ht="26.4">
      <c r="B601" s="56">
        <v>46263</v>
      </c>
      <c r="C601" s="69">
        <v>46263.88380787037</v>
      </c>
      <c r="D601" s="55" t="s">
        <v>1463</v>
      </c>
      <c r="E601" s="55" t="s">
        <v>1400</v>
      </c>
      <c r="F601" s="129" t="s">
        <v>1459</v>
      </c>
      <c r="G601" s="129" t="s">
        <v>1485</v>
      </c>
    </row>
    <row r="602" spans="2:7" ht="26.4">
      <c r="B602" s="56">
        <v>46263</v>
      </c>
      <c r="C602" s="69">
        <v>46263.883900462963</v>
      </c>
      <c r="D602" s="55" t="s">
        <v>1463</v>
      </c>
      <c r="E602" s="55" t="s">
        <v>1408</v>
      </c>
      <c r="F602" s="129" t="s">
        <v>1460</v>
      </c>
      <c r="G602" s="129" t="s">
        <v>1486</v>
      </c>
    </row>
    <row r="603" spans="2:7" ht="26.4">
      <c r="B603" s="56">
        <v>46263</v>
      </c>
      <c r="C603" s="69">
        <v>46263.883946759262</v>
      </c>
      <c r="D603" s="55" t="s">
        <v>1463</v>
      </c>
      <c r="E603" s="55" t="s">
        <v>1410</v>
      </c>
      <c r="F603" s="129" t="s">
        <v>1461</v>
      </c>
      <c r="G603" s="129" t="s">
        <v>1487</v>
      </c>
    </row>
    <row r="604" spans="2:7">
      <c r="B604" s="56">
        <v>46263</v>
      </c>
      <c r="C604" s="69">
        <v>46263.884004629632</v>
      </c>
      <c r="D604" s="55" t="s">
        <v>1463</v>
      </c>
      <c r="E604" s="55" t="s">
        <v>1417</v>
      </c>
      <c r="F604" s="129" t="s">
        <v>1462</v>
      </c>
      <c r="G604" s="129" t="s">
        <v>1488</v>
      </c>
    </row>
    <row r="605" spans="2:7">
      <c r="B605" s="56">
        <v>46263</v>
      </c>
      <c r="C605" s="69">
        <v>46263.884062500001</v>
      </c>
      <c r="D605" s="55" t="s">
        <v>1463</v>
      </c>
      <c r="E605" s="55" t="s">
        <v>1420</v>
      </c>
      <c r="F605" s="129" t="s">
        <v>1468</v>
      </c>
      <c r="G605" s="129" t="s">
        <v>1489</v>
      </c>
    </row>
    <row r="606" spans="2:7" ht="26.4">
      <c r="B606" s="56">
        <v>46263</v>
      </c>
      <c r="C606" s="69">
        <v>46263.884097222224</v>
      </c>
      <c r="D606" s="55" t="s">
        <v>1463</v>
      </c>
      <c r="E606" s="55" t="s">
        <v>1425</v>
      </c>
      <c r="F606" s="129" t="s">
        <v>1469</v>
      </c>
      <c r="G606" s="129" t="s">
        <v>1490</v>
      </c>
    </row>
    <row r="607" spans="2:7" ht="39.6">
      <c r="B607" s="56">
        <v>46263</v>
      </c>
      <c r="C607" s="69">
        <v>46263.884131944447</v>
      </c>
      <c r="D607" s="55" t="s">
        <v>1463</v>
      </c>
      <c r="E607" s="55" t="s">
        <v>1492</v>
      </c>
      <c r="F607" s="129" t="s">
        <v>1470</v>
      </c>
      <c r="G607" s="129" t="s">
        <v>1491</v>
      </c>
    </row>
    <row r="608" spans="2:7" ht="26.4">
      <c r="B608" s="56">
        <v>46263</v>
      </c>
      <c r="C608" s="69">
        <v>46263.884166666663</v>
      </c>
      <c r="D608" s="55" t="s">
        <v>1463</v>
      </c>
      <c r="E608" s="55" t="s">
        <v>1493</v>
      </c>
      <c r="F608" s="129" t="s">
        <v>1471</v>
      </c>
      <c r="G608" s="129" t="s">
        <v>1485</v>
      </c>
    </row>
    <row r="609" spans="2:7" ht="26.4">
      <c r="B609" s="56">
        <v>46263</v>
      </c>
      <c r="C609" s="69">
        <v>46263.884201388886</v>
      </c>
      <c r="D609" s="55" t="s">
        <v>1463</v>
      </c>
      <c r="E609" s="55" t="s">
        <v>1494</v>
      </c>
      <c r="F609" s="129" t="s">
        <v>1455</v>
      </c>
      <c r="G609" s="129" t="s">
        <v>1481</v>
      </c>
    </row>
    <row r="610" spans="2:7">
      <c r="B610" s="56">
        <v>46263</v>
      </c>
      <c r="C610" s="69">
        <v>46263.884236111109</v>
      </c>
      <c r="D610" s="55" t="s">
        <v>1463</v>
      </c>
      <c r="E610" s="55" t="s">
        <v>1495</v>
      </c>
      <c r="F610" s="129" t="s">
        <v>1456</v>
      </c>
      <c r="G610" s="129" t="s">
        <v>1483</v>
      </c>
    </row>
    <row r="611" spans="2:7" ht="26.4">
      <c r="B611" s="56">
        <v>46263</v>
      </c>
      <c r="C611" s="69">
        <v>46263.884270833332</v>
      </c>
      <c r="D611" s="55" t="s">
        <v>1463</v>
      </c>
      <c r="E611" s="55" t="s">
        <v>1497</v>
      </c>
      <c r="F611" s="129" t="s">
        <v>1472</v>
      </c>
      <c r="G611" s="129" t="s">
        <v>1496</v>
      </c>
    </row>
    <row r="612" spans="2:7" ht="26.4">
      <c r="B612" s="56">
        <v>46263</v>
      </c>
      <c r="C612" s="69">
        <v>46263.884317129632</v>
      </c>
      <c r="D612" s="55" t="s">
        <v>1463</v>
      </c>
      <c r="E612" s="55" t="s">
        <v>1498</v>
      </c>
      <c r="F612" s="129" t="s">
        <v>1458</v>
      </c>
      <c r="G612" s="129" t="s">
        <v>1484</v>
      </c>
    </row>
    <row r="613" spans="2:7" ht="26.4">
      <c r="B613" s="56">
        <v>46263</v>
      </c>
      <c r="C613" s="69">
        <v>46263.884351851855</v>
      </c>
      <c r="D613" s="55" t="s">
        <v>1463</v>
      </c>
      <c r="E613" s="55" t="s">
        <v>1500</v>
      </c>
      <c r="F613" s="129" t="s">
        <v>1473</v>
      </c>
      <c r="G613" s="129" t="s">
        <v>1499</v>
      </c>
    </row>
    <row r="614" spans="2:7" ht="26.4">
      <c r="B614" s="56">
        <v>46263</v>
      </c>
      <c r="C614" s="69">
        <v>46263.884386574071</v>
      </c>
      <c r="D614" s="55" t="s">
        <v>1463</v>
      </c>
      <c r="E614" s="55" t="s">
        <v>1502</v>
      </c>
      <c r="F614" s="129" t="s">
        <v>1474</v>
      </c>
      <c r="G614" s="129" t="s">
        <v>1501</v>
      </c>
    </row>
    <row r="615" spans="2:7" ht="26.4">
      <c r="B615" s="56">
        <v>46263</v>
      </c>
      <c r="C615" s="69">
        <v>46263.884421296294</v>
      </c>
      <c r="D615" s="55" t="s">
        <v>1463</v>
      </c>
      <c r="E615" s="55" t="s">
        <v>1504</v>
      </c>
      <c r="F615" s="129" t="s">
        <v>1475</v>
      </c>
      <c r="G615" s="129" t="s">
        <v>1503</v>
      </c>
    </row>
    <row r="616" spans="2:7" ht="26.4">
      <c r="B616" s="56">
        <v>46263</v>
      </c>
      <c r="C616" s="69">
        <v>46263.884456018517</v>
      </c>
      <c r="D616" s="55" t="s">
        <v>1463</v>
      </c>
      <c r="E616" s="55" t="s">
        <v>1506</v>
      </c>
      <c r="F616" s="129" t="s">
        <v>1476</v>
      </c>
      <c r="G616" s="129" t="s">
        <v>1505</v>
      </c>
    </row>
    <row r="617" spans="2:7">
      <c r="B617" s="56">
        <v>46263</v>
      </c>
      <c r="C617" s="69">
        <v>46263.884583333333</v>
      </c>
      <c r="D617" s="55" t="s">
        <v>1463</v>
      </c>
      <c r="E617" s="55" t="s">
        <v>1421</v>
      </c>
      <c r="G617" s="129">
        <v>2024</v>
      </c>
    </row>
    <row r="618" spans="2:7">
      <c r="B618" s="56">
        <v>46263</v>
      </c>
      <c r="C618" s="69">
        <v>46263.884687500002</v>
      </c>
      <c r="D618" s="55" t="s">
        <v>1463</v>
      </c>
      <c r="E618" s="55" t="s">
        <v>1423</v>
      </c>
      <c r="G618" s="129" t="s">
        <v>20</v>
      </c>
    </row>
    <row r="619" spans="2:7">
      <c r="B619" s="56">
        <v>46263</v>
      </c>
      <c r="C619" s="69">
        <v>46263.884768518517</v>
      </c>
      <c r="D619" s="55" t="s">
        <v>1463</v>
      </c>
      <c r="E619" s="55" t="s">
        <v>723</v>
      </c>
      <c r="G619" s="129" t="s">
        <v>20</v>
      </c>
    </row>
    <row r="620" spans="2:7">
      <c r="B620" s="56">
        <v>46263</v>
      </c>
      <c r="C620" s="69">
        <v>46263.885057870371</v>
      </c>
      <c r="D620" s="55" t="s">
        <v>1463</v>
      </c>
      <c r="E620" s="55" t="s">
        <v>1507</v>
      </c>
      <c r="G620" s="129" t="s">
        <v>20</v>
      </c>
    </row>
    <row r="621" spans="2:7">
      <c r="B621" s="56">
        <v>46263</v>
      </c>
      <c r="C621" s="69">
        <v>46263.885127314818</v>
      </c>
      <c r="D621" s="55" t="s">
        <v>1463</v>
      </c>
      <c r="E621" s="55" t="s">
        <v>1508</v>
      </c>
      <c r="G621" s="129" t="s">
        <v>20</v>
      </c>
    </row>
    <row r="622" spans="2:7">
      <c r="B622" s="56">
        <v>46263</v>
      </c>
      <c r="C622" s="69">
        <v>46263.886030092595</v>
      </c>
      <c r="D622" s="55" t="s">
        <v>1463</v>
      </c>
      <c r="E622" s="55" t="s">
        <v>1510</v>
      </c>
      <c r="G622" s="129" t="s">
        <v>1509</v>
      </c>
    </row>
    <row r="623" spans="2:7">
      <c r="B623" s="56">
        <v>46263</v>
      </c>
      <c r="C623" s="69">
        <v>46263.886053240742</v>
      </c>
      <c r="D623" s="55" t="s">
        <v>1463</v>
      </c>
      <c r="E623" s="55" t="s">
        <v>1511</v>
      </c>
      <c r="G623" s="129" t="s">
        <v>1509</v>
      </c>
    </row>
    <row r="624" spans="2:7">
      <c r="B624" s="56">
        <v>46263</v>
      </c>
      <c r="C624" s="69">
        <v>46263.886145833334</v>
      </c>
      <c r="D624" s="55" t="s">
        <v>1463</v>
      </c>
      <c r="E624" s="55" t="s">
        <v>1512</v>
      </c>
      <c r="G624" s="129" t="s">
        <v>1509</v>
      </c>
    </row>
    <row r="625" spans="2:7">
      <c r="B625" s="56">
        <v>46263</v>
      </c>
      <c r="C625" s="69">
        <v>46263.886365740742</v>
      </c>
      <c r="D625" s="55" t="s">
        <v>1463</v>
      </c>
      <c r="E625" s="55" t="s">
        <v>1421</v>
      </c>
      <c r="G625" s="129">
        <v>2025</v>
      </c>
    </row>
    <row r="626" spans="2:7">
      <c r="B626" s="56">
        <v>46263</v>
      </c>
      <c r="C626" s="69">
        <v>46263.886388888888</v>
      </c>
      <c r="D626" s="55" t="s">
        <v>1463</v>
      </c>
      <c r="E626" s="55" t="s">
        <v>1360</v>
      </c>
      <c r="G626" s="129">
        <v>2026</v>
      </c>
    </row>
    <row r="627" spans="2:7">
      <c r="B627" s="56">
        <v>46266</v>
      </c>
      <c r="C627" s="69">
        <v>46266.60052083333</v>
      </c>
      <c r="D627" s="55" t="s">
        <v>684</v>
      </c>
      <c r="E627" s="55" t="s">
        <v>745</v>
      </c>
      <c r="F627" s="129" t="s">
        <v>666</v>
      </c>
      <c r="G627" s="129" t="s">
        <v>670</v>
      </c>
    </row>
    <row r="628" spans="2:7">
      <c r="B628" s="56">
        <v>46267</v>
      </c>
      <c r="C628" s="69">
        <v>46267.678483796299</v>
      </c>
      <c r="D628" s="55" t="s">
        <v>684</v>
      </c>
      <c r="E628" s="55" t="s">
        <v>1057</v>
      </c>
      <c r="F628" s="129" t="s">
        <v>201</v>
      </c>
      <c r="G628" s="129" t="s">
        <v>33</v>
      </c>
    </row>
    <row r="629" spans="2:7">
      <c r="B629" s="56">
        <v>46267</v>
      </c>
      <c r="C629" s="69">
        <v>46267.678495370368</v>
      </c>
      <c r="D629" s="55" t="s">
        <v>684</v>
      </c>
      <c r="E629" s="55" t="s">
        <v>1513</v>
      </c>
      <c r="F629" s="129" t="s">
        <v>201</v>
      </c>
      <c r="G629" s="129" t="s">
        <v>33</v>
      </c>
    </row>
    <row r="630" spans="2:7">
      <c r="B630" s="56">
        <v>46267</v>
      </c>
      <c r="C630" s="69">
        <v>46267.678506944445</v>
      </c>
      <c r="D630" s="55" t="s">
        <v>684</v>
      </c>
      <c r="E630" s="55" t="s">
        <v>1514</v>
      </c>
      <c r="F630" s="129" t="s">
        <v>201</v>
      </c>
      <c r="G630" s="129" t="s">
        <v>33</v>
      </c>
    </row>
    <row r="631" spans="2:7">
      <c r="B631" s="56">
        <v>46267</v>
      </c>
      <c r="C631" s="69">
        <v>46267.678541666668</v>
      </c>
      <c r="D631" s="55" t="s">
        <v>684</v>
      </c>
      <c r="E631" s="55" t="s">
        <v>1515</v>
      </c>
      <c r="F631" s="129" t="s">
        <v>201</v>
      </c>
      <c r="G631" s="129" t="s">
        <v>33</v>
      </c>
    </row>
    <row r="632" spans="2:7">
      <c r="B632" s="56">
        <v>46267</v>
      </c>
      <c r="C632" s="69">
        <v>46267.678564814814</v>
      </c>
      <c r="D632" s="55" t="s">
        <v>684</v>
      </c>
      <c r="E632" s="55" t="s">
        <v>1516</v>
      </c>
      <c r="F632" s="129" t="s">
        <v>201</v>
      </c>
      <c r="G632" s="129" t="s">
        <v>33</v>
      </c>
    </row>
    <row r="633" spans="2:7">
      <c r="B633" s="56">
        <v>46267</v>
      </c>
      <c r="C633" s="69">
        <v>46267.678576388891</v>
      </c>
      <c r="D633" s="55" t="s">
        <v>684</v>
      </c>
      <c r="E633" s="55" t="s">
        <v>1517</v>
      </c>
      <c r="F633" s="129" t="s">
        <v>201</v>
      </c>
      <c r="G633" s="129" t="s">
        <v>33</v>
      </c>
    </row>
    <row r="634" spans="2:7">
      <c r="B634" s="56">
        <v>46267</v>
      </c>
      <c r="C634" s="69">
        <v>46267.678587962961</v>
      </c>
      <c r="D634" s="55" t="s">
        <v>684</v>
      </c>
      <c r="E634" s="55" t="s">
        <v>1518</v>
      </c>
      <c r="F634" s="129" t="s">
        <v>201</v>
      </c>
      <c r="G634" s="129" t="s">
        <v>33</v>
      </c>
    </row>
    <row r="635" spans="2:7">
      <c r="B635" s="56">
        <v>46267</v>
      </c>
      <c r="C635" s="69">
        <v>46267.678599537037</v>
      </c>
      <c r="D635" s="55" t="s">
        <v>684</v>
      </c>
      <c r="E635" s="55" t="s">
        <v>1519</v>
      </c>
      <c r="F635" s="129" t="s">
        <v>201</v>
      </c>
      <c r="G635" s="129" t="s">
        <v>33</v>
      </c>
    </row>
    <row r="636" spans="2:7" ht="132">
      <c r="B636" s="56">
        <v>46273</v>
      </c>
      <c r="C636" s="69">
        <v>46273.408680555556</v>
      </c>
      <c r="D636" s="55" t="s">
        <v>684</v>
      </c>
      <c r="E636" s="55" t="s">
        <v>706</v>
      </c>
      <c r="G636" s="129" t="s">
        <v>29</v>
      </c>
    </row>
    <row r="637" spans="2:7">
      <c r="B637" s="56">
        <v>46279</v>
      </c>
      <c r="C637" s="69">
        <v>46279.413969907408</v>
      </c>
      <c r="D637" s="55" t="s">
        <v>684</v>
      </c>
      <c r="E637" s="55" t="s">
        <v>1521</v>
      </c>
      <c r="G637" s="129" t="s">
        <v>1520</v>
      </c>
    </row>
    <row r="638" spans="2:7">
      <c r="B638" s="56">
        <v>46279</v>
      </c>
      <c r="C638" s="69">
        <v>46279.414050925923</v>
      </c>
      <c r="D638" s="55" t="s">
        <v>684</v>
      </c>
      <c r="E638" s="55" t="s">
        <v>1522</v>
      </c>
      <c r="G638" s="129" t="s">
        <v>1520</v>
      </c>
    </row>
    <row r="639" spans="2:7">
      <c r="B639" s="56">
        <v>46279</v>
      </c>
      <c r="C639" s="69">
        <v>46279.414826388886</v>
      </c>
      <c r="D639" s="55" t="s">
        <v>684</v>
      </c>
      <c r="E639" s="55" t="s">
        <v>1524</v>
      </c>
      <c r="G639" s="129" t="s">
        <v>1523</v>
      </c>
    </row>
    <row r="640" spans="2:7">
      <c r="B640" s="56">
        <v>46279</v>
      </c>
      <c r="C640" s="69">
        <v>46279.414895833332</v>
      </c>
      <c r="D640" s="55" t="s">
        <v>684</v>
      </c>
      <c r="E640" s="55" t="s">
        <v>1525</v>
      </c>
      <c r="G640" s="129" t="s">
        <v>1523</v>
      </c>
    </row>
    <row r="641" spans="2:7">
      <c r="B641" s="56">
        <v>46279</v>
      </c>
      <c r="C641" s="69">
        <v>46279.414965277778</v>
      </c>
      <c r="D641" s="55" t="s">
        <v>684</v>
      </c>
      <c r="E641" s="55" t="s">
        <v>1526</v>
      </c>
      <c r="G641" s="129" t="s">
        <v>1523</v>
      </c>
    </row>
    <row r="642" spans="2:7">
      <c r="B642" s="56">
        <v>46279</v>
      </c>
      <c r="C642" s="69">
        <v>46279.415023148147</v>
      </c>
      <c r="D642" s="55" t="s">
        <v>684</v>
      </c>
      <c r="E642" s="55" t="s">
        <v>1527</v>
      </c>
      <c r="G642" s="129" t="s">
        <v>1523</v>
      </c>
    </row>
    <row r="643" spans="2:7">
      <c r="B643" s="56">
        <v>46279</v>
      </c>
      <c r="C643" s="69">
        <v>46279.415081018517</v>
      </c>
      <c r="D643" s="55" t="s">
        <v>684</v>
      </c>
      <c r="E643" s="55" t="s">
        <v>1528</v>
      </c>
      <c r="G643" s="129" t="s">
        <v>1523</v>
      </c>
    </row>
    <row r="644" spans="2:7">
      <c r="B644" s="56">
        <v>46279</v>
      </c>
      <c r="C644" s="69">
        <v>46279.415127314816</v>
      </c>
      <c r="D644" s="55" t="s">
        <v>684</v>
      </c>
      <c r="E644" s="55" t="s">
        <v>1529</v>
      </c>
      <c r="G644" s="129" t="s">
        <v>1523</v>
      </c>
    </row>
    <row r="645" spans="2:7">
      <c r="B645" s="56">
        <v>46279</v>
      </c>
      <c r="C645" s="69">
        <v>46279.415138888886</v>
      </c>
      <c r="D645" s="55" t="s">
        <v>684</v>
      </c>
      <c r="E645" s="55" t="s">
        <v>1530</v>
      </c>
      <c r="G645" s="129" t="s">
        <v>1523</v>
      </c>
    </row>
    <row r="646" spans="2:7">
      <c r="B646" s="56">
        <v>46279</v>
      </c>
      <c r="C646" s="69">
        <v>46279.415162037039</v>
      </c>
      <c r="D646" s="55" t="s">
        <v>684</v>
      </c>
      <c r="E646" s="55" t="s">
        <v>1531</v>
      </c>
      <c r="G646" s="129" t="s">
        <v>1523</v>
      </c>
    </row>
    <row r="647" spans="2:7">
      <c r="B647" s="56">
        <v>46279</v>
      </c>
      <c r="C647" s="69">
        <v>46279.415219907409</v>
      </c>
      <c r="D647" s="55" t="s">
        <v>684</v>
      </c>
      <c r="E647" s="55" t="s">
        <v>1532</v>
      </c>
      <c r="G647" s="129" t="s">
        <v>1523</v>
      </c>
    </row>
    <row r="648" spans="2:7">
      <c r="B648" s="56">
        <v>46279</v>
      </c>
      <c r="C648" s="69">
        <v>46279.415243055555</v>
      </c>
      <c r="D648" s="55" t="s">
        <v>684</v>
      </c>
      <c r="E648" s="55" t="s">
        <v>1533</v>
      </c>
      <c r="G648" s="129" t="s">
        <v>1523</v>
      </c>
    </row>
    <row r="649" spans="2:7">
      <c r="B649" s="56">
        <v>46279</v>
      </c>
      <c r="C649" s="69">
        <v>46279.415289351855</v>
      </c>
      <c r="D649" s="55" t="s">
        <v>684</v>
      </c>
      <c r="E649" s="55" t="s">
        <v>1534</v>
      </c>
      <c r="G649" s="129" t="s">
        <v>1523</v>
      </c>
    </row>
    <row r="650" spans="2:7">
      <c r="B650" s="56">
        <v>46279</v>
      </c>
      <c r="C650" s="69">
        <v>46279.415324074071</v>
      </c>
      <c r="D650" s="55" t="s">
        <v>684</v>
      </c>
      <c r="E650" s="55" t="s">
        <v>1535</v>
      </c>
      <c r="G650" s="129" t="s">
        <v>1523</v>
      </c>
    </row>
    <row r="651" spans="2:7">
      <c r="B651" s="56">
        <v>46279</v>
      </c>
      <c r="C651" s="69">
        <v>46279.415416666663</v>
      </c>
      <c r="D651" s="55" t="s">
        <v>684</v>
      </c>
      <c r="E651" s="55" t="s">
        <v>1521</v>
      </c>
      <c r="F651" s="129" t="s">
        <v>1520</v>
      </c>
      <c r="G651" s="129" t="s">
        <v>1536</v>
      </c>
    </row>
    <row r="652" spans="2:7">
      <c r="B652" s="56">
        <v>46279</v>
      </c>
      <c r="C652" s="69">
        <v>46279.415439814817</v>
      </c>
      <c r="D652" s="55" t="s">
        <v>684</v>
      </c>
      <c r="E652" s="55" t="s">
        <v>1522</v>
      </c>
      <c r="F652" s="129" t="s">
        <v>1520</v>
      </c>
      <c r="G652" s="129" t="s">
        <v>1536</v>
      </c>
    </row>
    <row r="653" spans="2:7">
      <c r="B653" s="56">
        <v>46279</v>
      </c>
      <c r="C653" s="69">
        <v>46279.415717592594</v>
      </c>
      <c r="D653" s="55" t="s">
        <v>684</v>
      </c>
      <c r="E653" s="55" t="s">
        <v>1538</v>
      </c>
      <c r="F653" s="129" t="s">
        <v>667</v>
      </c>
      <c r="G653" s="129" t="s">
        <v>1537</v>
      </c>
    </row>
    <row r="654" spans="2:7">
      <c r="B654" s="56">
        <v>46279</v>
      </c>
      <c r="C654" s="69">
        <v>46279.41578703704</v>
      </c>
      <c r="D654" s="55" t="s">
        <v>684</v>
      </c>
      <c r="E654" s="55" t="s">
        <v>1539</v>
      </c>
      <c r="F654" s="129" t="s">
        <v>667</v>
      </c>
      <c r="G654" s="129" t="s">
        <v>1537</v>
      </c>
    </row>
    <row r="655" spans="2:7">
      <c r="B655" s="56">
        <v>46279</v>
      </c>
      <c r="C655" s="69">
        <v>46279.415821759256</v>
      </c>
      <c r="D655" s="55" t="s">
        <v>684</v>
      </c>
      <c r="E655" s="55" t="s">
        <v>1540</v>
      </c>
      <c r="F655" s="129" t="s">
        <v>667</v>
      </c>
      <c r="G655" s="129" t="s">
        <v>1537</v>
      </c>
    </row>
    <row r="656" spans="2:7">
      <c r="B656" s="56">
        <v>46279</v>
      </c>
      <c r="C656" s="69">
        <v>46279.415856481479</v>
      </c>
      <c r="D656" s="55" t="s">
        <v>684</v>
      </c>
      <c r="E656" s="55" t="s">
        <v>1541</v>
      </c>
      <c r="F656" s="129" t="s">
        <v>667</v>
      </c>
      <c r="G656" s="129" t="s">
        <v>1537</v>
      </c>
    </row>
    <row r="657" spans="2:7">
      <c r="B657" s="56">
        <v>46279</v>
      </c>
      <c r="C657" s="69">
        <v>46279.415891203702</v>
      </c>
      <c r="D657" s="55" t="s">
        <v>684</v>
      </c>
      <c r="E657" s="55" t="s">
        <v>1542</v>
      </c>
      <c r="F657" s="129" t="s">
        <v>667</v>
      </c>
      <c r="G657" s="129" t="s">
        <v>1537</v>
      </c>
    </row>
    <row r="658" spans="2:7">
      <c r="B658" s="56">
        <v>46279</v>
      </c>
      <c r="C658" s="69">
        <v>46279.415937500002</v>
      </c>
      <c r="D658" s="55" t="s">
        <v>684</v>
      </c>
      <c r="E658" s="55" t="s">
        <v>1543</v>
      </c>
      <c r="F658" s="129" t="s">
        <v>667</v>
      </c>
      <c r="G658" s="129" t="s">
        <v>1537</v>
      </c>
    </row>
    <row r="659" spans="2:7">
      <c r="B659" s="56">
        <v>46279</v>
      </c>
      <c r="C659" s="69">
        <v>46279.415972222225</v>
      </c>
      <c r="D659" s="55" t="s">
        <v>684</v>
      </c>
      <c r="E659" s="55" t="s">
        <v>1544</v>
      </c>
      <c r="F659" s="129" t="s">
        <v>667</v>
      </c>
      <c r="G659" s="129" t="s">
        <v>1537</v>
      </c>
    </row>
    <row r="660" spans="2:7">
      <c r="B660" s="56">
        <v>46279</v>
      </c>
      <c r="C660" s="69">
        <v>46279.415995370371</v>
      </c>
      <c r="D660" s="55" t="s">
        <v>684</v>
      </c>
      <c r="E660" s="55" t="s">
        <v>1545</v>
      </c>
      <c r="F660" s="129" t="s">
        <v>667</v>
      </c>
      <c r="G660" s="129" t="s">
        <v>1537</v>
      </c>
    </row>
    <row r="661" spans="2:7">
      <c r="B661" s="56">
        <v>46279</v>
      </c>
      <c r="C661" s="69">
        <v>46279.416018518517</v>
      </c>
      <c r="D661" s="55" t="s">
        <v>684</v>
      </c>
      <c r="E661" s="55" t="s">
        <v>1546</v>
      </c>
      <c r="F661" s="129" t="s">
        <v>667</v>
      </c>
      <c r="G661" s="129" t="s">
        <v>1537</v>
      </c>
    </row>
    <row r="662" spans="2:7">
      <c r="B662" s="56">
        <v>46279</v>
      </c>
      <c r="C662" s="69">
        <v>46279.416087962964</v>
      </c>
      <c r="D662" s="55" t="s">
        <v>684</v>
      </c>
      <c r="E662" s="55" t="s">
        <v>1547</v>
      </c>
      <c r="F662" s="129" t="s">
        <v>667</v>
      </c>
      <c r="G662" s="129" t="s">
        <v>1537</v>
      </c>
    </row>
    <row r="663" spans="2:7">
      <c r="B663" s="56">
        <v>46279</v>
      </c>
      <c r="C663" s="69">
        <v>46279.416122685187</v>
      </c>
      <c r="D663" s="55" t="s">
        <v>684</v>
      </c>
      <c r="E663" s="55" t="s">
        <v>1548</v>
      </c>
      <c r="F663" s="129" t="s">
        <v>667</v>
      </c>
      <c r="G663" s="129" t="s">
        <v>1537</v>
      </c>
    </row>
    <row r="664" spans="2:7">
      <c r="B664" s="56">
        <v>46279</v>
      </c>
      <c r="C664" s="69">
        <v>46279.416145833333</v>
      </c>
      <c r="D664" s="55" t="s">
        <v>684</v>
      </c>
      <c r="E664" s="55" t="s">
        <v>1549</v>
      </c>
      <c r="F664" s="129" t="s">
        <v>667</v>
      </c>
      <c r="G664" s="129" t="s">
        <v>1537</v>
      </c>
    </row>
    <row r="665" spans="2:7">
      <c r="B665" s="56">
        <v>46279</v>
      </c>
      <c r="C665" s="69">
        <v>46279.416226851848</v>
      </c>
      <c r="D665" s="55" t="s">
        <v>684</v>
      </c>
      <c r="E665" s="55" t="s">
        <v>1550</v>
      </c>
      <c r="F665" s="129" t="s">
        <v>667</v>
      </c>
      <c r="G665" s="129" t="s">
        <v>1537</v>
      </c>
    </row>
    <row r="666" spans="2:7">
      <c r="B666" s="56">
        <v>46279</v>
      </c>
      <c r="C666" s="69">
        <v>46279.416250000002</v>
      </c>
      <c r="D666" s="55" t="s">
        <v>684</v>
      </c>
      <c r="E666" s="55" t="s">
        <v>1551</v>
      </c>
      <c r="F666" s="129" t="s">
        <v>667</v>
      </c>
      <c r="G666" s="129" t="s">
        <v>1537</v>
      </c>
    </row>
    <row r="667" spans="2:7">
      <c r="B667" s="56">
        <v>46279</v>
      </c>
      <c r="C667" s="69">
        <v>46279.416284722225</v>
      </c>
      <c r="D667" s="55" t="s">
        <v>684</v>
      </c>
      <c r="E667" s="55" t="s">
        <v>1552</v>
      </c>
      <c r="F667" s="129" t="s">
        <v>667</v>
      </c>
      <c r="G667" s="129" t="s">
        <v>1537</v>
      </c>
    </row>
    <row r="668" spans="2:7">
      <c r="B668" s="56">
        <v>46279</v>
      </c>
      <c r="C668" s="69">
        <v>46279.416319444441</v>
      </c>
      <c r="D668" s="55" t="s">
        <v>684</v>
      </c>
      <c r="E668" s="55" t="s">
        <v>1553</v>
      </c>
      <c r="F668" s="129" t="s">
        <v>667</v>
      </c>
      <c r="G668" s="129" t="s">
        <v>1537</v>
      </c>
    </row>
    <row r="669" spans="2:7">
      <c r="B669" s="56">
        <v>46279</v>
      </c>
      <c r="C669" s="69">
        <v>46279.416365740741</v>
      </c>
      <c r="D669" s="55" t="s">
        <v>684</v>
      </c>
      <c r="E669" s="55" t="s">
        <v>1554</v>
      </c>
      <c r="F669" s="129" t="s">
        <v>667</v>
      </c>
      <c r="G669" s="129" t="s">
        <v>1537</v>
      </c>
    </row>
    <row r="670" spans="2:7">
      <c r="B670" s="56">
        <v>46279</v>
      </c>
      <c r="C670" s="69">
        <v>46279.416458333333</v>
      </c>
      <c r="D670" s="55" t="s">
        <v>684</v>
      </c>
      <c r="E670" s="55" t="s">
        <v>1555</v>
      </c>
      <c r="F670" s="129" t="s">
        <v>667</v>
      </c>
      <c r="G670" s="129" t="s">
        <v>1537</v>
      </c>
    </row>
    <row r="671" spans="2:7">
      <c r="B671" s="56">
        <v>46279</v>
      </c>
      <c r="C671" s="69">
        <v>46279.416493055556</v>
      </c>
      <c r="D671" s="55" t="s">
        <v>684</v>
      </c>
      <c r="E671" s="55" t="s">
        <v>1556</v>
      </c>
      <c r="F671" s="129" t="s">
        <v>667</v>
      </c>
      <c r="G671" s="129" t="s">
        <v>1537</v>
      </c>
    </row>
    <row r="672" spans="2:7">
      <c r="B672" s="56">
        <v>46279</v>
      </c>
      <c r="C672" s="69">
        <v>46279.416562500002</v>
      </c>
      <c r="D672" s="55" t="s">
        <v>684</v>
      </c>
      <c r="E672" s="55" t="s">
        <v>1557</v>
      </c>
      <c r="F672" s="129" t="s">
        <v>667</v>
      </c>
      <c r="G672" s="129" t="s">
        <v>1537</v>
      </c>
    </row>
    <row r="673" spans="2:7">
      <c r="B673" s="56">
        <v>46279</v>
      </c>
      <c r="C673" s="69">
        <v>46279.416585648149</v>
      </c>
      <c r="D673" s="55" t="s">
        <v>684</v>
      </c>
      <c r="E673" s="55" t="s">
        <v>1558</v>
      </c>
      <c r="F673" s="129" t="s">
        <v>667</v>
      </c>
      <c r="G673" s="129" t="s">
        <v>1537</v>
      </c>
    </row>
    <row r="674" spans="2:7">
      <c r="B674" s="56">
        <v>46279</v>
      </c>
      <c r="C674" s="69">
        <v>46279.416620370372</v>
      </c>
      <c r="D674" s="55" t="s">
        <v>684</v>
      </c>
      <c r="E674" s="55" t="s">
        <v>1559</v>
      </c>
      <c r="F674" s="129" t="s">
        <v>667</v>
      </c>
      <c r="G674" s="129" t="s">
        <v>1537</v>
      </c>
    </row>
    <row r="675" spans="2:7">
      <c r="B675" s="56">
        <v>46279</v>
      </c>
      <c r="C675" s="69">
        <v>46279.416701388887</v>
      </c>
      <c r="D675" s="55" t="s">
        <v>684</v>
      </c>
      <c r="E675" s="55" t="s">
        <v>1015</v>
      </c>
      <c r="F675" s="129" t="s">
        <v>667</v>
      </c>
      <c r="G675" s="129" t="s">
        <v>1537</v>
      </c>
    </row>
    <row r="676" spans="2:7">
      <c r="B676" s="56">
        <v>46279</v>
      </c>
      <c r="C676" s="69">
        <v>46279.416759259257</v>
      </c>
      <c r="D676" s="55" t="s">
        <v>684</v>
      </c>
      <c r="E676" s="55" t="s">
        <v>1017</v>
      </c>
      <c r="F676" s="129" t="s">
        <v>667</v>
      </c>
      <c r="G676" s="129" t="s">
        <v>1537</v>
      </c>
    </row>
    <row r="677" spans="2:7">
      <c r="B677" s="56">
        <v>46279</v>
      </c>
      <c r="C677" s="69">
        <v>46279.416863425926</v>
      </c>
      <c r="D677" s="55" t="s">
        <v>684</v>
      </c>
      <c r="E677" s="55" t="s">
        <v>1018</v>
      </c>
      <c r="F677" s="129" t="s">
        <v>667</v>
      </c>
      <c r="G677" s="129" t="s">
        <v>1537</v>
      </c>
    </row>
    <row r="678" spans="2:7">
      <c r="B678" s="56">
        <v>46279</v>
      </c>
      <c r="C678" s="69">
        <v>46279.417083333334</v>
      </c>
      <c r="D678" s="55" t="s">
        <v>684</v>
      </c>
      <c r="E678" s="55" t="s">
        <v>1561</v>
      </c>
      <c r="F678" s="129" t="s">
        <v>669</v>
      </c>
      <c r="G678" s="129" t="s">
        <v>1560</v>
      </c>
    </row>
    <row r="679" spans="2:7">
      <c r="B679" s="56">
        <v>46279</v>
      </c>
      <c r="C679" s="69">
        <v>46279.417118055557</v>
      </c>
      <c r="D679" s="55" t="s">
        <v>684</v>
      </c>
      <c r="E679" s="55" t="s">
        <v>1562</v>
      </c>
      <c r="F679" s="129" t="s">
        <v>669</v>
      </c>
      <c r="G679" s="129" t="s">
        <v>1560</v>
      </c>
    </row>
    <row r="680" spans="2:7">
      <c r="B680" s="56">
        <v>46279</v>
      </c>
      <c r="C680" s="69">
        <v>46279.417199074072</v>
      </c>
      <c r="D680" s="55" t="s">
        <v>684</v>
      </c>
      <c r="E680" s="55" t="s">
        <v>1563</v>
      </c>
      <c r="F680" s="129" t="s">
        <v>669</v>
      </c>
      <c r="G680" s="129" t="s">
        <v>1560</v>
      </c>
    </row>
    <row r="681" spans="2:7">
      <c r="B681" s="56">
        <v>46279</v>
      </c>
      <c r="C681" s="69">
        <v>46279.417222222219</v>
      </c>
      <c r="D681" s="55" t="s">
        <v>684</v>
      </c>
      <c r="E681" s="55" t="s">
        <v>1564</v>
      </c>
      <c r="F681" s="129" t="s">
        <v>669</v>
      </c>
      <c r="G681" s="129" t="s">
        <v>1560</v>
      </c>
    </row>
    <row r="682" spans="2:7">
      <c r="B682" s="56">
        <v>46279</v>
      </c>
      <c r="C682" s="69">
        <v>46279.417256944442</v>
      </c>
      <c r="D682" s="55" t="s">
        <v>684</v>
      </c>
      <c r="E682" s="55" t="s">
        <v>1565</v>
      </c>
      <c r="F682" s="129" t="s">
        <v>669</v>
      </c>
      <c r="G682" s="129" t="s">
        <v>1560</v>
      </c>
    </row>
    <row r="683" spans="2:7">
      <c r="B683" s="56">
        <v>46279</v>
      </c>
      <c r="C683" s="69">
        <v>46279.417326388888</v>
      </c>
      <c r="D683" s="55" t="s">
        <v>684</v>
      </c>
      <c r="E683" s="55" t="s">
        <v>1228</v>
      </c>
      <c r="F683" s="129" t="s">
        <v>669</v>
      </c>
      <c r="G683" s="129" t="s">
        <v>1560</v>
      </c>
    </row>
    <row r="684" spans="2:7">
      <c r="B684" s="56">
        <v>46279</v>
      </c>
      <c r="C684" s="69">
        <v>46279.417361111111</v>
      </c>
      <c r="D684" s="55" t="s">
        <v>684</v>
      </c>
      <c r="E684" s="55" t="s">
        <v>1229</v>
      </c>
      <c r="F684" s="129" t="s">
        <v>669</v>
      </c>
      <c r="G684" s="129" t="s">
        <v>1560</v>
      </c>
    </row>
    <row r="685" spans="2:7">
      <c r="B685" s="56">
        <v>46279</v>
      </c>
      <c r="C685" s="69">
        <v>46279.417453703703</v>
      </c>
      <c r="D685" s="55" t="s">
        <v>684</v>
      </c>
      <c r="E685" s="55" t="s">
        <v>1231</v>
      </c>
      <c r="F685" s="129" t="s">
        <v>669</v>
      </c>
      <c r="G685" s="129" t="s">
        <v>1560</v>
      </c>
    </row>
    <row r="686" spans="2:7">
      <c r="B686" s="56">
        <v>46279</v>
      </c>
      <c r="C686" s="69">
        <v>46279.417523148149</v>
      </c>
      <c r="D686" s="55" t="s">
        <v>684</v>
      </c>
      <c r="E686" s="55" t="s">
        <v>1230</v>
      </c>
      <c r="F686" s="129" t="s">
        <v>669</v>
      </c>
      <c r="G686" s="129" t="s">
        <v>1560</v>
      </c>
    </row>
    <row r="687" spans="2:7">
      <c r="B687" s="56">
        <v>46279</v>
      </c>
      <c r="C687" s="69">
        <v>46279.417650462965</v>
      </c>
      <c r="D687" s="55" t="s">
        <v>684</v>
      </c>
      <c r="E687" s="55" t="s">
        <v>1232</v>
      </c>
      <c r="F687" s="129" t="s">
        <v>669</v>
      </c>
      <c r="G687" s="129" t="s">
        <v>1560</v>
      </c>
    </row>
    <row r="688" spans="2:7">
      <c r="B688" s="56">
        <v>46279</v>
      </c>
      <c r="C688" s="69">
        <v>46279.417708333334</v>
      </c>
      <c r="D688" s="55" t="s">
        <v>684</v>
      </c>
      <c r="E688" s="55" t="s">
        <v>1233</v>
      </c>
      <c r="F688" s="129" t="s">
        <v>669</v>
      </c>
      <c r="G688" s="129" t="s">
        <v>1560</v>
      </c>
    </row>
    <row r="689" spans="2:7">
      <c r="B689" s="56">
        <v>46279</v>
      </c>
      <c r="C689" s="69">
        <v>46279.417731481481</v>
      </c>
      <c r="D689" s="55" t="s">
        <v>684</v>
      </c>
      <c r="E689" s="55" t="s">
        <v>1234</v>
      </c>
      <c r="F689" s="129" t="s">
        <v>669</v>
      </c>
      <c r="G689" s="129" t="s">
        <v>1560</v>
      </c>
    </row>
    <row r="690" spans="2:7">
      <c r="B690" s="56">
        <v>46279</v>
      </c>
      <c r="C690" s="69">
        <v>46279.417870370373</v>
      </c>
      <c r="D690" s="55" t="s">
        <v>684</v>
      </c>
      <c r="E690" s="55" t="s">
        <v>1235</v>
      </c>
      <c r="F690" s="129" t="s">
        <v>669</v>
      </c>
      <c r="G690" s="129" t="s">
        <v>1560</v>
      </c>
    </row>
    <row r="691" spans="2:7">
      <c r="B691" s="56">
        <v>46279</v>
      </c>
      <c r="C691" s="69">
        <v>46279.417905092596</v>
      </c>
      <c r="D691" s="55" t="s">
        <v>684</v>
      </c>
      <c r="E691" s="55" t="s">
        <v>1236</v>
      </c>
      <c r="F691" s="129" t="s">
        <v>669</v>
      </c>
      <c r="G691" s="129" t="s">
        <v>1560</v>
      </c>
    </row>
    <row r="692" spans="2:7">
      <c r="B692" s="56">
        <v>46279</v>
      </c>
      <c r="C692" s="69">
        <v>46279.417951388888</v>
      </c>
      <c r="D692" s="55" t="s">
        <v>684</v>
      </c>
      <c r="E692" s="55" t="s">
        <v>1237</v>
      </c>
      <c r="F692" s="129" t="s">
        <v>669</v>
      </c>
      <c r="G692" s="129" t="s">
        <v>1560</v>
      </c>
    </row>
    <row r="693" spans="2:7">
      <c r="B693" s="56">
        <v>46279</v>
      </c>
      <c r="C693" s="69">
        <v>46279.418078703704</v>
      </c>
      <c r="D693" s="55" t="s">
        <v>684</v>
      </c>
      <c r="E693" s="55" t="s">
        <v>1238</v>
      </c>
      <c r="F693" s="129" t="s">
        <v>669</v>
      </c>
      <c r="G693" s="129" t="s">
        <v>1560</v>
      </c>
    </row>
    <row r="694" spans="2:7">
      <c r="B694" s="56">
        <v>46279</v>
      </c>
      <c r="C694" s="69">
        <v>46279.41814814815</v>
      </c>
      <c r="D694" s="55" t="s">
        <v>684</v>
      </c>
      <c r="E694" s="55" t="s">
        <v>1239</v>
      </c>
      <c r="F694" s="129" t="s">
        <v>669</v>
      </c>
      <c r="G694" s="129" t="s">
        <v>1560</v>
      </c>
    </row>
    <row r="695" spans="2:7">
      <c r="B695" s="56">
        <v>46279</v>
      </c>
      <c r="C695" s="69">
        <v>46279.418194444443</v>
      </c>
      <c r="D695" s="55" t="s">
        <v>684</v>
      </c>
      <c r="E695" s="55" t="s">
        <v>1240</v>
      </c>
      <c r="F695" s="129" t="s">
        <v>669</v>
      </c>
      <c r="G695" s="129" t="s">
        <v>1560</v>
      </c>
    </row>
    <row r="696" spans="2:7">
      <c r="B696" s="56">
        <v>46279</v>
      </c>
      <c r="C696" s="69">
        <v>46279.418217592596</v>
      </c>
      <c r="D696" s="55" t="s">
        <v>684</v>
      </c>
      <c r="E696" s="55" t="s">
        <v>1241</v>
      </c>
      <c r="F696" s="129" t="s">
        <v>669</v>
      </c>
      <c r="G696" s="129" t="s">
        <v>1560</v>
      </c>
    </row>
    <row r="697" spans="2:7">
      <c r="B697" s="56">
        <v>46279</v>
      </c>
      <c r="C697" s="69">
        <v>46279.421041666668</v>
      </c>
      <c r="D697" s="55" t="s">
        <v>684</v>
      </c>
      <c r="E697" s="55" t="s">
        <v>1566</v>
      </c>
      <c r="F697" s="129" t="s">
        <v>667</v>
      </c>
      <c r="G697" s="129" t="s">
        <v>1537</v>
      </c>
    </row>
    <row r="698" spans="2:7">
      <c r="B698" s="56">
        <v>46279</v>
      </c>
      <c r="C698" s="69">
        <v>46279.421111111114</v>
      </c>
      <c r="D698" s="55" t="s">
        <v>684</v>
      </c>
      <c r="E698" s="55" t="s">
        <v>1567</v>
      </c>
      <c r="F698" s="129" t="s">
        <v>667</v>
      </c>
      <c r="G698" s="129" t="s">
        <v>1537</v>
      </c>
    </row>
    <row r="699" spans="2:7">
      <c r="B699" s="56">
        <v>46279</v>
      </c>
      <c r="C699" s="69">
        <v>46279.421180555553</v>
      </c>
      <c r="D699" s="55" t="s">
        <v>684</v>
      </c>
      <c r="E699" s="55" t="s">
        <v>1568</v>
      </c>
      <c r="F699" s="129" t="s">
        <v>667</v>
      </c>
      <c r="G699" s="129" t="s">
        <v>1537</v>
      </c>
    </row>
    <row r="700" spans="2:7">
      <c r="B700" s="56">
        <v>46279</v>
      </c>
      <c r="C700" s="69">
        <v>46279.421215277776</v>
      </c>
      <c r="D700" s="55" t="s">
        <v>684</v>
      </c>
      <c r="E700" s="55" t="s">
        <v>1569</v>
      </c>
      <c r="F700" s="129" t="s">
        <v>667</v>
      </c>
      <c r="G700" s="129" t="s">
        <v>1537</v>
      </c>
    </row>
    <row r="701" spans="2:7">
      <c r="B701" s="56">
        <v>46279</v>
      </c>
      <c r="C701" s="69">
        <v>46279.421261574076</v>
      </c>
      <c r="D701" s="55" t="s">
        <v>684</v>
      </c>
      <c r="E701" s="55" t="s">
        <v>1570</v>
      </c>
      <c r="F701" s="129" t="s">
        <v>667</v>
      </c>
      <c r="G701" s="129" t="s">
        <v>1537</v>
      </c>
    </row>
    <row r="702" spans="2:7">
      <c r="B702" s="56">
        <v>46279</v>
      </c>
      <c r="C702" s="69">
        <v>46279.421296296299</v>
      </c>
      <c r="D702" s="55" t="s">
        <v>684</v>
      </c>
      <c r="E702" s="55" t="s">
        <v>1571</v>
      </c>
      <c r="F702" s="129" t="s">
        <v>667</v>
      </c>
      <c r="G702" s="129" t="s">
        <v>1537</v>
      </c>
    </row>
    <row r="703" spans="2:7">
      <c r="B703" s="56">
        <v>46279</v>
      </c>
      <c r="C703" s="69">
        <v>46279.421319444446</v>
      </c>
      <c r="D703" s="55" t="s">
        <v>684</v>
      </c>
      <c r="E703" s="55" t="s">
        <v>1572</v>
      </c>
      <c r="F703" s="129" t="s">
        <v>667</v>
      </c>
      <c r="G703" s="129" t="s">
        <v>1537</v>
      </c>
    </row>
    <row r="704" spans="2:7">
      <c r="B704" s="56">
        <v>46279</v>
      </c>
      <c r="C704" s="69">
        <v>46279.421354166669</v>
      </c>
      <c r="D704" s="55" t="s">
        <v>684</v>
      </c>
      <c r="E704" s="55" t="s">
        <v>1573</v>
      </c>
      <c r="F704" s="129" t="s">
        <v>667</v>
      </c>
      <c r="G704" s="129" t="s">
        <v>1537</v>
      </c>
    </row>
    <row r="705" spans="2:7">
      <c r="B705" s="56">
        <v>46279</v>
      </c>
      <c r="C705" s="69">
        <v>46279.421412037038</v>
      </c>
      <c r="D705" s="55" t="s">
        <v>684</v>
      </c>
      <c r="E705" s="55" t="s">
        <v>1574</v>
      </c>
      <c r="F705" s="129" t="s">
        <v>667</v>
      </c>
      <c r="G705" s="129" t="s">
        <v>1537</v>
      </c>
    </row>
    <row r="706" spans="2:7">
      <c r="B706" s="56">
        <v>46279</v>
      </c>
      <c r="C706" s="69">
        <v>46279.421446759261</v>
      </c>
      <c r="D706" s="55" t="s">
        <v>684</v>
      </c>
      <c r="E706" s="55" t="s">
        <v>1016</v>
      </c>
      <c r="F706" s="129" t="s">
        <v>667</v>
      </c>
      <c r="G706" s="129" t="s">
        <v>1537</v>
      </c>
    </row>
    <row r="707" spans="2:7" ht="184.8">
      <c r="B707" s="56">
        <v>46280</v>
      </c>
      <c r="C707" s="69">
        <v>46280.489768518521</v>
      </c>
      <c r="D707" s="55" t="s">
        <v>684</v>
      </c>
      <c r="E707" s="55" t="s">
        <v>1576</v>
      </c>
      <c r="G707" s="129" t="s">
        <v>1575</v>
      </c>
    </row>
    <row r="708" spans="2:7" ht="39.6">
      <c r="B708" s="56">
        <v>46280</v>
      </c>
      <c r="C708" s="69">
        <v>46280.490243055552</v>
      </c>
      <c r="D708" s="55" t="s">
        <v>684</v>
      </c>
      <c r="E708" s="55" t="s">
        <v>1250</v>
      </c>
      <c r="G708" s="129" t="s">
        <v>562</v>
      </c>
    </row>
    <row r="709" spans="2:7" ht="66">
      <c r="B709" s="56">
        <v>46280</v>
      </c>
      <c r="C709" s="69">
        <v>46280.490543981483</v>
      </c>
      <c r="D709" s="55" t="s">
        <v>684</v>
      </c>
      <c r="E709" s="55" t="s">
        <v>1577</v>
      </c>
      <c r="G709" s="129" t="s">
        <v>568</v>
      </c>
    </row>
    <row r="710" spans="2:7" ht="66">
      <c r="B710" s="56">
        <v>46280</v>
      </c>
      <c r="C710" s="69">
        <v>46280.490567129629</v>
      </c>
      <c r="D710" s="55" t="s">
        <v>684</v>
      </c>
      <c r="E710" s="55" t="s">
        <v>1578</v>
      </c>
      <c r="G710" s="129" t="s">
        <v>568</v>
      </c>
    </row>
    <row r="711" spans="2:7" ht="92.4">
      <c r="B711" s="56">
        <v>46280</v>
      </c>
      <c r="C711" s="69">
        <v>46280.490798611114</v>
      </c>
      <c r="D711" s="55" t="s">
        <v>684</v>
      </c>
      <c r="E711" s="55" t="s">
        <v>1580</v>
      </c>
      <c r="G711" s="129" t="s">
        <v>1579</v>
      </c>
    </row>
    <row r="712" spans="2:7" ht="92.4">
      <c r="B712" s="56">
        <v>46280</v>
      </c>
      <c r="C712" s="69">
        <v>46280.49082175926</v>
      </c>
      <c r="D712" s="55" t="s">
        <v>684</v>
      </c>
      <c r="E712" s="55" t="s">
        <v>1581</v>
      </c>
      <c r="G712" s="129" t="s">
        <v>1579</v>
      </c>
    </row>
    <row r="713" spans="2:7" ht="26.4">
      <c r="B713" s="56">
        <v>46280</v>
      </c>
      <c r="C713" s="69">
        <v>46280.509456018517</v>
      </c>
      <c r="D713" s="55" t="s">
        <v>684</v>
      </c>
      <c r="E713" s="55" t="s">
        <v>1583</v>
      </c>
      <c r="F713" s="129" t="s">
        <v>8</v>
      </c>
      <c r="G713" s="129" t="s">
        <v>1582</v>
      </c>
    </row>
    <row r="714" spans="2:7">
      <c r="B714" s="56">
        <v>46280</v>
      </c>
      <c r="C714" s="69">
        <v>46280.522951388892</v>
      </c>
      <c r="D714" s="55" t="s">
        <v>684</v>
      </c>
      <c r="E714" s="55" t="s">
        <v>1280</v>
      </c>
      <c r="F714" s="129" t="s">
        <v>1274</v>
      </c>
      <c r="G714" s="130">
        <v>46142</v>
      </c>
    </row>
    <row r="715" spans="2:7">
      <c r="B715" s="56">
        <v>46280</v>
      </c>
      <c r="C715" s="69">
        <v>46280.523263888892</v>
      </c>
      <c r="D715" s="55" t="s">
        <v>684</v>
      </c>
      <c r="E715" s="55" t="s">
        <v>1275</v>
      </c>
      <c r="F715" s="129" t="s">
        <v>1274</v>
      </c>
      <c r="G715" s="130">
        <v>46142</v>
      </c>
    </row>
    <row r="716" spans="2:7">
      <c r="B716" s="56">
        <v>46280</v>
      </c>
      <c r="C716" s="69">
        <v>46280.526261574072</v>
      </c>
      <c r="D716" s="55" t="s">
        <v>684</v>
      </c>
      <c r="E716" s="55" t="s">
        <v>1584</v>
      </c>
      <c r="F716" s="130">
        <v>45323</v>
      </c>
      <c r="G716" s="130">
        <v>45381</v>
      </c>
    </row>
    <row r="717" spans="2:7">
      <c r="B717" s="56">
        <v>46280</v>
      </c>
      <c r="C717" s="69">
        <v>46280.670011574075</v>
      </c>
      <c r="D717" s="55" t="s">
        <v>684</v>
      </c>
      <c r="E717" s="55" t="s">
        <v>1292</v>
      </c>
      <c r="G717" s="129" t="s">
        <v>1585</v>
      </c>
    </row>
    <row r="718" spans="2:7">
      <c r="B718" s="56">
        <v>46280</v>
      </c>
      <c r="C718" s="69">
        <v>46280.67083333333</v>
      </c>
      <c r="D718" s="55" t="s">
        <v>684</v>
      </c>
      <c r="E718" s="55" t="s">
        <v>1586</v>
      </c>
      <c r="G718" s="129">
        <v>1</v>
      </c>
    </row>
    <row r="719" spans="2:7">
      <c r="B719" s="56">
        <v>46280</v>
      </c>
      <c r="C719" s="69">
        <v>46280.671574074076</v>
      </c>
      <c r="D719" s="55" t="s">
        <v>684</v>
      </c>
      <c r="E719" s="55" t="s">
        <v>1587</v>
      </c>
      <c r="G719" s="129">
        <v>0.5</v>
      </c>
    </row>
    <row r="720" spans="2:7">
      <c r="B720" s="56">
        <v>46280</v>
      </c>
      <c r="C720" s="69">
        <v>46280.671631944446</v>
      </c>
      <c r="D720" s="55" t="s">
        <v>684</v>
      </c>
      <c r="E720" s="55" t="s">
        <v>1588</v>
      </c>
      <c r="G720" s="129">
        <v>0.5</v>
      </c>
    </row>
    <row r="721" spans="2:7">
      <c r="B721" s="56">
        <v>46280</v>
      </c>
      <c r="C721" s="69">
        <v>46280.672048611108</v>
      </c>
      <c r="D721" s="55" t="s">
        <v>684</v>
      </c>
      <c r="E721" s="55" t="s">
        <v>1589</v>
      </c>
      <c r="G721" s="129">
        <v>1</v>
      </c>
    </row>
    <row r="722" spans="2:7">
      <c r="B722" s="56">
        <v>46280</v>
      </c>
      <c r="C722" s="69">
        <v>46280.672071759262</v>
      </c>
      <c r="D722" s="55" t="s">
        <v>684</v>
      </c>
      <c r="E722" s="55" t="s">
        <v>1590</v>
      </c>
      <c r="G722" s="129">
        <v>1</v>
      </c>
    </row>
    <row r="723" spans="2:7">
      <c r="B723" s="56">
        <v>46280</v>
      </c>
      <c r="C723" s="69">
        <v>46280.672083333331</v>
      </c>
      <c r="D723" s="55" t="s">
        <v>684</v>
      </c>
      <c r="E723" s="55" t="s">
        <v>1591</v>
      </c>
      <c r="G723" s="129">
        <v>1</v>
      </c>
    </row>
    <row r="724" spans="2:7">
      <c r="B724" s="56">
        <v>46280</v>
      </c>
      <c r="C724" s="69">
        <v>46280.672129629631</v>
      </c>
      <c r="D724" s="55" t="s">
        <v>684</v>
      </c>
      <c r="E724" s="55" t="s">
        <v>1592</v>
      </c>
      <c r="G724" s="129">
        <v>1</v>
      </c>
    </row>
    <row r="725" spans="2:7">
      <c r="B725" s="56">
        <v>46280</v>
      </c>
      <c r="C725" s="69">
        <v>46280.6721412037</v>
      </c>
      <c r="D725" s="55" t="s">
        <v>684</v>
      </c>
      <c r="E725" s="55" t="s">
        <v>1593</v>
      </c>
      <c r="G725" s="129">
        <v>1</v>
      </c>
    </row>
    <row r="726" spans="2:7">
      <c r="B726" s="56">
        <v>46280</v>
      </c>
      <c r="C726" s="69">
        <v>46280.672152777777</v>
      </c>
      <c r="D726" s="55" t="s">
        <v>684</v>
      </c>
      <c r="E726" s="55" t="s">
        <v>1594</v>
      </c>
      <c r="G726" s="129">
        <v>1</v>
      </c>
    </row>
    <row r="727" spans="2:7">
      <c r="B727" s="56">
        <v>46280</v>
      </c>
      <c r="C727" s="69">
        <v>46280.672222222223</v>
      </c>
      <c r="D727" s="55" t="s">
        <v>684</v>
      </c>
      <c r="E727" s="55" t="s">
        <v>1595</v>
      </c>
      <c r="G727" s="129">
        <v>1</v>
      </c>
    </row>
    <row r="728" spans="2:7">
      <c r="B728" s="56">
        <v>46280</v>
      </c>
      <c r="C728" s="69">
        <v>46280.672303240739</v>
      </c>
      <c r="D728" s="55" t="s">
        <v>684</v>
      </c>
      <c r="E728" s="55" t="s">
        <v>1596</v>
      </c>
      <c r="G728" s="129">
        <v>1</v>
      </c>
    </row>
    <row r="729" spans="2:7">
      <c r="B729" s="56">
        <v>46280</v>
      </c>
      <c r="C729" s="69">
        <v>46280.672314814816</v>
      </c>
      <c r="D729" s="55" t="s">
        <v>684</v>
      </c>
      <c r="E729" s="55" t="s">
        <v>1597</v>
      </c>
      <c r="G729" s="129">
        <v>1</v>
      </c>
    </row>
    <row r="730" spans="2:7">
      <c r="B730" s="56">
        <v>46280</v>
      </c>
      <c r="C730" s="69">
        <v>46280.672326388885</v>
      </c>
      <c r="D730" s="55" t="s">
        <v>684</v>
      </c>
      <c r="E730" s="55" t="s">
        <v>1598</v>
      </c>
      <c r="G730" s="129">
        <v>1</v>
      </c>
    </row>
    <row r="731" spans="2:7">
      <c r="B731" s="56">
        <v>46280</v>
      </c>
      <c r="C731" s="69">
        <v>46280.672337962962</v>
      </c>
      <c r="D731" s="55" t="s">
        <v>684</v>
      </c>
      <c r="E731" s="55" t="s">
        <v>1599</v>
      </c>
      <c r="G731" s="129">
        <v>1</v>
      </c>
    </row>
    <row r="732" spans="2:7">
      <c r="B732" s="56">
        <v>46280</v>
      </c>
      <c r="C732" s="69">
        <v>46280.672361111108</v>
      </c>
      <c r="D732" s="55" t="s">
        <v>684</v>
      </c>
      <c r="E732" s="55" t="s">
        <v>1600</v>
      </c>
      <c r="G732" s="129">
        <v>1</v>
      </c>
    </row>
    <row r="733" spans="2:7">
      <c r="B733" s="56">
        <v>46280</v>
      </c>
      <c r="C733" s="69">
        <v>46280.672372685185</v>
      </c>
      <c r="D733" s="55" t="s">
        <v>684</v>
      </c>
      <c r="E733" s="55" t="s">
        <v>1601</v>
      </c>
      <c r="G733" s="129">
        <v>1</v>
      </c>
    </row>
    <row r="734" spans="2:7">
      <c r="B734" s="56">
        <v>46280</v>
      </c>
      <c r="C734" s="69">
        <v>46280.672384259262</v>
      </c>
      <c r="D734" s="55" t="s">
        <v>684</v>
      </c>
      <c r="E734" s="55" t="s">
        <v>1602</v>
      </c>
      <c r="G734" s="129">
        <v>1</v>
      </c>
    </row>
    <row r="735" spans="2:7">
      <c r="B735" s="56">
        <v>46280</v>
      </c>
      <c r="C735" s="69">
        <v>46280.672395833331</v>
      </c>
      <c r="D735" s="55" t="s">
        <v>684</v>
      </c>
      <c r="E735" s="55" t="s">
        <v>1603</v>
      </c>
      <c r="G735" s="129">
        <v>1</v>
      </c>
    </row>
    <row r="736" spans="2:7">
      <c r="B736" s="56">
        <v>46280</v>
      </c>
      <c r="C736" s="69">
        <v>46280.672407407408</v>
      </c>
      <c r="D736" s="55" t="s">
        <v>684</v>
      </c>
      <c r="E736" s="55" t="s">
        <v>1604</v>
      </c>
      <c r="G736" s="129">
        <v>1</v>
      </c>
    </row>
    <row r="737" spans="2:7">
      <c r="B737" s="56">
        <v>46280</v>
      </c>
      <c r="C737" s="69">
        <v>46280.672407407408</v>
      </c>
      <c r="D737" s="55" t="s">
        <v>684</v>
      </c>
      <c r="E737" s="55" t="s">
        <v>1605</v>
      </c>
      <c r="G737" s="129">
        <v>1</v>
      </c>
    </row>
    <row r="738" spans="2:7">
      <c r="B738" s="56">
        <v>46280</v>
      </c>
      <c r="C738" s="69">
        <v>46280.672488425924</v>
      </c>
      <c r="D738" s="55" t="s">
        <v>684</v>
      </c>
      <c r="E738" s="55" t="s">
        <v>1606</v>
      </c>
      <c r="G738" s="129">
        <v>1</v>
      </c>
    </row>
    <row r="739" spans="2:7">
      <c r="B739" s="56">
        <v>46280</v>
      </c>
      <c r="C739" s="69">
        <v>46280.672592592593</v>
      </c>
      <c r="D739" s="55" t="s">
        <v>684</v>
      </c>
      <c r="E739" s="55" t="s">
        <v>1607</v>
      </c>
      <c r="G739" s="129">
        <v>1</v>
      </c>
    </row>
    <row r="740" spans="2:7">
      <c r="B740" s="56">
        <v>46280</v>
      </c>
      <c r="C740" s="69">
        <v>46280.672615740739</v>
      </c>
      <c r="D740" s="55" t="s">
        <v>684</v>
      </c>
      <c r="E740" s="55" t="s">
        <v>1608</v>
      </c>
      <c r="G740" s="129">
        <v>1</v>
      </c>
    </row>
    <row r="741" spans="2:7">
      <c r="B741" s="56">
        <v>46280</v>
      </c>
      <c r="C741" s="69">
        <v>46280.672627314816</v>
      </c>
      <c r="D741" s="55" t="s">
        <v>684</v>
      </c>
      <c r="E741" s="55" t="s">
        <v>1609</v>
      </c>
      <c r="G741" s="129">
        <v>1</v>
      </c>
    </row>
    <row r="742" spans="2:7">
      <c r="B742" s="56">
        <v>46280</v>
      </c>
      <c r="C742" s="69">
        <v>46280.672638888886</v>
      </c>
      <c r="D742" s="55" t="s">
        <v>684</v>
      </c>
      <c r="E742" s="55" t="s">
        <v>1610</v>
      </c>
      <c r="G742" s="129">
        <v>1</v>
      </c>
    </row>
    <row r="743" spans="2:7">
      <c r="B743" s="56">
        <v>46280</v>
      </c>
      <c r="C743" s="69">
        <v>46280.672650462962</v>
      </c>
      <c r="D743" s="55" t="s">
        <v>684</v>
      </c>
      <c r="E743" s="55" t="s">
        <v>1611</v>
      </c>
      <c r="G743" s="129">
        <v>1</v>
      </c>
    </row>
    <row r="744" spans="2:7">
      <c r="B744" s="56">
        <v>46280</v>
      </c>
      <c r="C744" s="69">
        <v>46280.672662037039</v>
      </c>
      <c r="D744" s="55" t="s">
        <v>684</v>
      </c>
      <c r="E744" s="55" t="s">
        <v>1612</v>
      </c>
      <c r="G744" s="129">
        <v>1</v>
      </c>
    </row>
    <row r="745" spans="2:7">
      <c r="B745" s="56">
        <v>46280</v>
      </c>
      <c r="C745" s="69">
        <v>46280.672673611109</v>
      </c>
      <c r="D745" s="55" t="s">
        <v>684</v>
      </c>
      <c r="E745" s="55" t="s">
        <v>1613</v>
      </c>
      <c r="G745" s="129">
        <v>1</v>
      </c>
    </row>
    <row r="746" spans="2:7">
      <c r="B746" s="56">
        <v>46280</v>
      </c>
      <c r="C746" s="69">
        <v>46280.672673611109</v>
      </c>
      <c r="D746" s="55" t="s">
        <v>684</v>
      </c>
      <c r="E746" s="55" t="s">
        <v>1614</v>
      </c>
      <c r="G746" s="129">
        <v>1</v>
      </c>
    </row>
    <row r="747" spans="2:7">
      <c r="B747" s="56">
        <v>46280</v>
      </c>
      <c r="C747" s="69">
        <v>46280.672743055555</v>
      </c>
      <c r="D747" s="55" t="s">
        <v>684</v>
      </c>
      <c r="E747" s="55" t="s">
        <v>1615</v>
      </c>
      <c r="G747" s="129">
        <v>4</v>
      </c>
    </row>
    <row r="748" spans="2:7">
      <c r="B748" s="56">
        <v>46280</v>
      </c>
      <c r="C748" s="69">
        <v>46280.672777777778</v>
      </c>
      <c r="D748" s="55" t="s">
        <v>684</v>
      </c>
      <c r="E748" s="55" t="s">
        <v>1614</v>
      </c>
      <c r="F748" s="129">
        <v>1</v>
      </c>
      <c r="G748" s="129">
        <v>0.5</v>
      </c>
    </row>
    <row r="749" spans="2:7">
      <c r="B749" s="56">
        <v>46280</v>
      </c>
      <c r="C749" s="69">
        <v>46280.672812500001</v>
      </c>
      <c r="D749" s="55" t="s">
        <v>684</v>
      </c>
      <c r="E749" s="55" t="s">
        <v>1615</v>
      </c>
      <c r="F749" s="129">
        <v>4</v>
      </c>
      <c r="G749" s="129">
        <v>0.5</v>
      </c>
    </row>
    <row r="750" spans="2:7">
      <c r="B750" s="56">
        <v>46280</v>
      </c>
      <c r="C750" s="69">
        <v>46280.672835648147</v>
      </c>
      <c r="D750" s="55" t="s">
        <v>684</v>
      </c>
      <c r="E750" s="55" t="s">
        <v>1616</v>
      </c>
      <c r="G750" s="129">
        <v>1</v>
      </c>
    </row>
    <row r="751" spans="2:7">
      <c r="B751" s="56">
        <v>46280</v>
      </c>
      <c r="C751" s="69">
        <v>46280.672835648147</v>
      </c>
      <c r="D751" s="55" t="s">
        <v>684</v>
      </c>
      <c r="E751" s="55" t="s">
        <v>1617</v>
      </c>
      <c r="G751" s="129">
        <v>1</v>
      </c>
    </row>
    <row r="752" spans="2:7">
      <c r="B752" s="56">
        <v>46280</v>
      </c>
      <c r="C752" s="69">
        <v>46280.672858796293</v>
      </c>
      <c r="D752" s="55" t="s">
        <v>684</v>
      </c>
      <c r="E752" s="55" t="s">
        <v>1618</v>
      </c>
      <c r="G752" s="129">
        <v>1</v>
      </c>
    </row>
    <row r="753" spans="2:7">
      <c r="B753" s="56">
        <v>46280</v>
      </c>
      <c r="C753" s="69">
        <v>46280.67287037037</v>
      </c>
      <c r="D753" s="55" t="s">
        <v>684</v>
      </c>
      <c r="E753" s="55" t="s">
        <v>1619</v>
      </c>
      <c r="G753" s="129">
        <v>1</v>
      </c>
    </row>
    <row r="754" spans="2:7">
      <c r="B754" s="56">
        <v>46280</v>
      </c>
      <c r="C754" s="69">
        <v>46280.67287037037</v>
      </c>
      <c r="D754" s="55" t="s">
        <v>684</v>
      </c>
      <c r="E754" s="55" t="s">
        <v>1620</v>
      </c>
      <c r="G754" s="129">
        <v>1</v>
      </c>
    </row>
    <row r="755" spans="2:7">
      <c r="B755" s="56">
        <v>46280</v>
      </c>
      <c r="C755" s="69">
        <v>46280.672881944447</v>
      </c>
      <c r="D755" s="55" t="s">
        <v>684</v>
      </c>
      <c r="E755" s="55" t="s">
        <v>1621</v>
      </c>
      <c r="G755" s="129">
        <v>1</v>
      </c>
    </row>
    <row r="756" spans="2:7">
      <c r="B756" s="56">
        <v>46280</v>
      </c>
      <c r="C756" s="69">
        <v>46280.672905092593</v>
      </c>
      <c r="D756" s="55" t="s">
        <v>684</v>
      </c>
      <c r="E756" s="55" t="s">
        <v>1622</v>
      </c>
      <c r="G756" s="129">
        <v>1</v>
      </c>
    </row>
    <row r="757" spans="2:7">
      <c r="B757" s="56">
        <v>46280</v>
      </c>
      <c r="C757" s="69">
        <v>46280.67291666667</v>
      </c>
      <c r="D757" s="55" t="s">
        <v>684</v>
      </c>
      <c r="E757" s="55" t="s">
        <v>1623</v>
      </c>
      <c r="G757" s="129">
        <v>1</v>
      </c>
    </row>
    <row r="758" spans="2:7">
      <c r="B758" s="56">
        <v>46280</v>
      </c>
      <c r="C758" s="69">
        <v>46280.67292824074</v>
      </c>
      <c r="D758" s="55" t="s">
        <v>684</v>
      </c>
      <c r="E758" s="55" t="s">
        <v>1624</v>
      </c>
      <c r="G758" s="129">
        <v>1</v>
      </c>
    </row>
    <row r="759" spans="2:7">
      <c r="B759" s="56">
        <v>46280</v>
      </c>
      <c r="C759" s="69">
        <v>46280.672939814816</v>
      </c>
      <c r="D759" s="55" t="s">
        <v>684</v>
      </c>
      <c r="E759" s="55" t="s">
        <v>1625</v>
      </c>
      <c r="G759" s="129">
        <v>1</v>
      </c>
    </row>
    <row r="760" spans="2:7">
      <c r="B760" s="56">
        <v>46280</v>
      </c>
      <c r="C760" s="69">
        <v>46280.672951388886</v>
      </c>
      <c r="D760" s="55" t="s">
        <v>684</v>
      </c>
      <c r="E760" s="55" t="s">
        <v>1626</v>
      </c>
      <c r="G760" s="129">
        <v>1</v>
      </c>
    </row>
    <row r="761" spans="2:7">
      <c r="B761" s="56">
        <v>46280</v>
      </c>
      <c r="C761" s="69">
        <v>46280.672962962963</v>
      </c>
      <c r="D761" s="55" t="s">
        <v>684</v>
      </c>
      <c r="E761" s="55" t="s">
        <v>1627</v>
      </c>
      <c r="G761" s="129">
        <v>1</v>
      </c>
    </row>
    <row r="762" spans="2:7">
      <c r="B762" s="56">
        <v>46280</v>
      </c>
      <c r="C762" s="69">
        <v>46280.673043981478</v>
      </c>
      <c r="D762" s="55" t="s">
        <v>684</v>
      </c>
      <c r="E762" s="55" t="s">
        <v>1627</v>
      </c>
      <c r="F762" s="129">
        <v>1</v>
      </c>
      <c r="G762" s="129">
        <v>0.5</v>
      </c>
    </row>
    <row r="763" spans="2:7">
      <c r="B763" s="56">
        <v>46280</v>
      </c>
      <c r="C763" s="69">
        <v>46280.673067129632</v>
      </c>
      <c r="D763" s="55" t="s">
        <v>684</v>
      </c>
      <c r="E763" s="55" t="s">
        <v>1628</v>
      </c>
      <c r="G763" s="129">
        <v>0.5</v>
      </c>
    </row>
    <row r="764" spans="2:7">
      <c r="B764" s="56">
        <v>46280</v>
      </c>
      <c r="C764" s="69">
        <v>46280.673252314817</v>
      </c>
      <c r="D764" s="55" t="s">
        <v>684</v>
      </c>
      <c r="E764" s="55" t="s">
        <v>1629</v>
      </c>
      <c r="G764" s="129">
        <v>0.5</v>
      </c>
    </row>
    <row r="765" spans="2:7">
      <c r="B765" s="56">
        <v>46280</v>
      </c>
      <c r="C765" s="69">
        <v>46280.67328703704</v>
      </c>
      <c r="D765" s="55" t="s">
        <v>684</v>
      </c>
      <c r="E765" s="55" t="s">
        <v>1630</v>
      </c>
      <c r="G765" s="129">
        <v>0.5</v>
      </c>
    </row>
    <row r="766" spans="2:7">
      <c r="B766" s="56">
        <v>46280</v>
      </c>
      <c r="C766" s="69">
        <v>46280.673356481479</v>
      </c>
      <c r="D766" s="55" t="s">
        <v>684</v>
      </c>
      <c r="E766" s="55" t="s">
        <v>1631</v>
      </c>
      <c r="G766" s="129">
        <v>1</v>
      </c>
    </row>
    <row r="767" spans="2:7">
      <c r="B767" s="56">
        <v>46280</v>
      </c>
      <c r="C767" s="69">
        <v>46280.673402777778</v>
      </c>
      <c r="D767" s="55" t="s">
        <v>684</v>
      </c>
      <c r="E767" s="55" t="s">
        <v>1632</v>
      </c>
      <c r="G767" s="129">
        <v>10</v>
      </c>
    </row>
    <row r="768" spans="2:7">
      <c r="B768" s="56">
        <v>46280</v>
      </c>
      <c r="C768" s="69">
        <v>46280.673437500001</v>
      </c>
      <c r="D768" s="55" t="s">
        <v>684</v>
      </c>
      <c r="E768" s="55" t="s">
        <v>1632</v>
      </c>
      <c r="F768" s="129">
        <v>10</v>
      </c>
      <c r="G768" s="129">
        <v>0.5</v>
      </c>
    </row>
    <row r="769" spans="2:7">
      <c r="B769" s="56">
        <v>46280</v>
      </c>
      <c r="C769" s="69">
        <v>46280.673472222225</v>
      </c>
      <c r="D769" s="55" t="s">
        <v>684</v>
      </c>
      <c r="E769" s="55" t="s">
        <v>1633</v>
      </c>
      <c r="G769" s="129">
        <v>0.5</v>
      </c>
    </row>
    <row r="770" spans="2:7">
      <c r="B770" s="56">
        <v>46280</v>
      </c>
      <c r="C770" s="69">
        <v>46280.67496527778</v>
      </c>
      <c r="D770" s="55" t="s">
        <v>684</v>
      </c>
      <c r="E770" s="55" t="s">
        <v>1634</v>
      </c>
      <c r="G770" s="129">
        <v>0.33</v>
      </c>
    </row>
    <row r="771" spans="2:7">
      <c r="B771" s="56">
        <v>46280</v>
      </c>
      <c r="C771" s="69">
        <v>46280.675011574072</v>
      </c>
      <c r="D771" s="55" t="s">
        <v>684</v>
      </c>
      <c r="E771" s="55" t="s">
        <v>1632</v>
      </c>
      <c r="F771" s="129">
        <v>0.5</v>
      </c>
      <c r="G771" s="129">
        <v>0.33</v>
      </c>
    </row>
    <row r="772" spans="2:7">
      <c r="B772" s="56">
        <v>46280</v>
      </c>
      <c r="C772" s="69">
        <v>46280.675046296295</v>
      </c>
      <c r="D772" s="55" t="s">
        <v>684</v>
      </c>
      <c r="E772" s="55" t="s">
        <v>1633</v>
      </c>
      <c r="F772" s="129">
        <v>0.5</v>
      </c>
      <c r="G772" s="129">
        <v>0.33</v>
      </c>
    </row>
    <row r="773" spans="2:7">
      <c r="B773" s="56">
        <v>46280</v>
      </c>
      <c r="C773" s="69">
        <v>46280.675092592595</v>
      </c>
      <c r="D773" s="55" t="s">
        <v>684</v>
      </c>
      <c r="E773" s="55" t="s">
        <v>1634</v>
      </c>
      <c r="F773" s="129">
        <v>0.33</v>
      </c>
      <c r="G773" s="129">
        <v>0.34</v>
      </c>
    </row>
    <row r="774" spans="2:7">
      <c r="B774" s="56">
        <v>46280</v>
      </c>
      <c r="C774" s="69">
        <v>46280.675185185188</v>
      </c>
      <c r="D774" s="55" t="s">
        <v>684</v>
      </c>
      <c r="E774" s="55" t="s">
        <v>1635</v>
      </c>
      <c r="G774" s="129">
        <v>0.5</v>
      </c>
    </row>
    <row r="775" spans="2:7">
      <c r="B775" s="56">
        <v>46280</v>
      </c>
      <c r="C775" s="69">
        <v>46280.675208333334</v>
      </c>
      <c r="D775" s="55" t="s">
        <v>684</v>
      </c>
      <c r="E775" s="55" t="s">
        <v>1636</v>
      </c>
      <c r="G775" s="129">
        <v>0.5</v>
      </c>
    </row>
    <row r="776" spans="2:7">
      <c r="B776" s="56">
        <v>46280</v>
      </c>
      <c r="C776" s="69">
        <v>46280.675243055557</v>
      </c>
      <c r="D776" s="55" t="s">
        <v>684</v>
      </c>
      <c r="E776" s="55" t="s">
        <v>1637</v>
      </c>
      <c r="G776" s="129">
        <v>1</v>
      </c>
    </row>
    <row r="777" spans="2:7">
      <c r="B777" s="56">
        <v>46280</v>
      </c>
      <c r="C777" s="69">
        <v>46280.675254629627</v>
      </c>
      <c r="D777" s="55" t="s">
        <v>684</v>
      </c>
      <c r="E777" s="55" t="s">
        <v>1638</v>
      </c>
      <c r="G777" s="129">
        <v>1</v>
      </c>
    </row>
    <row r="778" spans="2:7">
      <c r="B778" s="56">
        <v>46280</v>
      </c>
      <c r="C778" s="69">
        <v>46280.675266203703</v>
      </c>
      <c r="D778" s="55" t="s">
        <v>684</v>
      </c>
      <c r="E778" s="55" t="s">
        <v>1639</v>
      </c>
      <c r="G778" s="129">
        <v>1</v>
      </c>
    </row>
    <row r="779" spans="2:7">
      <c r="B779" s="56">
        <v>46280</v>
      </c>
      <c r="C779" s="69">
        <v>46280.67527777778</v>
      </c>
      <c r="D779" s="55" t="s">
        <v>684</v>
      </c>
      <c r="E779" s="55" t="s">
        <v>1640</v>
      </c>
      <c r="G779" s="129">
        <v>1</v>
      </c>
    </row>
    <row r="780" spans="2:7">
      <c r="B780" s="56">
        <v>46280</v>
      </c>
      <c r="C780" s="69">
        <v>46280.67528935185</v>
      </c>
      <c r="D780" s="55" t="s">
        <v>684</v>
      </c>
      <c r="E780" s="55" t="s">
        <v>1641</v>
      </c>
      <c r="G780" s="129">
        <v>1</v>
      </c>
    </row>
    <row r="781" spans="2:7">
      <c r="B781" s="56">
        <v>46280</v>
      </c>
      <c r="C781" s="69">
        <v>46280.675324074073</v>
      </c>
      <c r="D781" s="55" t="s">
        <v>684</v>
      </c>
      <c r="E781" s="55" t="s">
        <v>1642</v>
      </c>
      <c r="G781" s="129">
        <v>4</v>
      </c>
    </row>
    <row r="782" spans="2:7">
      <c r="B782" s="56">
        <v>46280</v>
      </c>
      <c r="C782" s="69">
        <v>46280.675428240742</v>
      </c>
      <c r="D782" s="55" t="s">
        <v>684</v>
      </c>
      <c r="E782" s="55" t="s">
        <v>1641</v>
      </c>
      <c r="F782" s="129">
        <v>1</v>
      </c>
      <c r="G782" s="129">
        <v>0.33</v>
      </c>
    </row>
    <row r="783" spans="2:7">
      <c r="B783" s="56">
        <v>46280</v>
      </c>
      <c r="C783" s="69">
        <v>46280.675462962965</v>
      </c>
      <c r="D783" s="55" t="s">
        <v>684</v>
      </c>
      <c r="E783" s="55" t="s">
        <v>1642</v>
      </c>
      <c r="F783" s="129">
        <v>4</v>
      </c>
      <c r="G783" s="129">
        <v>0.33</v>
      </c>
    </row>
    <row r="784" spans="2:7">
      <c r="B784" s="56">
        <v>46280</v>
      </c>
      <c r="C784" s="69">
        <v>46280.675497685188</v>
      </c>
      <c r="D784" s="55" t="s">
        <v>684</v>
      </c>
      <c r="E784" s="55" t="s">
        <v>1643</v>
      </c>
      <c r="G784" s="129">
        <v>0.34</v>
      </c>
    </row>
    <row r="785" spans="2:7">
      <c r="B785" s="56">
        <v>46280</v>
      </c>
      <c r="C785" s="69">
        <v>46280.675578703704</v>
      </c>
      <c r="D785" s="55" t="s">
        <v>684</v>
      </c>
      <c r="E785" s="55" t="s">
        <v>1644</v>
      </c>
      <c r="G785" s="129">
        <v>0.33</v>
      </c>
    </row>
    <row r="786" spans="2:7">
      <c r="B786" s="56">
        <v>46280</v>
      </c>
      <c r="C786" s="69">
        <v>46280.67559027778</v>
      </c>
      <c r="D786" s="55" t="s">
        <v>684</v>
      </c>
      <c r="E786" s="55" t="s">
        <v>1645</v>
      </c>
      <c r="G786" s="129">
        <v>0.33</v>
      </c>
    </row>
    <row r="787" spans="2:7">
      <c r="B787" s="56">
        <v>46280</v>
      </c>
      <c r="C787" s="69">
        <v>46280.675625000003</v>
      </c>
      <c r="D787" s="55" t="s">
        <v>684</v>
      </c>
      <c r="E787" s="55" t="s">
        <v>1646</v>
      </c>
      <c r="G787" s="129">
        <v>0.34</v>
      </c>
    </row>
    <row r="788" spans="2:7">
      <c r="B788" s="56">
        <v>46280</v>
      </c>
      <c r="C788" s="69">
        <v>46280.675694444442</v>
      </c>
      <c r="D788" s="55" t="s">
        <v>684</v>
      </c>
      <c r="E788" s="55" t="s">
        <v>1647</v>
      </c>
      <c r="G788" s="129">
        <v>0.5</v>
      </c>
    </row>
    <row r="789" spans="2:7">
      <c r="B789" s="56">
        <v>46280</v>
      </c>
      <c r="C789" s="69">
        <v>46280.675717592596</v>
      </c>
      <c r="D789" s="55" t="s">
        <v>684</v>
      </c>
      <c r="E789" s="55" t="s">
        <v>1648</v>
      </c>
      <c r="G789" s="129">
        <v>0.5</v>
      </c>
    </row>
    <row r="790" spans="2:7">
      <c r="B790" s="56">
        <v>46280</v>
      </c>
      <c r="C790" s="69">
        <v>46280.675752314812</v>
      </c>
      <c r="D790" s="55" t="s">
        <v>684</v>
      </c>
      <c r="E790" s="55" t="s">
        <v>1649</v>
      </c>
      <c r="G790" s="129">
        <v>1</v>
      </c>
    </row>
    <row r="791" spans="2:7">
      <c r="B791" s="56">
        <v>46280</v>
      </c>
      <c r="C791" s="69">
        <v>46280.675752314812</v>
      </c>
      <c r="D791" s="55" t="s">
        <v>684</v>
      </c>
      <c r="E791" s="55" t="s">
        <v>1650</v>
      </c>
      <c r="G791" s="129">
        <v>1</v>
      </c>
    </row>
    <row r="792" spans="2:7">
      <c r="B792" s="56">
        <v>46280</v>
      </c>
      <c r="C792" s="69">
        <v>46280.675763888888</v>
      </c>
      <c r="D792" s="55" t="s">
        <v>684</v>
      </c>
      <c r="E792" s="55" t="s">
        <v>1651</v>
      </c>
      <c r="G792" s="129">
        <v>1</v>
      </c>
    </row>
    <row r="793" spans="2:7">
      <c r="B793" s="56">
        <v>46280</v>
      </c>
      <c r="C793" s="69">
        <v>46280.675775462965</v>
      </c>
      <c r="D793" s="55" t="s">
        <v>684</v>
      </c>
      <c r="E793" s="55" t="s">
        <v>1652</v>
      </c>
      <c r="G793" s="129">
        <v>1</v>
      </c>
    </row>
    <row r="794" spans="2:7">
      <c r="B794" s="56">
        <v>46280</v>
      </c>
      <c r="C794" s="69">
        <v>46280.675798611112</v>
      </c>
      <c r="D794" s="55" t="s">
        <v>684</v>
      </c>
      <c r="E794" s="55" t="s">
        <v>1653</v>
      </c>
      <c r="G794" s="129">
        <v>1</v>
      </c>
    </row>
    <row r="795" spans="2:7">
      <c r="B795" s="56">
        <v>46280</v>
      </c>
      <c r="C795" s="69">
        <v>46280.675821759258</v>
      </c>
      <c r="D795" s="55" t="s">
        <v>684</v>
      </c>
      <c r="E795" s="55" t="s">
        <v>1653</v>
      </c>
      <c r="F795" s="129">
        <v>1</v>
      </c>
      <c r="G795" s="129">
        <v>0.5</v>
      </c>
    </row>
    <row r="796" spans="2:7">
      <c r="B796" s="56">
        <v>46280</v>
      </c>
      <c r="C796" s="69">
        <v>46280.675844907404</v>
      </c>
      <c r="D796" s="55" t="s">
        <v>684</v>
      </c>
      <c r="E796" s="55" t="s">
        <v>1654</v>
      </c>
      <c r="G796" s="129">
        <v>0.5</v>
      </c>
    </row>
    <row r="797" spans="2:7">
      <c r="B797" s="56">
        <v>46280</v>
      </c>
      <c r="C797" s="69">
        <v>46280.675879629627</v>
      </c>
      <c r="D797" s="55" t="s">
        <v>684</v>
      </c>
      <c r="E797" s="55" t="s">
        <v>1655</v>
      </c>
      <c r="G797" s="129">
        <v>1</v>
      </c>
    </row>
    <row r="798" spans="2:7">
      <c r="B798" s="56">
        <v>46280</v>
      </c>
      <c r="C798" s="69">
        <v>46280.675902777781</v>
      </c>
      <c r="D798" s="55" t="s">
        <v>684</v>
      </c>
      <c r="E798" s="55" t="s">
        <v>1656</v>
      </c>
      <c r="G798" s="129">
        <v>1</v>
      </c>
    </row>
    <row r="799" spans="2:7">
      <c r="B799" s="56">
        <v>46280</v>
      </c>
      <c r="C799" s="69">
        <v>46280.67591435185</v>
      </c>
      <c r="D799" s="55" t="s">
        <v>684</v>
      </c>
      <c r="E799" s="55" t="s">
        <v>1657</v>
      </c>
      <c r="G799" s="129">
        <v>1</v>
      </c>
    </row>
    <row r="800" spans="2:7">
      <c r="B800" s="56">
        <v>46280</v>
      </c>
      <c r="C800" s="69">
        <v>46280.67597222222</v>
      </c>
      <c r="D800" s="55" t="s">
        <v>684</v>
      </c>
      <c r="E800" s="55" t="s">
        <v>1657</v>
      </c>
      <c r="F800" s="129">
        <v>1</v>
      </c>
      <c r="G800" s="129">
        <v>0.5</v>
      </c>
    </row>
    <row r="801" spans="2:7">
      <c r="B801" s="56">
        <v>46280</v>
      </c>
      <c r="C801" s="69">
        <v>46280.675983796296</v>
      </c>
      <c r="D801" s="55" t="s">
        <v>684</v>
      </c>
      <c r="E801" s="55" t="s">
        <v>1658</v>
      </c>
      <c r="G801" s="129">
        <v>0.5</v>
      </c>
    </row>
    <row r="802" spans="2:7">
      <c r="B802" s="56">
        <v>46280</v>
      </c>
      <c r="C802" s="69">
        <v>46280.676006944443</v>
      </c>
      <c r="D802" s="55" t="s">
        <v>684</v>
      </c>
      <c r="E802" s="55" t="s">
        <v>1659</v>
      </c>
      <c r="G802" s="129">
        <v>1</v>
      </c>
    </row>
    <row r="803" spans="2:7">
      <c r="B803" s="56">
        <v>46280</v>
      </c>
      <c r="C803" s="69">
        <v>46280.676018518519</v>
      </c>
      <c r="D803" s="55" t="s">
        <v>684</v>
      </c>
      <c r="E803" s="55" t="s">
        <v>1660</v>
      </c>
      <c r="G803" s="129">
        <v>1</v>
      </c>
    </row>
    <row r="804" spans="2:7">
      <c r="B804" s="56">
        <v>46280</v>
      </c>
      <c r="C804" s="69">
        <v>46280.676030092596</v>
      </c>
      <c r="D804" s="55" t="s">
        <v>684</v>
      </c>
      <c r="E804" s="55" t="s">
        <v>1661</v>
      </c>
      <c r="G804" s="129">
        <v>1</v>
      </c>
    </row>
    <row r="805" spans="2:7">
      <c r="B805" s="56">
        <v>46280</v>
      </c>
      <c r="C805" s="69">
        <v>46280.676134259258</v>
      </c>
      <c r="D805" s="55" t="s">
        <v>684</v>
      </c>
      <c r="E805" s="55" t="s">
        <v>1661</v>
      </c>
      <c r="F805" s="129">
        <v>1</v>
      </c>
      <c r="G805" s="129">
        <v>0.25</v>
      </c>
    </row>
    <row r="806" spans="2:7">
      <c r="B806" s="56">
        <v>46280</v>
      </c>
      <c r="C806" s="69">
        <v>46280.676157407404</v>
      </c>
      <c r="D806" s="55" t="s">
        <v>684</v>
      </c>
      <c r="E806" s="55" t="s">
        <v>1662</v>
      </c>
      <c r="G806" s="129">
        <v>0.25</v>
      </c>
    </row>
    <row r="807" spans="2:7">
      <c r="B807" s="56">
        <v>46280</v>
      </c>
      <c r="C807" s="69">
        <v>46280.676180555558</v>
      </c>
      <c r="D807" s="55" t="s">
        <v>684</v>
      </c>
      <c r="E807" s="55" t="s">
        <v>1663</v>
      </c>
      <c r="G807" s="129">
        <v>0.25</v>
      </c>
    </row>
    <row r="808" spans="2:7">
      <c r="B808" s="56">
        <v>46280</v>
      </c>
      <c r="C808" s="69">
        <v>46280.676215277781</v>
      </c>
      <c r="D808" s="55" t="s">
        <v>684</v>
      </c>
      <c r="E808" s="55" t="s">
        <v>1664</v>
      </c>
      <c r="G808" s="129">
        <v>0.25</v>
      </c>
    </row>
    <row r="809" spans="2:7">
      <c r="B809" s="56">
        <v>46280</v>
      </c>
      <c r="C809" s="69">
        <v>46280.676261574074</v>
      </c>
      <c r="D809" s="55" t="s">
        <v>684</v>
      </c>
      <c r="E809" s="55" t="s">
        <v>1665</v>
      </c>
      <c r="G809" s="129">
        <v>1</v>
      </c>
    </row>
    <row r="810" spans="2:7">
      <c r="B810" s="56">
        <v>46280</v>
      </c>
      <c r="C810" s="69">
        <v>46280.67627314815</v>
      </c>
      <c r="D810" s="55" t="s">
        <v>684</v>
      </c>
      <c r="E810" s="55" t="s">
        <v>1666</v>
      </c>
      <c r="G810" s="129">
        <v>1</v>
      </c>
    </row>
    <row r="811" spans="2:7">
      <c r="B811" s="56">
        <v>46280</v>
      </c>
      <c r="C811" s="69">
        <v>46280.676319444443</v>
      </c>
      <c r="D811" s="55" t="s">
        <v>684</v>
      </c>
      <c r="E811" s="55" t="s">
        <v>1666</v>
      </c>
      <c r="F811" s="129">
        <v>1</v>
      </c>
      <c r="G811" s="129">
        <v>0.5</v>
      </c>
    </row>
    <row r="812" spans="2:7">
      <c r="B812" s="56">
        <v>46280</v>
      </c>
      <c r="C812" s="69">
        <v>46280.676342592589</v>
      </c>
      <c r="D812" s="55" t="s">
        <v>684</v>
      </c>
      <c r="E812" s="55" t="s">
        <v>1667</v>
      </c>
      <c r="G812" s="129">
        <v>0.5</v>
      </c>
    </row>
    <row r="813" spans="2:7">
      <c r="B813" s="56">
        <v>46280</v>
      </c>
      <c r="C813" s="69">
        <v>46280.676365740743</v>
      </c>
      <c r="D813" s="55" t="s">
        <v>684</v>
      </c>
      <c r="E813" s="55" t="s">
        <v>1668</v>
      </c>
      <c r="G813" s="129">
        <v>1</v>
      </c>
    </row>
    <row r="814" spans="2:7">
      <c r="B814" s="56">
        <v>46280</v>
      </c>
      <c r="C814" s="69">
        <v>46280.676377314812</v>
      </c>
      <c r="D814" s="55" t="s">
        <v>684</v>
      </c>
      <c r="E814" s="55" t="s">
        <v>1669</v>
      </c>
      <c r="G814" s="129">
        <v>1</v>
      </c>
    </row>
    <row r="815" spans="2:7">
      <c r="B815" s="56">
        <v>46280</v>
      </c>
      <c r="C815" s="69">
        <v>46280.676388888889</v>
      </c>
      <c r="D815" s="55" t="s">
        <v>684</v>
      </c>
      <c r="E815" s="55" t="s">
        <v>1670</v>
      </c>
      <c r="G815" s="129">
        <v>1</v>
      </c>
    </row>
    <row r="816" spans="2:7">
      <c r="B816" s="56">
        <v>46280</v>
      </c>
      <c r="C816" s="69">
        <v>46280.676400462966</v>
      </c>
      <c r="D816" s="55" t="s">
        <v>684</v>
      </c>
      <c r="E816" s="55" t="s">
        <v>1671</v>
      </c>
      <c r="G816" s="129">
        <v>1</v>
      </c>
    </row>
    <row r="817" spans="2:7">
      <c r="B817" s="56">
        <v>46280</v>
      </c>
      <c r="C817" s="69">
        <v>46280.676412037035</v>
      </c>
      <c r="D817" s="55" t="s">
        <v>684</v>
      </c>
      <c r="E817" s="55" t="s">
        <v>1672</v>
      </c>
      <c r="G817" s="129">
        <v>1</v>
      </c>
    </row>
    <row r="818" spans="2:7">
      <c r="B818" s="56">
        <v>46280</v>
      </c>
      <c r="C818" s="69">
        <v>46280.676412037035</v>
      </c>
      <c r="D818" s="55" t="s">
        <v>684</v>
      </c>
      <c r="E818" s="55" t="s">
        <v>1673</v>
      </c>
      <c r="G818" s="129">
        <v>1</v>
      </c>
    </row>
    <row r="819" spans="2:7">
      <c r="B819" s="56">
        <v>46280</v>
      </c>
      <c r="C819" s="69">
        <v>46280.676423611112</v>
      </c>
      <c r="D819" s="55" t="s">
        <v>684</v>
      </c>
      <c r="E819" s="55" t="s">
        <v>1674</v>
      </c>
      <c r="G819" s="129">
        <v>1</v>
      </c>
    </row>
    <row r="820" spans="2:7">
      <c r="B820" s="56">
        <v>46280</v>
      </c>
      <c r="C820" s="69">
        <v>46280.676435185182</v>
      </c>
      <c r="D820" s="55" t="s">
        <v>684</v>
      </c>
      <c r="E820" s="55" t="s">
        <v>1675</v>
      </c>
      <c r="G820" s="129">
        <v>1</v>
      </c>
    </row>
    <row r="821" spans="2:7">
      <c r="B821" s="56">
        <v>46280</v>
      </c>
      <c r="C821" s="69">
        <v>46280.676504629628</v>
      </c>
      <c r="D821" s="55" t="s">
        <v>684</v>
      </c>
      <c r="E821" s="55" t="s">
        <v>1675</v>
      </c>
      <c r="F821" s="129">
        <v>1</v>
      </c>
      <c r="G821" s="129">
        <v>0.33</v>
      </c>
    </row>
    <row r="822" spans="2:7">
      <c r="B822" s="56">
        <v>46280</v>
      </c>
      <c r="C822" s="69">
        <v>46280.676539351851</v>
      </c>
      <c r="D822" s="55" t="s">
        <v>684</v>
      </c>
      <c r="E822" s="55" t="s">
        <v>1676</v>
      </c>
      <c r="G822" s="129">
        <v>0.33</v>
      </c>
    </row>
    <row r="823" spans="2:7">
      <c r="B823" s="56">
        <v>46280</v>
      </c>
      <c r="C823" s="69">
        <v>46280.676574074074</v>
      </c>
      <c r="D823" s="55" t="s">
        <v>684</v>
      </c>
      <c r="E823" s="55" t="s">
        <v>1677</v>
      </c>
      <c r="G823" s="129">
        <v>0.34</v>
      </c>
    </row>
    <row r="824" spans="2:7">
      <c r="B824" s="56">
        <v>46280</v>
      </c>
      <c r="C824" s="69">
        <v>46280.67659722222</v>
      </c>
      <c r="D824" s="55" t="s">
        <v>684</v>
      </c>
      <c r="E824" s="55" t="s">
        <v>1678</v>
      </c>
      <c r="G824" s="129">
        <v>1</v>
      </c>
    </row>
    <row r="825" spans="2:7">
      <c r="B825" s="56">
        <v>46280</v>
      </c>
      <c r="C825" s="69">
        <v>46280.676608796297</v>
      </c>
      <c r="D825" s="55" t="s">
        <v>684</v>
      </c>
      <c r="E825" s="55" t="s">
        <v>1679</v>
      </c>
      <c r="G825" s="129">
        <v>1</v>
      </c>
    </row>
    <row r="826" spans="2:7">
      <c r="B826" s="56">
        <v>46280</v>
      </c>
      <c r="C826" s="69">
        <v>46280.676608796297</v>
      </c>
      <c r="D826" s="55" t="s">
        <v>684</v>
      </c>
      <c r="E826" s="55" t="s">
        <v>1680</v>
      </c>
      <c r="G826" s="129">
        <v>1</v>
      </c>
    </row>
    <row r="827" spans="2:7">
      <c r="B827" s="56">
        <v>46280</v>
      </c>
      <c r="C827" s="69">
        <v>46280.676620370374</v>
      </c>
      <c r="D827" s="55" t="s">
        <v>684</v>
      </c>
      <c r="E827" s="55" t="s">
        <v>1681</v>
      </c>
      <c r="G827" s="129">
        <v>1</v>
      </c>
    </row>
    <row r="828" spans="2:7">
      <c r="B828" s="56">
        <v>46280</v>
      </c>
      <c r="C828" s="69">
        <v>46280.676631944443</v>
      </c>
      <c r="D828" s="55" t="s">
        <v>684</v>
      </c>
      <c r="E828" s="55" t="s">
        <v>1682</v>
      </c>
      <c r="G828" s="129">
        <v>1</v>
      </c>
    </row>
    <row r="829" spans="2:7">
      <c r="B829" s="56">
        <v>46280</v>
      </c>
      <c r="C829" s="69">
        <v>46280.67664351852</v>
      </c>
      <c r="D829" s="55" t="s">
        <v>684</v>
      </c>
      <c r="E829" s="55" t="s">
        <v>1683</v>
      </c>
      <c r="G829" s="129">
        <v>1</v>
      </c>
    </row>
    <row r="830" spans="2:7">
      <c r="B830" s="56">
        <v>46280</v>
      </c>
      <c r="C830" s="69">
        <v>46280.67664351852</v>
      </c>
      <c r="D830" s="55" t="s">
        <v>684</v>
      </c>
      <c r="E830" s="55" t="s">
        <v>1684</v>
      </c>
      <c r="G830" s="129">
        <v>1</v>
      </c>
    </row>
    <row r="831" spans="2:7">
      <c r="B831" s="56">
        <v>46280</v>
      </c>
      <c r="C831" s="69">
        <v>46280.676655092589</v>
      </c>
      <c r="D831" s="55" t="s">
        <v>684</v>
      </c>
      <c r="E831" s="55" t="s">
        <v>1685</v>
      </c>
      <c r="G831" s="129">
        <v>1</v>
      </c>
    </row>
    <row r="832" spans="2:7">
      <c r="B832" s="56">
        <v>46280</v>
      </c>
      <c r="C832" s="69">
        <v>46280.676666666666</v>
      </c>
      <c r="D832" s="55" t="s">
        <v>684</v>
      </c>
      <c r="E832" s="55" t="s">
        <v>1686</v>
      </c>
      <c r="G832" s="129">
        <v>1</v>
      </c>
    </row>
    <row r="833" spans="2:7">
      <c r="B833" s="56">
        <v>46280</v>
      </c>
      <c r="C833" s="69">
        <v>46280.676712962966</v>
      </c>
      <c r="D833" s="55" t="s">
        <v>684</v>
      </c>
      <c r="E833" s="55" t="s">
        <v>1685</v>
      </c>
      <c r="F833" s="129">
        <v>1</v>
      </c>
      <c r="G833" s="129">
        <v>0.5</v>
      </c>
    </row>
    <row r="834" spans="2:7">
      <c r="B834" s="56">
        <v>46280</v>
      </c>
      <c r="C834" s="69">
        <v>46280.676724537036</v>
      </c>
      <c r="D834" s="55" t="s">
        <v>684</v>
      </c>
      <c r="E834" s="55" t="s">
        <v>1686</v>
      </c>
      <c r="F834" s="129">
        <v>1</v>
      </c>
      <c r="G834" s="129">
        <v>0.5</v>
      </c>
    </row>
    <row r="835" spans="2:7">
      <c r="B835" s="56">
        <v>46280</v>
      </c>
      <c r="C835" s="69">
        <v>46280.676759259259</v>
      </c>
      <c r="D835" s="55" t="s">
        <v>684</v>
      </c>
      <c r="E835" s="55" t="s">
        <v>1687</v>
      </c>
      <c r="G835" s="129">
        <v>1</v>
      </c>
    </row>
    <row r="836" spans="2:7">
      <c r="B836" s="56">
        <v>46280</v>
      </c>
      <c r="C836" s="69">
        <v>46280.676840277774</v>
      </c>
      <c r="D836" s="55" t="s">
        <v>684</v>
      </c>
      <c r="E836" s="55" t="s">
        <v>1687</v>
      </c>
      <c r="F836" s="129">
        <v>1</v>
      </c>
      <c r="G836" s="129">
        <v>0.5</v>
      </c>
    </row>
    <row r="837" spans="2:7">
      <c r="B837" s="56">
        <v>46280</v>
      </c>
      <c r="C837" s="69">
        <v>46280.676863425928</v>
      </c>
      <c r="D837" s="55" t="s">
        <v>684</v>
      </c>
      <c r="E837" s="55" t="s">
        <v>1688</v>
      </c>
      <c r="G837" s="129">
        <v>0.5</v>
      </c>
    </row>
    <row r="838" spans="2:7">
      <c r="B838" s="56">
        <v>46280</v>
      </c>
      <c r="C838" s="69">
        <v>46280.676886574074</v>
      </c>
      <c r="D838" s="55" t="s">
        <v>684</v>
      </c>
      <c r="E838" s="55" t="s">
        <v>1689</v>
      </c>
      <c r="G838" s="129">
        <v>1</v>
      </c>
    </row>
    <row r="839" spans="2:7">
      <c r="B839" s="56">
        <v>46280</v>
      </c>
      <c r="C839" s="69">
        <v>46280.676944444444</v>
      </c>
      <c r="D839" s="55" t="s">
        <v>684</v>
      </c>
      <c r="E839" s="55" t="s">
        <v>1689</v>
      </c>
      <c r="F839" s="129">
        <v>1</v>
      </c>
      <c r="G839" s="129">
        <v>0.5</v>
      </c>
    </row>
    <row r="840" spans="2:7">
      <c r="B840" s="56">
        <v>46280</v>
      </c>
      <c r="C840" s="69">
        <v>46280.676979166667</v>
      </c>
      <c r="D840" s="55" t="s">
        <v>684</v>
      </c>
      <c r="E840" s="55" t="s">
        <v>1690</v>
      </c>
      <c r="G840" s="129">
        <v>0.5</v>
      </c>
    </row>
    <row r="841" spans="2:7">
      <c r="B841" s="56">
        <v>46280</v>
      </c>
      <c r="C841" s="69">
        <v>46280.67701388889</v>
      </c>
      <c r="D841" s="55" t="s">
        <v>684</v>
      </c>
      <c r="E841" s="55" t="s">
        <v>1691</v>
      </c>
      <c r="G841" s="129">
        <v>1</v>
      </c>
    </row>
    <row r="842" spans="2:7">
      <c r="B842" s="56">
        <v>46280</v>
      </c>
      <c r="C842" s="69">
        <v>46280.677025462966</v>
      </c>
      <c r="D842" s="55" t="s">
        <v>684</v>
      </c>
      <c r="E842" s="55" t="s">
        <v>1692</v>
      </c>
      <c r="G842" s="129">
        <v>1</v>
      </c>
    </row>
    <row r="843" spans="2:7">
      <c r="B843" s="56">
        <v>46280</v>
      </c>
      <c r="C843" s="69">
        <v>46280.67763888889</v>
      </c>
      <c r="D843" s="55" t="s">
        <v>684</v>
      </c>
      <c r="E843" s="55" t="s">
        <v>1692</v>
      </c>
      <c r="F843" s="129">
        <v>1</v>
      </c>
      <c r="G843" s="129">
        <v>0.16</v>
      </c>
    </row>
    <row r="844" spans="2:7">
      <c r="B844" s="56">
        <v>46280</v>
      </c>
      <c r="C844" s="69">
        <v>46280.677673611113</v>
      </c>
      <c r="D844" s="55" t="s">
        <v>684</v>
      </c>
      <c r="E844" s="55" t="s">
        <v>1693</v>
      </c>
      <c r="G844" s="129">
        <v>0.16</v>
      </c>
    </row>
    <row r="845" spans="2:7">
      <c r="B845" s="56">
        <v>46280</v>
      </c>
      <c r="C845" s="69">
        <v>46280.67769675926</v>
      </c>
      <c r="D845" s="55" t="s">
        <v>684</v>
      </c>
      <c r="E845" s="55" t="s">
        <v>1694</v>
      </c>
      <c r="G845" s="129">
        <v>0.16</v>
      </c>
    </row>
    <row r="846" spans="2:7">
      <c r="B846" s="56">
        <v>46280</v>
      </c>
      <c r="C846" s="69">
        <v>46280.677708333336</v>
      </c>
      <c r="D846" s="55" t="s">
        <v>684</v>
      </c>
      <c r="E846" s="55" t="s">
        <v>1695</v>
      </c>
      <c r="G846" s="129">
        <v>0.16</v>
      </c>
    </row>
    <row r="847" spans="2:7">
      <c r="B847" s="56">
        <v>46280</v>
      </c>
      <c r="C847" s="69">
        <v>46280.677743055552</v>
      </c>
      <c r="D847" s="55" t="s">
        <v>684</v>
      </c>
      <c r="E847" s="55" t="s">
        <v>1696</v>
      </c>
      <c r="G847" s="129">
        <v>0.16</v>
      </c>
    </row>
    <row r="848" spans="2:7">
      <c r="B848" s="56">
        <v>46280</v>
      </c>
      <c r="C848" s="69">
        <v>46280.677789351852</v>
      </c>
      <c r="D848" s="55" t="s">
        <v>684</v>
      </c>
      <c r="E848" s="55" t="s">
        <v>1697</v>
      </c>
      <c r="G848" s="129">
        <v>0.2</v>
      </c>
    </row>
    <row r="849" spans="2:7">
      <c r="B849" s="56">
        <v>46280</v>
      </c>
      <c r="C849" s="69">
        <v>46280.677881944444</v>
      </c>
      <c r="D849" s="55" t="s">
        <v>684</v>
      </c>
      <c r="E849" s="55" t="s">
        <v>1698</v>
      </c>
      <c r="G849" s="129">
        <v>0.25</v>
      </c>
    </row>
    <row r="850" spans="2:7">
      <c r="B850" s="56">
        <v>46280</v>
      </c>
      <c r="C850" s="69">
        <v>46280.677905092591</v>
      </c>
      <c r="D850" s="55" t="s">
        <v>684</v>
      </c>
      <c r="E850" s="55" t="s">
        <v>1699</v>
      </c>
      <c r="G850" s="129">
        <v>0.25</v>
      </c>
    </row>
    <row r="851" spans="2:7">
      <c r="B851" s="56">
        <v>46280</v>
      </c>
      <c r="C851" s="69">
        <v>46280.677916666667</v>
      </c>
      <c r="D851" s="55" t="s">
        <v>684</v>
      </c>
      <c r="E851" s="55" t="s">
        <v>1700</v>
      </c>
      <c r="G851" s="129">
        <v>0.25</v>
      </c>
    </row>
    <row r="852" spans="2:7">
      <c r="B852" s="56">
        <v>46280</v>
      </c>
      <c r="C852" s="69">
        <v>46280.677939814814</v>
      </c>
      <c r="D852" s="55" t="s">
        <v>684</v>
      </c>
      <c r="E852" s="55" t="s">
        <v>1701</v>
      </c>
      <c r="G852" s="129">
        <v>0.25</v>
      </c>
    </row>
    <row r="853" spans="2:7">
      <c r="B853" s="56">
        <v>46280</v>
      </c>
      <c r="C853" s="69">
        <v>46280.678206018521</v>
      </c>
      <c r="D853" s="55" t="s">
        <v>684</v>
      </c>
      <c r="E853" s="55" t="s">
        <v>1702</v>
      </c>
      <c r="G853" s="129">
        <v>0.2</v>
      </c>
    </row>
    <row r="854" spans="2:7">
      <c r="B854" s="56">
        <v>46280</v>
      </c>
      <c r="C854" s="69">
        <v>46280.678229166668</v>
      </c>
      <c r="D854" s="55" t="s">
        <v>684</v>
      </c>
      <c r="E854" s="55" t="s">
        <v>1703</v>
      </c>
      <c r="G854" s="129">
        <v>0.2</v>
      </c>
    </row>
    <row r="855" spans="2:7">
      <c r="B855" s="56">
        <v>46280</v>
      </c>
      <c r="C855" s="69">
        <v>46280.678240740737</v>
      </c>
      <c r="D855" s="55" t="s">
        <v>684</v>
      </c>
      <c r="E855" s="55" t="s">
        <v>1704</v>
      </c>
      <c r="G855" s="129">
        <v>0.2</v>
      </c>
    </row>
    <row r="856" spans="2:7">
      <c r="B856" s="56">
        <v>46280</v>
      </c>
      <c r="C856" s="69">
        <v>46280.678298611114</v>
      </c>
      <c r="D856" s="55" t="s">
        <v>684</v>
      </c>
      <c r="E856" s="55" t="s">
        <v>1705</v>
      </c>
      <c r="G856" s="129">
        <v>0.2</v>
      </c>
    </row>
    <row r="857" spans="2:7">
      <c r="B857" s="56">
        <v>46280</v>
      </c>
      <c r="C857" s="69">
        <v>46280.678344907406</v>
      </c>
      <c r="D857" s="55" t="s">
        <v>684</v>
      </c>
      <c r="E857" s="55" t="s">
        <v>1706</v>
      </c>
      <c r="G857" s="129">
        <v>0.2</v>
      </c>
    </row>
    <row r="858" spans="2:7">
      <c r="B858" s="56">
        <v>46280</v>
      </c>
      <c r="C858" s="69">
        <v>46280.678437499999</v>
      </c>
      <c r="D858" s="55" t="s">
        <v>684</v>
      </c>
      <c r="E858" s="55" t="s">
        <v>1707</v>
      </c>
      <c r="G858" s="129">
        <v>0.33</v>
      </c>
    </row>
    <row r="859" spans="2:7">
      <c r="B859" s="56">
        <v>46280</v>
      </c>
      <c r="C859" s="69">
        <v>46280.678460648145</v>
      </c>
      <c r="D859" s="55" t="s">
        <v>684</v>
      </c>
      <c r="E859" s="55" t="s">
        <v>1708</v>
      </c>
      <c r="G859" s="129">
        <v>0.33</v>
      </c>
    </row>
    <row r="860" spans="2:7">
      <c r="B860" s="56">
        <v>46280</v>
      </c>
      <c r="C860" s="69">
        <v>46280.678495370368</v>
      </c>
      <c r="D860" s="55" t="s">
        <v>684</v>
      </c>
      <c r="E860" s="55" t="s">
        <v>1709</v>
      </c>
      <c r="G860" s="129">
        <v>0.34</v>
      </c>
    </row>
    <row r="861" spans="2:7">
      <c r="B861" s="56">
        <v>46280</v>
      </c>
      <c r="C861" s="69">
        <v>46280.678518518522</v>
      </c>
      <c r="D861" s="55" t="s">
        <v>684</v>
      </c>
      <c r="E861" s="55" t="s">
        <v>1710</v>
      </c>
      <c r="G861" s="129">
        <v>1</v>
      </c>
    </row>
    <row r="862" spans="2:7">
      <c r="B862" s="56">
        <v>46280</v>
      </c>
      <c r="C862" s="69">
        <v>46280.678530092591</v>
      </c>
      <c r="D862" s="55" t="s">
        <v>684</v>
      </c>
      <c r="E862" s="55" t="s">
        <v>1711</v>
      </c>
      <c r="G862" s="129">
        <v>1</v>
      </c>
    </row>
    <row r="863" spans="2:7">
      <c r="B863" s="56">
        <v>46280</v>
      </c>
      <c r="C863" s="69">
        <v>46280.678541666668</v>
      </c>
      <c r="D863" s="55" t="s">
        <v>684</v>
      </c>
      <c r="E863" s="55" t="s">
        <v>1712</v>
      </c>
      <c r="G863" s="129">
        <v>1</v>
      </c>
    </row>
    <row r="864" spans="2:7">
      <c r="B864" s="56">
        <v>46280</v>
      </c>
      <c r="C864" s="69">
        <v>46280.678553240738</v>
      </c>
      <c r="D864" s="55" t="s">
        <v>684</v>
      </c>
      <c r="E864" s="55" t="s">
        <v>1713</v>
      </c>
      <c r="G864" s="129">
        <v>1</v>
      </c>
    </row>
    <row r="865" spans="2:7">
      <c r="B865" s="56">
        <v>46280</v>
      </c>
      <c r="C865" s="69">
        <v>46280.678553240738</v>
      </c>
      <c r="D865" s="55" t="s">
        <v>684</v>
      </c>
      <c r="E865" s="55" t="s">
        <v>1714</v>
      </c>
      <c r="G865" s="129">
        <v>1</v>
      </c>
    </row>
    <row r="866" spans="2:7">
      <c r="B866" s="56">
        <v>46280</v>
      </c>
      <c r="C866" s="69">
        <v>46280.678564814814</v>
      </c>
      <c r="D866" s="55" t="s">
        <v>684</v>
      </c>
      <c r="E866" s="55" t="s">
        <v>1715</v>
      </c>
      <c r="G866" s="129">
        <v>1</v>
      </c>
    </row>
    <row r="867" spans="2:7">
      <c r="B867" s="56">
        <v>46280</v>
      </c>
      <c r="C867" s="69">
        <v>46280.678680555553</v>
      </c>
      <c r="D867" s="55" t="s">
        <v>684</v>
      </c>
      <c r="E867" s="55" t="s">
        <v>1715</v>
      </c>
      <c r="F867" s="129">
        <v>1</v>
      </c>
      <c r="G867" s="129">
        <v>0.25</v>
      </c>
    </row>
    <row r="868" spans="2:7">
      <c r="B868" s="56">
        <v>46280</v>
      </c>
      <c r="C868" s="69">
        <v>46280.678703703707</v>
      </c>
      <c r="D868" s="55" t="s">
        <v>684</v>
      </c>
      <c r="E868" s="55" t="s">
        <v>1716</v>
      </c>
      <c r="G868" s="129">
        <v>0.25</v>
      </c>
    </row>
    <row r="869" spans="2:7">
      <c r="B869" s="56">
        <v>46280</v>
      </c>
      <c r="C869" s="69">
        <v>46280.678726851853</v>
      </c>
      <c r="D869" s="55" t="s">
        <v>684</v>
      </c>
      <c r="E869" s="55" t="s">
        <v>1717</v>
      </c>
      <c r="G869" s="129">
        <v>0.25</v>
      </c>
    </row>
    <row r="870" spans="2:7">
      <c r="B870" s="56">
        <v>46280</v>
      </c>
      <c r="C870" s="69">
        <v>46280.678749999999</v>
      </c>
      <c r="D870" s="55" t="s">
        <v>684</v>
      </c>
      <c r="E870" s="55" t="s">
        <v>1718</v>
      </c>
      <c r="G870" s="129">
        <v>0.25</v>
      </c>
    </row>
    <row r="871" spans="2:7">
      <c r="B871" s="56">
        <v>46280</v>
      </c>
      <c r="C871" s="69">
        <v>46280.678807870368</v>
      </c>
      <c r="D871" s="55" t="s">
        <v>684</v>
      </c>
      <c r="E871" s="55" t="s">
        <v>1719</v>
      </c>
      <c r="G871" s="129">
        <v>0.5</v>
      </c>
    </row>
    <row r="872" spans="2:7">
      <c r="B872" s="56">
        <v>46280</v>
      </c>
      <c r="C872" s="69">
        <v>46280.678831018522</v>
      </c>
      <c r="D872" s="55" t="s">
        <v>684</v>
      </c>
      <c r="E872" s="55" t="s">
        <v>1720</v>
      </c>
      <c r="G872" s="129">
        <v>0.5</v>
      </c>
    </row>
    <row r="873" spans="2:7">
      <c r="B873" s="56">
        <v>46280</v>
      </c>
      <c r="C873" s="69">
        <v>46280.678854166668</v>
      </c>
      <c r="D873" s="55" t="s">
        <v>684</v>
      </c>
      <c r="E873" s="55" t="s">
        <v>1721</v>
      </c>
      <c r="G873" s="129">
        <v>1</v>
      </c>
    </row>
    <row r="874" spans="2:7">
      <c r="B874" s="56">
        <v>46280</v>
      </c>
      <c r="C874" s="69">
        <v>46280.678865740738</v>
      </c>
      <c r="D874" s="55" t="s">
        <v>684</v>
      </c>
      <c r="E874" s="55" t="s">
        <v>1722</v>
      </c>
      <c r="G874" s="129">
        <v>1</v>
      </c>
    </row>
    <row r="875" spans="2:7">
      <c r="B875" s="56">
        <v>46280</v>
      </c>
      <c r="C875" s="69">
        <v>46280.678865740738</v>
      </c>
      <c r="D875" s="55" t="s">
        <v>684</v>
      </c>
      <c r="E875" s="55" t="s">
        <v>1723</v>
      </c>
      <c r="G875" s="129">
        <v>1</v>
      </c>
    </row>
    <row r="876" spans="2:7">
      <c r="B876" s="56">
        <v>46280</v>
      </c>
      <c r="C876" s="69">
        <v>46280.678877314815</v>
      </c>
      <c r="D876" s="55" t="s">
        <v>684</v>
      </c>
      <c r="E876" s="55" t="s">
        <v>1724</v>
      </c>
      <c r="G876" s="129">
        <v>1</v>
      </c>
    </row>
    <row r="877" spans="2:7">
      <c r="B877" s="56">
        <v>46280</v>
      </c>
      <c r="C877" s="69">
        <v>46280.678888888891</v>
      </c>
      <c r="D877" s="55" t="s">
        <v>684</v>
      </c>
      <c r="E877" s="55" t="s">
        <v>1725</v>
      </c>
      <c r="G877" s="129">
        <v>1</v>
      </c>
    </row>
    <row r="878" spans="2:7">
      <c r="B878" s="56">
        <v>46280</v>
      </c>
      <c r="C878" s="69">
        <v>46280.678923611114</v>
      </c>
      <c r="D878" s="55" t="s">
        <v>684</v>
      </c>
      <c r="E878" s="55" t="s">
        <v>1724</v>
      </c>
      <c r="F878" s="129">
        <v>1</v>
      </c>
      <c r="G878" s="129">
        <v>0.5</v>
      </c>
    </row>
    <row r="879" spans="2:7">
      <c r="B879" s="56">
        <v>46280</v>
      </c>
      <c r="C879" s="69">
        <v>46280.678946759261</v>
      </c>
      <c r="D879" s="55" t="s">
        <v>684</v>
      </c>
      <c r="E879" s="55" t="s">
        <v>1725</v>
      </c>
      <c r="F879" s="129">
        <v>1</v>
      </c>
      <c r="G879" s="129">
        <v>0.5</v>
      </c>
    </row>
    <row r="880" spans="2:7">
      <c r="B880" s="56">
        <v>46280</v>
      </c>
      <c r="C880" s="69">
        <v>46280.678969907407</v>
      </c>
      <c r="D880" s="55" t="s">
        <v>684</v>
      </c>
      <c r="E880" s="55" t="s">
        <v>1726</v>
      </c>
      <c r="G880" s="129">
        <v>1</v>
      </c>
    </row>
    <row r="881" spans="2:7">
      <c r="B881" s="56">
        <v>46280</v>
      </c>
      <c r="C881" s="69">
        <v>46280.678981481484</v>
      </c>
      <c r="D881" s="55" t="s">
        <v>684</v>
      </c>
      <c r="E881" s="55" t="s">
        <v>1727</v>
      </c>
      <c r="G881" s="129">
        <v>1</v>
      </c>
    </row>
    <row r="882" spans="2:7">
      <c r="B882" s="56">
        <v>46280</v>
      </c>
      <c r="C882" s="69">
        <v>46280.679027777776</v>
      </c>
      <c r="D882" s="55" t="s">
        <v>684</v>
      </c>
      <c r="E882" s="55" t="s">
        <v>1727</v>
      </c>
      <c r="F882" s="129">
        <v>1</v>
      </c>
      <c r="G882" s="129">
        <v>0.5</v>
      </c>
    </row>
    <row r="883" spans="2:7">
      <c r="B883" s="56">
        <v>46280</v>
      </c>
      <c r="C883" s="69">
        <v>46280.679039351853</v>
      </c>
      <c r="D883" s="55" t="s">
        <v>684</v>
      </c>
      <c r="E883" s="55" t="s">
        <v>1728</v>
      </c>
      <c r="G883" s="129">
        <v>0.5</v>
      </c>
    </row>
    <row r="884" spans="2:7">
      <c r="B884" s="56">
        <v>46280</v>
      </c>
      <c r="C884" s="69">
        <v>46280.679062499999</v>
      </c>
      <c r="D884" s="55" t="s">
        <v>684</v>
      </c>
      <c r="E884" s="55" t="s">
        <v>1729</v>
      </c>
      <c r="G884" s="129">
        <v>1</v>
      </c>
    </row>
    <row r="885" spans="2:7">
      <c r="B885" s="56">
        <v>46280</v>
      </c>
      <c r="C885" s="69">
        <v>46280.679074074076</v>
      </c>
      <c r="D885" s="55" t="s">
        <v>684</v>
      </c>
      <c r="E885" s="55" t="s">
        <v>1730</v>
      </c>
      <c r="G885" s="129">
        <v>1</v>
      </c>
    </row>
    <row r="886" spans="2:7">
      <c r="B886" s="56">
        <v>46280</v>
      </c>
      <c r="C886" s="69">
        <v>46280.679085648146</v>
      </c>
      <c r="D886" s="55" t="s">
        <v>684</v>
      </c>
      <c r="E886" s="55" t="s">
        <v>1731</v>
      </c>
      <c r="G886" s="129">
        <v>1</v>
      </c>
    </row>
    <row r="887" spans="2:7">
      <c r="B887" s="56">
        <v>46280</v>
      </c>
      <c r="C887" s="69">
        <v>46280.679097222222</v>
      </c>
      <c r="D887" s="55" t="s">
        <v>684</v>
      </c>
      <c r="E887" s="55" t="s">
        <v>1732</v>
      </c>
      <c r="G887" s="129">
        <v>1</v>
      </c>
    </row>
    <row r="888" spans="2:7">
      <c r="B888" s="56">
        <v>46280</v>
      </c>
      <c r="C888" s="69">
        <v>46280.679108796299</v>
      </c>
      <c r="D888" s="55" t="s">
        <v>684</v>
      </c>
      <c r="E888" s="55" t="s">
        <v>1733</v>
      </c>
      <c r="G888" s="129">
        <v>1</v>
      </c>
    </row>
    <row r="889" spans="2:7">
      <c r="B889" s="56">
        <v>46280</v>
      </c>
      <c r="C889" s="69">
        <v>46280.679120370369</v>
      </c>
      <c r="D889" s="55" t="s">
        <v>684</v>
      </c>
      <c r="E889" s="55" t="s">
        <v>1734</v>
      </c>
      <c r="G889" s="129">
        <v>1</v>
      </c>
    </row>
    <row r="890" spans="2:7">
      <c r="B890" s="56">
        <v>46280</v>
      </c>
      <c r="C890" s="69">
        <v>46280.679131944446</v>
      </c>
      <c r="D890" s="55" t="s">
        <v>684</v>
      </c>
      <c r="E890" s="55" t="s">
        <v>1735</v>
      </c>
      <c r="G890" s="129">
        <v>1</v>
      </c>
    </row>
    <row r="891" spans="2:7">
      <c r="B891" s="56">
        <v>46280</v>
      </c>
      <c r="C891" s="69">
        <v>46280.679143518515</v>
      </c>
      <c r="D891" s="55" t="s">
        <v>684</v>
      </c>
      <c r="E891" s="55" t="s">
        <v>1736</v>
      </c>
      <c r="G891" s="129">
        <v>1</v>
      </c>
    </row>
    <row r="892" spans="2:7">
      <c r="B892" s="56">
        <v>46280</v>
      </c>
      <c r="C892" s="69">
        <v>46280.679155092592</v>
      </c>
      <c r="D892" s="55" t="s">
        <v>684</v>
      </c>
      <c r="E892" s="55" t="s">
        <v>1737</v>
      </c>
      <c r="G892" s="129">
        <v>1</v>
      </c>
    </row>
    <row r="893" spans="2:7">
      <c r="B893" s="56">
        <v>46280</v>
      </c>
      <c r="C893" s="69">
        <v>46280.679166666669</v>
      </c>
      <c r="D893" s="55" t="s">
        <v>684</v>
      </c>
      <c r="E893" s="55" t="s">
        <v>1738</v>
      </c>
      <c r="G893" s="129">
        <v>1</v>
      </c>
    </row>
    <row r="894" spans="2:7">
      <c r="B894" s="56">
        <v>46280</v>
      </c>
      <c r="C894" s="69">
        <v>46280.679166666669</v>
      </c>
      <c r="D894" s="55" t="s">
        <v>684</v>
      </c>
      <c r="E894" s="55" t="s">
        <v>1739</v>
      </c>
      <c r="G894" s="129">
        <v>1</v>
      </c>
    </row>
    <row r="895" spans="2:7">
      <c r="B895" s="56">
        <v>46280</v>
      </c>
      <c r="C895" s="69">
        <v>46280.679178240738</v>
      </c>
      <c r="D895" s="55" t="s">
        <v>684</v>
      </c>
      <c r="E895" s="55" t="s">
        <v>1740</v>
      </c>
      <c r="G895" s="129">
        <v>1</v>
      </c>
    </row>
    <row r="896" spans="2:7">
      <c r="B896" s="56">
        <v>46280</v>
      </c>
      <c r="C896" s="69">
        <v>46280.679189814815</v>
      </c>
      <c r="D896" s="55" t="s">
        <v>684</v>
      </c>
      <c r="E896" s="55" t="s">
        <v>1741</v>
      </c>
      <c r="G896" s="129">
        <v>1</v>
      </c>
    </row>
    <row r="897" spans="2:7">
      <c r="B897" s="56">
        <v>46280</v>
      </c>
      <c r="C897" s="69">
        <v>46280.679201388892</v>
      </c>
      <c r="D897" s="55" t="s">
        <v>684</v>
      </c>
      <c r="E897" s="55" t="s">
        <v>1742</v>
      </c>
      <c r="G897" s="129">
        <v>1</v>
      </c>
    </row>
    <row r="898" spans="2:7">
      <c r="B898" s="56">
        <v>46280</v>
      </c>
      <c r="C898" s="69">
        <v>46280.679212962961</v>
      </c>
      <c r="D898" s="55" t="s">
        <v>684</v>
      </c>
      <c r="E898" s="55" t="s">
        <v>1743</v>
      </c>
      <c r="G898" s="129">
        <v>1</v>
      </c>
    </row>
    <row r="899" spans="2:7">
      <c r="B899" s="56">
        <v>46280</v>
      </c>
      <c r="C899" s="69">
        <v>46280.679224537038</v>
      </c>
      <c r="D899" s="55" t="s">
        <v>684</v>
      </c>
      <c r="E899" s="55" t="s">
        <v>1744</v>
      </c>
      <c r="G899" s="129">
        <v>1</v>
      </c>
    </row>
    <row r="900" spans="2:7">
      <c r="B900" s="56">
        <v>46280</v>
      </c>
      <c r="C900" s="69">
        <v>46280.679236111115</v>
      </c>
      <c r="D900" s="55" t="s">
        <v>684</v>
      </c>
      <c r="E900" s="55" t="s">
        <v>1745</v>
      </c>
      <c r="G900" s="129">
        <v>1</v>
      </c>
    </row>
    <row r="901" spans="2:7">
      <c r="B901" s="56">
        <v>46280</v>
      </c>
      <c r="C901" s="69">
        <v>46280.679247685184</v>
      </c>
      <c r="D901" s="55" t="s">
        <v>684</v>
      </c>
      <c r="E901" s="55" t="s">
        <v>1746</v>
      </c>
      <c r="G901" s="129">
        <v>1</v>
      </c>
    </row>
    <row r="902" spans="2:7">
      <c r="B902" s="56">
        <v>46280</v>
      </c>
      <c r="C902" s="69">
        <v>46280.679247685184</v>
      </c>
      <c r="D902" s="55" t="s">
        <v>684</v>
      </c>
      <c r="E902" s="55" t="s">
        <v>1747</v>
      </c>
      <c r="G902" s="129">
        <v>1</v>
      </c>
    </row>
    <row r="903" spans="2:7">
      <c r="B903" s="56">
        <v>46280</v>
      </c>
      <c r="C903" s="69">
        <v>46280.679398148146</v>
      </c>
      <c r="D903" s="55" t="s">
        <v>684</v>
      </c>
      <c r="E903" s="55" t="s">
        <v>1748</v>
      </c>
      <c r="G903" s="129">
        <v>1</v>
      </c>
    </row>
    <row r="904" spans="2:7">
      <c r="B904" s="56">
        <v>46280</v>
      </c>
      <c r="C904" s="69">
        <v>46280.679409722223</v>
      </c>
      <c r="D904" s="55" t="s">
        <v>684</v>
      </c>
      <c r="E904" s="55" t="s">
        <v>1749</v>
      </c>
      <c r="G904" s="129">
        <v>1</v>
      </c>
    </row>
    <row r="905" spans="2:7">
      <c r="B905" s="56">
        <v>46280</v>
      </c>
      <c r="C905" s="69">
        <v>46280.713449074072</v>
      </c>
      <c r="D905" s="55" t="s">
        <v>684</v>
      </c>
      <c r="E905" s="55" t="s">
        <v>1587</v>
      </c>
      <c r="G905" s="129">
        <v>0.5</v>
      </c>
    </row>
    <row r="906" spans="2:7">
      <c r="B906" s="56">
        <v>46280</v>
      </c>
      <c r="C906" s="69">
        <v>46280.713449074072</v>
      </c>
      <c r="D906" s="55" t="s">
        <v>684</v>
      </c>
      <c r="E906" s="55" t="s">
        <v>1588</v>
      </c>
      <c r="G906" s="129">
        <v>0.5</v>
      </c>
    </row>
    <row r="907" spans="2:7">
      <c r="B907" s="56">
        <v>46280</v>
      </c>
      <c r="C907" s="69">
        <v>46280.713460648149</v>
      </c>
      <c r="D907" s="55" t="s">
        <v>684</v>
      </c>
      <c r="E907" s="55" t="s">
        <v>1614</v>
      </c>
      <c r="G907" s="129">
        <v>0.5</v>
      </c>
    </row>
    <row r="908" spans="2:7">
      <c r="B908" s="56">
        <v>46280</v>
      </c>
      <c r="C908" s="69">
        <v>46280.713460648149</v>
      </c>
      <c r="D908" s="55" t="s">
        <v>684</v>
      </c>
      <c r="E908" s="55" t="s">
        <v>1615</v>
      </c>
      <c r="G908" s="129">
        <v>0.5</v>
      </c>
    </row>
    <row r="909" spans="2:7">
      <c r="B909" s="56">
        <v>46280</v>
      </c>
      <c r="C909" s="69">
        <v>46280.713472222225</v>
      </c>
      <c r="D909" s="55" t="s">
        <v>684</v>
      </c>
      <c r="E909" s="55" t="s">
        <v>1627</v>
      </c>
      <c r="G909" s="129">
        <v>0.5</v>
      </c>
    </row>
    <row r="910" spans="2:7">
      <c r="B910" s="56">
        <v>46280</v>
      </c>
      <c r="C910" s="69">
        <v>46280.713472222225</v>
      </c>
      <c r="D910" s="55" t="s">
        <v>684</v>
      </c>
      <c r="E910" s="55" t="s">
        <v>1628</v>
      </c>
      <c r="G910" s="129">
        <v>0.5</v>
      </c>
    </row>
    <row r="911" spans="2:7">
      <c r="B911" s="56">
        <v>46280</v>
      </c>
      <c r="C911" s="69">
        <v>46280.713483796295</v>
      </c>
      <c r="D911" s="55" t="s">
        <v>684</v>
      </c>
      <c r="E911" s="55" t="s">
        <v>1629</v>
      </c>
      <c r="G911" s="129">
        <v>0.5</v>
      </c>
    </row>
    <row r="912" spans="2:7">
      <c r="B912" s="56">
        <v>46280</v>
      </c>
      <c r="C912" s="69">
        <v>46280.713483796295</v>
      </c>
      <c r="D912" s="55" t="s">
        <v>684</v>
      </c>
      <c r="E912" s="55" t="s">
        <v>1630</v>
      </c>
      <c r="G912" s="129">
        <v>0.5</v>
      </c>
    </row>
    <row r="913" spans="2:7">
      <c r="B913" s="56">
        <v>46280</v>
      </c>
      <c r="C913" s="69">
        <v>46280.713495370372</v>
      </c>
      <c r="D913" s="55" t="s">
        <v>684</v>
      </c>
      <c r="E913" s="55" t="s">
        <v>1632</v>
      </c>
      <c r="G913" s="129">
        <v>0.33</v>
      </c>
    </row>
    <row r="914" spans="2:7">
      <c r="B914" s="56">
        <v>46280</v>
      </c>
      <c r="C914" s="69">
        <v>46280.713495370372</v>
      </c>
      <c r="D914" s="55" t="s">
        <v>684</v>
      </c>
      <c r="E914" s="55" t="s">
        <v>1633</v>
      </c>
      <c r="G914" s="129">
        <v>0.33</v>
      </c>
    </row>
    <row r="915" spans="2:7">
      <c r="B915" s="56">
        <v>46280</v>
      </c>
      <c r="C915" s="69">
        <v>46280.713506944441</v>
      </c>
      <c r="D915" s="55" t="s">
        <v>684</v>
      </c>
      <c r="E915" s="55" t="s">
        <v>1634</v>
      </c>
      <c r="G915" s="129">
        <v>0.34</v>
      </c>
    </row>
    <row r="916" spans="2:7">
      <c r="B916" s="56">
        <v>46280</v>
      </c>
      <c r="C916" s="69">
        <v>46280.713506944441</v>
      </c>
      <c r="D916" s="55" t="s">
        <v>684</v>
      </c>
      <c r="E916" s="55" t="s">
        <v>1635</v>
      </c>
      <c r="G916" s="129">
        <v>0.5</v>
      </c>
    </row>
    <row r="917" spans="2:7">
      <c r="B917" s="56">
        <v>46280</v>
      </c>
      <c r="C917" s="69">
        <v>46280.713518518518</v>
      </c>
      <c r="D917" s="55" t="s">
        <v>684</v>
      </c>
      <c r="E917" s="55" t="s">
        <v>1636</v>
      </c>
      <c r="G917" s="129">
        <v>0.5</v>
      </c>
    </row>
    <row r="918" spans="2:7">
      <c r="B918" s="56">
        <v>46280</v>
      </c>
      <c r="C918" s="69">
        <v>46280.713518518518</v>
      </c>
      <c r="D918" s="55" t="s">
        <v>684</v>
      </c>
      <c r="E918" s="55" t="s">
        <v>1641</v>
      </c>
      <c r="G918" s="129">
        <v>0.33</v>
      </c>
    </row>
    <row r="919" spans="2:7">
      <c r="B919" s="56">
        <v>46280</v>
      </c>
      <c r="C919" s="69">
        <v>46280.713530092595</v>
      </c>
      <c r="D919" s="55" t="s">
        <v>684</v>
      </c>
      <c r="E919" s="55" t="s">
        <v>1642</v>
      </c>
      <c r="G919" s="129">
        <v>0.33</v>
      </c>
    </row>
    <row r="920" spans="2:7">
      <c r="B920" s="56">
        <v>46280</v>
      </c>
      <c r="C920" s="69">
        <v>46280.713530092595</v>
      </c>
      <c r="D920" s="55" t="s">
        <v>684</v>
      </c>
      <c r="E920" s="55" t="s">
        <v>1643</v>
      </c>
      <c r="G920" s="129">
        <v>0.34</v>
      </c>
    </row>
    <row r="921" spans="2:7">
      <c r="B921" s="56">
        <v>46280</v>
      </c>
      <c r="C921" s="69">
        <v>46280.713541666664</v>
      </c>
      <c r="D921" s="55" t="s">
        <v>684</v>
      </c>
      <c r="E921" s="55" t="s">
        <v>1644</v>
      </c>
      <c r="G921" s="129">
        <v>0.33</v>
      </c>
    </row>
    <row r="922" spans="2:7">
      <c r="B922" s="56">
        <v>46280</v>
      </c>
      <c r="C922" s="69">
        <v>46280.713541666664</v>
      </c>
      <c r="D922" s="55" t="s">
        <v>684</v>
      </c>
      <c r="E922" s="55" t="s">
        <v>1645</v>
      </c>
      <c r="G922" s="129">
        <v>0.33</v>
      </c>
    </row>
    <row r="923" spans="2:7">
      <c r="B923" s="56">
        <v>46280</v>
      </c>
      <c r="C923" s="69">
        <v>46280.713553240741</v>
      </c>
      <c r="D923" s="55" t="s">
        <v>684</v>
      </c>
      <c r="E923" s="55" t="s">
        <v>1646</v>
      </c>
      <c r="G923" s="129">
        <v>0.34</v>
      </c>
    </row>
    <row r="924" spans="2:7">
      <c r="B924" s="56">
        <v>46280</v>
      </c>
      <c r="C924" s="69">
        <v>46280.713553240741</v>
      </c>
      <c r="D924" s="55" t="s">
        <v>684</v>
      </c>
      <c r="E924" s="55" t="s">
        <v>1647</v>
      </c>
      <c r="G924" s="129">
        <v>0.5</v>
      </c>
    </row>
    <row r="925" spans="2:7">
      <c r="B925" s="56">
        <v>46280</v>
      </c>
      <c r="C925" s="69">
        <v>46280.713564814818</v>
      </c>
      <c r="D925" s="55" t="s">
        <v>684</v>
      </c>
      <c r="E925" s="55" t="s">
        <v>1648</v>
      </c>
      <c r="G925" s="129">
        <v>0.5</v>
      </c>
    </row>
    <row r="926" spans="2:7">
      <c r="B926" s="56">
        <v>46280</v>
      </c>
      <c r="C926" s="69">
        <v>46280.713564814818</v>
      </c>
      <c r="D926" s="55" t="s">
        <v>684</v>
      </c>
      <c r="E926" s="55" t="s">
        <v>1653</v>
      </c>
      <c r="G926" s="129">
        <v>0.5</v>
      </c>
    </row>
    <row r="927" spans="2:7">
      <c r="B927" s="56">
        <v>46280</v>
      </c>
      <c r="C927" s="69">
        <v>46280.713576388887</v>
      </c>
      <c r="D927" s="55" t="s">
        <v>684</v>
      </c>
      <c r="E927" s="55" t="s">
        <v>1654</v>
      </c>
      <c r="G927" s="129">
        <v>0.5</v>
      </c>
    </row>
    <row r="928" spans="2:7">
      <c r="B928" s="56">
        <v>46280</v>
      </c>
      <c r="C928" s="69">
        <v>46280.713576388887</v>
      </c>
      <c r="D928" s="55" t="s">
        <v>684</v>
      </c>
      <c r="E928" s="55" t="s">
        <v>1657</v>
      </c>
      <c r="G928" s="129">
        <v>0.5</v>
      </c>
    </row>
    <row r="929" spans="2:7">
      <c r="B929" s="56">
        <v>46280</v>
      </c>
      <c r="C929" s="69">
        <v>46280.713576388887</v>
      </c>
      <c r="D929" s="55" t="s">
        <v>684</v>
      </c>
      <c r="E929" s="55" t="s">
        <v>1658</v>
      </c>
      <c r="G929" s="129">
        <v>0.5</v>
      </c>
    </row>
    <row r="930" spans="2:7">
      <c r="B930" s="56">
        <v>46280</v>
      </c>
      <c r="C930" s="69">
        <v>46280.713587962964</v>
      </c>
      <c r="D930" s="55" t="s">
        <v>684</v>
      </c>
      <c r="E930" s="55" t="s">
        <v>1661</v>
      </c>
      <c r="G930" s="129">
        <v>0.25</v>
      </c>
    </row>
    <row r="931" spans="2:7">
      <c r="B931" s="56">
        <v>46280</v>
      </c>
      <c r="C931" s="69">
        <v>46280.713599537034</v>
      </c>
      <c r="D931" s="55" t="s">
        <v>684</v>
      </c>
      <c r="E931" s="55" t="s">
        <v>1662</v>
      </c>
      <c r="G931" s="129">
        <v>0.25</v>
      </c>
    </row>
    <row r="932" spans="2:7">
      <c r="B932" s="56">
        <v>46280</v>
      </c>
      <c r="C932" s="69">
        <v>46280.713599537034</v>
      </c>
      <c r="D932" s="55" t="s">
        <v>684</v>
      </c>
      <c r="E932" s="55" t="s">
        <v>1663</v>
      </c>
      <c r="G932" s="129">
        <v>0.25</v>
      </c>
    </row>
    <row r="933" spans="2:7">
      <c r="B933" s="56">
        <v>46280</v>
      </c>
      <c r="C933" s="69">
        <v>46280.713599537034</v>
      </c>
      <c r="D933" s="55" t="s">
        <v>684</v>
      </c>
      <c r="E933" s="55" t="s">
        <v>1664</v>
      </c>
      <c r="G933" s="129">
        <v>0.25</v>
      </c>
    </row>
    <row r="934" spans="2:7">
      <c r="B934" s="56">
        <v>46280</v>
      </c>
      <c r="C934" s="69">
        <v>46280.71361111111</v>
      </c>
      <c r="D934" s="55" t="s">
        <v>684</v>
      </c>
      <c r="E934" s="55" t="s">
        <v>1666</v>
      </c>
      <c r="G934" s="129">
        <v>0.5</v>
      </c>
    </row>
    <row r="935" spans="2:7">
      <c r="B935" s="56">
        <v>46280</v>
      </c>
      <c r="C935" s="69">
        <v>46280.71361111111</v>
      </c>
      <c r="D935" s="55" t="s">
        <v>684</v>
      </c>
      <c r="E935" s="55" t="s">
        <v>1667</v>
      </c>
      <c r="G935" s="129">
        <v>0.5</v>
      </c>
    </row>
    <row r="936" spans="2:7">
      <c r="B936" s="56">
        <v>46280</v>
      </c>
      <c r="C936" s="69">
        <v>46280.713622685187</v>
      </c>
      <c r="D936" s="55" t="s">
        <v>684</v>
      </c>
      <c r="E936" s="55" t="s">
        <v>1675</v>
      </c>
      <c r="G936" s="129">
        <v>0.33</v>
      </c>
    </row>
    <row r="937" spans="2:7">
      <c r="B937" s="56">
        <v>46280</v>
      </c>
      <c r="C937" s="69">
        <v>46280.713622685187</v>
      </c>
      <c r="D937" s="55" t="s">
        <v>684</v>
      </c>
      <c r="E937" s="55" t="s">
        <v>1676</v>
      </c>
      <c r="G937" s="129">
        <v>0.33</v>
      </c>
    </row>
    <row r="938" spans="2:7">
      <c r="B938" s="56">
        <v>46280</v>
      </c>
      <c r="C938" s="69">
        <v>46280.713634259257</v>
      </c>
      <c r="D938" s="55" t="s">
        <v>684</v>
      </c>
      <c r="E938" s="55" t="s">
        <v>1677</v>
      </c>
      <c r="G938" s="129">
        <v>0.34</v>
      </c>
    </row>
    <row r="939" spans="2:7">
      <c r="B939" s="56">
        <v>46280</v>
      </c>
      <c r="C939" s="69">
        <v>46280.713634259257</v>
      </c>
      <c r="D939" s="55" t="s">
        <v>684</v>
      </c>
      <c r="E939" s="55" t="s">
        <v>1685</v>
      </c>
      <c r="G939" s="129">
        <v>0.5</v>
      </c>
    </row>
    <row r="940" spans="2:7">
      <c r="B940" s="56">
        <v>46280</v>
      </c>
      <c r="C940" s="69">
        <v>46280.713645833333</v>
      </c>
      <c r="D940" s="55" t="s">
        <v>684</v>
      </c>
      <c r="E940" s="55" t="s">
        <v>1686</v>
      </c>
      <c r="G940" s="129">
        <v>0.5</v>
      </c>
    </row>
    <row r="941" spans="2:7">
      <c r="B941" s="56">
        <v>46280</v>
      </c>
      <c r="C941" s="69">
        <v>46280.713645833333</v>
      </c>
      <c r="D941" s="55" t="s">
        <v>684</v>
      </c>
      <c r="E941" s="55" t="s">
        <v>1687</v>
      </c>
      <c r="G941" s="129">
        <v>0.5</v>
      </c>
    </row>
    <row r="942" spans="2:7">
      <c r="B942" s="56">
        <v>46280</v>
      </c>
      <c r="C942" s="69">
        <v>46280.71365740741</v>
      </c>
      <c r="D942" s="55" t="s">
        <v>684</v>
      </c>
      <c r="E942" s="55" t="s">
        <v>1688</v>
      </c>
      <c r="G942" s="129">
        <v>0.5</v>
      </c>
    </row>
    <row r="943" spans="2:7">
      <c r="B943" s="56">
        <v>46280</v>
      </c>
      <c r="C943" s="69">
        <v>46280.71365740741</v>
      </c>
      <c r="D943" s="55" t="s">
        <v>684</v>
      </c>
      <c r="E943" s="55" t="s">
        <v>1689</v>
      </c>
      <c r="G943" s="129">
        <v>0.5</v>
      </c>
    </row>
    <row r="944" spans="2:7">
      <c r="B944" s="56">
        <v>46280</v>
      </c>
      <c r="C944" s="69">
        <v>46280.71366898148</v>
      </c>
      <c r="D944" s="55" t="s">
        <v>684</v>
      </c>
      <c r="E944" s="55" t="s">
        <v>1690</v>
      </c>
      <c r="G944" s="129">
        <v>0.5</v>
      </c>
    </row>
    <row r="945" spans="2:7">
      <c r="B945" s="56">
        <v>46280</v>
      </c>
      <c r="C945" s="69">
        <v>46280.71366898148</v>
      </c>
      <c r="D945" s="55" t="s">
        <v>684</v>
      </c>
      <c r="E945" s="55" t="s">
        <v>1692</v>
      </c>
      <c r="G945" s="129">
        <v>0.16</v>
      </c>
    </row>
    <row r="946" spans="2:7">
      <c r="B946" s="56">
        <v>46280</v>
      </c>
      <c r="C946" s="69">
        <v>46280.713680555556</v>
      </c>
      <c r="D946" s="55" t="s">
        <v>684</v>
      </c>
      <c r="E946" s="55" t="s">
        <v>1693</v>
      </c>
      <c r="G946" s="129">
        <v>0.16</v>
      </c>
    </row>
    <row r="947" spans="2:7">
      <c r="B947" s="56">
        <v>46280</v>
      </c>
      <c r="C947" s="69">
        <v>46280.713680555556</v>
      </c>
      <c r="D947" s="55" t="s">
        <v>684</v>
      </c>
      <c r="E947" s="55" t="s">
        <v>1694</v>
      </c>
      <c r="G947" s="129">
        <v>0.16</v>
      </c>
    </row>
    <row r="948" spans="2:7">
      <c r="B948" s="56">
        <v>46280</v>
      </c>
      <c r="C948" s="69">
        <v>46280.713692129626</v>
      </c>
      <c r="D948" s="55" t="s">
        <v>684</v>
      </c>
      <c r="E948" s="55" t="s">
        <v>1695</v>
      </c>
      <c r="G948" s="129">
        <v>0.16</v>
      </c>
    </row>
    <row r="949" spans="2:7">
      <c r="B949" s="56">
        <v>46280</v>
      </c>
      <c r="C949" s="69">
        <v>46280.713692129626</v>
      </c>
      <c r="D949" s="55" t="s">
        <v>684</v>
      </c>
      <c r="E949" s="55" t="s">
        <v>1696</v>
      </c>
      <c r="G949" s="129">
        <v>0.16</v>
      </c>
    </row>
    <row r="950" spans="2:7">
      <c r="B950" s="56">
        <v>46280</v>
      </c>
      <c r="C950" s="69">
        <v>46280.713703703703</v>
      </c>
      <c r="D950" s="55" t="s">
        <v>684</v>
      </c>
      <c r="E950" s="55" t="s">
        <v>1697</v>
      </c>
      <c r="G950" s="129">
        <v>0.2</v>
      </c>
    </row>
    <row r="951" spans="2:7">
      <c r="B951" s="56">
        <v>46280</v>
      </c>
      <c r="C951" s="69">
        <v>46280.713703703703</v>
      </c>
      <c r="D951" s="55" t="s">
        <v>684</v>
      </c>
      <c r="E951" s="55" t="s">
        <v>1698</v>
      </c>
      <c r="G951" s="129">
        <v>0.25</v>
      </c>
    </row>
    <row r="952" spans="2:7">
      <c r="B952" s="56">
        <v>46280</v>
      </c>
      <c r="C952" s="69">
        <v>46280.713726851849</v>
      </c>
      <c r="D952" s="55" t="s">
        <v>684</v>
      </c>
      <c r="E952" s="55" t="s">
        <v>1699</v>
      </c>
      <c r="G952" s="129">
        <v>0.25</v>
      </c>
    </row>
    <row r="953" spans="2:7">
      <c r="B953" s="56">
        <v>46280</v>
      </c>
      <c r="C953" s="69">
        <v>46280.713738425926</v>
      </c>
      <c r="D953" s="55" t="s">
        <v>684</v>
      </c>
      <c r="E953" s="55" t="s">
        <v>1700</v>
      </c>
      <c r="G953" s="129">
        <v>0.25</v>
      </c>
    </row>
    <row r="954" spans="2:7">
      <c r="B954" s="56">
        <v>46280</v>
      </c>
      <c r="C954" s="69">
        <v>46280.713750000003</v>
      </c>
      <c r="D954" s="55" t="s">
        <v>684</v>
      </c>
      <c r="E954" s="55" t="s">
        <v>1701</v>
      </c>
      <c r="G954" s="129">
        <v>0.25</v>
      </c>
    </row>
    <row r="955" spans="2:7">
      <c r="B955" s="56">
        <v>46280</v>
      </c>
      <c r="C955" s="69">
        <v>46280.713761574072</v>
      </c>
      <c r="D955" s="55" t="s">
        <v>684</v>
      </c>
      <c r="E955" s="55" t="s">
        <v>1702</v>
      </c>
      <c r="G955" s="129">
        <v>0.2</v>
      </c>
    </row>
    <row r="956" spans="2:7">
      <c r="B956" s="56">
        <v>46280</v>
      </c>
      <c r="C956" s="69">
        <v>46280.713761574072</v>
      </c>
      <c r="D956" s="55" t="s">
        <v>684</v>
      </c>
      <c r="E956" s="55" t="s">
        <v>1703</v>
      </c>
      <c r="G956" s="129">
        <v>0.2</v>
      </c>
    </row>
    <row r="957" spans="2:7">
      <c r="B957" s="56">
        <v>46280</v>
      </c>
      <c r="C957" s="69">
        <v>46280.713773148149</v>
      </c>
      <c r="D957" s="55" t="s">
        <v>684</v>
      </c>
      <c r="E957" s="55" t="s">
        <v>1704</v>
      </c>
      <c r="G957" s="129">
        <v>0.2</v>
      </c>
    </row>
    <row r="958" spans="2:7">
      <c r="B958" s="56">
        <v>46280</v>
      </c>
      <c r="C958" s="69">
        <v>46280.713773148149</v>
      </c>
      <c r="D958" s="55" t="s">
        <v>684</v>
      </c>
      <c r="E958" s="55" t="s">
        <v>1705</v>
      </c>
      <c r="G958" s="129">
        <v>0.2</v>
      </c>
    </row>
    <row r="959" spans="2:7">
      <c r="B959" s="56">
        <v>46280</v>
      </c>
      <c r="C959" s="69">
        <v>46280.713784722226</v>
      </c>
      <c r="D959" s="55" t="s">
        <v>684</v>
      </c>
      <c r="E959" s="55" t="s">
        <v>1706</v>
      </c>
      <c r="G959" s="129">
        <v>0.2</v>
      </c>
    </row>
    <row r="960" spans="2:7">
      <c r="B960" s="56">
        <v>46280</v>
      </c>
      <c r="C960" s="69">
        <v>46280.713784722226</v>
      </c>
      <c r="D960" s="55" t="s">
        <v>684</v>
      </c>
      <c r="E960" s="55" t="s">
        <v>1707</v>
      </c>
      <c r="G960" s="129">
        <v>0.33</v>
      </c>
    </row>
    <row r="961" spans="2:7">
      <c r="B961" s="56">
        <v>46280</v>
      </c>
      <c r="C961" s="69">
        <v>46280.713796296295</v>
      </c>
      <c r="D961" s="55" t="s">
        <v>684</v>
      </c>
      <c r="E961" s="55" t="s">
        <v>1708</v>
      </c>
      <c r="G961" s="129">
        <v>0.33</v>
      </c>
    </row>
    <row r="962" spans="2:7">
      <c r="B962" s="56">
        <v>46280</v>
      </c>
      <c r="C962" s="69">
        <v>46280.713796296295</v>
      </c>
      <c r="D962" s="55" t="s">
        <v>684</v>
      </c>
      <c r="E962" s="55" t="s">
        <v>1709</v>
      </c>
      <c r="G962" s="129">
        <v>0.34</v>
      </c>
    </row>
    <row r="963" spans="2:7">
      <c r="B963" s="56">
        <v>46280</v>
      </c>
      <c r="C963" s="69">
        <v>46280.713807870372</v>
      </c>
      <c r="D963" s="55" t="s">
        <v>684</v>
      </c>
      <c r="E963" s="55" t="s">
        <v>1715</v>
      </c>
      <c r="G963" s="129">
        <v>0.25</v>
      </c>
    </row>
    <row r="964" spans="2:7">
      <c r="B964" s="56">
        <v>46280</v>
      </c>
      <c r="C964" s="69">
        <v>46280.713807870372</v>
      </c>
      <c r="D964" s="55" t="s">
        <v>684</v>
      </c>
      <c r="E964" s="55" t="s">
        <v>1716</v>
      </c>
      <c r="G964" s="129">
        <v>0.25</v>
      </c>
    </row>
    <row r="965" spans="2:7">
      <c r="B965" s="56">
        <v>46280</v>
      </c>
      <c r="C965" s="69">
        <v>46280.713819444441</v>
      </c>
      <c r="D965" s="55" t="s">
        <v>684</v>
      </c>
      <c r="E965" s="55" t="s">
        <v>1717</v>
      </c>
      <c r="G965" s="129">
        <v>0.25</v>
      </c>
    </row>
    <row r="966" spans="2:7">
      <c r="B966" s="56">
        <v>46280</v>
      </c>
      <c r="C966" s="69">
        <v>46280.713819444441</v>
      </c>
      <c r="D966" s="55" t="s">
        <v>684</v>
      </c>
      <c r="E966" s="55" t="s">
        <v>1718</v>
      </c>
      <c r="G966" s="129">
        <v>0.25</v>
      </c>
    </row>
    <row r="967" spans="2:7">
      <c r="B967" s="56">
        <v>46280</v>
      </c>
      <c r="C967" s="69">
        <v>46280.713831018518</v>
      </c>
      <c r="D967" s="55" t="s">
        <v>684</v>
      </c>
      <c r="E967" s="55" t="s">
        <v>1719</v>
      </c>
      <c r="G967" s="129">
        <v>0.5</v>
      </c>
    </row>
    <row r="968" spans="2:7">
      <c r="B968" s="56">
        <v>46280</v>
      </c>
      <c r="C968" s="69">
        <v>46280.713831018518</v>
      </c>
      <c r="D968" s="55" t="s">
        <v>684</v>
      </c>
      <c r="E968" s="55" t="s">
        <v>1720</v>
      </c>
      <c r="G968" s="129">
        <v>0.5</v>
      </c>
    </row>
    <row r="969" spans="2:7">
      <c r="B969" s="56">
        <v>46280</v>
      </c>
      <c r="C969" s="69">
        <v>46280.713842592595</v>
      </c>
      <c r="D969" s="55" t="s">
        <v>684</v>
      </c>
      <c r="E969" s="55" t="s">
        <v>1724</v>
      </c>
      <c r="G969" s="129">
        <v>0.5</v>
      </c>
    </row>
    <row r="970" spans="2:7">
      <c r="B970" s="56">
        <v>46280</v>
      </c>
      <c r="C970" s="69">
        <v>46280.713842592595</v>
      </c>
      <c r="D970" s="55" t="s">
        <v>684</v>
      </c>
      <c r="E970" s="55" t="s">
        <v>1725</v>
      </c>
      <c r="G970" s="129">
        <v>0.5</v>
      </c>
    </row>
    <row r="971" spans="2:7">
      <c r="B971" s="56">
        <v>46280</v>
      </c>
      <c r="C971" s="69">
        <v>46280.713854166665</v>
      </c>
      <c r="D971" s="55" t="s">
        <v>684</v>
      </c>
      <c r="E971" s="55" t="s">
        <v>1727</v>
      </c>
      <c r="G971" s="129">
        <v>0.5</v>
      </c>
    </row>
    <row r="972" spans="2:7">
      <c r="B972" s="56">
        <v>46280</v>
      </c>
      <c r="C972" s="69">
        <v>46280.713854166665</v>
      </c>
      <c r="D972" s="55" t="s">
        <v>684</v>
      </c>
      <c r="E972" s="55" t="s">
        <v>1728</v>
      </c>
      <c r="G972" s="129">
        <v>0.5</v>
      </c>
    </row>
    <row r="973" spans="2:7">
      <c r="B973" s="56">
        <v>46280</v>
      </c>
      <c r="C973" s="69">
        <v>46280.725590277776</v>
      </c>
      <c r="D973" s="55" t="s">
        <v>684</v>
      </c>
      <c r="E973" s="55" t="s">
        <v>1629</v>
      </c>
      <c r="G973" s="129">
        <v>0.5</v>
      </c>
    </row>
    <row r="974" spans="2:7">
      <c r="B974" s="56">
        <v>46280</v>
      </c>
      <c r="C974" s="69">
        <v>46280.725590277776</v>
      </c>
      <c r="D974" s="55" t="s">
        <v>684</v>
      </c>
      <c r="E974" s="55" t="s">
        <v>1645</v>
      </c>
      <c r="G974" s="129">
        <v>0.33</v>
      </c>
    </row>
    <row r="975" spans="2:7">
      <c r="B975" s="56">
        <v>46280</v>
      </c>
      <c r="C975" s="69">
        <v>46280.725601851853</v>
      </c>
      <c r="D975" s="55" t="s">
        <v>684</v>
      </c>
      <c r="E975" s="55" t="s">
        <v>1646</v>
      </c>
      <c r="G975" s="129">
        <v>0.34</v>
      </c>
    </row>
    <row r="976" spans="2:7">
      <c r="B976" s="56">
        <v>46280</v>
      </c>
      <c r="C976" s="69">
        <v>46280.725601851853</v>
      </c>
      <c r="D976" s="55" t="s">
        <v>684</v>
      </c>
      <c r="E976" s="55" t="s">
        <v>1653</v>
      </c>
      <c r="G976" s="129">
        <v>0.5</v>
      </c>
    </row>
    <row r="977" spans="2:7">
      <c r="B977" s="56">
        <v>46280</v>
      </c>
      <c r="C977" s="69">
        <v>46280.725613425922</v>
      </c>
      <c r="D977" s="55" t="s">
        <v>684</v>
      </c>
      <c r="E977" s="55" t="s">
        <v>1657</v>
      </c>
      <c r="G977" s="129">
        <v>0.5</v>
      </c>
    </row>
    <row r="978" spans="2:7">
      <c r="B978" s="56">
        <v>46280</v>
      </c>
      <c r="C978" s="69">
        <v>46280.725613425922</v>
      </c>
      <c r="D978" s="55" t="s">
        <v>684</v>
      </c>
      <c r="E978" s="55" t="s">
        <v>1658</v>
      </c>
      <c r="G978" s="129">
        <v>0.5</v>
      </c>
    </row>
    <row r="979" spans="2:7">
      <c r="B979" s="56">
        <v>46280</v>
      </c>
      <c r="C979" s="69">
        <v>46280.725763888891</v>
      </c>
      <c r="D979" s="55" t="s">
        <v>684</v>
      </c>
      <c r="E979" s="55" t="s">
        <v>1587</v>
      </c>
      <c r="G979" s="129">
        <v>0.5</v>
      </c>
    </row>
    <row r="980" spans="2:7">
      <c r="B980" s="56">
        <v>46280</v>
      </c>
      <c r="C980" s="69">
        <v>46280.725775462961</v>
      </c>
      <c r="D980" s="55" t="s">
        <v>684</v>
      </c>
      <c r="E980" s="55" t="s">
        <v>1588</v>
      </c>
      <c r="G980" s="129">
        <v>0.5</v>
      </c>
    </row>
    <row r="981" spans="2:7">
      <c r="B981" s="56">
        <v>46280</v>
      </c>
      <c r="C981" s="69">
        <v>46280.725775462961</v>
      </c>
      <c r="D981" s="55" t="s">
        <v>684</v>
      </c>
      <c r="E981" s="55" t="s">
        <v>1614</v>
      </c>
      <c r="G981" s="129">
        <v>0.5</v>
      </c>
    </row>
    <row r="982" spans="2:7">
      <c r="B982" s="56">
        <v>46280</v>
      </c>
      <c r="C982" s="69">
        <v>46280.725787037038</v>
      </c>
      <c r="D982" s="55" t="s">
        <v>684</v>
      </c>
      <c r="E982" s="55" t="s">
        <v>1615</v>
      </c>
      <c r="G982" s="129">
        <v>0.5</v>
      </c>
    </row>
    <row r="983" spans="2:7">
      <c r="B983" s="56">
        <v>46280</v>
      </c>
      <c r="C983" s="69">
        <v>46280.725787037038</v>
      </c>
      <c r="D983" s="55" t="s">
        <v>684</v>
      </c>
      <c r="E983" s="55" t="s">
        <v>1627</v>
      </c>
      <c r="G983" s="129">
        <v>0.5</v>
      </c>
    </row>
    <row r="984" spans="2:7">
      <c r="B984" s="56">
        <v>46280</v>
      </c>
      <c r="C984" s="69">
        <v>46280.725798611114</v>
      </c>
      <c r="D984" s="55" t="s">
        <v>684</v>
      </c>
      <c r="E984" s="55" t="s">
        <v>1628</v>
      </c>
      <c r="G984" s="129">
        <v>0.5</v>
      </c>
    </row>
    <row r="985" spans="2:7">
      <c r="B985" s="56">
        <v>46280</v>
      </c>
      <c r="C985" s="69">
        <v>46280.725798611114</v>
      </c>
      <c r="D985" s="55" t="s">
        <v>684</v>
      </c>
      <c r="E985" s="55" t="s">
        <v>1630</v>
      </c>
      <c r="G985" s="129">
        <v>0.5</v>
      </c>
    </row>
    <row r="986" spans="2:7">
      <c r="B986" s="56">
        <v>46280</v>
      </c>
      <c r="C986" s="69">
        <v>46280.725810185184</v>
      </c>
      <c r="D986" s="55" t="s">
        <v>684</v>
      </c>
      <c r="E986" s="55" t="s">
        <v>1632</v>
      </c>
      <c r="G986" s="129">
        <v>0.33</v>
      </c>
    </row>
    <row r="987" spans="2:7">
      <c r="B987" s="56">
        <v>46280</v>
      </c>
      <c r="C987" s="69">
        <v>46280.725810185184</v>
      </c>
      <c r="D987" s="55" t="s">
        <v>684</v>
      </c>
      <c r="E987" s="55" t="s">
        <v>1633</v>
      </c>
      <c r="G987" s="129">
        <v>0.33</v>
      </c>
    </row>
    <row r="988" spans="2:7">
      <c r="B988" s="56">
        <v>46280</v>
      </c>
      <c r="C988" s="69">
        <v>46280.725821759261</v>
      </c>
      <c r="D988" s="55" t="s">
        <v>684</v>
      </c>
      <c r="E988" s="55" t="s">
        <v>1634</v>
      </c>
      <c r="G988" s="129">
        <v>0.34</v>
      </c>
    </row>
    <row r="989" spans="2:7">
      <c r="B989" s="56">
        <v>46280</v>
      </c>
      <c r="C989" s="69">
        <v>46280.725821759261</v>
      </c>
      <c r="D989" s="55" t="s">
        <v>684</v>
      </c>
      <c r="E989" s="55" t="s">
        <v>1635</v>
      </c>
      <c r="G989" s="129">
        <v>0.5</v>
      </c>
    </row>
    <row r="990" spans="2:7">
      <c r="B990" s="56">
        <v>46280</v>
      </c>
      <c r="C990" s="69">
        <v>46280.72583333333</v>
      </c>
      <c r="D990" s="55" t="s">
        <v>684</v>
      </c>
      <c r="E990" s="55" t="s">
        <v>1636</v>
      </c>
      <c r="G990" s="129">
        <v>0.5</v>
      </c>
    </row>
    <row r="991" spans="2:7">
      <c r="B991" s="56">
        <v>46280</v>
      </c>
      <c r="C991" s="69">
        <v>46280.72583333333</v>
      </c>
      <c r="D991" s="55" t="s">
        <v>684</v>
      </c>
      <c r="E991" s="55" t="s">
        <v>1641</v>
      </c>
      <c r="G991" s="129">
        <v>0.33</v>
      </c>
    </row>
    <row r="992" spans="2:7">
      <c r="B992" s="56">
        <v>46280</v>
      </c>
      <c r="C992" s="69">
        <v>46280.725844907407</v>
      </c>
      <c r="D992" s="55" t="s">
        <v>684</v>
      </c>
      <c r="E992" s="55" t="s">
        <v>1642</v>
      </c>
      <c r="G992" s="129">
        <v>0.33</v>
      </c>
    </row>
    <row r="993" spans="2:7">
      <c r="B993" s="56">
        <v>46280</v>
      </c>
      <c r="C993" s="69">
        <v>46280.725844907407</v>
      </c>
      <c r="D993" s="55" t="s">
        <v>684</v>
      </c>
      <c r="E993" s="55" t="s">
        <v>1643</v>
      </c>
      <c r="G993" s="129">
        <v>0.34</v>
      </c>
    </row>
    <row r="994" spans="2:7">
      <c r="B994" s="56">
        <v>46280</v>
      </c>
      <c r="C994" s="69">
        <v>46280.725856481484</v>
      </c>
      <c r="D994" s="55" t="s">
        <v>684</v>
      </c>
      <c r="E994" s="55" t="s">
        <v>1644</v>
      </c>
      <c r="G994" s="129">
        <v>0.33</v>
      </c>
    </row>
    <row r="995" spans="2:7">
      <c r="B995" s="56">
        <v>46280</v>
      </c>
      <c r="C995" s="69">
        <v>46280.725856481484</v>
      </c>
      <c r="D995" s="55" t="s">
        <v>684</v>
      </c>
      <c r="E995" s="55" t="s">
        <v>1647</v>
      </c>
      <c r="G995" s="129">
        <v>0.5</v>
      </c>
    </row>
    <row r="996" spans="2:7">
      <c r="B996" s="56">
        <v>46280</v>
      </c>
      <c r="C996" s="69">
        <v>46280.725856481484</v>
      </c>
      <c r="D996" s="55" t="s">
        <v>684</v>
      </c>
      <c r="E996" s="55" t="s">
        <v>1648</v>
      </c>
      <c r="G996" s="129">
        <v>0.5</v>
      </c>
    </row>
    <row r="997" spans="2:7">
      <c r="B997" s="56">
        <v>46280</v>
      </c>
      <c r="C997" s="69">
        <v>46280.725868055553</v>
      </c>
      <c r="D997" s="55" t="s">
        <v>684</v>
      </c>
      <c r="E997" s="55" t="s">
        <v>1654</v>
      </c>
      <c r="G997" s="129">
        <v>0.5</v>
      </c>
    </row>
    <row r="998" spans="2:7">
      <c r="B998" s="56">
        <v>46280</v>
      </c>
      <c r="C998" s="69">
        <v>46280.72587962963</v>
      </c>
      <c r="D998" s="55" t="s">
        <v>684</v>
      </c>
      <c r="E998" s="55" t="s">
        <v>1661</v>
      </c>
      <c r="G998" s="129">
        <v>0.25</v>
      </c>
    </row>
    <row r="999" spans="2:7">
      <c r="B999" s="56">
        <v>46280</v>
      </c>
      <c r="C999" s="69">
        <v>46280.72587962963</v>
      </c>
      <c r="D999" s="55" t="s">
        <v>684</v>
      </c>
      <c r="E999" s="55" t="s">
        <v>1662</v>
      </c>
      <c r="G999" s="129">
        <v>0.25</v>
      </c>
    </row>
    <row r="1000" spans="2:7">
      <c r="B1000" s="56">
        <v>46280</v>
      </c>
      <c r="C1000" s="69">
        <v>46280.725891203707</v>
      </c>
      <c r="D1000" s="55" t="s">
        <v>684</v>
      </c>
      <c r="E1000" s="55" t="s">
        <v>1663</v>
      </c>
      <c r="G1000" s="129">
        <v>0.25</v>
      </c>
    </row>
    <row r="1001" spans="2:7">
      <c r="B1001" s="56">
        <v>46280</v>
      </c>
      <c r="C1001" s="69">
        <v>46280.725891203707</v>
      </c>
      <c r="D1001" s="55" t="s">
        <v>684</v>
      </c>
      <c r="E1001" s="55" t="s">
        <v>1664</v>
      </c>
      <c r="G1001" s="129">
        <v>0.25</v>
      </c>
    </row>
    <row r="1002" spans="2:7">
      <c r="B1002" s="56">
        <v>46280</v>
      </c>
      <c r="C1002" s="69">
        <v>46280.725902777776</v>
      </c>
      <c r="D1002" s="55" t="s">
        <v>684</v>
      </c>
      <c r="E1002" s="55" t="s">
        <v>1666</v>
      </c>
      <c r="G1002" s="129">
        <v>0.5</v>
      </c>
    </row>
    <row r="1003" spans="2:7">
      <c r="B1003" s="56">
        <v>46280</v>
      </c>
      <c r="C1003" s="69">
        <v>46280.725902777776</v>
      </c>
      <c r="D1003" s="55" t="s">
        <v>684</v>
      </c>
      <c r="E1003" s="55" t="s">
        <v>1667</v>
      </c>
      <c r="G1003" s="129">
        <v>0.5</v>
      </c>
    </row>
    <row r="1004" spans="2:7">
      <c r="B1004" s="56">
        <v>46280</v>
      </c>
      <c r="C1004" s="69">
        <v>46280.725914351853</v>
      </c>
      <c r="D1004" s="55" t="s">
        <v>684</v>
      </c>
      <c r="E1004" s="55" t="s">
        <v>1675</v>
      </c>
      <c r="G1004" s="129">
        <v>0.33</v>
      </c>
    </row>
    <row r="1005" spans="2:7">
      <c r="B1005" s="56">
        <v>46280</v>
      </c>
      <c r="C1005" s="69">
        <v>46280.725914351853</v>
      </c>
      <c r="D1005" s="55" t="s">
        <v>684</v>
      </c>
      <c r="E1005" s="55" t="s">
        <v>1676</v>
      </c>
      <c r="G1005" s="129">
        <v>0.33</v>
      </c>
    </row>
    <row r="1006" spans="2:7">
      <c r="B1006" s="56">
        <v>46280</v>
      </c>
      <c r="C1006" s="69">
        <v>46280.725914351853</v>
      </c>
      <c r="D1006" s="55" t="s">
        <v>684</v>
      </c>
      <c r="E1006" s="55" t="s">
        <v>1677</v>
      </c>
      <c r="G1006" s="129">
        <v>0.34</v>
      </c>
    </row>
    <row r="1007" spans="2:7">
      <c r="B1007" s="56">
        <v>46280</v>
      </c>
      <c r="C1007" s="69">
        <v>46280.725925925923</v>
      </c>
      <c r="D1007" s="55" t="s">
        <v>684</v>
      </c>
      <c r="E1007" s="55" t="s">
        <v>1685</v>
      </c>
      <c r="G1007" s="129">
        <v>0.5</v>
      </c>
    </row>
    <row r="1008" spans="2:7">
      <c r="B1008" s="56">
        <v>46280</v>
      </c>
      <c r="C1008" s="69">
        <v>46280.725925925923</v>
      </c>
      <c r="D1008" s="55" t="s">
        <v>684</v>
      </c>
      <c r="E1008" s="55" t="s">
        <v>1686</v>
      </c>
      <c r="G1008" s="129">
        <v>0.5</v>
      </c>
    </row>
    <row r="1009" spans="2:7">
      <c r="B1009" s="56">
        <v>46280</v>
      </c>
      <c r="C1009" s="69">
        <v>46280.725937499999</v>
      </c>
      <c r="D1009" s="55" t="s">
        <v>684</v>
      </c>
      <c r="E1009" s="55" t="s">
        <v>1687</v>
      </c>
      <c r="G1009" s="129">
        <v>0.5</v>
      </c>
    </row>
    <row r="1010" spans="2:7">
      <c r="B1010" s="56">
        <v>46280</v>
      </c>
      <c r="C1010" s="69">
        <v>46280.725937499999</v>
      </c>
      <c r="D1010" s="55" t="s">
        <v>684</v>
      </c>
      <c r="E1010" s="55" t="s">
        <v>1688</v>
      </c>
      <c r="G1010" s="129">
        <v>0.5</v>
      </c>
    </row>
    <row r="1011" spans="2:7">
      <c r="B1011" s="56">
        <v>46280</v>
      </c>
      <c r="C1011" s="69">
        <v>46280.725949074076</v>
      </c>
      <c r="D1011" s="55" t="s">
        <v>684</v>
      </c>
      <c r="E1011" s="55" t="s">
        <v>1689</v>
      </c>
      <c r="G1011" s="129">
        <v>0.5</v>
      </c>
    </row>
    <row r="1012" spans="2:7">
      <c r="B1012" s="56">
        <v>46280</v>
      </c>
      <c r="C1012" s="69">
        <v>46280.725949074076</v>
      </c>
      <c r="D1012" s="55" t="s">
        <v>684</v>
      </c>
      <c r="E1012" s="55" t="s">
        <v>1690</v>
      </c>
      <c r="G1012" s="129">
        <v>0.5</v>
      </c>
    </row>
    <row r="1013" spans="2:7">
      <c r="B1013" s="56">
        <v>46280</v>
      </c>
      <c r="C1013" s="69">
        <v>46280.725960648146</v>
      </c>
      <c r="D1013" s="55" t="s">
        <v>684</v>
      </c>
      <c r="E1013" s="55" t="s">
        <v>1692</v>
      </c>
      <c r="G1013" s="129">
        <v>0.16</v>
      </c>
    </row>
    <row r="1014" spans="2:7">
      <c r="B1014" s="56">
        <v>46280</v>
      </c>
      <c r="C1014" s="69">
        <v>46280.725960648146</v>
      </c>
      <c r="D1014" s="55" t="s">
        <v>684</v>
      </c>
      <c r="E1014" s="55" t="s">
        <v>1693</v>
      </c>
      <c r="G1014" s="129">
        <v>0.16</v>
      </c>
    </row>
    <row r="1015" spans="2:7">
      <c r="B1015" s="56">
        <v>46280</v>
      </c>
      <c r="C1015" s="69">
        <v>46280.725972222222</v>
      </c>
      <c r="D1015" s="55" t="s">
        <v>684</v>
      </c>
      <c r="E1015" s="55" t="s">
        <v>1694</v>
      </c>
      <c r="G1015" s="129">
        <v>0.16</v>
      </c>
    </row>
    <row r="1016" spans="2:7">
      <c r="B1016" s="56">
        <v>46280</v>
      </c>
      <c r="C1016" s="69">
        <v>46280.725972222222</v>
      </c>
      <c r="D1016" s="55" t="s">
        <v>684</v>
      </c>
      <c r="E1016" s="55" t="s">
        <v>1695</v>
      </c>
      <c r="G1016" s="129">
        <v>0.16</v>
      </c>
    </row>
    <row r="1017" spans="2:7">
      <c r="B1017" s="56">
        <v>46280</v>
      </c>
      <c r="C1017" s="69">
        <v>46280.725983796299</v>
      </c>
      <c r="D1017" s="55" t="s">
        <v>684</v>
      </c>
      <c r="E1017" s="55" t="s">
        <v>1696</v>
      </c>
      <c r="G1017" s="129">
        <v>0.16</v>
      </c>
    </row>
    <row r="1018" spans="2:7">
      <c r="B1018" s="56">
        <v>46280</v>
      </c>
      <c r="C1018" s="69">
        <v>46280.725983796299</v>
      </c>
      <c r="D1018" s="55" t="s">
        <v>684</v>
      </c>
      <c r="E1018" s="55" t="s">
        <v>1697</v>
      </c>
      <c r="G1018" s="129">
        <v>0.2</v>
      </c>
    </row>
    <row r="1019" spans="2:7">
      <c r="B1019" s="56">
        <v>46280</v>
      </c>
      <c r="C1019" s="69">
        <v>46280.725995370369</v>
      </c>
      <c r="D1019" s="55" t="s">
        <v>684</v>
      </c>
      <c r="E1019" s="55" t="s">
        <v>1698</v>
      </c>
      <c r="G1019" s="129">
        <v>0.25</v>
      </c>
    </row>
    <row r="1020" spans="2:7">
      <c r="B1020" s="56">
        <v>46280</v>
      </c>
      <c r="C1020" s="69">
        <v>46280.725995370369</v>
      </c>
      <c r="D1020" s="55" t="s">
        <v>684</v>
      </c>
      <c r="E1020" s="55" t="s">
        <v>1699</v>
      </c>
      <c r="G1020" s="129">
        <v>0.25</v>
      </c>
    </row>
    <row r="1021" spans="2:7">
      <c r="B1021" s="56">
        <v>46280</v>
      </c>
      <c r="C1021" s="69">
        <v>46280.726006944446</v>
      </c>
      <c r="D1021" s="55" t="s">
        <v>684</v>
      </c>
      <c r="E1021" s="55" t="s">
        <v>1700</v>
      </c>
      <c r="G1021" s="129">
        <v>0.25</v>
      </c>
    </row>
    <row r="1022" spans="2:7">
      <c r="B1022" s="56">
        <v>46280</v>
      </c>
      <c r="C1022" s="69">
        <v>46280.726006944446</v>
      </c>
      <c r="D1022" s="55" t="s">
        <v>684</v>
      </c>
      <c r="E1022" s="55" t="s">
        <v>1701</v>
      </c>
      <c r="G1022" s="129">
        <v>0.25</v>
      </c>
    </row>
    <row r="1023" spans="2:7">
      <c r="B1023" s="56">
        <v>46280</v>
      </c>
      <c r="C1023" s="69">
        <v>46280.726018518515</v>
      </c>
      <c r="D1023" s="55" t="s">
        <v>684</v>
      </c>
      <c r="E1023" s="55" t="s">
        <v>1702</v>
      </c>
      <c r="G1023" s="129">
        <v>0.2</v>
      </c>
    </row>
    <row r="1024" spans="2:7">
      <c r="B1024" s="56">
        <v>46280</v>
      </c>
      <c r="C1024" s="69">
        <v>46280.726018518515</v>
      </c>
      <c r="D1024" s="55" t="s">
        <v>684</v>
      </c>
      <c r="E1024" s="55" t="s">
        <v>1703</v>
      </c>
      <c r="G1024" s="129">
        <v>0.2</v>
      </c>
    </row>
    <row r="1025" spans="2:7">
      <c r="B1025" s="56">
        <v>46280</v>
      </c>
      <c r="C1025" s="69">
        <v>46280.726030092592</v>
      </c>
      <c r="D1025" s="55" t="s">
        <v>684</v>
      </c>
      <c r="E1025" s="55" t="s">
        <v>1704</v>
      </c>
      <c r="G1025" s="129">
        <v>0.2</v>
      </c>
    </row>
    <row r="1026" spans="2:7">
      <c r="B1026" s="56">
        <v>46280</v>
      </c>
      <c r="C1026" s="69">
        <v>46280.726030092592</v>
      </c>
      <c r="D1026" s="55" t="s">
        <v>684</v>
      </c>
      <c r="E1026" s="55" t="s">
        <v>1705</v>
      </c>
      <c r="G1026" s="129">
        <v>0.2</v>
      </c>
    </row>
    <row r="1027" spans="2:7">
      <c r="B1027" s="56">
        <v>46280</v>
      </c>
      <c r="C1027" s="69">
        <v>46280.726041666669</v>
      </c>
      <c r="D1027" s="55" t="s">
        <v>684</v>
      </c>
      <c r="E1027" s="55" t="s">
        <v>1706</v>
      </c>
      <c r="G1027" s="129">
        <v>0.2</v>
      </c>
    </row>
    <row r="1028" spans="2:7">
      <c r="B1028" s="56">
        <v>46280</v>
      </c>
      <c r="C1028" s="69">
        <v>46280.726041666669</v>
      </c>
      <c r="D1028" s="55" t="s">
        <v>684</v>
      </c>
      <c r="E1028" s="55" t="s">
        <v>1707</v>
      </c>
      <c r="G1028" s="129">
        <v>0.33</v>
      </c>
    </row>
    <row r="1029" spans="2:7">
      <c r="B1029" s="56">
        <v>46280</v>
      </c>
      <c r="C1029" s="69">
        <v>46280.726041666669</v>
      </c>
      <c r="D1029" s="55" t="s">
        <v>684</v>
      </c>
      <c r="E1029" s="55" t="s">
        <v>1708</v>
      </c>
      <c r="G1029" s="129">
        <v>0.33</v>
      </c>
    </row>
    <row r="1030" spans="2:7">
      <c r="B1030" s="56">
        <v>46280</v>
      </c>
      <c r="C1030" s="69">
        <v>46280.726053240738</v>
      </c>
      <c r="D1030" s="55" t="s">
        <v>684</v>
      </c>
      <c r="E1030" s="55" t="s">
        <v>1709</v>
      </c>
      <c r="G1030" s="129">
        <v>0.34</v>
      </c>
    </row>
    <row r="1031" spans="2:7">
      <c r="B1031" s="56">
        <v>46280</v>
      </c>
      <c r="C1031" s="69">
        <v>46280.726053240738</v>
      </c>
      <c r="D1031" s="55" t="s">
        <v>684</v>
      </c>
      <c r="E1031" s="55" t="s">
        <v>1715</v>
      </c>
      <c r="G1031" s="129">
        <v>0.25</v>
      </c>
    </row>
    <row r="1032" spans="2:7">
      <c r="B1032" s="56">
        <v>46280</v>
      </c>
      <c r="C1032" s="69">
        <v>46280.726064814815</v>
      </c>
      <c r="D1032" s="55" t="s">
        <v>684</v>
      </c>
      <c r="E1032" s="55" t="s">
        <v>1716</v>
      </c>
      <c r="G1032" s="129">
        <v>0.25</v>
      </c>
    </row>
    <row r="1033" spans="2:7">
      <c r="B1033" s="56">
        <v>46280</v>
      </c>
      <c r="C1033" s="69">
        <v>46280.726064814815</v>
      </c>
      <c r="D1033" s="55" t="s">
        <v>684</v>
      </c>
      <c r="E1033" s="55" t="s">
        <v>1717</v>
      </c>
      <c r="G1033" s="129">
        <v>0.25</v>
      </c>
    </row>
    <row r="1034" spans="2:7">
      <c r="B1034" s="56">
        <v>46280</v>
      </c>
      <c r="C1034" s="69">
        <v>46280.726076388892</v>
      </c>
      <c r="D1034" s="55" t="s">
        <v>684</v>
      </c>
      <c r="E1034" s="55" t="s">
        <v>1718</v>
      </c>
      <c r="G1034" s="129">
        <v>0.25</v>
      </c>
    </row>
    <row r="1035" spans="2:7">
      <c r="B1035" s="56">
        <v>46280</v>
      </c>
      <c r="C1035" s="69">
        <v>46280.726076388892</v>
      </c>
      <c r="D1035" s="55" t="s">
        <v>684</v>
      </c>
      <c r="E1035" s="55" t="s">
        <v>1719</v>
      </c>
      <c r="G1035" s="129">
        <v>0.5</v>
      </c>
    </row>
    <row r="1036" spans="2:7">
      <c r="B1036" s="56">
        <v>46280</v>
      </c>
      <c r="C1036" s="69">
        <v>46280.726087962961</v>
      </c>
      <c r="D1036" s="55" t="s">
        <v>684</v>
      </c>
      <c r="E1036" s="55" t="s">
        <v>1720</v>
      </c>
      <c r="G1036" s="129">
        <v>0.5</v>
      </c>
    </row>
    <row r="1037" spans="2:7">
      <c r="B1037" s="56">
        <v>46280</v>
      </c>
      <c r="C1037" s="69">
        <v>46280.726087962961</v>
      </c>
      <c r="D1037" s="55" t="s">
        <v>684</v>
      </c>
      <c r="E1037" s="55" t="s">
        <v>1724</v>
      </c>
      <c r="G1037" s="129">
        <v>0.5</v>
      </c>
    </row>
    <row r="1038" spans="2:7">
      <c r="B1038" s="56">
        <v>46280</v>
      </c>
      <c r="C1038" s="69">
        <v>46280.726099537038</v>
      </c>
      <c r="D1038" s="55" t="s">
        <v>684</v>
      </c>
      <c r="E1038" s="55" t="s">
        <v>1725</v>
      </c>
      <c r="G1038" s="129">
        <v>0.5</v>
      </c>
    </row>
    <row r="1039" spans="2:7">
      <c r="B1039" s="56">
        <v>46280</v>
      </c>
      <c r="C1039" s="69">
        <v>46280.726099537038</v>
      </c>
      <c r="D1039" s="55" t="s">
        <v>684</v>
      </c>
      <c r="E1039" s="55" t="s">
        <v>1727</v>
      </c>
      <c r="G1039" s="129">
        <v>0.5</v>
      </c>
    </row>
    <row r="1040" spans="2:7">
      <c r="B1040" s="56">
        <v>46280</v>
      </c>
      <c r="C1040" s="69">
        <v>46280.726111111115</v>
      </c>
      <c r="D1040" s="55" t="s">
        <v>684</v>
      </c>
      <c r="E1040" s="55" t="s">
        <v>1728</v>
      </c>
      <c r="G1040" s="129">
        <v>0.5</v>
      </c>
    </row>
    <row r="1041" spans="2:7">
      <c r="B1041" s="56">
        <v>46281</v>
      </c>
      <c r="C1041" s="69">
        <v>46281.427152777775</v>
      </c>
      <c r="D1041" s="55" t="s">
        <v>1463</v>
      </c>
      <c r="E1041" s="55" t="s">
        <v>1752</v>
      </c>
      <c r="G1041" s="129" t="s">
        <v>1751</v>
      </c>
    </row>
    <row r="1042" spans="2:7">
      <c r="B1042" s="56">
        <v>46281</v>
      </c>
      <c r="C1042" s="69">
        <v>46281.427256944444</v>
      </c>
      <c r="D1042" s="55" t="s">
        <v>1463</v>
      </c>
      <c r="E1042" s="55" t="s">
        <v>1754</v>
      </c>
      <c r="G1042" s="129" t="s">
        <v>1753</v>
      </c>
    </row>
    <row r="1043" spans="2:7">
      <c r="B1043" s="56">
        <v>46281</v>
      </c>
      <c r="C1043" s="69">
        <v>46281.427291666667</v>
      </c>
      <c r="D1043" s="55" t="s">
        <v>1463</v>
      </c>
      <c r="E1043" s="55" t="s">
        <v>1752</v>
      </c>
      <c r="F1043" s="129" t="s">
        <v>1751</v>
      </c>
      <c r="G1043" s="129" t="s">
        <v>1755</v>
      </c>
    </row>
    <row r="1044" spans="2:7">
      <c r="B1044" s="56">
        <v>46281</v>
      </c>
      <c r="C1044" s="69">
        <v>46281.427395833336</v>
      </c>
      <c r="D1044" s="55" t="s">
        <v>1463</v>
      </c>
      <c r="E1044" s="55" t="s">
        <v>1756</v>
      </c>
      <c r="G1044" s="129" t="s">
        <v>660</v>
      </c>
    </row>
    <row r="1045" spans="2:7">
      <c r="B1045" s="56">
        <v>46281</v>
      </c>
      <c r="C1045" s="69">
        <v>46281.427476851852</v>
      </c>
      <c r="D1045" s="55" t="s">
        <v>1463</v>
      </c>
      <c r="E1045" s="55" t="s">
        <v>1757</v>
      </c>
      <c r="G1045" s="129" t="s">
        <v>660</v>
      </c>
    </row>
    <row r="1046" spans="2:7">
      <c r="B1046" s="56">
        <v>46281</v>
      </c>
      <c r="C1046" s="69">
        <v>46281.427824074075</v>
      </c>
      <c r="D1046" s="55" t="s">
        <v>1463</v>
      </c>
      <c r="E1046" s="55" t="s">
        <v>1758</v>
      </c>
      <c r="G1046" s="129" t="s">
        <v>1293</v>
      </c>
    </row>
    <row r="1047" spans="2:7">
      <c r="B1047" s="56">
        <v>46281</v>
      </c>
      <c r="C1047" s="69">
        <v>46281.427847222221</v>
      </c>
      <c r="D1047" s="55" t="s">
        <v>1463</v>
      </c>
      <c r="E1047" s="55" t="s">
        <v>1759</v>
      </c>
      <c r="G1047" s="129" t="s">
        <v>1293</v>
      </c>
    </row>
    <row r="1048" spans="2:7">
      <c r="B1048" s="56">
        <v>46281</v>
      </c>
      <c r="C1048" s="69">
        <v>46281.42869212963</v>
      </c>
      <c r="D1048" s="55" t="s">
        <v>1463</v>
      </c>
      <c r="E1048" s="55" t="s">
        <v>1758</v>
      </c>
      <c r="F1048" s="129" t="s">
        <v>1293</v>
      </c>
      <c r="G1048" s="129" t="s">
        <v>662</v>
      </c>
    </row>
    <row r="1049" spans="2:7">
      <c r="B1049" s="56">
        <v>46281</v>
      </c>
      <c r="C1049" s="69">
        <v>46281.428738425922</v>
      </c>
      <c r="D1049" s="55" t="s">
        <v>1463</v>
      </c>
      <c r="E1049" s="55" t="s">
        <v>1759</v>
      </c>
      <c r="F1049" s="129" t="s">
        <v>1293</v>
      </c>
      <c r="G1049" s="129" t="s">
        <v>662</v>
      </c>
    </row>
    <row r="1050" spans="2:7">
      <c r="B1050" s="56">
        <v>46281</v>
      </c>
      <c r="C1050" s="69">
        <v>46281.428981481484</v>
      </c>
      <c r="D1050" s="55" t="s">
        <v>1463</v>
      </c>
      <c r="E1050" s="55" t="s">
        <v>1467</v>
      </c>
      <c r="G1050" s="129" t="s">
        <v>662</v>
      </c>
    </row>
    <row r="1051" spans="2:7">
      <c r="B1051" s="56">
        <v>46281</v>
      </c>
      <c r="C1051" s="69">
        <v>46281.429074074076</v>
      </c>
      <c r="D1051" s="55" t="s">
        <v>1463</v>
      </c>
      <c r="E1051" s="55" t="s">
        <v>1760</v>
      </c>
      <c r="G1051" s="129" t="s">
        <v>662</v>
      </c>
    </row>
    <row r="1052" spans="2:7">
      <c r="B1052" s="56">
        <v>46281</v>
      </c>
      <c r="C1052" s="69">
        <v>46281.429212962961</v>
      </c>
      <c r="D1052" s="55" t="s">
        <v>1463</v>
      </c>
      <c r="E1052" s="55" t="s">
        <v>899</v>
      </c>
      <c r="G1052" s="129" t="s">
        <v>1296</v>
      </c>
    </row>
    <row r="1053" spans="2:7">
      <c r="B1053" s="56">
        <v>46281</v>
      </c>
      <c r="C1053" s="69">
        <v>46281.429513888892</v>
      </c>
      <c r="D1053" s="55" t="s">
        <v>1463</v>
      </c>
      <c r="E1053" s="55" t="s">
        <v>1761</v>
      </c>
      <c r="G1053" s="129" t="s">
        <v>1293</v>
      </c>
    </row>
    <row r="1054" spans="2:7">
      <c r="B1054" s="56">
        <v>46281</v>
      </c>
      <c r="C1054" s="69">
        <v>46281.429768518516</v>
      </c>
      <c r="D1054" s="55" t="s">
        <v>1463</v>
      </c>
      <c r="E1054" s="55" t="s">
        <v>1762</v>
      </c>
      <c r="G1054" s="129" t="s">
        <v>1298</v>
      </c>
    </row>
    <row r="1055" spans="2:7">
      <c r="B1055" s="56">
        <v>46281</v>
      </c>
      <c r="C1055" s="69">
        <v>46281.4299537037</v>
      </c>
      <c r="D1055" s="55" t="s">
        <v>1463</v>
      </c>
      <c r="E1055" s="55" t="s">
        <v>1763</v>
      </c>
      <c r="G1055" s="129" t="s">
        <v>1298</v>
      </c>
    </row>
    <row r="1056" spans="2:7">
      <c r="B1056" s="56">
        <v>46281</v>
      </c>
      <c r="C1056" s="69">
        <v>46281.430104166669</v>
      </c>
      <c r="D1056" s="55" t="s">
        <v>1463</v>
      </c>
      <c r="E1056" s="55" t="s">
        <v>1764</v>
      </c>
      <c r="G1056" s="129" t="s">
        <v>1300</v>
      </c>
    </row>
    <row r="1057" spans="2:7">
      <c r="B1057" s="56">
        <v>46281</v>
      </c>
      <c r="C1057" s="69">
        <v>46281.430266203701</v>
      </c>
      <c r="D1057" s="55" t="s">
        <v>1463</v>
      </c>
      <c r="E1057" s="55" t="s">
        <v>1765</v>
      </c>
      <c r="G1057" s="129" t="s">
        <v>1304</v>
      </c>
    </row>
    <row r="1058" spans="2:7">
      <c r="B1058" s="56">
        <v>46281</v>
      </c>
      <c r="C1058" s="69">
        <v>46281.430625000001</v>
      </c>
      <c r="D1058" s="55" t="s">
        <v>1463</v>
      </c>
      <c r="E1058" s="55" t="s">
        <v>1766</v>
      </c>
      <c r="G1058" s="129" t="s">
        <v>662</v>
      </c>
    </row>
    <row r="1059" spans="2:7">
      <c r="B1059" s="56">
        <v>46281</v>
      </c>
      <c r="C1059" s="69">
        <v>46281.430717592593</v>
      </c>
      <c r="D1059" s="55" t="s">
        <v>1463</v>
      </c>
      <c r="E1059" s="55" t="s">
        <v>1767</v>
      </c>
      <c r="G1059" s="129" t="s">
        <v>1293</v>
      </c>
    </row>
    <row r="1060" spans="2:7">
      <c r="B1060" s="56">
        <v>46281</v>
      </c>
      <c r="C1060" s="69">
        <v>46281.430810185186</v>
      </c>
      <c r="D1060" s="55" t="s">
        <v>1463</v>
      </c>
      <c r="E1060" s="55" t="s">
        <v>1768</v>
      </c>
      <c r="G1060" s="129" t="s">
        <v>662</v>
      </c>
    </row>
    <row r="1061" spans="2:7">
      <c r="B1061" s="56">
        <v>46281</v>
      </c>
      <c r="C1061" s="69">
        <v>46281.430844907409</v>
      </c>
      <c r="D1061" s="55" t="s">
        <v>1463</v>
      </c>
      <c r="E1061" s="55" t="s">
        <v>1769</v>
      </c>
      <c r="G1061" s="129" t="s">
        <v>1293</v>
      </c>
    </row>
    <row r="1062" spans="2:7">
      <c r="B1062" s="56">
        <v>46281</v>
      </c>
      <c r="C1062" s="69">
        <v>46281.431215277778</v>
      </c>
      <c r="D1062" s="55" t="s">
        <v>1463</v>
      </c>
      <c r="E1062" s="55" t="s">
        <v>1770</v>
      </c>
      <c r="G1062" s="129" t="s">
        <v>169</v>
      </c>
    </row>
    <row r="1063" spans="2:7">
      <c r="B1063" s="56">
        <v>46281</v>
      </c>
      <c r="C1063" s="69">
        <v>46281.431238425925</v>
      </c>
      <c r="D1063" s="55" t="s">
        <v>1463</v>
      </c>
      <c r="E1063" s="55" t="s">
        <v>1771</v>
      </c>
      <c r="G1063" s="129" t="s">
        <v>169</v>
      </c>
    </row>
    <row r="1064" spans="2:7">
      <c r="B1064" s="56">
        <v>46281</v>
      </c>
      <c r="C1064" s="69">
        <v>46281.431296296294</v>
      </c>
      <c r="D1064" s="55" t="s">
        <v>1463</v>
      </c>
      <c r="E1064" s="55" t="s">
        <v>1770</v>
      </c>
      <c r="F1064" s="129" t="s">
        <v>169</v>
      </c>
    </row>
    <row r="1065" spans="2:7">
      <c r="B1065" s="56">
        <v>46281</v>
      </c>
      <c r="C1065" s="69">
        <v>46281.431319444448</v>
      </c>
      <c r="D1065" s="55" t="s">
        <v>1463</v>
      </c>
      <c r="E1065" s="55" t="s">
        <v>1771</v>
      </c>
      <c r="F1065" s="129" t="s">
        <v>169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4"/>
      <c r="O1" s="14"/>
      <c r="P1" s="14"/>
    </row>
    <row r="2" spans="1:16">
      <c r="A2" s="23"/>
      <c r="B2" s="23"/>
      <c r="C2" s="24"/>
      <c r="D2" s="25"/>
      <c r="E2" s="23"/>
      <c r="F2" s="26"/>
      <c r="G2" s="26"/>
      <c r="H2" s="26"/>
      <c r="I2" s="26"/>
      <c r="J2" s="27"/>
      <c r="K2" s="27"/>
      <c r="L2" s="30"/>
      <c r="M2" s="53"/>
      <c r="N2" s="114"/>
      <c r="O2" s="14"/>
      <c r="P2" s="14"/>
    </row>
    <row r="3" spans="1:16">
      <c r="A3" s="23"/>
      <c r="B3" s="23"/>
      <c r="C3" s="24"/>
      <c r="D3" s="25"/>
      <c r="E3" s="23"/>
      <c r="F3" s="26"/>
      <c r="G3" s="26"/>
      <c r="H3" s="26"/>
      <c r="I3" s="26"/>
      <c r="J3" s="27"/>
      <c r="K3" s="27"/>
      <c r="L3" s="30"/>
      <c r="M3" s="53"/>
      <c r="N3" s="114"/>
      <c r="O3" s="14"/>
      <c r="P3" s="14"/>
    </row>
    <row r="4" spans="1:16" s="8" customFormat="1">
      <c r="A4" s="172" t="s">
        <v>0</v>
      </c>
      <c r="B4" s="172" t="s">
        <v>1</v>
      </c>
      <c r="C4" s="172" t="s">
        <v>2</v>
      </c>
      <c r="D4" s="172" t="s">
        <v>4</v>
      </c>
      <c r="E4" s="172" t="s">
        <v>5</v>
      </c>
      <c r="F4" s="172" t="s">
        <v>6</v>
      </c>
      <c r="G4" s="166" t="s">
        <v>611</v>
      </c>
      <c r="H4" s="172" t="s">
        <v>8</v>
      </c>
      <c r="I4" s="172" t="s">
        <v>11</v>
      </c>
      <c r="J4" s="173" t="s">
        <v>609</v>
      </c>
      <c r="K4" s="172" t="s">
        <v>543</v>
      </c>
      <c r="L4" s="172" t="s">
        <v>544</v>
      </c>
      <c r="M4" s="172" t="s">
        <v>545</v>
      </c>
      <c r="N4" s="165" t="s">
        <v>663</v>
      </c>
      <c r="O4" s="166" t="s">
        <v>664</v>
      </c>
      <c r="P4" s="166" t="s">
        <v>654</v>
      </c>
    </row>
    <row r="5" spans="1:16" ht="45.6">
      <c r="A5" s="167" t="s">
        <v>13</v>
      </c>
      <c r="B5" s="167" t="s">
        <v>14</v>
      </c>
      <c r="C5" s="168" t="s">
        <v>15</v>
      </c>
      <c r="D5" s="169" t="s">
        <v>774</v>
      </c>
      <c r="E5" s="168" t="s">
        <v>16</v>
      </c>
      <c r="F5" s="167" t="s">
        <v>269</v>
      </c>
      <c r="G5" s="174" t="s">
        <v>775</v>
      </c>
      <c r="H5" s="171">
        <v>45323</v>
      </c>
      <c r="I5" s="167" t="s">
        <v>20</v>
      </c>
      <c r="J5" s="170"/>
      <c r="K5" s="170"/>
      <c r="L5" s="170"/>
      <c r="M5" s="170"/>
      <c r="N5" s="170"/>
      <c r="O5" s="170"/>
      <c r="P5" s="170"/>
    </row>
    <row r="6" spans="1:16" ht="45.6">
      <c r="A6" s="167"/>
      <c r="B6" s="167"/>
      <c r="C6" s="168" t="s">
        <v>59</v>
      </c>
      <c r="D6" s="169" t="s">
        <v>774</v>
      </c>
      <c r="E6" s="168" t="s">
        <v>60</v>
      </c>
      <c r="F6" s="167" t="s">
        <v>269</v>
      </c>
      <c r="G6" s="174" t="s">
        <v>775</v>
      </c>
      <c r="H6" s="171">
        <v>45473</v>
      </c>
      <c r="I6" s="167" t="s">
        <v>20</v>
      </c>
      <c r="J6" s="170"/>
      <c r="K6" s="170"/>
      <c r="L6" s="170"/>
      <c r="M6" s="170"/>
      <c r="N6" s="170"/>
      <c r="O6" s="170"/>
      <c r="P6" s="170"/>
    </row>
    <row r="7" spans="1:16" ht="136.80000000000001">
      <c r="A7" s="167"/>
      <c r="B7" s="167"/>
      <c r="C7" s="168" t="s">
        <v>63</v>
      </c>
      <c r="D7" s="169" t="s">
        <v>774</v>
      </c>
      <c r="E7" s="168" t="s">
        <v>64</v>
      </c>
      <c r="F7" s="167" t="s">
        <v>269</v>
      </c>
      <c r="G7" s="174" t="s">
        <v>775</v>
      </c>
      <c r="H7" s="171">
        <v>45473</v>
      </c>
      <c r="I7" s="167" t="s">
        <v>20</v>
      </c>
      <c r="J7" s="170"/>
      <c r="K7" s="170"/>
      <c r="L7" s="170"/>
      <c r="M7" s="170"/>
      <c r="N7" s="170"/>
      <c r="O7" s="170"/>
      <c r="P7" s="170"/>
    </row>
    <row r="8" spans="1:16" ht="102.6">
      <c r="A8" s="167"/>
      <c r="B8" s="167"/>
      <c r="C8" s="168" t="s">
        <v>66</v>
      </c>
      <c r="D8" s="169" t="s">
        <v>774</v>
      </c>
      <c r="E8" s="168" t="s">
        <v>67</v>
      </c>
      <c r="F8" s="167" t="s">
        <v>269</v>
      </c>
      <c r="G8" s="174" t="s">
        <v>775</v>
      </c>
      <c r="H8" s="171">
        <v>45473</v>
      </c>
      <c r="I8" s="167" t="s">
        <v>20</v>
      </c>
      <c r="J8" s="170"/>
      <c r="K8" s="170"/>
      <c r="L8" s="170"/>
      <c r="M8" s="170"/>
      <c r="N8" s="170"/>
      <c r="O8" s="170"/>
      <c r="P8" s="170"/>
    </row>
    <row r="9" spans="1:16" ht="68.400000000000006">
      <c r="A9" s="167"/>
      <c r="B9" s="167"/>
      <c r="C9" s="168" t="s">
        <v>70</v>
      </c>
      <c r="D9" s="169" t="s">
        <v>774</v>
      </c>
      <c r="E9" s="168" t="s">
        <v>71</v>
      </c>
      <c r="F9" s="167" t="s">
        <v>269</v>
      </c>
      <c r="G9" s="174" t="s">
        <v>775</v>
      </c>
      <c r="H9" s="171">
        <v>45352</v>
      </c>
      <c r="I9" s="167" t="s">
        <v>20</v>
      </c>
      <c r="J9" s="170"/>
      <c r="K9" s="170"/>
      <c r="L9" s="170"/>
      <c r="M9" s="170"/>
      <c r="N9" s="170"/>
      <c r="O9" s="170"/>
      <c r="P9" s="170"/>
    </row>
    <row r="10" spans="1:16" ht="79.8">
      <c r="A10" s="167"/>
      <c r="B10" s="167"/>
      <c r="C10" s="168" t="s">
        <v>74</v>
      </c>
      <c r="D10" s="169" t="s">
        <v>774</v>
      </c>
      <c r="E10" s="168" t="s">
        <v>75</v>
      </c>
      <c r="F10" s="167" t="s">
        <v>269</v>
      </c>
      <c r="G10" s="174" t="s">
        <v>775</v>
      </c>
      <c r="H10" s="171">
        <v>45352</v>
      </c>
      <c r="I10" s="167" t="s">
        <v>20</v>
      </c>
      <c r="J10" s="170"/>
      <c r="K10" s="170"/>
      <c r="L10" s="170"/>
      <c r="M10" s="170"/>
      <c r="N10" s="170"/>
      <c r="O10" s="170"/>
      <c r="P10" s="170"/>
    </row>
    <row r="11" spans="1:16" ht="148.19999999999999">
      <c r="A11" s="167"/>
      <c r="B11" s="167"/>
      <c r="C11" s="168" t="s">
        <v>77</v>
      </c>
      <c r="D11" s="169" t="s">
        <v>774</v>
      </c>
      <c r="E11" s="168" t="s">
        <v>78</v>
      </c>
      <c r="F11" s="167" t="s">
        <v>269</v>
      </c>
      <c r="G11" s="174" t="s">
        <v>775</v>
      </c>
      <c r="H11" s="171">
        <v>45473</v>
      </c>
      <c r="I11" s="167" t="s">
        <v>20</v>
      </c>
      <c r="J11" s="170"/>
      <c r="K11" s="170"/>
      <c r="L11" s="170"/>
      <c r="M11" s="170"/>
      <c r="N11" s="170"/>
      <c r="O11" s="170"/>
      <c r="P11" s="170"/>
    </row>
    <row r="12" spans="1:16" ht="91.2">
      <c r="A12" s="167"/>
      <c r="B12" s="167"/>
      <c r="C12" s="168" t="s">
        <v>81</v>
      </c>
      <c r="D12" s="169" t="s">
        <v>774</v>
      </c>
      <c r="E12" s="168" t="s">
        <v>82</v>
      </c>
      <c r="F12" s="167" t="s">
        <v>269</v>
      </c>
      <c r="G12" s="174" t="s">
        <v>775</v>
      </c>
      <c r="H12" s="171">
        <v>45473</v>
      </c>
      <c r="I12" s="167" t="s">
        <v>20</v>
      </c>
      <c r="J12" s="170"/>
      <c r="K12" s="170"/>
      <c r="L12" s="170"/>
      <c r="M12" s="170"/>
      <c r="N12" s="170"/>
      <c r="O12" s="170"/>
      <c r="P12" s="170"/>
    </row>
    <row r="13" spans="1:16" ht="57">
      <c r="A13" s="167"/>
      <c r="B13" s="167"/>
      <c r="C13" s="168" t="s">
        <v>85</v>
      </c>
      <c r="D13" s="169" t="s">
        <v>774</v>
      </c>
      <c r="E13" s="168" t="s">
        <v>86</v>
      </c>
      <c r="F13" s="167" t="s">
        <v>269</v>
      </c>
      <c r="G13" s="174" t="s">
        <v>775</v>
      </c>
      <c r="H13" s="171">
        <v>45473</v>
      </c>
      <c r="I13" s="167" t="s">
        <v>20</v>
      </c>
      <c r="J13" s="170"/>
      <c r="K13" s="170"/>
      <c r="L13" s="170"/>
      <c r="M13" s="170"/>
      <c r="N13" s="170"/>
      <c r="O13" s="170"/>
      <c r="P13" s="170"/>
    </row>
    <row r="14" spans="1:16" ht="45.6">
      <c r="A14" s="167"/>
      <c r="B14" s="167"/>
      <c r="C14" s="168" t="s">
        <v>88</v>
      </c>
      <c r="D14" s="169" t="s">
        <v>774</v>
      </c>
      <c r="E14" s="168" t="s">
        <v>89</v>
      </c>
      <c r="F14" s="167" t="s">
        <v>269</v>
      </c>
      <c r="G14" s="174" t="s">
        <v>775</v>
      </c>
      <c r="H14" s="171">
        <v>45473</v>
      </c>
      <c r="I14" s="167" t="s">
        <v>20</v>
      </c>
      <c r="J14" s="170"/>
      <c r="K14" s="170"/>
      <c r="L14" s="170"/>
      <c r="M14" s="170"/>
      <c r="N14" s="170"/>
      <c r="O14" s="170"/>
      <c r="P14" s="170"/>
    </row>
    <row r="15" spans="1:16" s="13" customFormat="1" ht="57">
      <c r="A15" s="167"/>
      <c r="B15" s="167"/>
      <c r="C15" s="168" t="s">
        <v>21</v>
      </c>
      <c r="D15" s="169" t="s">
        <v>774</v>
      </c>
      <c r="E15" s="168" t="s">
        <v>22</v>
      </c>
      <c r="F15" s="167" t="s">
        <v>269</v>
      </c>
      <c r="G15" s="174" t="s">
        <v>775</v>
      </c>
      <c r="H15" s="171">
        <v>45381</v>
      </c>
      <c r="I15" s="167" t="s">
        <v>20</v>
      </c>
      <c r="J15" s="170"/>
      <c r="K15" s="170"/>
      <c r="L15" s="170"/>
      <c r="M15" s="170"/>
      <c r="N15" s="170"/>
      <c r="O15" s="170"/>
      <c r="P15" s="170"/>
    </row>
    <row r="16" spans="1:16" ht="91.2">
      <c r="A16" s="167"/>
      <c r="B16" s="167"/>
      <c r="C16" s="168" t="s">
        <v>92</v>
      </c>
      <c r="D16" s="169" t="s">
        <v>774</v>
      </c>
      <c r="E16" s="168" t="s">
        <v>93</v>
      </c>
      <c r="F16" s="167" t="s">
        <v>269</v>
      </c>
      <c r="G16" s="174" t="s">
        <v>775</v>
      </c>
      <c r="H16" s="171">
        <v>45381</v>
      </c>
      <c r="I16" s="167" t="s">
        <v>20</v>
      </c>
      <c r="J16" s="170"/>
      <c r="K16" s="170"/>
      <c r="L16" s="170"/>
      <c r="M16" s="170"/>
      <c r="N16" s="170"/>
      <c r="O16" s="170"/>
      <c r="P16" s="170"/>
    </row>
    <row r="17" spans="1:16" ht="68.400000000000006">
      <c r="A17" s="167"/>
      <c r="B17" s="167"/>
      <c r="C17" s="168" t="s">
        <v>96</v>
      </c>
      <c r="D17" s="169" t="s">
        <v>774</v>
      </c>
      <c r="E17" s="168" t="s">
        <v>97</v>
      </c>
      <c r="F17" s="167" t="s">
        <v>269</v>
      </c>
      <c r="G17" s="174" t="s">
        <v>775</v>
      </c>
      <c r="H17" s="171">
        <v>45443</v>
      </c>
      <c r="I17" s="167" t="s">
        <v>20</v>
      </c>
      <c r="J17" s="170"/>
      <c r="K17" s="170"/>
      <c r="L17" s="170"/>
      <c r="M17" s="170"/>
      <c r="N17" s="170"/>
      <c r="O17" s="170"/>
      <c r="P17" s="170"/>
    </row>
    <row r="18" spans="1:16" s="8" customFormat="1" ht="125.4">
      <c r="A18" s="167"/>
      <c r="B18" s="167"/>
      <c r="C18" s="168" t="s">
        <v>100</v>
      </c>
      <c r="D18" s="169" t="s">
        <v>774</v>
      </c>
      <c r="E18" s="168" t="s">
        <v>101</v>
      </c>
      <c r="F18" s="167" t="s">
        <v>269</v>
      </c>
      <c r="G18" s="174" t="s">
        <v>775</v>
      </c>
      <c r="H18" s="171">
        <v>45412</v>
      </c>
      <c r="I18" s="167" t="s">
        <v>20</v>
      </c>
      <c r="J18" s="170"/>
      <c r="K18" s="170"/>
      <c r="L18" s="170"/>
      <c r="M18" s="170"/>
      <c r="N18" s="170"/>
      <c r="O18" s="170"/>
      <c r="P18" s="170"/>
    </row>
    <row r="19" spans="1:16" ht="68.400000000000006">
      <c r="A19" s="167"/>
      <c r="B19" s="167"/>
      <c r="C19" s="168" t="s">
        <v>103</v>
      </c>
      <c r="D19" s="169" t="s">
        <v>774</v>
      </c>
      <c r="E19" s="168" t="s">
        <v>104</v>
      </c>
      <c r="F19" s="167" t="s">
        <v>269</v>
      </c>
      <c r="G19" s="174" t="s">
        <v>775</v>
      </c>
      <c r="H19" s="171">
        <v>45473</v>
      </c>
      <c r="I19" s="167" t="s">
        <v>20</v>
      </c>
      <c r="J19" s="170"/>
      <c r="K19" s="170"/>
      <c r="L19" s="170"/>
      <c r="M19" s="170"/>
      <c r="N19" s="170"/>
      <c r="O19" s="170"/>
      <c r="P19" s="170"/>
    </row>
    <row r="20" spans="1:16" ht="68.400000000000006">
      <c r="A20" s="167"/>
      <c r="B20" s="167"/>
      <c r="C20" s="168" t="s">
        <v>106</v>
      </c>
      <c r="D20" s="169" t="s">
        <v>774</v>
      </c>
      <c r="E20" s="168" t="s">
        <v>107</v>
      </c>
      <c r="F20" s="167" t="s">
        <v>269</v>
      </c>
      <c r="G20" s="174" t="s">
        <v>775</v>
      </c>
      <c r="H20" s="171">
        <v>45352</v>
      </c>
      <c r="I20" s="167" t="s">
        <v>20</v>
      </c>
      <c r="J20" s="170"/>
      <c r="K20" s="170"/>
      <c r="L20" s="170"/>
      <c r="M20" s="170"/>
      <c r="N20" s="170"/>
      <c r="O20" s="170"/>
      <c r="P20" s="170"/>
    </row>
    <row r="21" spans="1:16" ht="45.6">
      <c r="A21" s="167"/>
      <c r="B21" s="167"/>
      <c r="C21" s="168" t="s">
        <v>25</v>
      </c>
      <c r="D21" s="169" t="s">
        <v>774</v>
      </c>
      <c r="E21" s="168" t="s">
        <v>26</v>
      </c>
      <c r="F21" s="167" t="s">
        <v>269</v>
      </c>
      <c r="G21" s="174" t="s">
        <v>775</v>
      </c>
      <c r="H21" s="171">
        <v>45473</v>
      </c>
      <c r="I21" s="167" t="s">
        <v>20</v>
      </c>
      <c r="J21" s="170"/>
      <c r="K21" s="170"/>
      <c r="L21" s="170"/>
      <c r="M21" s="170"/>
      <c r="N21" s="170"/>
      <c r="O21" s="170"/>
      <c r="P21" s="170"/>
    </row>
    <row r="22" spans="1:16" ht="148.19999999999999">
      <c r="A22" s="167"/>
      <c r="B22" s="167"/>
      <c r="C22" s="168" t="s">
        <v>29</v>
      </c>
      <c r="D22" s="169" t="s">
        <v>774</v>
      </c>
      <c r="E22" s="168" t="s">
        <v>1006</v>
      </c>
      <c r="F22" s="167" t="s">
        <v>269</v>
      </c>
      <c r="G22" s="174" t="s">
        <v>775</v>
      </c>
      <c r="H22" s="171">
        <v>46203</v>
      </c>
      <c r="I22" s="167" t="s">
        <v>20</v>
      </c>
      <c r="J22" s="170"/>
      <c r="K22" s="170"/>
      <c r="L22" s="170"/>
      <c r="M22" s="170"/>
      <c r="N22" s="170"/>
      <c r="O22" s="170"/>
      <c r="P22" s="170"/>
    </row>
    <row r="23" spans="1:16" ht="91.2">
      <c r="A23" s="167"/>
      <c r="B23" s="167"/>
      <c r="C23" s="168" t="s">
        <v>36</v>
      </c>
      <c r="D23" s="169" t="s">
        <v>774</v>
      </c>
      <c r="E23" s="168" t="s">
        <v>37</v>
      </c>
      <c r="F23" s="167" t="s">
        <v>269</v>
      </c>
      <c r="G23" s="174" t="s">
        <v>775</v>
      </c>
      <c r="H23" s="171">
        <v>45473</v>
      </c>
      <c r="I23" s="167" t="s">
        <v>20</v>
      </c>
      <c r="J23" s="170"/>
      <c r="K23" s="170"/>
      <c r="L23" s="170"/>
      <c r="M23" s="170"/>
      <c r="N23" s="170"/>
      <c r="O23" s="170"/>
      <c r="P23" s="170"/>
    </row>
    <row r="24" spans="1:16" ht="68.400000000000006">
      <c r="A24" s="167"/>
      <c r="B24" s="167"/>
      <c r="C24" s="168" t="s">
        <v>40</v>
      </c>
      <c r="D24" s="169" t="s">
        <v>774</v>
      </c>
      <c r="E24" s="168" t="s">
        <v>41</v>
      </c>
      <c r="F24" s="167" t="s">
        <v>269</v>
      </c>
      <c r="G24" s="174" t="s">
        <v>775</v>
      </c>
      <c r="H24" s="171">
        <v>45381</v>
      </c>
      <c r="I24" s="167" t="s">
        <v>20</v>
      </c>
      <c r="J24" s="170"/>
      <c r="K24" s="170"/>
      <c r="L24" s="170"/>
      <c r="M24" s="170"/>
      <c r="N24" s="170"/>
      <c r="O24" s="170"/>
      <c r="P24" s="170"/>
    </row>
    <row r="25" spans="1:16" ht="68.400000000000006">
      <c r="A25" s="167"/>
      <c r="B25" s="167"/>
      <c r="C25" s="168" t="s">
        <v>44</v>
      </c>
      <c r="D25" s="169" t="s">
        <v>774</v>
      </c>
      <c r="E25" s="168" t="s">
        <v>45</v>
      </c>
      <c r="F25" s="167" t="s">
        <v>269</v>
      </c>
      <c r="G25" s="174" t="s">
        <v>775</v>
      </c>
      <c r="H25" s="171">
        <v>45443</v>
      </c>
      <c r="I25" s="167" t="s">
        <v>20</v>
      </c>
      <c r="J25" s="170"/>
      <c r="K25" s="170"/>
      <c r="L25" s="170"/>
      <c r="M25" s="170"/>
      <c r="N25" s="170"/>
      <c r="O25" s="170"/>
      <c r="P25" s="170"/>
    </row>
    <row r="26" spans="1:16" ht="68.400000000000006">
      <c r="A26" s="167"/>
      <c r="B26" s="167"/>
      <c r="C26" s="168" t="s">
        <v>47</v>
      </c>
      <c r="D26" s="169" t="s">
        <v>774</v>
      </c>
      <c r="E26" s="168" t="s">
        <v>48</v>
      </c>
      <c r="F26" s="167" t="s">
        <v>269</v>
      </c>
      <c r="G26" s="174" t="s">
        <v>775</v>
      </c>
      <c r="H26" s="171">
        <v>45381</v>
      </c>
      <c r="I26" s="167" t="s">
        <v>20</v>
      </c>
      <c r="J26" s="170"/>
      <c r="K26" s="170"/>
      <c r="L26" s="170"/>
      <c r="M26" s="170"/>
      <c r="N26" s="170"/>
      <c r="O26" s="170"/>
      <c r="P26" s="170"/>
    </row>
    <row r="27" spans="1:16" ht="102.6">
      <c r="A27" s="167"/>
      <c r="B27" s="167"/>
      <c r="C27" s="168" t="s">
        <v>51</v>
      </c>
      <c r="D27" s="169" t="s">
        <v>774</v>
      </c>
      <c r="E27" s="168" t="s">
        <v>52</v>
      </c>
      <c r="F27" s="167" t="s">
        <v>269</v>
      </c>
      <c r="G27" s="174" t="s">
        <v>775</v>
      </c>
      <c r="H27" s="171">
        <v>45381</v>
      </c>
      <c r="I27" s="167" t="s">
        <v>20</v>
      </c>
      <c r="J27" s="170"/>
      <c r="K27" s="170"/>
      <c r="L27" s="170"/>
      <c r="M27" s="170"/>
      <c r="N27" s="170"/>
      <c r="O27" s="170"/>
      <c r="P27" s="170"/>
    </row>
    <row r="28" spans="1:16" ht="79.8">
      <c r="A28" s="167"/>
      <c r="B28" s="167"/>
      <c r="C28" s="168" t="s">
        <v>55</v>
      </c>
      <c r="D28" s="169" t="s">
        <v>774</v>
      </c>
      <c r="E28" s="168" t="s">
        <v>56</v>
      </c>
      <c r="F28" s="167" t="s">
        <v>269</v>
      </c>
      <c r="G28" s="174" t="s">
        <v>775</v>
      </c>
      <c r="H28" s="171">
        <v>45473</v>
      </c>
      <c r="I28" s="167" t="s">
        <v>20</v>
      </c>
      <c r="J28" s="170"/>
      <c r="K28" s="170"/>
      <c r="L28" s="170"/>
      <c r="M28" s="170"/>
      <c r="N28" s="170"/>
      <c r="O28" s="170"/>
      <c r="P28" s="170"/>
    </row>
    <row r="29" spans="1:16" ht="114">
      <c r="A29" s="167"/>
      <c r="B29" s="167"/>
      <c r="C29" s="168" t="s">
        <v>109</v>
      </c>
      <c r="D29" s="169" t="s">
        <v>774</v>
      </c>
      <c r="E29" s="168" t="s">
        <v>110</v>
      </c>
      <c r="F29" s="167" t="s">
        <v>269</v>
      </c>
      <c r="G29" s="174" t="s">
        <v>775</v>
      </c>
      <c r="H29" s="171">
        <v>45473</v>
      </c>
      <c r="I29" s="167" t="s">
        <v>20</v>
      </c>
      <c r="J29" s="170"/>
      <c r="K29" s="170"/>
      <c r="L29" s="170"/>
      <c r="M29" s="170"/>
      <c r="N29" s="170"/>
      <c r="O29" s="170"/>
      <c r="P29" s="170"/>
    </row>
    <row r="30" spans="1:16" ht="45.6">
      <c r="A30" s="167"/>
      <c r="B30" s="167"/>
      <c r="C30" s="168" t="s">
        <v>774</v>
      </c>
      <c r="D30" s="169" t="s">
        <v>774</v>
      </c>
      <c r="E30" s="168" t="s">
        <v>34</v>
      </c>
      <c r="F30" s="167" t="s">
        <v>269</v>
      </c>
      <c r="G30" s="174" t="s">
        <v>775</v>
      </c>
      <c r="H30" s="171">
        <v>46203</v>
      </c>
      <c r="I30" s="167" t="s">
        <v>33</v>
      </c>
      <c r="J30" s="169"/>
      <c r="K30" s="169"/>
      <c r="L30" s="169"/>
      <c r="M30" s="169"/>
      <c r="N30" s="169" t="s">
        <v>665</v>
      </c>
      <c r="O30" s="170"/>
      <c r="P30" s="170"/>
    </row>
    <row r="31" spans="1:16" ht="91.2">
      <c r="A31" s="167" t="s">
        <v>111</v>
      </c>
      <c r="B31" s="167" t="s">
        <v>157</v>
      </c>
      <c r="C31" s="168" t="s">
        <v>570</v>
      </c>
      <c r="D31" s="169" t="s">
        <v>774</v>
      </c>
      <c r="E31" s="168" t="s">
        <v>163</v>
      </c>
      <c r="F31" s="167" t="s">
        <v>115</v>
      </c>
      <c r="G31" s="175">
        <v>46080</v>
      </c>
      <c r="H31" s="171">
        <v>46080</v>
      </c>
      <c r="I31" s="167" t="s">
        <v>20</v>
      </c>
      <c r="J31" s="170"/>
      <c r="K31" s="170"/>
      <c r="L31" s="170"/>
      <c r="M31" s="170"/>
      <c r="N31" s="170"/>
      <c r="O31" s="170"/>
      <c r="P31" s="170"/>
    </row>
    <row r="32" spans="1:16" ht="34.200000000000003">
      <c r="A32" s="167"/>
      <c r="B32" s="167"/>
      <c r="C32" s="168" t="s">
        <v>166</v>
      </c>
      <c r="D32" s="169" t="s">
        <v>774</v>
      </c>
      <c r="E32" s="168" t="s">
        <v>631</v>
      </c>
      <c r="F32" s="167" t="s">
        <v>118</v>
      </c>
      <c r="G32" s="174" t="s">
        <v>169</v>
      </c>
      <c r="H32" s="167" t="s">
        <v>169</v>
      </c>
      <c r="I32" s="167" t="s">
        <v>20</v>
      </c>
      <c r="J32" s="170"/>
      <c r="K32" s="170"/>
      <c r="L32" s="170"/>
      <c r="M32" s="170"/>
      <c r="N32" s="170"/>
      <c r="O32" s="170"/>
      <c r="P32" s="170"/>
    </row>
    <row r="33" spans="1:16" ht="114">
      <c r="A33" s="167"/>
      <c r="B33" s="167"/>
      <c r="C33" s="168" t="s">
        <v>569</v>
      </c>
      <c r="D33" s="169" t="s">
        <v>774</v>
      </c>
      <c r="E33" s="168" t="s">
        <v>159</v>
      </c>
      <c r="F33" s="167" t="s">
        <v>115</v>
      </c>
      <c r="G33" s="175">
        <v>46080</v>
      </c>
      <c r="H33" s="171">
        <v>46080</v>
      </c>
      <c r="I33" s="167" t="s">
        <v>20</v>
      </c>
      <c r="J33" s="170"/>
      <c r="K33" s="170"/>
      <c r="L33" s="170"/>
      <c r="M33" s="170"/>
      <c r="N33" s="170"/>
      <c r="O33" s="170"/>
      <c r="P33" s="170"/>
    </row>
    <row r="34" spans="1:16" ht="34.200000000000003">
      <c r="A34" s="167"/>
      <c r="B34" s="167"/>
      <c r="C34" s="168" t="s">
        <v>774</v>
      </c>
      <c r="D34" s="169" t="s">
        <v>774</v>
      </c>
      <c r="E34" s="168" t="s">
        <v>173</v>
      </c>
      <c r="F34" s="167" t="s">
        <v>148</v>
      </c>
      <c r="G34" s="174" t="s">
        <v>775</v>
      </c>
      <c r="H34" s="171">
        <v>45736</v>
      </c>
      <c r="I34" s="167" t="s">
        <v>20</v>
      </c>
      <c r="J34" s="170"/>
      <c r="K34" s="170"/>
      <c r="L34" s="170"/>
      <c r="M34" s="170"/>
      <c r="N34" s="170"/>
      <c r="O34" s="170"/>
      <c r="P34" s="170"/>
    </row>
    <row r="35" spans="1:16" ht="68.400000000000006">
      <c r="A35" s="167"/>
      <c r="B35" s="167"/>
      <c r="C35" s="168"/>
      <c r="D35" s="169"/>
      <c r="E35" s="168" t="s">
        <v>176</v>
      </c>
      <c r="F35" s="167" t="s">
        <v>148</v>
      </c>
      <c r="G35" s="174" t="s">
        <v>775</v>
      </c>
      <c r="H35" s="171">
        <v>45736</v>
      </c>
      <c r="I35" s="167" t="s">
        <v>20</v>
      </c>
      <c r="J35" s="170"/>
      <c r="K35" s="170"/>
      <c r="L35" s="170"/>
      <c r="M35" s="170"/>
      <c r="N35" s="170"/>
      <c r="O35" s="170"/>
      <c r="P35" s="170"/>
    </row>
    <row r="36" spans="1:16" ht="22.8">
      <c r="A36" s="167"/>
      <c r="B36" s="167"/>
      <c r="C36" s="168"/>
      <c r="D36" s="169"/>
      <c r="E36" s="168" t="s">
        <v>178</v>
      </c>
      <c r="F36" s="167" t="s">
        <v>179</v>
      </c>
      <c r="G36" s="174" t="s">
        <v>775</v>
      </c>
      <c r="H36" s="171">
        <v>46023</v>
      </c>
      <c r="I36" s="167" t="s">
        <v>20</v>
      </c>
      <c r="J36" s="170"/>
      <c r="K36" s="170"/>
      <c r="L36" s="170"/>
      <c r="M36" s="170"/>
      <c r="N36" s="170"/>
      <c r="O36" s="170"/>
      <c r="P36" s="170"/>
    </row>
    <row r="37" spans="1:16" ht="114">
      <c r="A37" s="167"/>
      <c r="B37" s="167" t="s">
        <v>142</v>
      </c>
      <c r="C37" s="168" t="s">
        <v>568</v>
      </c>
      <c r="D37" s="169" t="s">
        <v>774</v>
      </c>
      <c r="E37" s="168" t="s">
        <v>542</v>
      </c>
      <c r="F37" s="167" t="s">
        <v>148</v>
      </c>
      <c r="G37" s="174" t="s">
        <v>775</v>
      </c>
      <c r="H37" s="171">
        <v>45712</v>
      </c>
      <c r="I37" s="167" t="s">
        <v>20</v>
      </c>
      <c r="J37" s="170"/>
      <c r="K37" s="170"/>
      <c r="L37" s="170"/>
      <c r="M37" s="170"/>
      <c r="N37" s="170"/>
      <c r="O37" s="170"/>
      <c r="P37" s="170"/>
    </row>
    <row r="38" spans="1:16" ht="57">
      <c r="A38" s="167"/>
      <c r="B38" s="167"/>
      <c r="C38" s="168" t="s">
        <v>565</v>
      </c>
      <c r="D38" s="169" t="s">
        <v>774</v>
      </c>
      <c r="E38" s="168" t="s">
        <v>143</v>
      </c>
      <c r="F38" s="167" t="s">
        <v>144</v>
      </c>
      <c r="G38" s="174" t="s">
        <v>775</v>
      </c>
      <c r="H38" s="171">
        <v>46081</v>
      </c>
      <c r="I38" s="167" t="s">
        <v>20</v>
      </c>
      <c r="J38" s="170"/>
      <c r="K38" s="170"/>
      <c r="L38" s="170"/>
      <c r="M38" s="170"/>
      <c r="N38" s="170"/>
      <c r="O38" s="170"/>
      <c r="P38" s="170"/>
    </row>
    <row r="39" spans="1:16" ht="57">
      <c r="A39" s="167"/>
      <c r="B39" s="167"/>
      <c r="C39" s="168" t="s">
        <v>566</v>
      </c>
      <c r="D39" s="169" t="s">
        <v>774</v>
      </c>
      <c r="E39" s="168" t="s">
        <v>143</v>
      </c>
      <c r="F39" s="167" t="s">
        <v>144</v>
      </c>
      <c r="G39" s="174" t="s">
        <v>775</v>
      </c>
      <c r="H39" s="171">
        <v>46081</v>
      </c>
      <c r="I39" s="167" t="s">
        <v>20</v>
      </c>
      <c r="J39" s="170"/>
      <c r="K39" s="170"/>
      <c r="L39" s="170"/>
      <c r="M39" s="170"/>
      <c r="N39" s="170"/>
      <c r="O39" s="170"/>
      <c r="P39" s="170"/>
    </row>
    <row r="40" spans="1:16" ht="57">
      <c r="A40" s="167"/>
      <c r="B40" s="167"/>
      <c r="C40" s="168" t="s">
        <v>567</v>
      </c>
      <c r="D40" s="169" t="s">
        <v>774</v>
      </c>
      <c r="E40" s="168" t="s">
        <v>143</v>
      </c>
      <c r="F40" s="167" t="s">
        <v>144</v>
      </c>
      <c r="G40" s="174" t="s">
        <v>775</v>
      </c>
      <c r="H40" s="171">
        <v>46081</v>
      </c>
      <c r="I40" s="167" t="s">
        <v>20</v>
      </c>
      <c r="J40" s="170"/>
      <c r="K40" s="170"/>
      <c r="L40" s="170"/>
      <c r="M40" s="170"/>
      <c r="N40" s="170"/>
      <c r="O40" s="170"/>
      <c r="P40" s="170"/>
    </row>
    <row r="41" spans="1:16" ht="57">
      <c r="A41" s="167"/>
      <c r="B41" s="167"/>
      <c r="C41" s="168" t="s">
        <v>774</v>
      </c>
      <c r="D41" s="169" t="s">
        <v>774</v>
      </c>
      <c r="E41" s="168" t="s">
        <v>151</v>
      </c>
      <c r="F41" s="167" t="s">
        <v>148</v>
      </c>
      <c r="G41" s="174" t="s">
        <v>775</v>
      </c>
      <c r="H41" s="171">
        <v>45712</v>
      </c>
      <c r="I41" s="167" t="s">
        <v>20</v>
      </c>
      <c r="J41" s="170"/>
      <c r="K41" s="170"/>
      <c r="L41" s="170"/>
      <c r="M41" s="170"/>
      <c r="N41" s="170"/>
      <c r="O41" s="170"/>
      <c r="P41" s="170"/>
    </row>
    <row r="42" spans="1:16" ht="114">
      <c r="A42" s="167"/>
      <c r="B42" s="167"/>
      <c r="C42" s="168"/>
      <c r="D42" s="169"/>
      <c r="E42" s="168" t="s">
        <v>154</v>
      </c>
      <c r="F42" s="167" t="s">
        <v>148</v>
      </c>
      <c r="G42" s="174" t="s">
        <v>775</v>
      </c>
      <c r="H42" s="171">
        <v>45712</v>
      </c>
      <c r="I42" s="167" t="s">
        <v>20</v>
      </c>
      <c r="J42" s="170"/>
      <c r="K42" s="170"/>
      <c r="L42" s="170"/>
      <c r="M42" s="170"/>
      <c r="N42" s="170"/>
      <c r="O42" s="170"/>
      <c r="P42" s="170"/>
    </row>
    <row r="43" spans="1:16" ht="79.8">
      <c r="A43" s="167"/>
      <c r="B43" s="167" t="s">
        <v>112</v>
      </c>
      <c r="C43" s="168" t="s">
        <v>561</v>
      </c>
      <c r="D43" s="169" t="s">
        <v>774</v>
      </c>
      <c r="E43" s="168" t="s">
        <v>127</v>
      </c>
      <c r="F43" s="167" t="s">
        <v>128</v>
      </c>
      <c r="G43" s="174" t="s">
        <v>775</v>
      </c>
      <c r="H43" s="171">
        <v>45681</v>
      </c>
      <c r="I43" s="167" t="s">
        <v>20</v>
      </c>
      <c r="J43" s="170"/>
      <c r="K43" s="170"/>
      <c r="L43" s="170"/>
      <c r="M43" s="170"/>
      <c r="N43" s="170"/>
      <c r="O43" s="170"/>
      <c r="P43" s="170"/>
    </row>
    <row r="44" spans="1:16" ht="193.8">
      <c r="A44" s="167"/>
      <c r="B44" s="167"/>
      <c r="C44" s="168" t="s">
        <v>122</v>
      </c>
      <c r="D44" s="169" t="s">
        <v>774</v>
      </c>
      <c r="E44" s="168" t="s">
        <v>451</v>
      </c>
      <c r="F44" s="167" t="s">
        <v>118</v>
      </c>
      <c r="G44" s="174" t="s">
        <v>775</v>
      </c>
      <c r="H44" s="171">
        <v>46203</v>
      </c>
      <c r="I44" s="167" t="s">
        <v>33</v>
      </c>
      <c r="J44" s="169"/>
      <c r="K44" s="169"/>
      <c r="L44" s="169"/>
      <c r="M44" s="169"/>
      <c r="N44" s="169" t="s">
        <v>665</v>
      </c>
      <c r="O44" s="170"/>
      <c r="P44" s="170"/>
    </row>
    <row r="45" spans="1:16" ht="57">
      <c r="A45" s="167"/>
      <c r="B45" s="167"/>
      <c r="C45" s="168" t="s">
        <v>560</v>
      </c>
      <c r="D45" s="169" t="s">
        <v>774</v>
      </c>
      <c r="E45" s="168" t="s">
        <v>117</v>
      </c>
      <c r="F45" s="167" t="s">
        <v>118</v>
      </c>
      <c r="G45" s="174" t="s">
        <v>119</v>
      </c>
      <c r="H45" s="167" t="s">
        <v>119</v>
      </c>
      <c r="I45" s="167" t="s">
        <v>20</v>
      </c>
      <c r="J45" s="170"/>
      <c r="K45" s="170"/>
      <c r="L45" s="170"/>
      <c r="M45" s="170"/>
      <c r="N45" s="170"/>
      <c r="O45" s="170"/>
      <c r="P45" s="170"/>
    </row>
    <row r="46" spans="1:16" ht="45.6">
      <c r="A46" s="167"/>
      <c r="B46" s="167"/>
      <c r="C46" s="168" t="s">
        <v>563</v>
      </c>
      <c r="D46" s="169" t="s">
        <v>774</v>
      </c>
      <c r="E46" s="168" t="s">
        <v>137</v>
      </c>
      <c r="F46" s="167" t="s">
        <v>115</v>
      </c>
      <c r="G46" s="174" t="s">
        <v>775</v>
      </c>
      <c r="H46" s="171">
        <v>45747</v>
      </c>
      <c r="I46" s="167" t="s">
        <v>20</v>
      </c>
      <c r="J46" s="170"/>
      <c r="K46" s="170"/>
      <c r="L46" s="170"/>
      <c r="M46" s="170"/>
      <c r="N46" s="170"/>
      <c r="O46" s="170"/>
      <c r="P46" s="170"/>
    </row>
    <row r="47" spans="1:16" ht="57">
      <c r="A47" s="167"/>
      <c r="B47" s="167"/>
      <c r="C47" s="168" t="s">
        <v>564</v>
      </c>
      <c r="D47" s="169" t="s">
        <v>774</v>
      </c>
      <c r="E47" s="168" t="s">
        <v>141</v>
      </c>
      <c r="F47" s="167" t="s">
        <v>128</v>
      </c>
      <c r="G47" s="174" t="s">
        <v>775</v>
      </c>
      <c r="H47" s="171">
        <v>45681</v>
      </c>
      <c r="I47" s="167" t="s">
        <v>20</v>
      </c>
      <c r="J47" s="170"/>
      <c r="K47" s="170"/>
      <c r="L47" s="170"/>
      <c r="M47" s="170"/>
      <c r="N47" s="170"/>
      <c r="O47" s="170"/>
      <c r="P47" s="170"/>
    </row>
    <row r="48" spans="1:16" ht="79.8">
      <c r="A48" s="167"/>
      <c r="B48" s="167"/>
      <c r="C48" s="168" t="s">
        <v>562</v>
      </c>
      <c r="D48" s="169" t="s">
        <v>774</v>
      </c>
      <c r="E48" s="168" t="s">
        <v>131</v>
      </c>
      <c r="F48" s="167" t="s">
        <v>118</v>
      </c>
      <c r="G48" s="174" t="s">
        <v>775</v>
      </c>
      <c r="H48" s="171">
        <v>45747</v>
      </c>
      <c r="I48" s="167" t="s">
        <v>20</v>
      </c>
      <c r="J48" s="170"/>
      <c r="K48" s="170"/>
      <c r="L48" s="170"/>
      <c r="M48" s="170"/>
      <c r="N48" s="170"/>
      <c r="O48" s="170"/>
      <c r="P48" s="170"/>
    </row>
    <row r="49" spans="1:16" ht="182.4">
      <c r="A49" s="167"/>
      <c r="B49" s="167"/>
      <c r="C49" s="168" t="s">
        <v>559</v>
      </c>
      <c r="D49" s="169" t="s">
        <v>774</v>
      </c>
      <c r="E49" s="168" t="s">
        <v>114</v>
      </c>
      <c r="F49" s="167" t="s">
        <v>115</v>
      </c>
      <c r="G49" s="174" t="s">
        <v>775</v>
      </c>
      <c r="H49" s="171">
        <v>45709</v>
      </c>
      <c r="I49" s="167" t="s">
        <v>20</v>
      </c>
      <c r="J49" s="170"/>
      <c r="K49" s="170"/>
      <c r="L49" s="170"/>
      <c r="M49" s="170"/>
      <c r="N49" s="170"/>
      <c r="O49" s="170"/>
      <c r="P49" s="170"/>
    </row>
    <row r="50" spans="1:16" ht="34.200000000000003">
      <c r="A50" s="167"/>
      <c r="B50" s="167"/>
      <c r="C50" s="168" t="s">
        <v>774</v>
      </c>
      <c r="D50" s="169" t="s">
        <v>774</v>
      </c>
      <c r="E50" s="168" t="s">
        <v>134</v>
      </c>
      <c r="F50" s="167" t="s">
        <v>128</v>
      </c>
      <c r="G50" s="174" t="s">
        <v>775</v>
      </c>
      <c r="H50" s="171">
        <v>45777</v>
      </c>
      <c r="I50" s="167" t="s">
        <v>20</v>
      </c>
      <c r="J50" s="170"/>
      <c r="K50" s="170"/>
      <c r="L50" s="170"/>
      <c r="M50" s="170"/>
      <c r="N50" s="170"/>
      <c r="O50" s="170"/>
      <c r="P50" s="170"/>
    </row>
    <row r="51" spans="1:16" ht="148.19999999999999">
      <c r="A51" s="167" t="s">
        <v>180</v>
      </c>
      <c r="B51" s="167" t="s">
        <v>306</v>
      </c>
      <c r="C51" s="168" t="s">
        <v>313</v>
      </c>
      <c r="D51" s="169" t="s">
        <v>280</v>
      </c>
      <c r="E51" s="168" t="s">
        <v>872</v>
      </c>
      <c r="F51" s="167" t="s">
        <v>310</v>
      </c>
      <c r="G51" s="175">
        <v>46129</v>
      </c>
      <c r="H51" s="171">
        <v>46129</v>
      </c>
      <c r="I51" s="167" t="s">
        <v>33</v>
      </c>
      <c r="J51" s="169"/>
      <c r="K51" s="169"/>
      <c r="L51" s="169"/>
      <c r="M51" s="169"/>
      <c r="N51" s="169" t="s">
        <v>665</v>
      </c>
      <c r="O51" s="170"/>
      <c r="P51" s="170"/>
    </row>
    <row r="52" spans="1:16" ht="68.400000000000006">
      <c r="A52" s="167"/>
      <c r="B52" s="167"/>
      <c r="C52" s="168" t="s">
        <v>318</v>
      </c>
      <c r="D52" s="169" t="s">
        <v>280</v>
      </c>
      <c r="E52" s="168" t="s">
        <v>320</v>
      </c>
      <c r="F52" s="167" t="s">
        <v>310</v>
      </c>
      <c r="G52" s="174" t="s">
        <v>775</v>
      </c>
      <c r="H52" s="171">
        <v>45992</v>
      </c>
      <c r="I52" s="167" t="s">
        <v>20</v>
      </c>
      <c r="J52" s="170"/>
      <c r="K52" s="170"/>
      <c r="L52" s="170"/>
      <c r="M52" s="170"/>
      <c r="N52" s="170"/>
      <c r="O52" s="170"/>
      <c r="P52" s="170"/>
    </row>
    <row r="53" spans="1:16" ht="34.200000000000003">
      <c r="A53" s="167"/>
      <c r="B53" s="167"/>
      <c r="C53" s="168"/>
      <c r="D53" s="169" t="s">
        <v>774</v>
      </c>
      <c r="E53" s="168" t="s">
        <v>323</v>
      </c>
      <c r="F53" s="167" t="s">
        <v>310</v>
      </c>
      <c r="G53" s="175">
        <v>46127</v>
      </c>
      <c r="H53" s="171">
        <v>46127</v>
      </c>
      <c r="I53" s="176" t="s">
        <v>33</v>
      </c>
      <c r="J53" s="169"/>
      <c r="K53" s="169"/>
      <c r="L53" s="169"/>
      <c r="M53" s="169"/>
      <c r="N53" s="169" t="s">
        <v>665</v>
      </c>
      <c r="O53" s="170"/>
      <c r="P53" s="170"/>
    </row>
    <row r="54" spans="1:16" ht="125.4">
      <c r="A54" s="167"/>
      <c r="B54" s="167"/>
      <c r="C54" s="168"/>
      <c r="D54" s="169"/>
      <c r="E54" s="168" t="s">
        <v>324</v>
      </c>
      <c r="F54" s="167" t="s">
        <v>17</v>
      </c>
      <c r="G54" s="175">
        <v>46129</v>
      </c>
      <c r="H54" s="171">
        <v>46129</v>
      </c>
      <c r="I54" s="167" t="s">
        <v>20</v>
      </c>
      <c r="J54" s="170"/>
      <c r="K54" s="170"/>
      <c r="L54" s="170"/>
      <c r="M54" s="170"/>
      <c r="N54" s="170"/>
      <c r="O54" s="170"/>
      <c r="P54" s="170"/>
    </row>
    <row r="55" spans="1:16" ht="34.200000000000003">
      <c r="A55" s="167"/>
      <c r="B55" s="167"/>
      <c r="C55" s="168"/>
      <c r="D55" s="169"/>
      <c r="E55" s="168" t="s">
        <v>325</v>
      </c>
      <c r="F55" s="167" t="s">
        <v>17</v>
      </c>
      <c r="G55" s="174" t="s">
        <v>775</v>
      </c>
      <c r="H55" s="171">
        <v>45992</v>
      </c>
      <c r="I55" s="167" t="s">
        <v>20</v>
      </c>
      <c r="J55" s="170"/>
      <c r="K55" s="170"/>
      <c r="L55" s="170"/>
      <c r="M55" s="170"/>
      <c r="N55" s="170"/>
      <c r="O55" s="170"/>
      <c r="P55" s="170"/>
    </row>
    <row r="56" spans="1:16" ht="193.8">
      <c r="A56" s="167"/>
      <c r="B56" s="167"/>
      <c r="C56" s="168" t="s">
        <v>307</v>
      </c>
      <c r="D56" s="169" t="s">
        <v>280</v>
      </c>
      <c r="E56" s="168" t="s">
        <v>309</v>
      </c>
      <c r="F56" s="167" t="s">
        <v>310</v>
      </c>
      <c r="G56" s="174" t="s">
        <v>775</v>
      </c>
      <c r="H56" s="171">
        <v>45988</v>
      </c>
      <c r="I56" s="167" t="s">
        <v>20</v>
      </c>
      <c r="J56" s="170"/>
      <c r="K56" s="170"/>
      <c r="L56" s="170"/>
      <c r="M56" s="170"/>
      <c r="N56" s="170"/>
      <c r="O56" s="170"/>
      <c r="P56" s="170"/>
    </row>
    <row r="57" spans="1:16" ht="102.6">
      <c r="A57" s="167"/>
      <c r="B57" s="167" t="s">
        <v>471</v>
      </c>
      <c r="C57" s="168" t="s">
        <v>450</v>
      </c>
      <c r="D57" s="169" t="s">
        <v>188</v>
      </c>
      <c r="E57" s="168" t="s">
        <v>472</v>
      </c>
      <c r="F57" s="167" t="s">
        <v>179</v>
      </c>
      <c r="G57" s="175">
        <v>46171</v>
      </c>
      <c r="H57" s="171">
        <v>46171</v>
      </c>
      <c r="I57" s="167" t="s">
        <v>33</v>
      </c>
      <c r="J57" s="169"/>
      <c r="K57" s="169"/>
      <c r="L57" s="169"/>
      <c r="M57" s="169"/>
      <c r="N57" s="169" t="s">
        <v>665</v>
      </c>
      <c r="O57" s="170"/>
      <c r="P57" s="170"/>
    </row>
    <row r="58" spans="1:16" ht="102.6">
      <c r="A58" s="167"/>
      <c r="B58" s="167"/>
      <c r="C58" s="168"/>
      <c r="D58" s="169" t="s">
        <v>774</v>
      </c>
      <c r="E58" s="168" t="s">
        <v>474</v>
      </c>
      <c r="F58" s="167" t="s">
        <v>179</v>
      </c>
      <c r="G58" s="175">
        <v>46171</v>
      </c>
      <c r="H58" s="171">
        <v>46171</v>
      </c>
      <c r="I58" s="167" t="s">
        <v>33</v>
      </c>
      <c r="J58" s="169"/>
      <c r="K58" s="169"/>
      <c r="L58" s="169"/>
      <c r="M58" s="169"/>
      <c r="N58" s="169" t="s">
        <v>665</v>
      </c>
      <c r="O58" s="170"/>
      <c r="P58" s="170"/>
    </row>
    <row r="59" spans="1:16" ht="57">
      <c r="A59" s="167"/>
      <c r="B59" s="167"/>
      <c r="C59" s="168" t="s">
        <v>476</v>
      </c>
      <c r="D59" s="169" t="s">
        <v>188</v>
      </c>
      <c r="E59" s="168" t="s">
        <v>645</v>
      </c>
      <c r="F59" s="167" t="s">
        <v>118</v>
      </c>
      <c r="G59" s="175">
        <v>46295</v>
      </c>
      <c r="H59" s="171">
        <v>46295</v>
      </c>
      <c r="I59" s="167" t="s">
        <v>201</v>
      </c>
      <c r="J59" s="169"/>
      <c r="K59" s="169"/>
      <c r="L59" s="169"/>
      <c r="M59" s="169"/>
      <c r="N59" s="169" t="s">
        <v>665</v>
      </c>
      <c r="O59" s="170"/>
      <c r="P59" s="170"/>
    </row>
    <row r="60" spans="1:16" ht="193.8">
      <c r="A60" s="167"/>
      <c r="B60" s="167" t="s">
        <v>449</v>
      </c>
      <c r="C60" s="168" t="s">
        <v>450</v>
      </c>
      <c r="D60" s="169" t="s">
        <v>254</v>
      </c>
      <c r="E60" s="168" t="s">
        <v>451</v>
      </c>
      <c r="F60" s="167" t="s">
        <v>179</v>
      </c>
      <c r="G60" s="175">
        <v>46171</v>
      </c>
      <c r="H60" s="171">
        <v>46171</v>
      </c>
      <c r="I60" s="167" t="s">
        <v>33</v>
      </c>
      <c r="J60" s="169"/>
      <c r="K60" s="169"/>
      <c r="L60" s="169"/>
      <c r="M60" s="169"/>
      <c r="N60" s="169" t="s">
        <v>665</v>
      </c>
      <c r="O60" s="170"/>
      <c r="P60" s="170"/>
    </row>
    <row r="61" spans="1:16" ht="68.400000000000006">
      <c r="A61" s="167"/>
      <c r="B61" s="167"/>
      <c r="C61" s="168" t="s">
        <v>459</v>
      </c>
      <c r="D61" s="169" t="s">
        <v>280</v>
      </c>
      <c r="E61" s="168" t="s">
        <v>646</v>
      </c>
      <c r="F61" s="167" t="s">
        <v>118</v>
      </c>
      <c r="G61" s="175">
        <v>46118</v>
      </c>
      <c r="H61" s="171">
        <v>46118</v>
      </c>
      <c r="I61" s="167" t="s">
        <v>20</v>
      </c>
      <c r="J61" s="170"/>
      <c r="K61" s="170"/>
      <c r="L61" s="170"/>
      <c r="M61" s="170"/>
      <c r="N61" s="170"/>
      <c r="O61" s="170"/>
      <c r="P61" s="170"/>
    </row>
    <row r="62" spans="1:16" ht="102.6">
      <c r="A62" s="167"/>
      <c r="B62" s="167"/>
      <c r="C62" s="168" t="s">
        <v>456</v>
      </c>
      <c r="D62" s="169" t="s">
        <v>188</v>
      </c>
      <c r="E62" s="168" t="s">
        <v>457</v>
      </c>
      <c r="F62" s="167" t="s">
        <v>115</v>
      </c>
      <c r="G62" s="174" t="s">
        <v>775</v>
      </c>
      <c r="H62" s="171">
        <v>45715</v>
      </c>
      <c r="I62" s="167" t="s">
        <v>20</v>
      </c>
      <c r="J62" s="170"/>
      <c r="K62" s="170"/>
      <c r="L62" s="170"/>
      <c r="M62" s="170"/>
      <c r="N62" s="170"/>
      <c r="O62" s="170"/>
      <c r="P62" s="170"/>
    </row>
    <row r="63" spans="1:16" ht="68.400000000000006">
      <c r="A63" s="167"/>
      <c r="B63" s="167"/>
      <c r="C63" s="168" t="s">
        <v>453</v>
      </c>
      <c r="D63" s="169" t="s">
        <v>188</v>
      </c>
      <c r="E63" s="168" t="s">
        <v>454</v>
      </c>
      <c r="F63" s="167" t="s">
        <v>115</v>
      </c>
      <c r="G63" s="174" t="s">
        <v>775</v>
      </c>
      <c r="H63" s="171">
        <v>45715</v>
      </c>
      <c r="I63" s="167" t="s">
        <v>20</v>
      </c>
      <c r="J63" s="170"/>
      <c r="K63" s="170"/>
      <c r="L63" s="170"/>
      <c r="M63" s="170"/>
      <c r="N63" s="170"/>
      <c r="O63" s="170"/>
      <c r="P63" s="170"/>
    </row>
    <row r="64" spans="1:16" ht="45.6">
      <c r="A64" s="167"/>
      <c r="B64" s="167" t="s">
        <v>399</v>
      </c>
      <c r="C64" s="168" t="s">
        <v>403</v>
      </c>
      <c r="D64" s="169" t="s">
        <v>188</v>
      </c>
      <c r="E64" s="168" t="s">
        <v>404</v>
      </c>
      <c r="F64" s="167" t="s">
        <v>269</v>
      </c>
      <c r="G64" s="175">
        <v>46115</v>
      </c>
      <c r="H64" s="171">
        <v>46115</v>
      </c>
      <c r="I64" s="167" t="s">
        <v>20</v>
      </c>
      <c r="J64" s="170"/>
      <c r="K64" s="170"/>
      <c r="L64" s="170"/>
      <c r="M64" s="170"/>
      <c r="N64" s="170"/>
      <c r="O64" s="170"/>
      <c r="P64" s="170"/>
    </row>
    <row r="65" spans="1:16" ht="91.2">
      <c r="A65" s="167"/>
      <c r="B65" s="167"/>
      <c r="C65" s="168"/>
      <c r="D65" s="169" t="s">
        <v>774</v>
      </c>
      <c r="E65" s="168" t="s">
        <v>406</v>
      </c>
      <c r="F65" s="167" t="s">
        <v>179</v>
      </c>
      <c r="G65" s="175">
        <v>46387</v>
      </c>
      <c r="H65" s="171">
        <v>46387</v>
      </c>
      <c r="I65" s="167" t="s">
        <v>201</v>
      </c>
      <c r="J65" s="169"/>
      <c r="K65" s="169"/>
      <c r="L65" s="169"/>
      <c r="M65" s="169"/>
      <c r="N65" s="169" t="s">
        <v>665</v>
      </c>
      <c r="O65" s="170"/>
      <c r="P65" s="170"/>
    </row>
    <row r="66" spans="1:16" ht="68.400000000000006">
      <c r="A66" s="167"/>
      <c r="B66" s="167"/>
      <c r="C66" s="168" t="s">
        <v>409</v>
      </c>
      <c r="D66" s="169" t="s">
        <v>188</v>
      </c>
      <c r="E66" s="168" t="s">
        <v>410</v>
      </c>
      <c r="F66" s="167" t="s">
        <v>179</v>
      </c>
      <c r="G66" s="175">
        <v>46295</v>
      </c>
      <c r="H66" s="171">
        <v>46295</v>
      </c>
      <c r="I66" s="167" t="s">
        <v>201</v>
      </c>
      <c r="J66" s="169"/>
      <c r="K66" s="169"/>
      <c r="L66" s="169"/>
      <c r="M66" s="169"/>
      <c r="N66" s="169" t="s">
        <v>665</v>
      </c>
      <c r="O66" s="170"/>
      <c r="P66" s="170"/>
    </row>
    <row r="67" spans="1:16" ht="22.8">
      <c r="A67" s="167"/>
      <c r="B67" s="167"/>
      <c r="C67" s="168"/>
      <c r="D67" s="169" t="s">
        <v>774</v>
      </c>
      <c r="E67" s="168" t="s">
        <v>774</v>
      </c>
      <c r="F67" s="167" t="s">
        <v>118</v>
      </c>
      <c r="G67" s="174" t="s">
        <v>774</v>
      </c>
      <c r="H67" s="167" t="s">
        <v>774</v>
      </c>
      <c r="I67" s="167" t="s">
        <v>171</v>
      </c>
      <c r="J67" s="169"/>
      <c r="K67" s="169"/>
      <c r="L67" s="169"/>
      <c r="M67" s="169"/>
      <c r="N67" s="169" t="s">
        <v>665</v>
      </c>
      <c r="O67" s="170"/>
      <c r="P67" s="170"/>
    </row>
    <row r="68" spans="1:16" ht="91.2">
      <c r="A68" s="167"/>
      <c r="B68" s="167"/>
      <c r="C68" s="168" t="s">
        <v>411</v>
      </c>
      <c r="D68" s="169" t="s">
        <v>188</v>
      </c>
      <c r="E68" s="168" t="s">
        <v>412</v>
      </c>
      <c r="F68" s="167" t="s">
        <v>413</v>
      </c>
      <c r="G68" s="175">
        <v>46295</v>
      </c>
      <c r="H68" s="171">
        <v>46295</v>
      </c>
      <c r="I68" s="167" t="s">
        <v>201</v>
      </c>
      <c r="J68" s="169"/>
      <c r="K68" s="169"/>
      <c r="L68" s="169"/>
      <c r="M68" s="169"/>
      <c r="N68" s="169" t="s">
        <v>665</v>
      </c>
      <c r="O68" s="170"/>
      <c r="P68" s="170"/>
    </row>
    <row r="69" spans="1:16" ht="57">
      <c r="A69" s="167"/>
      <c r="B69" s="167"/>
      <c r="C69" s="168"/>
      <c r="D69" s="169" t="s">
        <v>774</v>
      </c>
      <c r="E69" s="168" t="s">
        <v>415</v>
      </c>
      <c r="F69" s="167" t="s">
        <v>179</v>
      </c>
      <c r="G69" s="175">
        <v>46295</v>
      </c>
      <c r="H69" s="171">
        <v>46295</v>
      </c>
      <c r="I69" s="167" t="s">
        <v>201</v>
      </c>
      <c r="J69" s="169"/>
      <c r="K69" s="169"/>
      <c r="L69" s="169"/>
      <c r="M69" s="169"/>
      <c r="N69" s="169" t="s">
        <v>665</v>
      </c>
      <c r="O69" s="170"/>
      <c r="P69" s="170"/>
    </row>
    <row r="70" spans="1:16" ht="68.400000000000006">
      <c r="A70" s="167"/>
      <c r="B70" s="167"/>
      <c r="C70" s="168" t="s">
        <v>416</v>
      </c>
      <c r="D70" s="169" t="s">
        <v>280</v>
      </c>
      <c r="E70" s="168" t="s">
        <v>417</v>
      </c>
      <c r="F70" s="167" t="s">
        <v>179</v>
      </c>
      <c r="G70" s="175">
        <v>46173</v>
      </c>
      <c r="H70" s="171">
        <v>46173</v>
      </c>
      <c r="I70" s="167" t="s">
        <v>20</v>
      </c>
      <c r="J70" s="170"/>
      <c r="K70" s="170"/>
      <c r="L70" s="170"/>
      <c r="M70" s="170"/>
      <c r="N70" s="170"/>
      <c r="O70" s="170"/>
      <c r="P70" s="170"/>
    </row>
    <row r="71" spans="1:16" ht="79.8">
      <c r="A71" s="167"/>
      <c r="B71" s="167"/>
      <c r="C71" s="168" t="s">
        <v>400</v>
      </c>
      <c r="D71" s="169" t="s">
        <v>188</v>
      </c>
      <c r="E71" s="168" t="s">
        <v>401</v>
      </c>
      <c r="F71" s="167" t="s">
        <v>179</v>
      </c>
      <c r="G71" s="175">
        <v>46173</v>
      </c>
      <c r="H71" s="171">
        <v>46173</v>
      </c>
      <c r="I71" s="167" t="s">
        <v>20</v>
      </c>
      <c r="J71" s="170"/>
      <c r="K71" s="170"/>
      <c r="L71" s="170"/>
      <c r="M71" s="170"/>
      <c r="N71" s="170"/>
      <c r="O71" s="170"/>
      <c r="P71" s="170"/>
    </row>
    <row r="72" spans="1:16" ht="57">
      <c r="A72" s="167"/>
      <c r="B72" s="167" t="s">
        <v>251</v>
      </c>
      <c r="C72" s="168" t="s">
        <v>261</v>
      </c>
      <c r="D72" s="169" t="s">
        <v>188</v>
      </c>
      <c r="E72" s="168" t="s">
        <v>263</v>
      </c>
      <c r="F72" s="167" t="s">
        <v>148</v>
      </c>
      <c r="G72" s="174" t="s">
        <v>775</v>
      </c>
      <c r="H72" s="171">
        <v>46022</v>
      </c>
      <c r="I72" s="167" t="s">
        <v>20</v>
      </c>
      <c r="J72" s="170"/>
      <c r="K72" s="170"/>
      <c r="L72" s="170"/>
      <c r="M72" s="170"/>
      <c r="N72" s="170"/>
      <c r="O72" s="170"/>
      <c r="P72" s="170"/>
    </row>
    <row r="73" spans="1:16" ht="114">
      <c r="A73" s="167"/>
      <c r="B73" s="167"/>
      <c r="C73" s="168" t="s">
        <v>284</v>
      </c>
      <c r="D73" s="169" t="s">
        <v>280</v>
      </c>
      <c r="E73" s="168" t="s">
        <v>1007</v>
      </c>
      <c r="F73" s="167" t="s">
        <v>256</v>
      </c>
      <c r="G73" s="174" t="s">
        <v>775</v>
      </c>
      <c r="H73" s="171">
        <v>46053</v>
      </c>
      <c r="I73" s="167" t="s">
        <v>20</v>
      </c>
      <c r="J73" s="170"/>
      <c r="K73" s="170"/>
      <c r="L73" s="170"/>
      <c r="M73" s="170"/>
      <c r="N73" s="170"/>
      <c r="O73" s="170"/>
      <c r="P73" s="170"/>
    </row>
    <row r="74" spans="1:16" ht="57">
      <c r="A74" s="167"/>
      <c r="B74" s="167"/>
      <c r="C74" s="168"/>
      <c r="D74" s="169" t="s">
        <v>774</v>
      </c>
      <c r="E74" s="168" t="s">
        <v>1008</v>
      </c>
      <c r="F74" s="167" t="s">
        <v>256</v>
      </c>
      <c r="G74" s="174" t="s">
        <v>775</v>
      </c>
      <c r="H74" s="171">
        <v>45989</v>
      </c>
      <c r="I74" s="167" t="s">
        <v>20</v>
      </c>
      <c r="J74" s="170"/>
      <c r="K74" s="170"/>
      <c r="L74" s="170"/>
      <c r="M74" s="170"/>
      <c r="N74" s="170"/>
      <c r="O74" s="170"/>
      <c r="P74" s="170"/>
    </row>
    <row r="75" spans="1:16" ht="68.400000000000006">
      <c r="A75" s="167"/>
      <c r="B75" s="167"/>
      <c r="C75" s="168" t="s">
        <v>266</v>
      </c>
      <c r="D75" s="169" t="s">
        <v>188</v>
      </c>
      <c r="E75" s="168" t="s">
        <v>268</v>
      </c>
      <c r="F75" s="167" t="s">
        <v>269</v>
      </c>
      <c r="G75" s="174" t="s">
        <v>775</v>
      </c>
      <c r="H75" s="171">
        <v>46022</v>
      </c>
      <c r="I75" s="167" t="s">
        <v>20</v>
      </c>
      <c r="J75" s="170"/>
      <c r="K75" s="170"/>
      <c r="L75" s="170"/>
      <c r="M75" s="170"/>
      <c r="N75" s="170"/>
      <c r="O75" s="170"/>
      <c r="P75" s="170"/>
    </row>
    <row r="76" spans="1:16" ht="57">
      <c r="A76" s="167"/>
      <c r="B76" s="167"/>
      <c r="C76" s="168" t="s">
        <v>299</v>
      </c>
      <c r="D76" s="169" t="s">
        <v>280</v>
      </c>
      <c r="E76" s="168" t="s">
        <v>1009</v>
      </c>
      <c r="F76" s="167" t="s">
        <v>148</v>
      </c>
      <c r="G76" s="174" t="s">
        <v>775</v>
      </c>
      <c r="H76" s="171">
        <v>46025</v>
      </c>
      <c r="I76" s="167" t="s">
        <v>20</v>
      </c>
      <c r="J76" s="170"/>
      <c r="K76" s="170"/>
      <c r="L76" s="170"/>
      <c r="M76" s="170"/>
      <c r="N76" s="170"/>
      <c r="O76" s="170"/>
      <c r="P76" s="170"/>
    </row>
    <row r="77" spans="1:16" ht="79.8">
      <c r="A77" s="167"/>
      <c r="B77" s="167"/>
      <c r="C77" s="168"/>
      <c r="D77" s="169" t="s">
        <v>774</v>
      </c>
      <c r="E77" s="168" t="s">
        <v>1010</v>
      </c>
      <c r="F77" s="167" t="s">
        <v>256</v>
      </c>
      <c r="G77" s="174" t="s">
        <v>775</v>
      </c>
      <c r="H77" s="171">
        <v>46053</v>
      </c>
      <c r="I77" s="167" t="s">
        <v>20</v>
      </c>
      <c r="J77" s="170"/>
      <c r="K77" s="170"/>
      <c r="L77" s="170"/>
      <c r="M77" s="170"/>
      <c r="N77" s="170"/>
      <c r="O77" s="170"/>
      <c r="P77" s="170"/>
    </row>
    <row r="78" spans="1:16" ht="79.8">
      <c r="A78" s="167"/>
      <c r="B78" s="167"/>
      <c r="C78" s="168" t="s">
        <v>278</v>
      </c>
      <c r="D78" s="169" t="s">
        <v>280</v>
      </c>
      <c r="E78" s="168" t="s">
        <v>281</v>
      </c>
      <c r="F78" s="167" t="s">
        <v>502</v>
      </c>
      <c r="G78" s="174" t="s">
        <v>775</v>
      </c>
      <c r="H78" s="171">
        <v>46053</v>
      </c>
      <c r="I78" s="167" t="s">
        <v>20</v>
      </c>
      <c r="J78" s="170"/>
      <c r="K78" s="170"/>
      <c r="L78" s="170"/>
      <c r="M78" s="170"/>
      <c r="N78" s="170"/>
      <c r="O78" s="170"/>
      <c r="P78" s="170"/>
    </row>
    <row r="79" spans="1:16" ht="79.8">
      <c r="A79" s="167"/>
      <c r="B79" s="167"/>
      <c r="C79" s="168" t="s">
        <v>272</v>
      </c>
      <c r="D79" s="169" t="s">
        <v>188</v>
      </c>
      <c r="E79" s="168" t="s">
        <v>274</v>
      </c>
      <c r="F79" s="167" t="s">
        <v>275</v>
      </c>
      <c r="G79" s="174" t="s">
        <v>775</v>
      </c>
      <c r="H79" s="171">
        <v>46053</v>
      </c>
      <c r="I79" s="167" t="s">
        <v>20</v>
      </c>
      <c r="J79" s="170"/>
      <c r="K79" s="170"/>
      <c r="L79" s="170"/>
      <c r="M79" s="170"/>
      <c r="N79" s="170"/>
      <c r="O79" s="170"/>
      <c r="P79" s="170"/>
    </row>
    <row r="80" spans="1:16" ht="57">
      <c r="A80" s="167"/>
      <c r="B80" s="167"/>
      <c r="C80" s="168" t="s">
        <v>252</v>
      </c>
      <c r="D80" s="169" t="s">
        <v>254</v>
      </c>
      <c r="E80" s="168" t="s">
        <v>1011</v>
      </c>
      <c r="F80" s="167" t="s">
        <v>256</v>
      </c>
      <c r="G80" s="174" t="s">
        <v>775</v>
      </c>
      <c r="H80" s="171">
        <v>45961</v>
      </c>
      <c r="I80" s="167" t="s">
        <v>20</v>
      </c>
      <c r="J80" s="170"/>
      <c r="K80" s="170"/>
      <c r="L80" s="170"/>
      <c r="M80" s="170"/>
      <c r="N80" s="170"/>
      <c r="O80" s="170"/>
      <c r="P80" s="170"/>
    </row>
    <row r="81" spans="1:16" ht="45.6">
      <c r="A81" s="167"/>
      <c r="B81" s="167"/>
      <c r="C81" s="168"/>
      <c r="D81" s="169" t="s">
        <v>774</v>
      </c>
      <c r="E81" s="168" t="s">
        <v>1012</v>
      </c>
      <c r="F81" s="167" t="s">
        <v>269</v>
      </c>
      <c r="G81" s="174" t="s">
        <v>775</v>
      </c>
      <c r="H81" s="171">
        <v>45961</v>
      </c>
      <c r="I81" s="167" t="s">
        <v>20</v>
      </c>
      <c r="J81" s="170"/>
      <c r="K81" s="170"/>
      <c r="L81" s="170"/>
      <c r="M81" s="170"/>
      <c r="N81" s="170"/>
      <c r="O81" s="170"/>
      <c r="P81" s="170"/>
    </row>
    <row r="82" spans="1:16" ht="79.8">
      <c r="A82" s="167"/>
      <c r="B82" s="167"/>
      <c r="C82" s="168" t="s">
        <v>294</v>
      </c>
      <c r="D82" s="169" t="s">
        <v>280</v>
      </c>
      <c r="E82" s="168" t="s">
        <v>296</v>
      </c>
      <c r="F82" s="167" t="s">
        <v>275</v>
      </c>
      <c r="G82" s="174" t="s">
        <v>775</v>
      </c>
      <c r="H82" s="171">
        <v>46053</v>
      </c>
      <c r="I82" s="167" t="s">
        <v>20</v>
      </c>
      <c r="J82" s="170"/>
      <c r="K82" s="170"/>
      <c r="L82" s="170"/>
      <c r="M82" s="170"/>
      <c r="N82" s="170"/>
      <c r="O82" s="170"/>
      <c r="P82" s="170"/>
    </row>
    <row r="83" spans="1:16" ht="45.6">
      <c r="A83" s="167"/>
      <c r="B83" s="167"/>
      <c r="C83" s="168" t="s">
        <v>634</v>
      </c>
      <c r="D83" s="169" t="s">
        <v>280</v>
      </c>
      <c r="E83" s="168" t="s">
        <v>291</v>
      </c>
      <c r="F83" s="167" t="s">
        <v>269</v>
      </c>
      <c r="G83" s="174" t="s">
        <v>775</v>
      </c>
      <c r="H83" s="171">
        <v>46022</v>
      </c>
      <c r="I83" s="167" t="s">
        <v>20</v>
      </c>
      <c r="J83" s="170"/>
      <c r="K83" s="170"/>
      <c r="L83" s="170"/>
      <c r="M83" s="170"/>
      <c r="N83" s="170"/>
      <c r="O83" s="170"/>
      <c r="P83" s="170"/>
    </row>
    <row r="84" spans="1:16" ht="34.200000000000003">
      <c r="A84" s="167"/>
      <c r="B84" s="167" t="s">
        <v>461</v>
      </c>
      <c r="C84" s="168" t="s">
        <v>465</v>
      </c>
      <c r="D84" s="169" t="s">
        <v>774</v>
      </c>
      <c r="E84" s="168" t="s">
        <v>466</v>
      </c>
      <c r="F84" s="167" t="s">
        <v>148</v>
      </c>
      <c r="G84" s="175">
        <v>46310</v>
      </c>
      <c r="H84" s="171">
        <v>46310</v>
      </c>
      <c r="I84" s="167" t="s">
        <v>201</v>
      </c>
      <c r="J84" s="169"/>
      <c r="K84" s="169"/>
      <c r="L84" s="169"/>
      <c r="M84" s="169"/>
      <c r="N84" s="169" t="s">
        <v>665</v>
      </c>
      <c r="O84" s="170"/>
      <c r="P84" s="170"/>
    </row>
    <row r="85" spans="1:16" ht="34.200000000000003">
      <c r="A85" s="167"/>
      <c r="B85" s="167"/>
      <c r="C85" s="168"/>
      <c r="D85" s="169"/>
      <c r="E85" s="168" t="s">
        <v>468</v>
      </c>
      <c r="F85" s="167" t="s">
        <v>148</v>
      </c>
      <c r="G85" s="175">
        <v>46310</v>
      </c>
      <c r="H85" s="171">
        <v>46310</v>
      </c>
      <c r="I85" s="167" t="s">
        <v>201</v>
      </c>
      <c r="J85" s="169"/>
      <c r="K85" s="169"/>
      <c r="L85" s="169"/>
      <c r="M85" s="169"/>
      <c r="N85" s="169" t="s">
        <v>665</v>
      </c>
      <c r="O85" s="170"/>
      <c r="P85" s="170"/>
    </row>
    <row r="86" spans="1:16" ht="34.200000000000003">
      <c r="A86" s="167"/>
      <c r="B86" s="167"/>
      <c r="C86" s="168"/>
      <c r="D86" s="169"/>
      <c r="E86" s="168" t="s">
        <v>469</v>
      </c>
      <c r="F86" s="167" t="s">
        <v>148</v>
      </c>
      <c r="G86" s="175">
        <v>46310</v>
      </c>
      <c r="H86" s="171">
        <v>46310</v>
      </c>
      <c r="I86" s="167" t="s">
        <v>201</v>
      </c>
      <c r="J86" s="169"/>
      <c r="K86" s="169"/>
      <c r="L86" s="169"/>
      <c r="M86" s="169"/>
      <c r="N86" s="169" t="s">
        <v>665</v>
      </c>
      <c r="O86" s="170"/>
      <c r="P86" s="170"/>
    </row>
    <row r="87" spans="1:16" ht="34.200000000000003">
      <c r="A87" s="167"/>
      <c r="B87" s="167"/>
      <c r="C87" s="168"/>
      <c r="D87" s="169"/>
      <c r="E87" s="168" t="s">
        <v>470</v>
      </c>
      <c r="F87" s="167" t="s">
        <v>148</v>
      </c>
      <c r="G87" s="175">
        <v>46300</v>
      </c>
      <c r="H87" s="171">
        <v>46300</v>
      </c>
      <c r="I87" s="167" t="s">
        <v>201</v>
      </c>
      <c r="J87" s="169"/>
      <c r="K87" s="169"/>
      <c r="L87" s="169"/>
      <c r="M87" s="169"/>
      <c r="N87" s="169" t="s">
        <v>665</v>
      </c>
      <c r="O87" s="170"/>
      <c r="P87" s="170"/>
    </row>
    <row r="88" spans="1:16" ht="34.200000000000003">
      <c r="A88" s="167"/>
      <c r="B88" s="167"/>
      <c r="C88" s="168" t="s">
        <v>462</v>
      </c>
      <c r="D88" s="169" t="s">
        <v>774</v>
      </c>
      <c r="E88" s="168" t="s">
        <v>463</v>
      </c>
      <c r="F88" s="167" t="s">
        <v>148</v>
      </c>
      <c r="G88" s="175">
        <v>46293</v>
      </c>
      <c r="H88" s="171">
        <v>46293</v>
      </c>
      <c r="I88" s="167" t="s">
        <v>201</v>
      </c>
      <c r="J88" s="169"/>
      <c r="K88" s="169"/>
      <c r="L88" s="169"/>
      <c r="M88" s="169"/>
      <c r="N88" s="169" t="s">
        <v>665</v>
      </c>
      <c r="O88" s="170"/>
      <c r="P88" s="170"/>
    </row>
    <row r="89" spans="1:16" ht="68.400000000000006">
      <c r="A89" s="167"/>
      <c r="B89" s="167" t="s">
        <v>419</v>
      </c>
      <c r="C89" s="168" t="s">
        <v>420</v>
      </c>
      <c r="D89" s="169" t="s">
        <v>188</v>
      </c>
      <c r="E89" s="168" t="s">
        <v>422</v>
      </c>
      <c r="F89" s="167" t="s">
        <v>17</v>
      </c>
      <c r="G89" s="175">
        <v>46218</v>
      </c>
      <c r="H89" s="171">
        <v>46218</v>
      </c>
      <c r="I89" s="167" t="s">
        <v>33</v>
      </c>
      <c r="J89" s="169"/>
      <c r="K89" s="169"/>
      <c r="L89" s="169"/>
      <c r="M89" s="169"/>
      <c r="N89" s="169" t="s">
        <v>665</v>
      </c>
      <c r="O89" s="170"/>
      <c r="P89" s="170"/>
    </row>
    <row r="90" spans="1:16" ht="34.200000000000003">
      <c r="A90" s="167"/>
      <c r="B90" s="167"/>
      <c r="C90" s="168"/>
      <c r="D90" s="169" t="s">
        <v>774</v>
      </c>
      <c r="E90" s="168" t="s">
        <v>424</v>
      </c>
      <c r="F90" s="167" t="s">
        <v>17</v>
      </c>
      <c r="G90" s="175">
        <v>46218</v>
      </c>
      <c r="H90" s="171">
        <v>46218</v>
      </c>
      <c r="I90" s="167" t="s">
        <v>33</v>
      </c>
      <c r="J90" s="169"/>
      <c r="K90" s="169"/>
      <c r="L90" s="169"/>
      <c r="M90" s="169"/>
      <c r="N90" s="169" t="s">
        <v>665</v>
      </c>
      <c r="O90" s="170"/>
      <c r="P90" s="170"/>
    </row>
    <row r="91" spans="1:16" ht="34.200000000000003">
      <c r="A91" s="167"/>
      <c r="B91" s="167"/>
      <c r="C91" s="168"/>
      <c r="D91" s="169"/>
      <c r="E91" s="168" t="s">
        <v>425</v>
      </c>
      <c r="F91" s="167" t="s">
        <v>17</v>
      </c>
      <c r="G91" s="175">
        <v>46218</v>
      </c>
      <c r="H91" s="171">
        <v>46218</v>
      </c>
      <c r="I91" s="167" t="s">
        <v>33</v>
      </c>
      <c r="J91" s="169"/>
      <c r="K91" s="169"/>
      <c r="L91" s="169"/>
      <c r="M91" s="169"/>
      <c r="N91" s="169" t="s">
        <v>665</v>
      </c>
      <c r="O91" s="170"/>
      <c r="P91" s="170"/>
    </row>
    <row r="92" spans="1:16" ht="34.200000000000003">
      <c r="A92" s="167"/>
      <c r="B92" s="167"/>
      <c r="C92" s="168"/>
      <c r="D92" s="169"/>
      <c r="E92" s="168" t="s">
        <v>426</v>
      </c>
      <c r="F92" s="167" t="s">
        <v>17</v>
      </c>
      <c r="G92" s="175">
        <v>46218</v>
      </c>
      <c r="H92" s="171">
        <v>46218</v>
      </c>
      <c r="I92" s="167" t="s">
        <v>33</v>
      </c>
      <c r="J92" s="169"/>
      <c r="K92" s="169"/>
      <c r="L92" s="169"/>
      <c r="M92" s="169"/>
      <c r="N92" s="169" t="s">
        <v>665</v>
      </c>
      <c r="O92" s="170"/>
      <c r="P92" s="170"/>
    </row>
    <row r="93" spans="1:16" ht="34.200000000000003">
      <c r="A93" s="167"/>
      <c r="B93" s="167"/>
      <c r="C93" s="168"/>
      <c r="D93" s="169"/>
      <c r="E93" s="168" t="s">
        <v>427</v>
      </c>
      <c r="F93" s="167" t="s">
        <v>17</v>
      </c>
      <c r="G93" s="175">
        <v>46218</v>
      </c>
      <c r="H93" s="171">
        <v>46218</v>
      </c>
      <c r="I93" s="167" t="s">
        <v>33</v>
      </c>
      <c r="J93" s="169"/>
      <c r="K93" s="169"/>
      <c r="L93" s="169"/>
      <c r="M93" s="169"/>
      <c r="N93" s="169" t="s">
        <v>665</v>
      </c>
      <c r="O93" s="170"/>
      <c r="P93" s="170"/>
    </row>
    <row r="94" spans="1:16" ht="57">
      <c r="A94" s="167"/>
      <c r="B94" s="167"/>
      <c r="C94" s="168"/>
      <c r="D94" s="169"/>
      <c r="E94" s="168" t="s">
        <v>428</v>
      </c>
      <c r="F94" s="167" t="s">
        <v>17</v>
      </c>
      <c r="G94" s="175">
        <v>46218</v>
      </c>
      <c r="H94" s="171">
        <v>46218</v>
      </c>
      <c r="I94" s="167" t="s">
        <v>33</v>
      </c>
      <c r="J94" s="169"/>
      <c r="K94" s="169"/>
      <c r="L94" s="169"/>
      <c r="M94" s="169"/>
      <c r="N94" s="169" t="s">
        <v>665</v>
      </c>
      <c r="O94" s="170"/>
      <c r="P94" s="170"/>
    </row>
    <row r="95" spans="1:16" ht="68.400000000000006">
      <c r="A95" s="167"/>
      <c r="B95" s="167"/>
      <c r="C95" s="168" t="s">
        <v>443</v>
      </c>
      <c r="D95" s="169" t="s">
        <v>188</v>
      </c>
      <c r="E95" s="168" t="s">
        <v>444</v>
      </c>
      <c r="F95" s="167" t="s">
        <v>445</v>
      </c>
      <c r="G95" s="174" t="s">
        <v>1274</v>
      </c>
      <c r="H95" s="167" t="s">
        <v>1274</v>
      </c>
      <c r="I95" s="167" t="s">
        <v>33</v>
      </c>
      <c r="J95" s="169"/>
      <c r="K95" s="169"/>
      <c r="L95" s="169"/>
      <c r="M95" s="169"/>
      <c r="N95" s="169" t="s">
        <v>665</v>
      </c>
      <c r="O95" s="170"/>
      <c r="P95" s="170"/>
    </row>
    <row r="96" spans="1:16" ht="68.400000000000006">
      <c r="A96" s="167"/>
      <c r="B96" s="167"/>
      <c r="C96" s="168"/>
      <c r="D96" s="169" t="s">
        <v>774</v>
      </c>
      <c r="E96" s="168" t="s">
        <v>447</v>
      </c>
      <c r="F96" s="167" t="s">
        <v>445</v>
      </c>
      <c r="G96" s="174" t="s">
        <v>775</v>
      </c>
      <c r="H96" s="171">
        <v>46142</v>
      </c>
      <c r="I96" s="167" t="s">
        <v>33</v>
      </c>
      <c r="J96" s="169"/>
      <c r="K96" s="169"/>
      <c r="L96" s="169"/>
      <c r="M96" s="169"/>
      <c r="N96" s="169" t="s">
        <v>665</v>
      </c>
      <c r="O96" s="170"/>
      <c r="P96" s="170"/>
    </row>
    <row r="97" spans="1:16" ht="68.400000000000006">
      <c r="A97" s="167"/>
      <c r="B97" s="167"/>
      <c r="C97" s="168"/>
      <c r="D97" s="169"/>
      <c r="E97" s="168" t="s">
        <v>448</v>
      </c>
      <c r="F97" s="167" t="s">
        <v>445</v>
      </c>
      <c r="G97" s="174" t="s">
        <v>775</v>
      </c>
      <c r="H97" s="171">
        <v>46142</v>
      </c>
      <c r="I97" s="167" t="s">
        <v>33</v>
      </c>
      <c r="J97" s="169"/>
      <c r="K97" s="169"/>
      <c r="L97" s="169"/>
      <c r="M97" s="169"/>
      <c r="N97" s="169" t="s">
        <v>665</v>
      </c>
      <c r="O97" s="170"/>
      <c r="P97" s="170"/>
    </row>
    <row r="98" spans="1:16" ht="182.4">
      <c r="A98" s="167"/>
      <c r="B98" s="167"/>
      <c r="C98" s="168" t="s">
        <v>429</v>
      </c>
      <c r="D98" s="169" t="s">
        <v>188</v>
      </c>
      <c r="E98" s="168" t="s">
        <v>431</v>
      </c>
      <c r="F98" s="167" t="s">
        <v>534</v>
      </c>
      <c r="G98" s="174" t="s">
        <v>775</v>
      </c>
      <c r="H98" s="171">
        <v>46142</v>
      </c>
      <c r="I98" s="167" t="s">
        <v>33</v>
      </c>
      <c r="J98" s="169"/>
      <c r="K98" s="169"/>
      <c r="L98" s="169"/>
      <c r="M98" s="169"/>
      <c r="N98" s="169" t="s">
        <v>665</v>
      </c>
      <c r="O98" s="170"/>
      <c r="P98" s="170"/>
    </row>
    <row r="99" spans="1:16" ht="57">
      <c r="A99" s="167"/>
      <c r="B99" s="167"/>
      <c r="C99" s="168"/>
      <c r="D99" s="169" t="s">
        <v>774</v>
      </c>
      <c r="E99" s="168" t="s">
        <v>433</v>
      </c>
      <c r="F99" s="167" t="s">
        <v>534</v>
      </c>
      <c r="G99" s="174" t="s">
        <v>775</v>
      </c>
      <c r="H99" s="171">
        <v>46142</v>
      </c>
      <c r="I99" s="167" t="s">
        <v>33</v>
      </c>
      <c r="J99" s="169"/>
      <c r="K99" s="169"/>
      <c r="L99" s="169"/>
      <c r="M99" s="169"/>
      <c r="N99" s="169" t="s">
        <v>665</v>
      </c>
      <c r="O99" s="170"/>
      <c r="P99" s="170"/>
    </row>
    <row r="100" spans="1:16" ht="57">
      <c r="A100" s="167"/>
      <c r="B100" s="167"/>
      <c r="C100" s="168"/>
      <c r="D100" s="169"/>
      <c r="E100" s="168" t="s">
        <v>434</v>
      </c>
      <c r="F100" s="167" t="s">
        <v>534</v>
      </c>
      <c r="G100" s="174" t="s">
        <v>775</v>
      </c>
      <c r="H100" s="171">
        <v>46142</v>
      </c>
      <c r="I100" s="167" t="s">
        <v>33</v>
      </c>
      <c r="J100" s="169"/>
      <c r="K100" s="169"/>
      <c r="L100" s="169"/>
      <c r="M100" s="169"/>
      <c r="N100" s="169" t="s">
        <v>665</v>
      </c>
      <c r="O100" s="170"/>
      <c r="P100" s="170"/>
    </row>
    <row r="101" spans="1:16" ht="57">
      <c r="A101" s="167"/>
      <c r="B101" s="167"/>
      <c r="C101" s="168"/>
      <c r="D101" s="169"/>
      <c r="E101" s="168" t="s">
        <v>435</v>
      </c>
      <c r="F101" s="167" t="s">
        <v>534</v>
      </c>
      <c r="G101" s="174" t="s">
        <v>775</v>
      </c>
      <c r="H101" s="171">
        <v>46142</v>
      </c>
      <c r="I101" s="167" t="s">
        <v>33</v>
      </c>
      <c r="J101" s="169"/>
      <c r="K101" s="169"/>
      <c r="L101" s="169"/>
      <c r="M101" s="169"/>
      <c r="N101" s="169" t="s">
        <v>665</v>
      </c>
      <c r="O101" s="170"/>
      <c r="P101" s="170"/>
    </row>
    <row r="102" spans="1:16" ht="34.200000000000003">
      <c r="A102" s="167"/>
      <c r="B102" s="167"/>
      <c r="C102" s="168" t="s">
        <v>436</v>
      </c>
      <c r="D102" s="169" t="s">
        <v>188</v>
      </c>
      <c r="E102" s="168" t="s">
        <v>437</v>
      </c>
      <c r="F102" s="167" t="s">
        <v>115</v>
      </c>
      <c r="G102" s="175">
        <v>46386</v>
      </c>
      <c r="H102" s="171">
        <v>46386</v>
      </c>
      <c r="I102" s="167" t="s">
        <v>201</v>
      </c>
      <c r="J102" s="169"/>
      <c r="K102" s="169"/>
      <c r="L102" s="169"/>
      <c r="M102" s="169"/>
      <c r="N102" s="169" t="s">
        <v>665</v>
      </c>
      <c r="O102" s="170"/>
      <c r="P102" s="170"/>
    </row>
    <row r="103" spans="1:16" ht="45.6">
      <c r="A103" s="167"/>
      <c r="B103" s="167"/>
      <c r="C103" s="168"/>
      <c r="D103" s="169" t="s">
        <v>774</v>
      </c>
      <c r="E103" s="168" t="s">
        <v>439</v>
      </c>
      <c r="F103" s="167" t="s">
        <v>115</v>
      </c>
      <c r="G103" s="175">
        <v>46386</v>
      </c>
      <c r="H103" s="171">
        <v>46386</v>
      </c>
      <c r="I103" s="167" t="s">
        <v>201</v>
      </c>
      <c r="J103" s="169"/>
      <c r="K103" s="169"/>
      <c r="L103" s="169"/>
      <c r="M103" s="169"/>
      <c r="N103" s="169" t="s">
        <v>665</v>
      </c>
      <c r="O103" s="170"/>
      <c r="P103" s="170"/>
    </row>
    <row r="104" spans="1:16" ht="45.6">
      <c r="A104" s="167"/>
      <c r="B104" s="167"/>
      <c r="C104" s="168"/>
      <c r="D104" s="169"/>
      <c r="E104" s="168" t="s">
        <v>440</v>
      </c>
      <c r="F104" s="167" t="s">
        <v>115</v>
      </c>
      <c r="G104" s="175">
        <v>46386</v>
      </c>
      <c r="H104" s="171">
        <v>46386</v>
      </c>
      <c r="I104" s="167" t="s">
        <v>201</v>
      </c>
      <c r="J104" s="169"/>
      <c r="K104" s="169"/>
      <c r="L104" s="169"/>
      <c r="M104" s="169"/>
      <c r="N104" s="169" t="s">
        <v>665</v>
      </c>
      <c r="O104" s="170"/>
      <c r="P104" s="170"/>
    </row>
    <row r="105" spans="1:16" ht="45.6">
      <c r="A105" s="167"/>
      <c r="B105" s="167"/>
      <c r="C105" s="168"/>
      <c r="D105" s="169"/>
      <c r="E105" s="168" t="s">
        <v>441</v>
      </c>
      <c r="F105" s="167" t="s">
        <v>115</v>
      </c>
      <c r="G105" s="175">
        <v>46386</v>
      </c>
      <c r="H105" s="171">
        <v>46386</v>
      </c>
      <c r="I105" s="167" t="s">
        <v>201</v>
      </c>
      <c r="J105" s="169"/>
      <c r="K105" s="169"/>
      <c r="L105" s="169"/>
      <c r="M105" s="169"/>
      <c r="N105" s="169" t="s">
        <v>665</v>
      </c>
      <c r="O105" s="170"/>
      <c r="P105" s="170"/>
    </row>
    <row r="106" spans="1:16" ht="57">
      <c r="A106" s="167"/>
      <c r="B106" s="167"/>
      <c r="C106" s="168"/>
      <c r="D106" s="169"/>
      <c r="E106" s="168" t="s">
        <v>442</v>
      </c>
      <c r="F106" s="167" t="s">
        <v>115</v>
      </c>
      <c r="G106" s="175">
        <v>46386</v>
      </c>
      <c r="H106" s="171">
        <v>46386</v>
      </c>
      <c r="I106" s="167" t="s">
        <v>201</v>
      </c>
      <c r="J106" s="169"/>
      <c r="K106" s="169"/>
      <c r="L106" s="169"/>
      <c r="M106" s="169"/>
      <c r="N106" s="169" t="s">
        <v>665</v>
      </c>
      <c r="O106" s="170"/>
      <c r="P106" s="170"/>
    </row>
    <row r="107" spans="1:16" ht="285">
      <c r="A107" s="167"/>
      <c r="B107" s="167" t="s">
        <v>181</v>
      </c>
      <c r="C107" s="168" t="s">
        <v>231</v>
      </c>
      <c r="D107" s="169" t="s">
        <v>188</v>
      </c>
      <c r="E107" s="168" t="s">
        <v>883</v>
      </c>
      <c r="F107" s="167" t="s">
        <v>210</v>
      </c>
      <c r="G107" s="174" t="s">
        <v>775</v>
      </c>
      <c r="H107" s="171">
        <v>46203</v>
      </c>
      <c r="I107" s="167" t="s">
        <v>33</v>
      </c>
      <c r="J107" s="169"/>
      <c r="K107" s="169"/>
      <c r="L107" s="169"/>
      <c r="M107" s="169"/>
      <c r="N107" s="169" t="s">
        <v>665</v>
      </c>
      <c r="O107" s="170"/>
      <c r="P107" s="170"/>
    </row>
    <row r="108" spans="1:16" ht="45.6">
      <c r="A108" s="167"/>
      <c r="B108" s="167"/>
      <c r="C108" s="168"/>
      <c r="D108" s="169" t="s">
        <v>774</v>
      </c>
      <c r="E108" s="168" t="s">
        <v>236</v>
      </c>
      <c r="F108" s="167" t="s">
        <v>210</v>
      </c>
      <c r="G108" s="174" t="s">
        <v>775</v>
      </c>
      <c r="H108" s="171">
        <v>46203</v>
      </c>
      <c r="I108" s="167" t="s">
        <v>33</v>
      </c>
      <c r="J108" s="169"/>
      <c r="K108" s="169"/>
      <c r="L108" s="169"/>
      <c r="M108" s="169"/>
      <c r="N108" s="169" t="s">
        <v>665</v>
      </c>
      <c r="O108" s="170"/>
      <c r="P108" s="170"/>
    </row>
    <row r="109" spans="1:16" ht="34.200000000000003">
      <c r="A109" s="167"/>
      <c r="B109" s="167"/>
      <c r="C109" s="168" t="s">
        <v>186</v>
      </c>
      <c r="D109" s="169" t="s">
        <v>188</v>
      </c>
      <c r="E109" s="168" t="s">
        <v>189</v>
      </c>
      <c r="F109" s="167" t="s">
        <v>190</v>
      </c>
      <c r="G109" s="174" t="s">
        <v>775</v>
      </c>
      <c r="H109" s="171">
        <v>45945</v>
      </c>
      <c r="I109" s="167" t="s">
        <v>20</v>
      </c>
      <c r="J109" s="170"/>
      <c r="K109" s="170"/>
      <c r="L109" s="170"/>
      <c r="M109" s="170"/>
      <c r="N109" s="170"/>
      <c r="O109" s="170"/>
      <c r="P109" s="170"/>
    </row>
    <row r="110" spans="1:16" ht="45.6">
      <c r="A110" s="167"/>
      <c r="B110" s="167"/>
      <c r="C110" s="168"/>
      <c r="D110" s="169" t="s">
        <v>774</v>
      </c>
      <c r="E110" s="168" t="s">
        <v>209</v>
      </c>
      <c r="F110" s="167" t="s">
        <v>210</v>
      </c>
      <c r="G110" s="175">
        <v>46079</v>
      </c>
      <c r="H110" s="171">
        <v>46079</v>
      </c>
      <c r="I110" s="167" t="s">
        <v>20</v>
      </c>
      <c r="J110" s="170"/>
      <c r="K110" s="170"/>
      <c r="L110" s="170"/>
      <c r="M110" s="170"/>
      <c r="N110" s="170"/>
      <c r="O110" s="170"/>
      <c r="P110" s="170"/>
    </row>
    <row r="111" spans="1:16" ht="68.400000000000006">
      <c r="A111" s="167"/>
      <c r="B111" s="167"/>
      <c r="C111" s="168"/>
      <c r="D111" s="169"/>
      <c r="E111" s="168" t="s">
        <v>198</v>
      </c>
      <c r="F111" s="167" t="s">
        <v>199</v>
      </c>
      <c r="G111" s="175">
        <v>46387</v>
      </c>
      <c r="H111" s="171">
        <v>46387</v>
      </c>
      <c r="I111" s="167" t="s">
        <v>20</v>
      </c>
      <c r="J111" s="170"/>
      <c r="K111" s="170"/>
      <c r="L111" s="170"/>
      <c r="M111" s="170"/>
      <c r="N111" s="170"/>
      <c r="O111" s="170"/>
      <c r="P111" s="170"/>
    </row>
    <row r="112" spans="1:16" ht="79.8">
      <c r="A112" s="167"/>
      <c r="B112" s="167"/>
      <c r="C112" s="168" t="s">
        <v>211</v>
      </c>
      <c r="D112" s="169" t="s">
        <v>188</v>
      </c>
      <c r="E112" s="168" t="s">
        <v>213</v>
      </c>
      <c r="F112" s="167" t="s">
        <v>210</v>
      </c>
      <c r="G112" s="174" t="s">
        <v>775</v>
      </c>
      <c r="H112" s="171">
        <v>45875</v>
      </c>
      <c r="I112" s="167" t="s">
        <v>20</v>
      </c>
      <c r="J112" s="170"/>
      <c r="K112" s="170"/>
      <c r="L112" s="170"/>
      <c r="M112" s="170"/>
      <c r="N112" s="170"/>
      <c r="O112" s="170"/>
      <c r="P112" s="170"/>
    </row>
    <row r="113" spans="1:16" ht="34.200000000000003">
      <c r="A113" s="167"/>
      <c r="B113" s="167"/>
      <c r="C113" s="168" t="s">
        <v>206</v>
      </c>
      <c r="D113" s="169" t="s">
        <v>188</v>
      </c>
      <c r="E113" s="168" t="s">
        <v>651</v>
      </c>
      <c r="F113" s="167" t="s">
        <v>148</v>
      </c>
      <c r="G113" s="174" t="s">
        <v>169</v>
      </c>
      <c r="H113" s="167" t="s">
        <v>169</v>
      </c>
      <c r="I113" s="167" t="s">
        <v>20</v>
      </c>
      <c r="J113" s="170"/>
      <c r="K113" s="170"/>
      <c r="L113" s="170"/>
      <c r="M113" s="170"/>
      <c r="N113" s="170"/>
      <c r="O113" s="170"/>
      <c r="P113" s="170"/>
    </row>
    <row r="114" spans="1:16" ht="57">
      <c r="A114" s="167"/>
      <c r="B114" s="167"/>
      <c r="C114" s="168" t="s">
        <v>216</v>
      </c>
      <c r="D114" s="169" t="s">
        <v>188</v>
      </c>
      <c r="E114" s="168" t="s">
        <v>218</v>
      </c>
      <c r="F114" s="167" t="s">
        <v>210</v>
      </c>
      <c r="G114" s="174" t="s">
        <v>775</v>
      </c>
      <c r="H114" s="171">
        <v>45875</v>
      </c>
      <c r="I114" s="167" t="s">
        <v>20</v>
      </c>
      <c r="J114" s="170"/>
      <c r="K114" s="170"/>
      <c r="L114" s="170"/>
      <c r="M114" s="170"/>
      <c r="N114" s="170"/>
      <c r="O114" s="170"/>
      <c r="P114" s="170"/>
    </row>
    <row r="115" spans="1:16" ht="68.400000000000006">
      <c r="A115" s="167"/>
      <c r="B115" s="167"/>
      <c r="C115" s="168" t="s">
        <v>226</v>
      </c>
      <c r="D115" s="169" t="s">
        <v>188</v>
      </c>
      <c r="E115" s="168" t="s">
        <v>228</v>
      </c>
      <c r="F115" s="167" t="s">
        <v>210</v>
      </c>
      <c r="G115" s="174" t="s">
        <v>775</v>
      </c>
      <c r="H115" s="171">
        <v>45960</v>
      </c>
      <c r="I115" s="167" t="s">
        <v>20</v>
      </c>
      <c r="J115" s="170"/>
      <c r="K115" s="170"/>
      <c r="L115" s="170"/>
      <c r="M115" s="170"/>
      <c r="N115" s="170"/>
      <c r="O115" s="170"/>
      <c r="P115" s="170"/>
    </row>
    <row r="116" spans="1:16" ht="34.200000000000003">
      <c r="A116" s="167"/>
      <c r="B116" s="167"/>
      <c r="C116" s="168" t="s">
        <v>193</v>
      </c>
      <c r="D116" s="169" t="s">
        <v>188</v>
      </c>
      <c r="E116" s="168" t="s">
        <v>195</v>
      </c>
      <c r="F116" s="167" t="s">
        <v>190</v>
      </c>
      <c r="G116" s="174" t="s">
        <v>775</v>
      </c>
      <c r="H116" s="171">
        <v>45945</v>
      </c>
      <c r="I116" s="167" t="s">
        <v>20</v>
      </c>
      <c r="J116" s="170"/>
      <c r="K116" s="170"/>
      <c r="L116" s="170"/>
      <c r="M116" s="170"/>
      <c r="N116" s="170"/>
      <c r="O116" s="170"/>
      <c r="P116" s="170"/>
    </row>
    <row r="117" spans="1:16" ht="57">
      <c r="A117" s="167"/>
      <c r="B117" s="167"/>
      <c r="C117" s="168" t="s">
        <v>221</v>
      </c>
      <c r="D117" s="169" t="s">
        <v>188</v>
      </c>
      <c r="E117" s="168" t="s">
        <v>223</v>
      </c>
      <c r="F117" s="167" t="s">
        <v>210</v>
      </c>
      <c r="G117" s="174" t="s">
        <v>775</v>
      </c>
      <c r="H117" s="171">
        <v>45881</v>
      </c>
      <c r="I117" s="167" t="s">
        <v>20</v>
      </c>
      <c r="J117" s="170"/>
      <c r="K117" s="170"/>
      <c r="L117" s="170"/>
      <c r="M117" s="170"/>
      <c r="N117" s="170"/>
      <c r="O117" s="170"/>
      <c r="P117" s="170"/>
    </row>
    <row r="118" spans="1:16" ht="57">
      <c r="A118" s="167"/>
      <c r="B118" s="167"/>
      <c r="C118" s="168" t="s">
        <v>182</v>
      </c>
      <c r="D118" s="169" t="s">
        <v>188</v>
      </c>
      <c r="E118" s="168" t="s">
        <v>243</v>
      </c>
      <c r="F118" s="167" t="s">
        <v>17</v>
      </c>
      <c r="G118" s="174" t="s">
        <v>775</v>
      </c>
      <c r="H118" s="171">
        <v>45853</v>
      </c>
      <c r="I118" s="167" t="s">
        <v>20</v>
      </c>
      <c r="J118" s="170"/>
      <c r="K118" s="170"/>
      <c r="L118" s="170"/>
      <c r="M118" s="170"/>
      <c r="N118" s="170"/>
      <c r="O118" s="170"/>
      <c r="P118" s="170"/>
    </row>
    <row r="119" spans="1:16" ht="125.4">
      <c r="A119" s="167"/>
      <c r="B119" s="167"/>
      <c r="C119" s="168"/>
      <c r="D119" s="169" t="s">
        <v>774</v>
      </c>
      <c r="E119" s="168" t="s">
        <v>202</v>
      </c>
      <c r="F119" s="167" t="s">
        <v>203</v>
      </c>
      <c r="G119" s="174" t="s">
        <v>775</v>
      </c>
      <c r="H119" s="171">
        <v>45992</v>
      </c>
      <c r="I119" s="167" t="s">
        <v>20</v>
      </c>
      <c r="J119" s="170"/>
      <c r="K119" s="170"/>
      <c r="L119" s="170"/>
      <c r="M119" s="170"/>
      <c r="N119" s="170"/>
      <c r="O119" s="170"/>
      <c r="P119" s="170"/>
    </row>
    <row r="120" spans="1:16" ht="57">
      <c r="A120" s="167"/>
      <c r="B120" s="167"/>
      <c r="C120" s="168"/>
      <c r="D120" s="169"/>
      <c r="E120" s="168" t="s">
        <v>238</v>
      </c>
      <c r="F120" s="167" t="s">
        <v>239</v>
      </c>
      <c r="G120" s="174" t="s">
        <v>775</v>
      </c>
      <c r="H120" s="171">
        <v>46006</v>
      </c>
      <c r="I120" s="167" t="s">
        <v>20</v>
      </c>
      <c r="J120" s="170"/>
      <c r="K120" s="170"/>
      <c r="L120" s="170"/>
      <c r="M120" s="170"/>
      <c r="N120" s="170"/>
      <c r="O120" s="170"/>
      <c r="P120" s="170"/>
    </row>
    <row r="121" spans="1:16" ht="34.200000000000003">
      <c r="A121" s="167"/>
      <c r="B121" s="167"/>
      <c r="C121" s="168"/>
      <c r="D121" s="169"/>
      <c r="E121" s="168" t="s">
        <v>246</v>
      </c>
      <c r="F121" s="167" t="s">
        <v>17</v>
      </c>
      <c r="G121" s="174" t="s">
        <v>775</v>
      </c>
      <c r="H121" s="171">
        <v>46032</v>
      </c>
      <c r="I121" s="167" t="s">
        <v>20</v>
      </c>
      <c r="J121" s="170"/>
      <c r="K121" s="170"/>
      <c r="L121" s="170"/>
      <c r="M121" s="170"/>
      <c r="N121" s="170"/>
      <c r="O121" s="170"/>
      <c r="P121" s="170"/>
    </row>
    <row r="122" spans="1:16" ht="34.200000000000003">
      <c r="A122" s="167"/>
      <c r="B122" s="167"/>
      <c r="C122" s="168"/>
      <c r="D122" s="169"/>
      <c r="E122" s="168" t="s">
        <v>249</v>
      </c>
      <c r="F122" s="167" t="s">
        <v>17</v>
      </c>
      <c r="G122" s="174" t="s">
        <v>775</v>
      </c>
      <c r="H122" s="171">
        <v>46052</v>
      </c>
      <c r="I122" s="167" t="s">
        <v>20</v>
      </c>
      <c r="J122" s="170"/>
      <c r="K122" s="170"/>
      <c r="L122" s="170"/>
      <c r="M122" s="170"/>
      <c r="N122" s="170"/>
      <c r="O122" s="170"/>
      <c r="P122" s="170"/>
    </row>
    <row r="123" spans="1:16" ht="57">
      <c r="A123" s="167"/>
      <c r="B123" s="167"/>
      <c r="C123" s="168"/>
      <c r="D123" s="169"/>
      <c r="E123" s="168" t="s">
        <v>183</v>
      </c>
      <c r="F123" s="167" t="s">
        <v>144</v>
      </c>
      <c r="G123" s="174" t="s">
        <v>775</v>
      </c>
      <c r="H123" s="171">
        <v>46081</v>
      </c>
      <c r="I123" s="167" t="s">
        <v>20</v>
      </c>
      <c r="J123" s="170"/>
      <c r="K123" s="170"/>
      <c r="L123" s="170"/>
      <c r="M123" s="170"/>
      <c r="N123" s="170"/>
      <c r="O123" s="170"/>
      <c r="P123" s="170"/>
    </row>
    <row r="124" spans="1:16" ht="57">
      <c r="A124" s="167"/>
      <c r="B124" s="167" t="s">
        <v>486</v>
      </c>
      <c r="C124" s="168" t="s">
        <v>487</v>
      </c>
      <c r="D124" s="169" t="s">
        <v>254</v>
      </c>
      <c r="E124" s="168" t="s">
        <v>488</v>
      </c>
      <c r="F124" s="167" t="s">
        <v>269</v>
      </c>
      <c r="G124" s="174" t="s">
        <v>775</v>
      </c>
      <c r="H124" s="171">
        <v>46203</v>
      </c>
      <c r="I124" s="167" t="s">
        <v>20</v>
      </c>
      <c r="J124" s="170"/>
      <c r="K124" s="170"/>
      <c r="L124" s="170"/>
      <c r="M124" s="170"/>
      <c r="N124" s="170"/>
      <c r="O124" s="170"/>
      <c r="P124" s="170"/>
    </row>
    <row r="125" spans="1:16" ht="79.8">
      <c r="A125" s="167"/>
      <c r="B125" s="167"/>
      <c r="C125" s="168"/>
      <c r="D125" s="169" t="s">
        <v>774</v>
      </c>
      <c r="E125" s="168" t="s">
        <v>490</v>
      </c>
      <c r="F125" s="167" t="s">
        <v>269</v>
      </c>
      <c r="G125" s="174" t="s">
        <v>775</v>
      </c>
      <c r="H125" s="171">
        <v>46203</v>
      </c>
      <c r="I125" s="167" t="s">
        <v>20</v>
      </c>
      <c r="J125" s="170"/>
      <c r="K125" s="170"/>
      <c r="L125" s="170"/>
      <c r="M125" s="170"/>
      <c r="N125" s="170"/>
      <c r="O125" s="170"/>
      <c r="P125" s="170"/>
    </row>
    <row r="126" spans="1:16" ht="148.19999999999999">
      <c r="A126" s="167"/>
      <c r="B126" s="167"/>
      <c r="C126" s="168" t="s">
        <v>491</v>
      </c>
      <c r="D126" s="169" t="s">
        <v>188</v>
      </c>
      <c r="E126" s="168" t="s">
        <v>492</v>
      </c>
      <c r="F126" s="167" t="s">
        <v>269</v>
      </c>
      <c r="G126" s="175">
        <v>46295</v>
      </c>
      <c r="H126" s="171">
        <v>46295</v>
      </c>
      <c r="I126" s="167" t="s">
        <v>201</v>
      </c>
      <c r="J126" s="169"/>
      <c r="K126" s="169"/>
      <c r="L126" s="169"/>
      <c r="M126" s="169"/>
      <c r="N126" s="169" t="s">
        <v>665</v>
      </c>
      <c r="O126" s="170"/>
      <c r="P126" s="170"/>
    </row>
    <row r="127" spans="1:16" ht="45.6">
      <c r="A127" s="167"/>
      <c r="B127" s="167"/>
      <c r="C127" s="168" t="s">
        <v>494</v>
      </c>
      <c r="D127" s="169" t="s">
        <v>188</v>
      </c>
      <c r="E127" s="168" t="s">
        <v>495</v>
      </c>
      <c r="F127" s="167" t="s">
        <v>269</v>
      </c>
      <c r="G127" s="174" t="s">
        <v>775</v>
      </c>
      <c r="H127" s="171">
        <v>46203</v>
      </c>
      <c r="I127" s="167" t="s">
        <v>20</v>
      </c>
      <c r="J127" s="170"/>
      <c r="K127" s="170"/>
      <c r="L127" s="170"/>
      <c r="M127" s="170"/>
      <c r="N127" s="170"/>
      <c r="O127" s="170"/>
      <c r="P127" s="170"/>
    </row>
    <row r="128" spans="1:16" ht="45.6">
      <c r="A128" s="167"/>
      <c r="B128" s="167"/>
      <c r="C128" s="168"/>
      <c r="D128" s="169" t="s">
        <v>774</v>
      </c>
      <c r="E128" s="168" t="s">
        <v>497</v>
      </c>
      <c r="F128" s="167" t="s">
        <v>269</v>
      </c>
      <c r="G128" s="174" t="s">
        <v>775</v>
      </c>
      <c r="H128" s="171">
        <v>46203</v>
      </c>
      <c r="I128" s="167" t="s">
        <v>20</v>
      </c>
      <c r="J128" s="170"/>
      <c r="K128" s="170"/>
      <c r="L128" s="170"/>
      <c r="M128" s="170"/>
      <c r="N128" s="170"/>
      <c r="O128" s="170"/>
      <c r="P128" s="170"/>
    </row>
    <row r="129" spans="1:16" ht="79.8">
      <c r="A129" s="167"/>
      <c r="B129" s="167"/>
      <c r="C129" s="168" t="s">
        <v>498</v>
      </c>
      <c r="D129" s="169" t="s">
        <v>280</v>
      </c>
      <c r="E129" s="168" t="s">
        <v>500</v>
      </c>
      <c r="F129" s="167" t="s">
        <v>269</v>
      </c>
      <c r="G129" s="174" t="s">
        <v>775</v>
      </c>
      <c r="H129" s="171">
        <v>46203</v>
      </c>
      <c r="I129" s="167" t="s">
        <v>33</v>
      </c>
      <c r="J129" s="169"/>
      <c r="K129" s="169"/>
      <c r="L129" s="169"/>
      <c r="M129" s="169"/>
      <c r="N129" s="169" t="s">
        <v>665</v>
      </c>
      <c r="O129" s="170"/>
      <c r="P129" s="170"/>
    </row>
    <row r="130" spans="1:16" ht="79.8">
      <c r="A130" s="167"/>
      <c r="B130" s="167" t="s">
        <v>327</v>
      </c>
      <c r="C130" s="168" t="s">
        <v>348</v>
      </c>
      <c r="D130" s="169" t="s">
        <v>280</v>
      </c>
      <c r="E130" s="168" t="s">
        <v>350</v>
      </c>
      <c r="F130" s="167" t="s">
        <v>256</v>
      </c>
      <c r="G130" s="174" t="s">
        <v>775</v>
      </c>
      <c r="H130" s="171">
        <v>45915</v>
      </c>
      <c r="I130" s="167" t="s">
        <v>20</v>
      </c>
      <c r="J130" s="170"/>
      <c r="K130" s="170"/>
      <c r="L130" s="170"/>
      <c r="M130" s="170"/>
      <c r="N130" s="170"/>
      <c r="O130" s="170"/>
      <c r="P130" s="170"/>
    </row>
    <row r="131" spans="1:16" ht="79.8">
      <c r="A131" s="167"/>
      <c r="B131" s="167"/>
      <c r="C131" s="168" t="s">
        <v>328</v>
      </c>
      <c r="D131" s="169" t="s">
        <v>254</v>
      </c>
      <c r="E131" s="168" t="s">
        <v>330</v>
      </c>
      <c r="F131" s="167" t="s">
        <v>256</v>
      </c>
      <c r="G131" s="174" t="s">
        <v>775</v>
      </c>
      <c r="H131" s="171">
        <v>45884</v>
      </c>
      <c r="I131" s="167" t="s">
        <v>20</v>
      </c>
      <c r="J131" s="170"/>
      <c r="K131" s="170"/>
      <c r="L131" s="170"/>
      <c r="M131" s="170"/>
      <c r="N131" s="170"/>
      <c r="O131" s="170"/>
      <c r="P131" s="170"/>
    </row>
    <row r="132" spans="1:16" ht="102.6">
      <c r="A132" s="167"/>
      <c r="B132" s="167"/>
      <c r="C132" s="168" t="s">
        <v>332</v>
      </c>
      <c r="D132" s="169" t="s">
        <v>254</v>
      </c>
      <c r="E132" s="168" t="s">
        <v>1013</v>
      </c>
      <c r="F132" s="167" t="s">
        <v>256</v>
      </c>
      <c r="G132" s="174" t="s">
        <v>775</v>
      </c>
      <c r="H132" s="171">
        <v>46022</v>
      </c>
      <c r="I132" s="167" t="s">
        <v>20</v>
      </c>
      <c r="J132" s="170"/>
      <c r="K132" s="170"/>
      <c r="L132" s="170"/>
      <c r="M132" s="170"/>
      <c r="N132" s="170"/>
      <c r="O132" s="170"/>
      <c r="P132" s="170"/>
    </row>
    <row r="133" spans="1:16" ht="102.6">
      <c r="A133" s="167"/>
      <c r="B133" s="167"/>
      <c r="C133" s="168"/>
      <c r="D133" s="169" t="s">
        <v>774</v>
      </c>
      <c r="E133" s="168" t="s">
        <v>1014</v>
      </c>
      <c r="F133" s="167" t="s">
        <v>256</v>
      </c>
      <c r="G133" s="174" t="s">
        <v>775</v>
      </c>
      <c r="H133" s="171">
        <v>46022</v>
      </c>
      <c r="I133" s="167" t="s">
        <v>20</v>
      </c>
      <c r="J133" s="170"/>
      <c r="K133" s="170"/>
      <c r="L133" s="170"/>
      <c r="M133" s="170"/>
      <c r="N133" s="170"/>
      <c r="O133" s="170"/>
      <c r="P133" s="170"/>
    </row>
    <row r="134" spans="1:16" ht="136.80000000000001">
      <c r="A134" s="167"/>
      <c r="B134" s="167"/>
      <c r="C134" s="168" t="s">
        <v>339</v>
      </c>
      <c r="D134" s="169" t="s">
        <v>188</v>
      </c>
      <c r="E134" s="168" t="s">
        <v>341</v>
      </c>
      <c r="F134" s="167" t="s">
        <v>256</v>
      </c>
      <c r="G134" s="174" t="s">
        <v>775</v>
      </c>
      <c r="H134" s="171">
        <v>45915</v>
      </c>
      <c r="I134" s="167" t="s">
        <v>20</v>
      </c>
      <c r="J134" s="170"/>
      <c r="K134" s="170"/>
      <c r="L134" s="170"/>
      <c r="M134" s="170"/>
      <c r="N134" s="170"/>
      <c r="O134" s="170"/>
      <c r="P134" s="170"/>
    </row>
    <row r="135" spans="1:16" ht="57">
      <c r="A135" s="167"/>
      <c r="B135" s="167"/>
      <c r="C135" s="168" t="s">
        <v>344</v>
      </c>
      <c r="D135" s="169" t="s">
        <v>188</v>
      </c>
      <c r="E135" s="168" t="s">
        <v>346</v>
      </c>
      <c r="F135" s="167" t="s">
        <v>256</v>
      </c>
      <c r="G135" s="174" t="s">
        <v>775</v>
      </c>
      <c r="H135" s="171">
        <v>46022</v>
      </c>
      <c r="I135" s="167" t="s">
        <v>20</v>
      </c>
      <c r="J135" s="170"/>
      <c r="K135" s="170"/>
      <c r="L135" s="170"/>
      <c r="M135" s="170"/>
      <c r="N135" s="170"/>
      <c r="O135" s="170"/>
      <c r="P135" s="170"/>
    </row>
    <row r="136" spans="1:16" ht="91.2">
      <c r="A136" s="167"/>
      <c r="B136" s="167"/>
      <c r="C136" s="168" t="s">
        <v>353</v>
      </c>
      <c r="D136" s="169" t="s">
        <v>280</v>
      </c>
      <c r="E136" s="168" t="s">
        <v>354</v>
      </c>
      <c r="F136" s="167" t="s">
        <v>256</v>
      </c>
      <c r="G136" s="174" t="s">
        <v>775</v>
      </c>
      <c r="H136" s="171">
        <v>46022</v>
      </c>
      <c r="I136" s="167" t="s">
        <v>20</v>
      </c>
      <c r="J136" s="170"/>
      <c r="K136" s="170"/>
      <c r="L136" s="170"/>
      <c r="M136" s="170"/>
      <c r="N136" s="170"/>
      <c r="O136" s="170"/>
      <c r="P136" s="170"/>
    </row>
    <row r="137" spans="1:16" ht="45.6">
      <c r="A137" s="167"/>
      <c r="B137" s="167"/>
      <c r="C137" s="168" t="s">
        <v>356</v>
      </c>
      <c r="D137" s="169" t="s">
        <v>280</v>
      </c>
      <c r="E137" s="168" t="s">
        <v>358</v>
      </c>
      <c r="F137" s="167" t="s">
        <v>256</v>
      </c>
      <c r="G137" s="174" t="s">
        <v>775</v>
      </c>
      <c r="H137" s="171">
        <v>46001</v>
      </c>
      <c r="I137" s="167" t="s">
        <v>20</v>
      </c>
      <c r="J137" s="170"/>
      <c r="K137" s="170"/>
      <c r="L137" s="170"/>
      <c r="M137" s="170"/>
      <c r="N137" s="170"/>
      <c r="O137" s="170"/>
      <c r="P137" s="170"/>
    </row>
    <row r="138" spans="1:16" ht="57">
      <c r="A138" s="167"/>
      <c r="B138" s="167" t="s">
        <v>477</v>
      </c>
      <c r="C138" s="168" t="s">
        <v>478</v>
      </c>
      <c r="D138" s="169" t="s">
        <v>188</v>
      </c>
      <c r="E138" s="168" t="s">
        <v>480</v>
      </c>
      <c r="F138" s="167" t="s">
        <v>190</v>
      </c>
      <c r="G138" s="174" t="s">
        <v>775</v>
      </c>
      <c r="H138" s="171">
        <v>46052</v>
      </c>
      <c r="I138" s="167" t="s">
        <v>20</v>
      </c>
      <c r="J138" s="170"/>
      <c r="K138" s="170"/>
      <c r="L138" s="170"/>
      <c r="M138" s="170"/>
      <c r="N138" s="170"/>
      <c r="O138" s="170"/>
      <c r="P138" s="170"/>
    </row>
    <row r="139" spans="1:16" ht="57">
      <c r="A139" s="167"/>
      <c r="B139" s="167"/>
      <c r="C139" s="168" t="s">
        <v>482</v>
      </c>
      <c r="D139" s="169" t="s">
        <v>188</v>
      </c>
      <c r="E139" s="168" t="s">
        <v>484</v>
      </c>
      <c r="F139" s="167" t="s">
        <v>190</v>
      </c>
      <c r="G139" s="174" t="s">
        <v>775</v>
      </c>
      <c r="H139" s="171">
        <v>46052</v>
      </c>
      <c r="I139" s="167" t="s">
        <v>20</v>
      </c>
      <c r="J139" s="170"/>
      <c r="K139" s="170"/>
      <c r="L139" s="170"/>
      <c r="M139" s="170"/>
      <c r="N139" s="170"/>
      <c r="O139" s="170"/>
      <c r="P139" s="170"/>
    </row>
    <row r="140" spans="1:16" ht="57">
      <c r="A140" s="167"/>
      <c r="B140" s="167" t="s">
        <v>360</v>
      </c>
      <c r="C140" s="168" t="s">
        <v>393</v>
      </c>
      <c r="D140" s="169" t="s">
        <v>280</v>
      </c>
      <c r="E140" s="168" t="s">
        <v>394</v>
      </c>
      <c r="F140" s="167" t="s">
        <v>210</v>
      </c>
      <c r="G140" s="174" t="s">
        <v>775</v>
      </c>
      <c r="H140" s="171">
        <v>46053</v>
      </c>
      <c r="I140" s="167" t="s">
        <v>20</v>
      </c>
      <c r="J140" s="170"/>
      <c r="K140" s="170"/>
      <c r="L140" s="170"/>
      <c r="M140" s="170"/>
      <c r="N140" s="170"/>
      <c r="O140" s="170"/>
      <c r="P140" s="170"/>
    </row>
    <row r="141" spans="1:16" ht="34.200000000000003">
      <c r="A141" s="167"/>
      <c r="B141" s="167"/>
      <c r="C141" s="168" t="s">
        <v>385</v>
      </c>
      <c r="D141" s="169" t="s">
        <v>188</v>
      </c>
      <c r="E141" s="168" t="s">
        <v>386</v>
      </c>
      <c r="F141" s="167" t="s">
        <v>210</v>
      </c>
      <c r="G141" s="174" t="s">
        <v>775</v>
      </c>
      <c r="H141" s="171">
        <v>46006</v>
      </c>
      <c r="I141" s="167" t="s">
        <v>20</v>
      </c>
      <c r="J141" s="170"/>
      <c r="K141" s="170"/>
      <c r="L141" s="170"/>
      <c r="M141" s="170"/>
      <c r="N141" s="170"/>
      <c r="O141" s="170"/>
      <c r="P141" s="170"/>
    </row>
    <row r="142" spans="1:16" ht="57">
      <c r="A142" s="167"/>
      <c r="B142" s="167"/>
      <c r="C142" s="168" t="s">
        <v>397</v>
      </c>
      <c r="D142" s="169" t="s">
        <v>280</v>
      </c>
      <c r="E142" s="168" t="s">
        <v>394</v>
      </c>
      <c r="F142" s="167" t="s">
        <v>210</v>
      </c>
      <c r="G142" s="174" t="s">
        <v>775</v>
      </c>
      <c r="H142" s="171">
        <v>46053</v>
      </c>
      <c r="I142" s="167" t="s">
        <v>20</v>
      </c>
      <c r="J142" s="170"/>
      <c r="K142" s="170"/>
      <c r="L142" s="170"/>
      <c r="M142" s="170"/>
      <c r="N142" s="170"/>
      <c r="O142" s="170"/>
      <c r="P142" s="170"/>
    </row>
    <row r="143" spans="1:16" ht="57">
      <c r="A143" s="167"/>
      <c r="B143" s="167"/>
      <c r="C143" s="168" t="s">
        <v>365</v>
      </c>
      <c r="D143" s="169" t="s">
        <v>188</v>
      </c>
      <c r="E143" s="168" t="s">
        <v>366</v>
      </c>
      <c r="F143" s="167" t="s">
        <v>210</v>
      </c>
      <c r="G143" s="174" t="s">
        <v>775</v>
      </c>
      <c r="H143" s="171">
        <v>46203</v>
      </c>
      <c r="I143" s="167" t="s">
        <v>20</v>
      </c>
      <c r="J143" s="170"/>
      <c r="K143" s="170"/>
      <c r="L143" s="170"/>
      <c r="M143" s="170"/>
      <c r="N143" s="170"/>
      <c r="O143" s="170"/>
      <c r="P143" s="170"/>
    </row>
    <row r="144" spans="1:16" ht="91.2">
      <c r="A144" s="167"/>
      <c r="B144" s="167"/>
      <c r="C144" s="168" t="s">
        <v>361</v>
      </c>
      <c r="D144" s="169" t="s">
        <v>254</v>
      </c>
      <c r="E144" s="168" t="s">
        <v>362</v>
      </c>
      <c r="F144" s="167" t="s">
        <v>210</v>
      </c>
      <c r="G144" s="174" t="s">
        <v>775</v>
      </c>
      <c r="H144" s="171">
        <v>46063</v>
      </c>
      <c r="I144" s="167" t="s">
        <v>20</v>
      </c>
      <c r="J144" s="170"/>
      <c r="K144" s="170"/>
      <c r="L144" s="170"/>
      <c r="M144" s="170"/>
      <c r="N144" s="170"/>
      <c r="O144" s="170"/>
      <c r="P144" s="170"/>
    </row>
    <row r="145" spans="1:16" ht="45.6">
      <c r="A145" s="167"/>
      <c r="B145" s="167"/>
      <c r="C145" s="168" t="s">
        <v>377</v>
      </c>
      <c r="D145" s="177" t="s">
        <v>188</v>
      </c>
      <c r="E145" s="168" t="s">
        <v>378</v>
      </c>
      <c r="F145" s="167" t="s">
        <v>210</v>
      </c>
      <c r="G145" s="175">
        <v>46127</v>
      </c>
      <c r="H145" s="171">
        <v>46127</v>
      </c>
      <c r="I145" s="167" t="s">
        <v>20</v>
      </c>
      <c r="J145" s="170"/>
      <c r="K145" s="170"/>
      <c r="L145" s="170"/>
      <c r="M145" s="170"/>
      <c r="N145" s="170"/>
      <c r="O145" s="170"/>
      <c r="P145" s="170"/>
    </row>
    <row r="146" spans="1:16" ht="68.400000000000006">
      <c r="A146" s="167"/>
      <c r="B146" s="167"/>
      <c r="C146" s="168" t="s">
        <v>369</v>
      </c>
      <c r="D146" s="169" t="s">
        <v>188</v>
      </c>
      <c r="E146" s="168" t="s">
        <v>370</v>
      </c>
      <c r="F146" s="167" t="s">
        <v>371</v>
      </c>
      <c r="G146" s="174" t="s">
        <v>1274</v>
      </c>
      <c r="H146" s="167" t="s">
        <v>1274</v>
      </c>
      <c r="I146" s="167" t="s">
        <v>33</v>
      </c>
      <c r="J146" s="169"/>
      <c r="K146" s="169"/>
      <c r="L146" s="169"/>
      <c r="M146" s="169"/>
      <c r="N146" s="169" t="s">
        <v>665</v>
      </c>
      <c r="O146" s="170"/>
      <c r="P146" s="170"/>
    </row>
    <row r="147" spans="1:16" ht="68.400000000000006">
      <c r="A147" s="167"/>
      <c r="B147" s="167"/>
      <c r="C147" s="168"/>
      <c r="D147" s="169" t="s">
        <v>774</v>
      </c>
      <c r="E147" s="168" t="s">
        <v>373</v>
      </c>
      <c r="F147" s="167" t="s">
        <v>371</v>
      </c>
      <c r="G147" s="174" t="s">
        <v>775</v>
      </c>
      <c r="H147" s="171">
        <v>46142</v>
      </c>
      <c r="I147" s="167" t="s">
        <v>20</v>
      </c>
      <c r="J147" s="170"/>
      <c r="K147" s="170"/>
      <c r="L147" s="170"/>
      <c r="M147" s="170"/>
      <c r="N147" s="170"/>
      <c r="O147" s="170"/>
      <c r="P147" s="170"/>
    </row>
    <row r="148" spans="1:16" ht="57">
      <c r="A148" s="167"/>
      <c r="B148" s="167"/>
      <c r="C148" s="168"/>
      <c r="D148" s="169"/>
      <c r="E148" s="168" t="s">
        <v>375</v>
      </c>
      <c r="F148" s="167" t="s">
        <v>210</v>
      </c>
      <c r="G148" s="174" t="s">
        <v>775</v>
      </c>
      <c r="H148" s="171">
        <v>46142</v>
      </c>
      <c r="I148" s="167" t="s">
        <v>20</v>
      </c>
      <c r="J148" s="170"/>
      <c r="K148" s="170"/>
      <c r="L148" s="170"/>
      <c r="M148" s="170"/>
      <c r="N148" s="170"/>
      <c r="O148" s="170"/>
      <c r="P148" s="170"/>
    </row>
    <row r="149" spans="1:16" ht="34.200000000000003">
      <c r="A149" s="167"/>
      <c r="B149" s="167"/>
      <c r="C149" s="168" t="s">
        <v>389</v>
      </c>
      <c r="D149" s="169" t="s">
        <v>280</v>
      </c>
      <c r="E149" s="168" t="s">
        <v>390</v>
      </c>
      <c r="F149" s="167" t="s">
        <v>210</v>
      </c>
      <c r="G149" s="174" t="s">
        <v>775</v>
      </c>
      <c r="H149" s="171">
        <v>45992</v>
      </c>
      <c r="I149" s="167" t="s">
        <v>20</v>
      </c>
      <c r="J149" s="170"/>
      <c r="K149" s="170"/>
      <c r="L149" s="170"/>
      <c r="M149" s="170"/>
      <c r="N149" s="170"/>
      <c r="O149" s="170"/>
      <c r="P149" s="170"/>
    </row>
    <row r="150" spans="1:16" ht="68.400000000000006">
      <c r="A150" s="167"/>
      <c r="B150" s="167"/>
      <c r="C150" s="168" t="s">
        <v>381</v>
      </c>
      <c r="D150" s="169" t="s">
        <v>188</v>
      </c>
      <c r="E150" s="168" t="s">
        <v>382</v>
      </c>
      <c r="F150" s="167" t="s">
        <v>210</v>
      </c>
      <c r="G150" s="174" t="s">
        <v>775</v>
      </c>
      <c r="H150" s="171">
        <v>46053</v>
      </c>
      <c r="I150" s="167" t="s">
        <v>20</v>
      </c>
      <c r="J150" s="170"/>
      <c r="K150" s="170"/>
      <c r="L150" s="170"/>
      <c r="M150" s="170"/>
      <c r="N150" s="170"/>
      <c r="O150" s="170"/>
      <c r="P150" s="170"/>
    </row>
    <row r="151" spans="1:16">
      <c r="A151" s="170" t="s">
        <v>571</v>
      </c>
      <c r="B151" s="170"/>
      <c r="C151" s="170"/>
      <c r="D151" s="170"/>
      <c r="E151" s="170"/>
      <c r="F151" s="170"/>
      <c r="G151" s="170"/>
      <c r="H151" s="170"/>
      <c r="I151" s="170"/>
      <c r="J151" s="170"/>
      <c r="K151" s="170"/>
      <c r="L151" s="170"/>
      <c r="M151" s="170"/>
      <c r="N151" s="170"/>
      <c r="O151" s="170"/>
      <c r="P151" s="170"/>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4" t="s">
        <v>585</v>
      </c>
      <c r="V9" s="224"/>
      <c r="W9" s="148">
        <f>SUM(W6:W8)</f>
        <v>15</v>
      </c>
      <c r="X9" s="148">
        <f>SUM(X6:X8)</f>
        <v>3</v>
      </c>
      <c r="Y9" s="148">
        <f>SUM(Y6:Y8)</f>
        <v>6</v>
      </c>
      <c r="Z9" s="148">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7"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7"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4" t="s">
        <v>583</v>
      </c>
      <c r="D17" s="155">
        <f>GETPIVOTDATA("Suma de No. Planes de Acción",Calculos!$A$72,"Responsable","OFICINA DE COMUNICACIONES")</f>
        <v>4</v>
      </c>
      <c r="E17" s="155">
        <f>GETPIVOTDATA("Suma de Abiertos",Calculos!$A$72,"Responsable","OFICINA DE COMUNICACIONES")</f>
        <v>0</v>
      </c>
      <c r="F17" s="156">
        <f>GETPIVOTDATA("Suma de Vencidos",Calculos!$A$72,"Responsable","OFICINA DE COMUNICACIONES")</f>
        <v>2</v>
      </c>
      <c r="G17" s="155">
        <f>GETPIVOTDATA("Suma de Finalizados",Calculos!$A$72,"Responsable","OFICINA DE COMUNICACIONES")</f>
        <v>2</v>
      </c>
      <c r="H17" s="40"/>
      <c r="I17" s="155">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7"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0">
        <f>SUM(G6:G18)</f>
        <v>99</v>
      </c>
      <c r="H19" s="35"/>
      <c r="I19" s="150">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4"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4"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5" t="s">
        <v>585</v>
      </c>
      <c r="L24" s="225"/>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0">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6" t="s">
        <v>573</v>
      </c>
      <c r="D39" s="61" t="s">
        <v>573</v>
      </c>
      <c r="E39" s="61" t="s">
        <v>574</v>
      </c>
      <c r="F39" s="63" t="s">
        <v>575</v>
      </c>
      <c r="G39" s="63" t="s">
        <v>576</v>
      </c>
      <c r="H39" s="35"/>
      <c r="I39" s="63" t="s">
        <v>587</v>
      </c>
    </row>
    <row r="40" spans="3:36" ht="12">
      <c r="C40" s="227"/>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5" t="s">
        <v>585</v>
      </c>
      <c r="AC63" s="225"/>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6" t="s">
        <v>573</v>
      </c>
      <c r="AB78" s="43"/>
      <c r="AC78" s="7"/>
      <c r="AD78" s="43"/>
      <c r="AE78" s="43"/>
      <c r="AF78" s="43"/>
      <c r="AG78" s="43"/>
      <c r="AH78" s="43"/>
      <c r="AI78" s="43"/>
      <c r="AJ78" s="43"/>
    </row>
    <row r="79" spans="20:52">
      <c r="T79" s="227"/>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5" t="s">
        <v>585</v>
      </c>
      <c r="AS99" s="225"/>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6"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7"/>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1"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1" customFormat="1" ht="2.4" customHeight="1"/>
    <row r="3" spans="3:13">
      <c r="C3" s="125" t="s">
        <v>704</v>
      </c>
      <c r="D3" s="126"/>
      <c r="E3" s="126"/>
      <c r="F3" s="55"/>
    </row>
    <row r="4" spans="3:13">
      <c r="C4" s="55" t="s">
        <v>731</v>
      </c>
      <c r="D4" s="55"/>
      <c r="E4" s="55"/>
      <c r="F4" s="55"/>
    </row>
    <row r="5" spans="3:13">
      <c r="C5" s="55"/>
      <c r="D5" s="55"/>
      <c r="E5" s="55"/>
      <c r="F5" s="55"/>
    </row>
    <row r="6" spans="3:13" ht="79.8" customHeight="1">
      <c r="C6" s="124" t="s">
        <v>711</v>
      </c>
      <c r="D6" s="55"/>
      <c r="E6" s="55"/>
      <c r="F6" s="55"/>
    </row>
    <row r="7" spans="3:13" ht="24">
      <c r="C7" s="72" t="s">
        <v>0</v>
      </c>
      <c r="D7" s="72" t="s">
        <v>1</v>
      </c>
      <c r="E7" s="72" t="s">
        <v>2</v>
      </c>
      <c r="F7" s="72" t="s">
        <v>3</v>
      </c>
      <c r="G7" s="72" t="s">
        <v>4</v>
      </c>
      <c r="H7" s="72" t="s">
        <v>5</v>
      </c>
      <c r="I7" s="123" t="s">
        <v>694</v>
      </c>
      <c r="J7" s="72" t="s">
        <v>7</v>
      </c>
      <c r="K7" s="72" t="s">
        <v>8</v>
      </c>
      <c r="L7" s="122" t="s">
        <v>9</v>
      </c>
      <c r="M7" s="122" t="s">
        <v>11</v>
      </c>
    </row>
    <row r="8" spans="3:13" ht="240.6">
      <c r="C8" s="74" t="s">
        <v>180</v>
      </c>
      <c r="D8" s="75" t="s">
        <v>181</v>
      </c>
      <c r="E8" s="74" t="s">
        <v>231</v>
      </c>
      <c r="F8" s="74" t="s">
        <v>232</v>
      </c>
      <c r="G8" s="71" t="s">
        <v>188</v>
      </c>
      <c r="H8" s="74" t="s">
        <v>233</v>
      </c>
      <c r="I8" s="133" t="s">
        <v>751</v>
      </c>
      <c r="J8" s="77">
        <v>45809</v>
      </c>
      <c r="K8" s="77">
        <v>46079</v>
      </c>
      <c r="L8" s="82" t="s">
        <v>234</v>
      </c>
      <c r="M8" s="79" t="s">
        <v>201</v>
      </c>
    </row>
    <row r="9" spans="3:13" ht="34.200000000000003">
      <c r="C9" s="74" t="s">
        <v>180</v>
      </c>
      <c r="D9" s="75" t="s">
        <v>181</v>
      </c>
      <c r="E9" s="74" t="s">
        <v>231</v>
      </c>
      <c r="F9" s="74"/>
      <c r="G9" s="76"/>
      <c r="H9" s="74" t="s">
        <v>236</v>
      </c>
      <c r="I9" s="133" t="s">
        <v>751</v>
      </c>
      <c r="J9" s="77">
        <v>45809</v>
      </c>
      <c r="K9" s="77">
        <v>46079</v>
      </c>
      <c r="L9" s="85" t="s">
        <v>234</v>
      </c>
      <c r="M9" s="79" t="s">
        <v>201</v>
      </c>
    </row>
    <row r="10" spans="3:13" ht="57.6">
      <c r="C10" s="74" t="s">
        <v>180</v>
      </c>
      <c r="D10" s="92" t="s">
        <v>360</v>
      </c>
      <c r="E10" s="45" t="s">
        <v>381</v>
      </c>
      <c r="F10" s="102" t="s">
        <v>511</v>
      </c>
      <c r="G10" s="103" t="s">
        <v>188</v>
      </c>
      <c r="H10" s="47" t="s">
        <v>382</v>
      </c>
      <c r="I10" s="134" t="s">
        <v>790</v>
      </c>
      <c r="J10" s="87">
        <v>45989</v>
      </c>
      <c r="K10" s="87">
        <v>46053</v>
      </c>
      <c r="L10" s="84" t="s">
        <v>383</v>
      </c>
      <c r="M10" s="37" t="s">
        <v>20</v>
      </c>
    </row>
    <row r="11" spans="3:13" ht="57.6">
      <c r="C11" s="74" t="s">
        <v>180</v>
      </c>
      <c r="D11" s="92" t="s">
        <v>360</v>
      </c>
      <c r="E11" s="45" t="s">
        <v>393</v>
      </c>
      <c r="F11" s="102" t="s">
        <v>514</v>
      </c>
      <c r="G11" s="104" t="s">
        <v>280</v>
      </c>
      <c r="H11" s="47" t="s">
        <v>394</v>
      </c>
      <c r="I11" s="134" t="s">
        <v>792</v>
      </c>
      <c r="J11" s="87">
        <v>45989</v>
      </c>
      <c r="K11" s="87">
        <v>46053</v>
      </c>
      <c r="L11" s="97" t="s">
        <v>395</v>
      </c>
      <c r="M11" s="37" t="s">
        <v>20</v>
      </c>
    </row>
    <row r="12" spans="3:13" ht="46.2">
      <c r="C12" s="74" t="s">
        <v>180</v>
      </c>
      <c r="D12" s="92" t="s">
        <v>360</v>
      </c>
      <c r="E12" s="45" t="s">
        <v>397</v>
      </c>
      <c r="F12" s="102" t="s">
        <v>515</v>
      </c>
      <c r="G12" s="104" t="s">
        <v>280</v>
      </c>
      <c r="H12" s="47" t="s">
        <v>394</v>
      </c>
      <c r="I12" s="134" t="s">
        <v>794</v>
      </c>
      <c r="J12" s="87">
        <v>45989</v>
      </c>
      <c r="K12" s="87">
        <v>46053</v>
      </c>
      <c r="L12" s="97" t="s">
        <v>398</v>
      </c>
      <c r="M12" s="37" t="s">
        <v>20</v>
      </c>
    </row>
    <row r="15" spans="3:13">
      <c r="C15" s="125" t="s">
        <v>722</v>
      </c>
      <c r="D15" s="126"/>
      <c r="E15" s="126"/>
      <c r="F15" s="55"/>
    </row>
    <row r="16" spans="3:13">
      <c r="C16" s="55" t="s">
        <v>732</v>
      </c>
      <c r="D16" s="55"/>
      <c r="E16" s="55"/>
      <c r="F16" s="55"/>
    </row>
    <row r="17" spans="3:14">
      <c r="C17" s="55"/>
      <c r="D17" s="55"/>
      <c r="E17" s="55"/>
      <c r="F17" s="55"/>
    </row>
    <row r="18" spans="3:14" ht="79.2">
      <c r="C18" s="124" t="s">
        <v>716</v>
      </c>
      <c r="D18" s="55"/>
      <c r="E18" s="55"/>
      <c r="F18" s="55"/>
    </row>
    <row r="20" spans="3:14" ht="24">
      <c r="C20" s="72" t="s">
        <v>0</v>
      </c>
      <c r="D20" s="72" t="s">
        <v>1</v>
      </c>
      <c r="E20" s="72" t="s">
        <v>2</v>
      </c>
      <c r="F20" s="72" t="s">
        <v>3</v>
      </c>
      <c r="G20" s="72" t="s">
        <v>4</v>
      </c>
      <c r="H20" s="72" t="s">
        <v>5</v>
      </c>
      <c r="I20" s="123" t="s">
        <v>694</v>
      </c>
      <c r="J20" s="72" t="s">
        <v>7</v>
      </c>
      <c r="K20" s="72" t="s">
        <v>8</v>
      </c>
      <c r="L20" s="122" t="s">
        <v>9</v>
      </c>
      <c r="M20" s="122"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5" t="s">
        <v>724</v>
      </c>
      <c r="D26" s="126"/>
      <c r="E26" s="126"/>
      <c r="F26" s="127"/>
    </row>
    <row r="27" spans="3:14">
      <c r="C27" s="55" t="s">
        <v>788</v>
      </c>
      <c r="D27" s="55"/>
      <c r="E27" s="55"/>
    </row>
    <row r="28" spans="3:14">
      <c r="C28" s="55"/>
      <c r="D28" s="55"/>
      <c r="E28" s="55"/>
    </row>
    <row r="29" spans="3:14" ht="105.6">
      <c r="C29" s="124" t="s">
        <v>728</v>
      </c>
      <c r="D29" s="55"/>
      <c r="E29" s="55"/>
    </row>
    <row r="30" spans="3:14" ht="24">
      <c r="C30" s="72" t="s">
        <v>0</v>
      </c>
      <c r="D30" s="72" t="s">
        <v>1</v>
      </c>
      <c r="E30" s="72"/>
      <c r="F30" s="72" t="s">
        <v>3</v>
      </c>
      <c r="G30" s="72" t="s">
        <v>4</v>
      </c>
      <c r="H30" s="72" t="s">
        <v>5</v>
      </c>
      <c r="I30" s="123" t="s">
        <v>694</v>
      </c>
      <c r="J30" s="72" t="s">
        <v>7</v>
      </c>
      <c r="K30" s="72" t="s">
        <v>8</v>
      </c>
      <c r="L30" s="122" t="s">
        <v>9</v>
      </c>
      <c r="M30" s="122" t="s">
        <v>11</v>
      </c>
    </row>
    <row r="31" spans="3:14" ht="127.2">
      <c r="C31" s="74" t="s">
        <v>13</v>
      </c>
      <c r="D31" s="75" t="s">
        <v>14</v>
      </c>
      <c r="E31" s="74" t="s">
        <v>29</v>
      </c>
      <c r="F31" s="74" t="s">
        <v>29</v>
      </c>
      <c r="G31" s="76"/>
      <c r="H31" s="74" t="s">
        <v>30</v>
      </c>
      <c r="I31" s="136" t="s">
        <v>763</v>
      </c>
      <c r="J31" s="77">
        <v>44995</v>
      </c>
      <c r="K31" s="77">
        <v>46008</v>
      </c>
      <c r="L31" s="82" t="s">
        <v>31</v>
      </c>
      <c r="M31" s="79" t="s">
        <v>20</v>
      </c>
      <c r="N31" s="8" t="s">
        <v>783</v>
      </c>
    </row>
    <row r="32" spans="3:14" ht="33" customHeight="1">
      <c r="C32" s="74" t="s">
        <v>13</v>
      </c>
      <c r="D32" s="75" t="s">
        <v>14</v>
      </c>
      <c r="E32" s="74"/>
      <c r="F32" s="74"/>
      <c r="G32" s="76"/>
      <c r="H32" s="74" t="s">
        <v>34</v>
      </c>
      <c r="I32" s="136"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5">
        <v>0</v>
      </c>
      <c r="C43" s="68">
        <f ca="1">COUNTIF('Base de datos'!Q:Q, "*CRÍTICO*")</f>
        <v>0</v>
      </c>
    </row>
    <row r="44" spans="1:3">
      <c r="A44" t="s">
        <v>556</v>
      </c>
      <c r="B44" s="185">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3">
        <v>4</v>
      </c>
      <c r="C73" s="184">
        <v>0</v>
      </c>
      <c r="D73" s="184">
        <v>0</v>
      </c>
      <c r="E73" s="184">
        <v>4</v>
      </c>
      <c r="F73" s="183">
        <v>0</v>
      </c>
    </row>
    <row r="74" spans="1:7">
      <c r="A74" s="64" t="s">
        <v>115</v>
      </c>
      <c r="B74" s="183">
        <v>13</v>
      </c>
      <c r="C74" s="184">
        <v>5</v>
      </c>
      <c r="D74" s="184">
        <v>2</v>
      </c>
      <c r="E74" s="184">
        <v>6</v>
      </c>
      <c r="F74" s="183">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5"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5"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2" t="s">
        <v>655</v>
      </c>
      <c r="B117" s="112"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8" t="s">
        <v>1286</v>
      </c>
      <c r="X1" s="179" t="s">
        <v>1287</v>
      </c>
      <c r="Y1" s="178" t="s">
        <v>1288</v>
      </c>
      <c r="Z1" s="180" t="s">
        <v>1289</v>
      </c>
      <c r="AA1" s="179"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2</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1">
        <f>COUNTIFS('Base de datos'!$A:$A, $A48, 'Base de datos'!$B:$B, $B48, 'Base de datos'!$G:$G, $C48, 'Base de datos'!$S:$S, "&gt;=01/02/2026", 'Base de datos'!$S:$S, "&lt;=28/02/2026")</f>
        <v>0</v>
      </c>
      <c r="S46" s="131">
        <f>COUNTIFS('Base de datos'!$A:$A, $A48, 'Base de datos'!$B:$B, $B48, 'Base de datos'!$G:$G, $C48, 'Base de datos'!$S:$S, "&gt;=01/03/2026", 'Base de datos'!$S:$S, "&lt;=31/03/2026")</f>
        <v>0</v>
      </c>
      <c r="T46" s="131">
        <f>COUNTIFS('Base de datos'!$A:$A, $A48, 'Base de datos'!$B:$B, $B48, 'Base de datos'!$G:$G, $C48, 'Base de datos'!$S:$S, "&gt;=01/04/2026", 'Base de datos'!$S:$S, "&lt;=30/04/2026")</f>
        <v>0</v>
      </c>
      <c r="U46" s="131">
        <f>COUNTIFS('Base de datos'!$A:$A, $A48, 'Base de datos'!$B:$B, $B48, 'Base de datos'!$G:$G, $C48, 'Base de datos'!$S:$S, "&gt;=01/05/2026", 'Base de datos'!$S:$S, "&lt;=31/05/2026")</f>
        <v>0</v>
      </c>
      <c r="V46" s="131">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1">
        <f>COUNTIFS('Base de datos'!$A:$A, $A51, 'Base de datos'!$B:$B, $B51, 'Base de datos'!$G:$G, $C51, 'Base de datos'!$S:$S, "&gt;=01/07/2026", 'Base de datos'!$S:$S, "&lt;=31/07/2026")</f>
        <v>0</v>
      </c>
      <c r="X51" s="131">
        <f>COUNTIFS('Base de datos'!$A:$A, $A51, 'Base de datos'!$B:$B, $B51, 'Base de datos'!$G:$G, $C51, 'Base de datos'!$S:$S, "&gt;=01/08/2026", 'Base de datos'!$S:$S, "&lt;=31/08/2026")</f>
        <v>0</v>
      </c>
      <c r="Y51" s="131">
        <f>COUNTIFS('Base de datos'!$A:$A, $A51, 'Base de datos'!$B:$B, $B51, 'Base de datos'!$G:$G, $C51, 'Base de datos'!$S:$S, "&gt;=01/09/2026", 'Base de datos'!$S:$S, "&lt;=30/09/2026")</f>
        <v>0</v>
      </c>
      <c r="Z51" s="131">
        <f>COUNTIFS('Base de datos'!$A:$A, $A51, 'Base de datos'!$B:$B, $B51, 'Base de datos'!$G:$G, $C51, 'Base de datos'!$S:$S, "&gt;=01/10/2026", 'Base de datos'!$S:$S, "&lt;=31/10/2026")</f>
        <v>0</v>
      </c>
      <c r="AA51" s="131">
        <f>COUNTIFS('Base de datos'!$A:$A, $A51, 'Base de datos'!$B:$B, $B51, 'Base de datos'!$G:$G, $C51, 'Base de datos'!$S:$S, "&gt;=01/11/2026", 'Base de datos'!$S:$S, "&lt;=30/11/2026")</f>
        <v>0</v>
      </c>
      <c r="AB51" s="131">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B166"/>
  <sheetViews>
    <sheetView topLeftCell="T1" zoomScale="90" zoomScaleNormal="90" workbookViewId="0">
      <pane ySplit="1" topLeftCell="A74" activePane="bottomLeft" state="frozen"/>
      <selection pane="bottomLeft" activeCell="AA76" sqref="AA76"/>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1" customWidth="1"/>
    <col min="6" max="6" width="41.33203125" customWidth="1"/>
    <col min="7" max="7" width="35.6640625" customWidth="1"/>
    <col min="8" max="8" width="11.5546875" style="40" customWidth="1"/>
    <col min="9" max="9" width="29.44140625" style="222" customWidth="1"/>
    <col min="10" max="10" width="38" style="22" customWidth="1"/>
    <col min="11" max="11" width="35.6640625" customWidth="1"/>
    <col min="12" max="12" width="12.88671875" customWidth="1"/>
    <col min="13" max="13" width="18.88671875" customWidth="1"/>
    <col min="14" max="14" width="18" customWidth="1"/>
    <col min="15" max="15" width="11.5546875" customWidth="1"/>
    <col min="16" max="16" width="11.5546875" style="22" customWidth="1"/>
    <col min="17" max="17" width="11.5546875" style="18" customWidth="1"/>
    <col min="18" max="18" width="25.5546875" style="22" customWidth="1"/>
    <col min="19" max="19" width="31.6640625" style="206"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9" customWidth="1"/>
    <col min="26" max="26" width="21.88671875" style="8" customWidth="1"/>
    <col min="27" max="27" width="37.109375" style="21" customWidth="1"/>
    <col min="28" max="28" width="21.44140625" style="8" customWidth="1"/>
  </cols>
  <sheetData>
    <row r="1" spans="1:28" ht="24">
      <c r="A1" s="71" t="s">
        <v>0</v>
      </c>
      <c r="B1" s="71" t="s">
        <v>1</v>
      </c>
      <c r="C1" s="71" t="s">
        <v>2</v>
      </c>
      <c r="D1" s="71" t="s">
        <v>3</v>
      </c>
      <c r="E1" s="71" t="s">
        <v>4</v>
      </c>
      <c r="F1" s="71" t="s">
        <v>5</v>
      </c>
      <c r="G1" s="71" t="s">
        <v>6</v>
      </c>
      <c r="H1" s="71" t="s">
        <v>7</v>
      </c>
      <c r="I1" s="216" t="s">
        <v>1582</v>
      </c>
      <c r="J1" s="204" t="s">
        <v>9</v>
      </c>
      <c r="K1" s="73" t="s">
        <v>10</v>
      </c>
      <c r="L1" s="213" t="s">
        <v>11</v>
      </c>
      <c r="M1" s="73" t="s">
        <v>12</v>
      </c>
      <c r="N1" s="204" t="s">
        <v>543</v>
      </c>
      <c r="O1" s="204" t="s">
        <v>544</v>
      </c>
      <c r="P1" s="204" t="s">
        <v>545</v>
      </c>
      <c r="Q1" s="204" t="s">
        <v>609</v>
      </c>
      <c r="R1" s="73" t="s">
        <v>620</v>
      </c>
      <c r="S1" s="216" t="s">
        <v>654</v>
      </c>
      <c r="T1" s="113" t="s">
        <v>666</v>
      </c>
      <c r="U1" s="113" t="s">
        <v>670</v>
      </c>
      <c r="V1" s="186" t="s">
        <v>1336</v>
      </c>
      <c r="W1" s="186" t="s">
        <v>1345</v>
      </c>
      <c r="X1" s="186" t="s">
        <v>1338</v>
      </c>
      <c r="Y1" s="186" t="s">
        <v>1340</v>
      </c>
      <c r="Z1" s="186" t="s">
        <v>1352</v>
      </c>
      <c r="AA1" s="186" t="s">
        <v>1343</v>
      </c>
      <c r="AB1" s="223" t="s">
        <v>1585</v>
      </c>
    </row>
    <row r="2" spans="1:28" ht="34.200000000000003" hidden="1">
      <c r="A2" s="74" t="s">
        <v>13</v>
      </c>
      <c r="B2" s="75" t="s">
        <v>14</v>
      </c>
      <c r="C2" s="74" t="s">
        <v>15</v>
      </c>
      <c r="D2" s="74" t="s">
        <v>15</v>
      </c>
      <c r="E2" s="76"/>
      <c r="F2" s="74" t="s">
        <v>16</v>
      </c>
      <c r="G2" s="74" t="s">
        <v>269</v>
      </c>
      <c r="H2" s="77">
        <v>44995</v>
      </c>
      <c r="I2" s="207">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6"/>
      <c r="S2" s="88"/>
      <c r="T2" s="81"/>
      <c r="U2" s="153">
        <v>1</v>
      </c>
      <c r="V2" s="153"/>
      <c r="W2" s="153"/>
      <c r="X2" s="153"/>
      <c r="Y2" s="136"/>
      <c r="Z2" s="153"/>
      <c r="AA2" s="152"/>
      <c r="AB2" s="8">
        <v>1</v>
      </c>
    </row>
    <row r="3" spans="1:28" ht="57" hidden="1">
      <c r="A3" s="74" t="s">
        <v>13</v>
      </c>
      <c r="B3" s="75" t="s">
        <v>14</v>
      </c>
      <c r="C3" s="74" t="s">
        <v>21</v>
      </c>
      <c r="D3" s="74" t="s">
        <v>21</v>
      </c>
      <c r="E3" s="76"/>
      <c r="F3" s="74" t="s">
        <v>22</v>
      </c>
      <c r="G3" s="74" t="s">
        <v>269</v>
      </c>
      <c r="H3" s="77">
        <v>44995</v>
      </c>
      <c r="I3" s="207">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6"/>
      <c r="S3" s="88"/>
      <c r="T3" s="81"/>
      <c r="U3" s="153">
        <v>2</v>
      </c>
      <c r="V3" s="153"/>
      <c r="W3" s="153"/>
      <c r="X3" s="153"/>
      <c r="Y3" s="136"/>
      <c r="Z3" s="153"/>
      <c r="AA3" s="152"/>
      <c r="AB3" s="8">
        <v>1</v>
      </c>
    </row>
    <row r="4" spans="1:28" ht="79.8" hidden="1">
      <c r="A4" s="74" t="s">
        <v>13</v>
      </c>
      <c r="B4" s="75" t="s">
        <v>14</v>
      </c>
      <c r="C4" s="74" t="s">
        <v>25</v>
      </c>
      <c r="D4" s="74" t="s">
        <v>25</v>
      </c>
      <c r="E4" s="76"/>
      <c r="F4" s="74" t="s">
        <v>26</v>
      </c>
      <c r="G4" s="74" t="s">
        <v>269</v>
      </c>
      <c r="H4" s="77">
        <v>44995</v>
      </c>
      <c r="I4" s="207">
        <v>45473</v>
      </c>
      <c r="J4" s="78" t="s">
        <v>27</v>
      </c>
      <c r="K4" s="79" t="s">
        <v>28</v>
      </c>
      <c r="L4" s="79" t="s">
        <v>20</v>
      </c>
      <c r="M4" s="80" t="str">
        <f t="shared" ca="1" si="0"/>
        <v/>
      </c>
      <c r="N4" s="37" t="str">
        <f t="shared" ca="1" si="1"/>
        <v/>
      </c>
      <c r="O4" s="81" t="str">
        <f t="shared" ca="1" si="2"/>
        <v/>
      </c>
      <c r="P4" s="81" t="str">
        <f t="shared" ca="1" si="3"/>
        <v/>
      </c>
      <c r="Q4" s="81" t="str">
        <f t="shared" ca="1" si="4"/>
        <v/>
      </c>
      <c r="R4" s="136"/>
      <c r="S4" s="88"/>
      <c r="T4" s="81"/>
      <c r="U4" s="153">
        <v>3</v>
      </c>
      <c r="V4" s="153"/>
      <c r="W4" s="153"/>
      <c r="X4" s="153"/>
      <c r="Y4" s="136"/>
      <c r="Z4" s="153"/>
      <c r="AA4" s="152"/>
      <c r="AB4" s="8">
        <v>1</v>
      </c>
    </row>
    <row r="5" spans="1:28" ht="115.2" hidden="1">
      <c r="A5" s="74" t="s">
        <v>13</v>
      </c>
      <c r="B5" s="75" t="s">
        <v>14</v>
      </c>
      <c r="C5" s="74" t="s">
        <v>29</v>
      </c>
      <c r="D5" s="74" t="s">
        <v>29</v>
      </c>
      <c r="E5" s="76"/>
      <c r="F5" s="74" t="s">
        <v>30</v>
      </c>
      <c r="G5" s="74" t="s">
        <v>269</v>
      </c>
      <c r="H5" s="77">
        <v>44995</v>
      </c>
      <c r="I5" s="207">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c r="T5" s="81"/>
      <c r="U5" s="153">
        <v>4</v>
      </c>
      <c r="V5" s="153"/>
      <c r="W5" s="153"/>
      <c r="X5" s="153"/>
      <c r="Y5" s="136"/>
      <c r="Z5" s="153"/>
      <c r="AA5" s="152"/>
      <c r="AB5" s="8">
        <v>0.5</v>
      </c>
    </row>
    <row r="6" spans="1:28" ht="100.8" hidden="1">
      <c r="A6" s="74" t="s">
        <v>13</v>
      </c>
      <c r="B6" s="75" t="s">
        <v>14</v>
      </c>
      <c r="C6" s="74" t="s">
        <v>29</v>
      </c>
      <c r="D6" s="74"/>
      <c r="E6" s="76"/>
      <c r="F6" s="74" t="s">
        <v>34</v>
      </c>
      <c r="G6" s="74" t="s">
        <v>269</v>
      </c>
      <c r="H6" s="77">
        <v>44995</v>
      </c>
      <c r="I6" s="207">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3" t="s">
        <v>1523</v>
      </c>
      <c r="U6" s="153">
        <v>5</v>
      </c>
      <c r="V6" s="153"/>
      <c r="W6" s="153"/>
      <c r="X6" s="153"/>
      <c r="Y6" s="136"/>
      <c r="Z6" s="153"/>
      <c r="AA6" s="152"/>
      <c r="AB6" s="8">
        <v>0.5</v>
      </c>
    </row>
    <row r="7" spans="1:28" ht="68.400000000000006" hidden="1">
      <c r="A7" s="74" t="s">
        <v>13</v>
      </c>
      <c r="B7" s="75" t="s">
        <v>14</v>
      </c>
      <c r="C7" s="74" t="s">
        <v>36</v>
      </c>
      <c r="D7" s="74" t="s">
        <v>36</v>
      </c>
      <c r="E7" s="76"/>
      <c r="F7" s="74" t="s">
        <v>37</v>
      </c>
      <c r="G7" s="74" t="s">
        <v>269</v>
      </c>
      <c r="H7" s="77">
        <v>44995</v>
      </c>
      <c r="I7" s="207">
        <v>45473</v>
      </c>
      <c r="J7" s="85" t="s">
        <v>38</v>
      </c>
      <c r="K7" s="74" t="s">
        <v>39</v>
      </c>
      <c r="L7" s="79" t="s">
        <v>20</v>
      </c>
      <c r="M7" s="80" t="str">
        <f t="shared" ca="1" si="0"/>
        <v/>
      </c>
      <c r="N7" s="37" t="str">
        <f t="shared" ca="1" si="1"/>
        <v/>
      </c>
      <c r="O7" s="81" t="str">
        <f t="shared" ca="1" si="2"/>
        <v/>
      </c>
      <c r="P7" s="81" t="str">
        <f t="shared" ca="1" si="3"/>
        <v/>
      </c>
      <c r="Q7" s="81" t="str">
        <f t="shared" ca="1" si="4"/>
        <v/>
      </c>
      <c r="R7" s="136"/>
      <c r="S7" s="88"/>
      <c r="T7" s="81"/>
      <c r="U7" s="153">
        <v>6</v>
      </c>
      <c r="V7" s="153"/>
      <c r="W7" s="153"/>
      <c r="X7" s="153"/>
      <c r="Y7" s="136"/>
      <c r="Z7" s="153"/>
      <c r="AA7" s="152"/>
      <c r="AB7" s="8">
        <v>1</v>
      </c>
    </row>
    <row r="8" spans="1:28" ht="57" hidden="1">
      <c r="A8" s="74" t="s">
        <v>13</v>
      </c>
      <c r="B8" s="75" t="s">
        <v>14</v>
      </c>
      <c r="C8" s="74" t="s">
        <v>40</v>
      </c>
      <c r="D8" s="74" t="s">
        <v>40</v>
      </c>
      <c r="E8" s="76"/>
      <c r="F8" s="74" t="s">
        <v>41</v>
      </c>
      <c r="G8" s="74" t="s">
        <v>269</v>
      </c>
      <c r="H8" s="77">
        <v>44995</v>
      </c>
      <c r="I8" s="207">
        <v>45381</v>
      </c>
      <c r="J8" s="78" t="s">
        <v>42</v>
      </c>
      <c r="K8" s="79" t="s">
        <v>43</v>
      </c>
      <c r="L8" s="79" t="s">
        <v>20</v>
      </c>
      <c r="M8" s="80" t="str">
        <f t="shared" ca="1" si="0"/>
        <v/>
      </c>
      <c r="N8" s="37" t="str">
        <f t="shared" ca="1" si="1"/>
        <v/>
      </c>
      <c r="O8" s="81" t="str">
        <f t="shared" ca="1" si="2"/>
        <v/>
      </c>
      <c r="P8" s="81" t="str">
        <f t="shared" ca="1" si="3"/>
        <v/>
      </c>
      <c r="Q8" s="81" t="str">
        <f t="shared" ca="1" si="4"/>
        <v/>
      </c>
      <c r="R8" s="136"/>
      <c r="S8" s="88"/>
      <c r="T8" s="81"/>
      <c r="U8" s="153">
        <v>7</v>
      </c>
      <c r="V8" s="153"/>
      <c r="W8" s="153"/>
      <c r="X8" s="153"/>
      <c r="Y8" s="136"/>
      <c r="Z8" s="153"/>
      <c r="AA8" s="152"/>
      <c r="AB8" s="8">
        <v>1</v>
      </c>
    </row>
    <row r="9" spans="1:28" ht="68.400000000000006" hidden="1">
      <c r="A9" s="74" t="s">
        <v>13</v>
      </c>
      <c r="B9" s="75" t="s">
        <v>14</v>
      </c>
      <c r="C9" s="74" t="s">
        <v>44</v>
      </c>
      <c r="D9" s="74" t="s">
        <v>44</v>
      </c>
      <c r="E9" s="76"/>
      <c r="F9" s="74" t="s">
        <v>45</v>
      </c>
      <c r="G9" s="74" t="s">
        <v>269</v>
      </c>
      <c r="H9" s="77">
        <v>44995</v>
      </c>
      <c r="I9" s="207">
        <v>45443</v>
      </c>
      <c r="J9" s="78"/>
      <c r="K9" s="79" t="s">
        <v>46</v>
      </c>
      <c r="L9" s="79" t="s">
        <v>20</v>
      </c>
      <c r="M9" s="80" t="str">
        <f t="shared" ca="1" si="0"/>
        <v/>
      </c>
      <c r="N9" s="37" t="str">
        <f t="shared" ca="1" si="1"/>
        <v/>
      </c>
      <c r="O9" s="81" t="str">
        <f t="shared" ca="1" si="2"/>
        <v/>
      </c>
      <c r="P9" s="81" t="str">
        <f t="shared" ca="1" si="3"/>
        <v/>
      </c>
      <c r="Q9" s="81" t="str">
        <f t="shared" ca="1" si="4"/>
        <v/>
      </c>
      <c r="R9" s="136"/>
      <c r="S9" s="88"/>
      <c r="T9" s="81"/>
      <c r="U9" s="153">
        <v>8</v>
      </c>
      <c r="V9" s="153"/>
      <c r="W9" s="153"/>
      <c r="X9" s="153"/>
      <c r="Y9" s="136"/>
      <c r="Z9" s="153"/>
      <c r="AA9" s="152"/>
      <c r="AB9" s="8">
        <v>1</v>
      </c>
    </row>
    <row r="10" spans="1:28" ht="57" hidden="1">
      <c r="A10" s="74" t="s">
        <v>13</v>
      </c>
      <c r="B10" s="75" t="s">
        <v>14</v>
      </c>
      <c r="C10" s="74" t="s">
        <v>47</v>
      </c>
      <c r="D10" s="74" t="s">
        <v>47</v>
      </c>
      <c r="E10" s="76"/>
      <c r="F10" s="74" t="s">
        <v>48</v>
      </c>
      <c r="G10" s="74" t="s">
        <v>269</v>
      </c>
      <c r="H10" s="77">
        <v>44995</v>
      </c>
      <c r="I10" s="207">
        <v>45381</v>
      </c>
      <c r="J10" s="78" t="s">
        <v>49</v>
      </c>
      <c r="K10" s="79" t="s">
        <v>50</v>
      </c>
      <c r="L10" s="79" t="s">
        <v>20</v>
      </c>
      <c r="M10" s="80" t="str">
        <f t="shared" ca="1" si="0"/>
        <v/>
      </c>
      <c r="N10" s="37" t="str">
        <f t="shared" ca="1" si="1"/>
        <v/>
      </c>
      <c r="O10" s="81" t="str">
        <f t="shared" ca="1" si="2"/>
        <v/>
      </c>
      <c r="P10" s="81" t="str">
        <f t="shared" ca="1" si="3"/>
        <v/>
      </c>
      <c r="Q10" s="81" t="str">
        <f t="shared" ca="1" si="4"/>
        <v/>
      </c>
      <c r="R10" s="136"/>
      <c r="S10" s="88"/>
      <c r="T10" s="81"/>
      <c r="U10" s="153">
        <v>9</v>
      </c>
      <c r="V10" s="153"/>
      <c r="W10" s="153"/>
      <c r="X10" s="153"/>
      <c r="Y10" s="136"/>
      <c r="Z10" s="153"/>
      <c r="AA10" s="152"/>
      <c r="AB10" s="8">
        <v>1</v>
      </c>
    </row>
    <row r="11" spans="1:28" ht="68.400000000000006" hidden="1">
      <c r="A11" s="74" t="s">
        <v>13</v>
      </c>
      <c r="B11" s="75" t="s">
        <v>14</v>
      </c>
      <c r="C11" s="74" t="s">
        <v>51</v>
      </c>
      <c r="D11" s="74" t="s">
        <v>51</v>
      </c>
      <c r="E11" s="76"/>
      <c r="F11" s="74" t="s">
        <v>52</v>
      </c>
      <c r="G11" s="74" t="s">
        <v>269</v>
      </c>
      <c r="H11" s="77">
        <v>44995</v>
      </c>
      <c r="I11" s="207">
        <v>45381</v>
      </c>
      <c r="J11" s="78" t="s">
        <v>53</v>
      </c>
      <c r="K11" s="79" t="s">
        <v>54</v>
      </c>
      <c r="L11" s="79" t="s">
        <v>20</v>
      </c>
      <c r="M11" s="80" t="str">
        <f t="shared" ca="1" si="0"/>
        <v/>
      </c>
      <c r="N11" s="37" t="str">
        <f t="shared" ca="1" si="1"/>
        <v/>
      </c>
      <c r="O11" s="81" t="str">
        <f t="shared" ca="1" si="2"/>
        <v/>
      </c>
      <c r="P11" s="81" t="str">
        <f t="shared" ca="1" si="3"/>
        <v/>
      </c>
      <c r="Q11" s="81" t="str">
        <f t="shared" ca="1" si="4"/>
        <v/>
      </c>
      <c r="R11" s="136"/>
      <c r="S11" s="88"/>
      <c r="T11" s="81"/>
      <c r="U11" s="153">
        <v>10</v>
      </c>
      <c r="V11" s="153"/>
      <c r="W11" s="153"/>
      <c r="X11" s="153"/>
      <c r="Y11" s="136"/>
      <c r="Z11" s="153"/>
      <c r="AA11" s="152"/>
      <c r="AB11" s="8">
        <v>1</v>
      </c>
    </row>
    <row r="12" spans="1:28" ht="68.400000000000006" hidden="1">
      <c r="A12" s="74" t="s">
        <v>13</v>
      </c>
      <c r="B12" s="75" t="s">
        <v>14</v>
      </c>
      <c r="C12" s="74" t="s">
        <v>55</v>
      </c>
      <c r="D12" s="74" t="s">
        <v>55</v>
      </c>
      <c r="E12" s="76"/>
      <c r="F12" s="74" t="s">
        <v>56</v>
      </c>
      <c r="G12" s="74" t="s">
        <v>269</v>
      </c>
      <c r="H12" s="77">
        <v>44995</v>
      </c>
      <c r="I12" s="207">
        <v>45473</v>
      </c>
      <c r="J12" s="78" t="s">
        <v>57</v>
      </c>
      <c r="K12" s="79" t="s">
        <v>58</v>
      </c>
      <c r="L12" s="79" t="s">
        <v>20</v>
      </c>
      <c r="M12" s="80" t="str">
        <f t="shared" ca="1" si="0"/>
        <v/>
      </c>
      <c r="N12" s="37" t="str">
        <f t="shared" ca="1" si="1"/>
        <v/>
      </c>
      <c r="O12" s="81" t="str">
        <f t="shared" ca="1" si="2"/>
        <v/>
      </c>
      <c r="P12" s="81" t="str">
        <f t="shared" ca="1" si="3"/>
        <v/>
      </c>
      <c r="Q12" s="81" t="str">
        <f t="shared" ca="1" si="4"/>
        <v/>
      </c>
      <c r="R12" s="136"/>
      <c r="S12" s="88"/>
      <c r="T12" s="81"/>
      <c r="U12" s="153">
        <v>11</v>
      </c>
      <c r="V12" s="153"/>
      <c r="W12" s="153"/>
      <c r="X12" s="153"/>
      <c r="Y12" s="136"/>
      <c r="Z12" s="153"/>
      <c r="AA12" s="152"/>
      <c r="AB12" s="8">
        <v>1</v>
      </c>
    </row>
    <row r="13" spans="1:28" ht="34.200000000000003" hidden="1">
      <c r="A13" s="74" t="s">
        <v>13</v>
      </c>
      <c r="B13" s="75" t="s">
        <v>14</v>
      </c>
      <c r="C13" s="74" t="s">
        <v>59</v>
      </c>
      <c r="D13" s="74" t="s">
        <v>59</v>
      </c>
      <c r="E13" s="76"/>
      <c r="F13" s="74" t="s">
        <v>60</v>
      </c>
      <c r="G13" s="74" t="s">
        <v>269</v>
      </c>
      <c r="H13" s="77">
        <v>44995</v>
      </c>
      <c r="I13" s="207">
        <v>45473</v>
      </c>
      <c r="J13" s="78" t="s">
        <v>61</v>
      </c>
      <c r="K13" s="79" t="s">
        <v>62</v>
      </c>
      <c r="L13" s="79" t="s">
        <v>20</v>
      </c>
      <c r="M13" s="80" t="str">
        <f t="shared" ca="1" si="0"/>
        <v/>
      </c>
      <c r="N13" s="37" t="str">
        <f t="shared" ca="1" si="1"/>
        <v/>
      </c>
      <c r="O13" s="81" t="str">
        <f t="shared" ca="1" si="2"/>
        <v/>
      </c>
      <c r="P13" s="81" t="str">
        <f t="shared" ca="1" si="3"/>
        <v/>
      </c>
      <c r="Q13" s="81" t="str">
        <f t="shared" ca="1" si="4"/>
        <v/>
      </c>
      <c r="R13" s="136"/>
      <c r="S13" s="88"/>
      <c r="T13" s="81"/>
      <c r="U13" s="153">
        <v>12</v>
      </c>
      <c r="V13" s="153"/>
      <c r="W13" s="153"/>
      <c r="X13" s="153"/>
      <c r="Y13" s="136"/>
      <c r="Z13" s="153"/>
      <c r="AA13" s="152"/>
      <c r="AB13" s="8">
        <v>1</v>
      </c>
    </row>
    <row r="14" spans="1:28" ht="125.4" hidden="1">
      <c r="A14" s="74" t="s">
        <v>13</v>
      </c>
      <c r="B14" s="75" t="s">
        <v>14</v>
      </c>
      <c r="C14" s="74" t="s">
        <v>63</v>
      </c>
      <c r="D14" s="74" t="s">
        <v>63</v>
      </c>
      <c r="E14" s="76"/>
      <c r="F14" s="74" t="s">
        <v>64</v>
      </c>
      <c r="G14" s="74" t="s">
        <v>269</v>
      </c>
      <c r="H14" s="77">
        <v>44995</v>
      </c>
      <c r="I14" s="207">
        <v>45473</v>
      </c>
      <c r="J14" s="78" t="s">
        <v>65</v>
      </c>
      <c r="K14" s="79" t="s">
        <v>62</v>
      </c>
      <c r="L14" s="79" t="s">
        <v>20</v>
      </c>
      <c r="M14" s="80" t="str">
        <f t="shared" ca="1" si="0"/>
        <v/>
      </c>
      <c r="N14" s="37" t="str">
        <f t="shared" ca="1" si="1"/>
        <v/>
      </c>
      <c r="O14" s="81" t="str">
        <f t="shared" ca="1" si="2"/>
        <v/>
      </c>
      <c r="P14" s="81" t="str">
        <f t="shared" ca="1" si="3"/>
        <v/>
      </c>
      <c r="Q14" s="81" t="str">
        <f t="shared" ca="1" si="4"/>
        <v/>
      </c>
      <c r="R14" s="136"/>
      <c r="S14" s="88"/>
      <c r="T14" s="81"/>
      <c r="U14" s="153">
        <v>13</v>
      </c>
      <c r="V14" s="153"/>
      <c r="W14" s="153"/>
      <c r="X14" s="153"/>
      <c r="Y14" s="136"/>
      <c r="Z14" s="153"/>
      <c r="AA14" s="152"/>
      <c r="AB14" s="8">
        <v>1</v>
      </c>
    </row>
    <row r="15" spans="1:28" ht="102.6" hidden="1">
      <c r="A15" s="74" t="s">
        <v>13</v>
      </c>
      <c r="B15" s="75" t="s">
        <v>14</v>
      </c>
      <c r="C15" s="74" t="s">
        <v>66</v>
      </c>
      <c r="D15" s="74" t="s">
        <v>66</v>
      </c>
      <c r="E15" s="76"/>
      <c r="F15" s="74" t="s">
        <v>67</v>
      </c>
      <c r="G15" s="74" t="s">
        <v>269</v>
      </c>
      <c r="H15" s="77">
        <v>44995</v>
      </c>
      <c r="I15" s="207">
        <v>45473</v>
      </c>
      <c r="J15" s="78" t="s">
        <v>68</v>
      </c>
      <c r="K15" s="79" t="s">
        <v>69</v>
      </c>
      <c r="L15" s="79" t="s">
        <v>20</v>
      </c>
      <c r="M15" s="80" t="str">
        <f t="shared" ca="1" si="0"/>
        <v/>
      </c>
      <c r="N15" s="37" t="str">
        <f t="shared" ca="1" si="1"/>
        <v/>
      </c>
      <c r="O15" s="81" t="str">
        <f t="shared" ca="1" si="2"/>
        <v/>
      </c>
      <c r="P15" s="81" t="str">
        <f t="shared" ca="1" si="3"/>
        <v/>
      </c>
      <c r="Q15" s="81" t="str">
        <f t="shared" ca="1" si="4"/>
        <v/>
      </c>
      <c r="R15" s="136"/>
      <c r="S15" s="88"/>
      <c r="T15" s="81"/>
      <c r="U15" s="153">
        <v>14</v>
      </c>
      <c r="V15" s="153"/>
      <c r="W15" s="153"/>
      <c r="X15" s="153"/>
      <c r="Y15" s="136"/>
      <c r="Z15" s="153"/>
      <c r="AA15" s="152"/>
      <c r="AB15" s="8">
        <v>1</v>
      </c>
    </row>
    <row r="16" spans="1:28" ht="57" hidden="1">
      <c r="A16" s="74" t="s">
        <v>13</v>
      </c>
      <c r="B16" s="75" t="s">
        <v>14</v>
      </c>
      <c r="C16" s="74" t="s">
        <v>70</v>
      </c>
      <c r="D16" s="74" t="s">
        <v>70</v>
      </c>
      <c r="E16" s="76"/>
      <c r="F16" s="74" t="s">
        <v>71</v>
      </c>
      <c r="G16" s="74" t="s">
        <v>269</v>
      </c>
      <c r="H16" s="77">
        <v>44995</v>
      </c>
      <c r="I16" s="207">
        <v>45352</v>
      </c>
      <c r="J16" s="78" t="s">
        <v>72</v>
      </c>
      <c r="K16" s="79" t="s">
        <v>73</v>
      </c>
      <c r="L16" s="79" t="s">
        <v>20</v>
      </c>
      <c r="M16" s="80" t="str">
        <f t="shared" ca="1" si="0"/>
        <v/>
      </c>
      <c r="N16" s="37" t="str">
        <f t="shared" ca="1" si="1"/>
        <v/>
      </c>
      <c r="O16" s="81" t="str">
        <f t="shared" ca="1" si="2"/>
        <v/>
      </c>
      <c r="P16" s="81" t="str">
        <f t="shared" ca="1" si="3"/>
        <v/>
      </c>
      <c r="Q16" s="81" t="str">
        <f t="shared" ca="1" si="4"/>
        <v/>
      </c>
      <c r="R16" s="136"/>
      <c r="S16" s="88"/>
      <c r="T16" s="81"/>
      <c r="U16" s="153">
        <v>15</v>
      </c>
      <c r="V16" s="153"/>
      <c r="W16" s="153"/>
      <c r="X16" s="153"/>
      <c r="Y16" s="136"/>
      <c r="Z16" s="153"/>
      <c r="AA16" s="152"/>
      <c r="AB16" s="8">
        <v>1</v>
      </c>
    </row>
    <row r="17" spans="1:28" ht="68.400000000000006" hidden="1">
      <c r="A17" s="74" t="s">
        <v>13</v>
      </c>
      <c r="B17" s="75" t="s">
        <v>14</v>
      </c>
      <c r="C17" s="74" t="s">
        <v>74</v>
      </c>
      <c r="D17" s="74" t="s">
        <v>74</v>
      </c>
      <c r="E17" s="76"/>
      <c r="F17" s="74" t="s">
        <v>75</v>
      </c>
      <c r="G17" s="74" t="s">
        <v>269</v>
      </c>
      <c r="H17" s="77">
        <v>44995</v>
      </c>
      <c r="I17" s="207">
        <v>45352</v>
      </c>
      <c r="J17" s="78" t="s">
        <v>76</v>
      </c>
      <c r="K17" s="79" t="s">
        <v>73</v>
      </c>
      <c r="L17" s="79" t="s">
        <v>20</v>
      </c>
      <c r="M17" s="80" t="str">
        <f t="shared" ca="1" si="0"/>
        <v/>
      </c>
      <c r="N17" s="37" t="str">
        <f t="shared" ca="1" si="1"/>
        <v/>
      </c>
      <c r="O17" s="81" t="str">
        <f t="shared" ca="1" si="2"/>
        <v/>
      </c>
      <c r="P17" s="81" t="str">
        <f t="shared" ca="1" si="3"/>
        <v/>
      </c>
      <c r="Q17" s="81" t="str">
        <f t="shared" ca="1" si="4"/>
        <v/>
      </c>
      <c r="R17" s="136"/>
      <c r="S17" s="88"/>
      <c r="T17" s="81"/>
      <c r="U17" s="153">
        <v>16</v>
      </c>
      <c r="V17" s="153"/>
      <c r="W17" s="153"/>
      <c r="X17" s="153"/>
      <c r="Y17" s="136"/>
      <c r="Z17" s="153"/>
      <c r="AA17" s="152"/>
      <c r="AB17" s="8">
        <v>1</v>
      </c>
    </row>
    <row r="18" spans="1:28" ht="136.80000000000001" hidden="1">
      <c r="A18" s="74" t="s">
        <v>13</v>
      </c>
      <c r="B18" s="75" t="s">
        <v>14</v>
      </c>
      <c r="C18" s="74" t="s">
        <v>77</v>
      </c>
      <c r="D18" s="74" t="s">
        <v>77</v>
      </c>
      <c r="E18" s="76"/>
      <c r="F18" s="74" t="s">
        <v>78</v>
      </c>
      <c r="G18" s="74" t="s">
        <v>269</v>
      </c>
      <c r="H18" s="77">
        <v>44995</v>
      </c>
      <c r="I18" s="207">
        <v>45473</v>
      </c>
      <c r="J18" s="85" t="s">
        <v>79</v>
      </c>
      <c r="K18" s="79" t="s">
        <v>80</v>
      </c>
      <c r="L18" s="79" t="s">
        <v>20</v>
      </c>
      <c r="M18" s="80" t="str">
        <f t="shared" ca="1" si="0"/>
        <v/>
      </c>
      <c r="N18" s="37" t="str">
        <f t="shared" ca="1" si="1"/>
        <v/>
      </c>
      <c r="O18" s="81" t="str">
        <f t="shared" ca="1" si="2"/>
        <v/>
      </c>
      <c r="P18" s="81" t="str">
        <f t="shared" ca="1" si="3"/>
        <v/>
      </c>
      <c r="Q18" s="81" t="str">
        <f t="shared" ca="1" si="4"/>
        <v/>
      </c>
      <c r="R18" s="136"/>
      <c r="S18" s="88"/>
      <c r="T18" s="81"/>
      <c r="U18" s="153">
        <v>17</v>
      </c>
      <c r="V18" s="153"/>
      <c r="W18" s="153"/>
      <c r="X18" s="153"/>
      <c r="Y18" s="136"/>
      <c r="Z18" s="153"/>
      <c r="AA18" s="152"/>
      <c r="AB18" s="8">
        <v>1</v>
      </c>
    </row>
    <row r="19" spans="1:28" ht="79.8" hidden="1">
      <c r="A19" s="74" t="s">
        <v>13</v>
      </c>
      <c r="B19" s="75" t="s">
        <v>14</v>
      </c>
      <c r="C19" s="74" t="s">
        <v>81</v>
      </c>
      <c r="D19" s="74" t="s">
        <v>81</v>
      </c>
      <c r="E19" s="76"/>
      <c r="F19" s="74" t="s">
        <v>82</v>
      </c>
      <c r="G19" s="74" t="s">
        <v>269</v>
      </c>
      <c r="H19" s="77">
        <v>44995</v>
      </c>
      <c r="I19" s="207">
        <v>45473</v>
      </c>
      <c r="J19" s="78" t="s">
        <v>83</v>
      </c>
      <c r="K19" s="79" t="s">
        <v>84</v>
      </c>
      <c r="L19" s="79" t="s">
        <v>20</v>
      </c>
      <c r="M19" s="80" t="str">
        <f t="shared" ca="1" si="0"/>
        <v/>
      </c>
      <c r="N19" s="37" t="str">
        <f t="shared" ca="1" si="1"/>
        <v/>
      </c>
      <c r="O19" s="81" t="str">
        <f t="shared" ca="1" si="2"/>
        <v/>
      </c>
      <c r="P19" s="81" t="str">
        <f t="shared" ca="1" si="3"/>
        <v/>
      </c>
      <c r="Q19" s="81" t="str">
        <f t="shared" ca="1" si="4"/>
        <v/>
      </c>
      <c r="R19" s="136"/>
      <c r="S19" s="88"/>
      <c r="T19" s="81"/>
      <c r="U19" s="153">
        <v>18</v>
      </c>
      <c r="V19" s="153"/>
      <c r="W19" s="153"/>
      <c r="X19" s="153"/>
      <c r="Y19" s="136"/>
      <c r="Z19" s="153"/>
      <c r="AA19" s="152"/>
      <c r="AB19" s="8">
        <v>1</v>
      </c>
    </row>
    <row r="20" spans="1:28" ht="45.6" hidden="1">
      <c r="A20" s="74" t="s">
        <v>13</v>
      </c>
      <c r="B20" s="75" t="s">
        <v>14</v>
      </c>
      <c r="C20" s="74" t="s">
        <v>85</v>
      </c>
      <c r="D20" s="74" t="s">
        <v>85</v>
      </c>
      <c r="E20" s="76"/>
      <c r="F20" s="74" t="s">
        <v>86</v>
      </c>
      <c r="G20" s="74" t="s">
        <v>269</v>
      </c>
      <c r="H20" s="77">
        <v>44995</v>
      </c>
      <c r="I20" s="207">
        <v>45473</v>
      </c>
      <c r="J20" s="78" t="s">
        <v>87</v>
      </c>
      <c r="K20" s="79"/>
      <c r="L20" s="79" t="s">
        <v>20</v>
      </c>
      <c r="M20" s="80" t="str">
        <f t="shared" ca="1" si="0"/>
        <v/>
      </c>
      <c r="N20" s="37" t="str">
        <f t="shared" ca="1" si="1"/>
        <v/>
      </c>
      <c r="O20" s="81" t="str">
        <f t="shared" ca="1" si="2"/>
        <v/>
      </c>
      <c r="P20" s="81" t="str">
        <f t="shared" ca="1" si="3"/>
        <v/>
      </c>
      <c r="Q20" s="81" t="str">
        <f t="shared" ca="1" si="4"/>
        <v/>
      </c>
      <c r="R20" s="136"/>
      <c r="S20" s="88"/>
      <c r="T20" s="81"/>
      <c r="U20" s="153">
        <v>19</v>
      </c>
      <c r="V20" s="153"/>
      <c r="W20" s="153"/>
      <c r="X20" s="153"/>
      <c r="Y20" s="136"/>
      <c r="Z20" s="153"/>
      <c r="AA20" s="152"/>
      <c r="AB20" s="8">
        <v>1</v>
      </c>
    </row>
    <row r="21" spans="1:28" ht="106.2" hidden="1">
      <c r="A21" s="74" t="s">
        <v>13</v>
      </c>
      <c r="B21" s="75" t="s">
        <v>14</v>
      </c>
      <c r="C21" s="74" t="s">
        <v>88</v>
      </c>
      <c r="D21" s="74" t="s">
        <v>88</v>
      </c>
      <c r="E21" s="76"/>
      <c r="F21" s="74" t="s">
        <v>89</v>
      </c>
      <c r="G21" s="74" t="s">
        <v>269</v>
      </c>
      <c r="H21" s="77">
        <v>44995</v>
      </c>
      <c r="I21" s="207">
        <v>45473</v>
      </c>
      <c r="J21" s="85" t="s">
        <v>90</v>
      </c>
      <c r="K21" s="79" t="s">
        <v>91</v>
      </c>
      <c r="L21" s="79" t="s">
        <v>20</v>
      </c>
      <c r="M21" s="80" t="str">
        <f t="shared" ca="1" si="0"/>
        <v/>
      </c>
      <c r="N21" s="37" t="str">
        <f t="shared" ca="1" si="1"/>
        <v/>
      </c>
      <c r="O21" s="81" t="str">
        <f t="shared" ca="1" si="2"/>
        <v/>
      </c>
      <c r="P21" s="81" t="str">
        <f t="shared" ca="1" si="3"/>
        <v/>
      </c>
      <c r="Q21" s="81" t="str">
        <f t="shared" ca="1" si="4"/>
        <v/>
      </c>
      <c r="R21" s="136"/>
      <c r="S21" s="88"/>
      <c r="T21" s="81"/>
      <c r="U21" s="153">
        <v>20</v>
      </c>
      <c r="V21" s="153"/>
      <c r="W21" s="153"/>
      <c r="X21" s="153"/>
      <c r="Y21" s="136"/>
      <c r="Z21" s="153"/>
      <c r="AA21" s="152"/>
      <c r="AB21" s="8">
        <v>1</v>
      </c>
    </row>
    <row r="22" spans="1:28" ht="79.8" hidden="1">
      <c r="A22" s="74" t="s">
        <v>13</v>
      </c>
      <c r="B22" s="75" t="s">
        <v>14</v>
      </c>
      <c r="C22" s="74" t="s">
        <v>92</v>
      </c>
      <c r="D22" s="74" t="s">
        <v>92</v>
      </c>
      <c r="E22" s="76"/>
      <c r="F22" s="74" t="s">
        <v>93</v>
      </c>
      <c r="G22" s="74" t="s">
        <v>269</v>
      </c>
      <c r="H22" s="77">
        <v>44995</v>
      </c>
      <c r="I22" s="207">
        <v>45381</v>
      </c>
      <c r="J22" s="78" t="s">
        <v>94</v>
      </c>
      <c r="K22" s="79" t="s">
        <v>95</v>
      </c>
      <c r="L22" s="79" t="s">
        <v>20</v>
      </c>
      <c r="M22" s="80" t="str">
        <f t="shared" ca="1" si="0"/>
        <v/>
      </c>
      <c r="N22" s="37" t="str">
        <f t="shared" ca="1" si="1"/>
        <v/>
      </c>
      <c r="O22" s="81" t="str">
        <f t="shared" ca="1" si="2"/>
        <v/>
      </c>
      <c r="P22" s="81" t="str">
        <f t="shared" ca="1" si="3"/>
        <v/>
      </c>
      <c r="Q22" s="81" t="str">
        <f t="shared" ca="1" si="4"/>
        <v/>
      </c>
      <c r="R22" s="136"/>
      <c r="S22" s="88"/>
      <c r="T22" s="81"/>
      <c r="U22" s="153">
        <v>21</v>
      </c>
      <c r="V22" s="153"/>
      <c r="W22" s="153"/>
      <c r="X22" s="153"/>
      <c r="Y22" s="136"/>
      <c r="Z22" s="153"/>
      <c r="AA22" s="152"/>
      <c r="AB22" s="8">
        <v>1</v>
      </c>
    </row>
    <row r="23" spans="1:28" ht="114" hidden="1">
      <c r="A23" s="74" t="s">
        <v>13</v>
      </c>
      <c r="B23" s="75" t="s">
        <v>14</v>
      </c>
      <c r="C23" s="74" t="s">
        <v>96</v>
      </c>
      <c r="D23" s="74" t="s">
        <v>96</v>
      </c>
      <c r="E23" s="76"/>
      <c r="F23" s="74" t="s">
        <v>97</v>
      </c>
      <c r="G23" s="74" t="s">
        <v>269</v>
      </c>
      <c r="H23" s="77">
        <v>44995</v>
      </c>
      <c r="I23" s="207">
        <v>45443</v>
      </c>
      <c r="J23" s="85" t="s">
        <v>98</v>
      </c>
      <c r="K23" s="74" t="s">
        <v>99</v>
      </c>
      <c r="L23" s="79" t="s">
        <v>20</v>
      </c>
      <c r="M23" s="80" t="str">
        <f t="shared" ca="1" si="0"/>
        <v/>
      </c>
      <c r="N23" s="37" t="str">
        <f t="shared" ca="1" si="1"/>
        <v/>
      </c>
      <c r="O23" s="81" t="str">
        <f t="shared" ca="1" si="2"/>
        <v/>
      </c>
      <c r="P23" s="81" t="str">
        <f t="shared" ca="1" si="3"/>
        <v/>
      </c>
      <c r="Q23" s="81" t="str">
        <f t="shared" ca="1" si="4"/>
        <v/>
      </c>
      <c r="R23" s="136"/>
      <c r="S23" s="88"/>
      <c r="T23" s="81"/>
      <c r="U23" s="153">
        <v>22</v>
      </c>
      <c r="V23" s="153"/>
      <c r="W23" s="153"/>
      <c r="X23" s="153"/>
      <c r="Y23" s="136"/>
      <c r="Z23" s="153"/>
      <c r="AA23" s="152"/>
      <c r="AB23" s="8">
        <v>1</v>
      </c>
    </row>
    <row r="24" spans="1:28" ht="114" hidden="1">
      <c r="A24" s="74" t="s">
        <v>13</v>
      </c>
      <c r="B24" s="75" t="s">
        <v>14</v>
      </c>
      <c r="C24" s="74" t="s">
        <v>100</v>
      </c>
      <c r="D24" s="74" t="s">
        <v>100</v>
      </c>
      <c r="E24" s="76"/>
      <c r="F24" s="74" t="s">
        <v>101</v>
      </c>
      <c r="G24" s="74" t="s">
        <v>269</v>
      </c>
      <c r="H24" s="77">
        <v>44995</v>
      </c>
      <c r="I24" s="207">
        <v>45412</v>
      </c>
      <c r="J24" s="78" t="s">
        <v>102</v>
      </c>
      <c r="K24" s="79"/>
      <c r="L24" s="79" t="s">
        <v>20</v>
      </c>
      <c r="M24" s="80" t="str">
        <f t="shared" ca="1" si="0"/>
        <v/>
      </c>
      <c r="N24" s="37" t="str">
        <f t="shared" ca="1" si="1"/>
        <v/>
      </c>
      <c r="O24" s="81" t="str">
        <f t="shared" ca="1" si="2"/>
        <v/>
      </c>
      <c r="P24" s="81" t="str">
        <f t="shared" ca="1" si="3"/>
        <v/>
      </c>
      <c r="Q24" s="81" t="str">
        <f t="shared" ca="1" si="4"/>
        <v/>
      </c>
      <c r="R24" s="136"/>
      <c r="S24" s="88"/>
      <c r="T24" s="81"/>
      <c r="U24" s="153">
        <v>23</v>
      </c>
      <c r="V24" s="153"/>
      <c r="W24" s="153"/>
      <c r="X24" s="153"/>
      <c r="Y24" s="136"/>
      <c r="Z24" s="153"/>
      <c r="AA24" s="152"/>
      <c r="AB24" s="8">
        <v>1</v>
      </c>
    </row>
    <row r="25" spans="1:28" ht="68.400000000000006" hidden="1">
      <c r="A25" s="74" t="s">
        <v>13</v>
      </c>
      <c r="B25" s="75" t="s">
        <v>14</v>
      </c>
      <c r="C25" s="74" t="s">
        <v>103</v>
      </c>
      <c r="D25" s="74" t="s">
        <v>103</v>
      </c>
      <c r="E25" s="76"/>
      <c r="F25" s="74" t="s">
        <v>104</v>
      </c>
      <c r="G25" s="74" t="s">
        <v>269</v>
      </c>
      <c r="H25" s="77">
        <v>44995</v>
      </c>
      <c r="I25" s="207">
        <v>45473</v>
      </c>
      <c r="J25" s="78" t="s">
        <v>105</v>
      </c>
      <c r="K25" s="79"/>
      <c r="L25" s="79" t="s">
        <v>20</v>
      </c>
      <c r="M25" s="80" t="str">
        <f t="shared" ca="1" si="0"/>
        <v/>
      </c>
      <c r="N25" s="37" t="str">
        <f t="shared" ca="1" si="1"/>
        <v/>
      </c>
      <c r="O25" s="81" t="str">
        <f t="shared" ca="1" si="2"/>
        <v/>
      </c>
      <c r="P25" s="81" t="str">
        <f t="shared" ca="1" si="3"/>
        <v/>
      </c>
      <c r="Q25" s="81" t="str">
        <f t="shared" ca="1" si="4"/>
        <v/>
      </c>
      <c r="R25" s="136"/>
      <c r="S25" s="88"/>
      <c r="T25" s="81"/>
      <c r="U25" s="153">
        <v>24</v>
      </c>
      <c r="V25" s="153"/>
      <c r="W25" s="153"/>
      <c r="X25" s="153"/>
      <c r="Y25" s="136"/>
      <c r="Z25" s="153"/>
      <c r="AA25" s="152"/>
      <c r="AB25" s="8">
        <v>1</v>
      </c>
    </row>
    <row r="26" spans="1:28" ht="57" hidden="1">
      <c r="A26" s="74" t="s">
        <v>13</v>
      </c>
      <c r="B26" s="75" t="s">
        <v>14</v>
      </c>
      <c r="C26" s="74" t="s">
        <v>106</v>
      </c>
      <c r="D26" s="74" t="s">
        <v>106</v>
      </c>
      <c r="E26" s="76"/>
      <c r="F26" s="74" t="s">
        <v>107</v>
      </c>
      <c r="G26" s="74" t="s">
        <v>269</v>
      </c>
      <c r="H26" s="77">
        <v>44995</v>
      </c>
      <c r="I26" s="207">
        <v>45352</v>
      </c>
      <c r="J26" s="78" t="s">
        <v>108</v>
      </c>
      <c r="K26" s="79"/>
      <c r="L26" s="79" t="s">
        <v>20</v>
      </c>
      <c r="M26" s="80" t="str">
        <f t="shared" ca="1" si="0"/>
        <v/>
      </c>
      <c r="N26" s="37" t="str">
        <f t="shared" ca="1" si="1"/>
        <v/>
      </c>
      <c r="O26" s="81" t="str">
        <f t="shared" ca="1" si="2"/>
        <v/>
      </c>
      <c r="P26" s="81" t="str">
        <f t="shared" ca="1" si="3"/>
        <v/>
      </c>
      <c r="Q26" s="81" t="str">
        <f t="shared" ca="1" si="4"/>
        <v/>
      </c>
      <c r="R26" s="136"/>
      <c r="S26" s="88"/>
      <c r="T26" s="81"/>
      <c r="U26" s="153">
        <v>25</v>
      </c>
      <c r="V26" s="153"/>
      <c r="W26" s="153"/>
      <c r="X26" s="153"/>
      <c r="Y26" s="136"/>
      <c r="Z26" s="153"/>
      <c r="AA26" s="152"/>
      <c r="AB26" s="8">
        <v>1</v>
      </c>
    </row>
    <row r="27" spans="1:28" ht="114" hidden="1">
      <c r="A27" s="74" t="s">
        <v>13</v>
      </c>
      <c r="B27" s="75" t="s">
        <v>14</v>
      </c>
      <c r="C27" s="74" t="s">
        <v>109</v>
      </c>
      <c r="D27" s="74" t="s">
        <v>109</v>
      </c>
      <c r="E27" s="76"/>
      <c r="F27" s="74" t="s">
        <v>110</v>
      </c>
      <c r="G27" s="74" t="s">
        <v>269</v>
      </c>
      <c r="H27" s="77">
        <v>44995</v>
      </c>
      <c r="I27" s="207">
        <v>45473</v>
      </c>
      <c r="J27" s="79"/>
      <c r="K27" s="79"/>
      <c r="L27" s="79" t="s">
        <v>20</v>
      </c>
      <c r="M27" s="80" t="str">
        <f t="shared" ca="1" si="0"/>
        <v/>
      </c>
      <c r="N27" s="37" t="str">
        <f t="shared" ca="1" si="1"/>
        <v/>
      </c>
      <c r="O27" s="81" t="str">
        <f t="shared" ca="1" si="2"/>
        <v/>
      </c>
      <c r="P27" s="81" t="str">
        <f t="shared" ca="1" si="3"/>
        <v/>
      </c>
      <c r="Q27" s="81" t="str">
        <f t="shared" ca="1" si="4"/>
        <v/>
      </c>
      <c r="R27" s="136"/>
      <c r="S27" s="88"/>
      <c r="T27" s="81"/>
      <c r="U27" s="153">
        <v>26</v>
      </c>
      <c r="V27" s="153"/>
      <c r="W27" s="153"/>
      <c r="X27" s="153"/>
      <c r="Y27" s="136"/>
      <c r="Z27" s="153"/>
      <c r="AA27" s="152"/>
      <c r="AB27" s="8">
        <v>1</v>
      </c>
    </row>
    <row r="28" spans="1:28" ht="285" hidden="1">
      <c r="A28" s="74" t="s">
        <v>111</v>
      </c>
      <c r="B28" s="75" t="s">
        <v>112</v>
      </c>
      <c r="C28" s="74" t="s">
        <v>559</v>
      </c>
      <c r="D28" s="74" t="s">
        <v>113</v>
      </c>
      <c r="E28" s="76"/>
      <c r="F28" s="74" t="s">
        <v>114</v>
      </c>
      <c r="G28" s="74" t="s">
        <v>115</v>
      </c>
      <c r="H28" s="77">
        <v>45709</v>
      </c>
      <c r="I28" s="207">
        <v>45709</v>
      </c>
      <c r="J28" s="79"/>
      <c r="K28" s="79"/>
      <c r="L28" s="79" t="s">
        <v>20</v>
      </c>
      <c r="M28" s="80" t="str">
        <f t="shared" ca="1" si="0"/>
        <v/>
      </c>
      <c r="N28" s="37" t="str">
        <f t="shared" ca="1" si="1"/>
        <v/>
      </c>
      <c r="O28" s="81" t="str">
        <f t="shared" ca="1" si="2"/>
        <v/>
      </c>
      <c r="P28" s="81" t="str">
        <f t="shared" ca="1" si="3"/>
        <v/>
      </c>
      <c r="Q28" s="81" t="str">
        <f t="shared" ca="1" si="4"/>
        <v/>
      </c>
      <c r="R28" s="136"/>
      <c r="S28" s="88"/>
      <c r="T28" s="81"/>
      <c r="U28" s="153">
        <v>27</v>
      </c>
      <c r="V28" s="153"/>
      <c r="W28" s="153"/>
      <c r="X28" s="153"/>
      <c r="Y28" s="136"/>
      <c r="Z28" s="153"/>
      <c r="AA28" s="152"/>
      <c r="AB28" s="8">
        <v>1</v>
      </c>
    </row>
    <row r="29" spans="1:28" ht="216.6" hidden="1">
      <c r="A29" s="74" t="s">
        <v>111</v>
      </c>
      <c r="B29" s="75" t="s">
        <v>112</v>
      </c>
      <c r="C29" s="74" t="s">
        <v>560</v>
      </c>
      <c r="D29" s="74" t="s">
        <v>116</v>
      </c>
      <c r="E29" s="76"/>
      <c r="F29" s="74" t="s">
        <v>117</v>
      </c>
      <c r="G29" s="74" t="s">
        <v>118</v>
      </c>
      <c r="H29" s="79" t="s">
        <v>119</v>
      </c>
      <c r="I29" s="207" t="s">
        <v>119</v>
      </c>
      <c r="J29" s="85" t="s">
        <v>120</v>
      </c>
      <c r="K29" s="74" t="s">
        <v>121</v>
      </c>
      <c r="L29" s="79" t="s">
        <v>20</v>
      </c>
      <c r="M29" s="80" t="str">
        <f t="shared" ca="1" si="0"/>
        <v/>
      </c>
      <c r="N29" s="37" t="str">
        <f t="shared" ca="1" si="1"/>
        <v/>
      </c>
      <c r="O29" s="81" t="str">
        <f t="shared" ca="1" si="2"/>
        <v/>
      </c>
      <c r="P29" s="81" t="str">
        <f t="shared" ca="1" si="3"/>
        <v/>
      </c>
      <c r="Q29" s="81" t="str">
        <f t="shared" ca="1" si="4"/>
        <v/>
      </c>
      <c r="R29" s="136"/>
      <c r="S29" s="88"/>
      <c r="T29" s="81"/>
      <c r="U29" s="153">
        <v>28</v>
      </c>
      <c r="V29" s="153"/>
      <c r="W29" s="153"/>
      <c r="X29" s="153"/>
      <c r="Y29" s="136"/>
      <c r="Z29" s="153"/>
      <c r="AA29" s="152"/>
      <c r="AB29" s="8">
        <v>1</v>
      </c>
    </row>
    <row r="30" spans="1:28" ht="136.80000000000001" hidden="1">
      <c r="A30" s="74" t="s">
        <v>111</v>
      </c>
      <c r="B30" s="75" t="s">
        <v>112</v>
      </c>
      <c r="C30" s="74" t="s">
        <v>122</v>
      </c>
      <c r="D30" s="74" t="s">
        <v>122</v>
      </c>
      <c r="E30" s="76"/>
      <c r="F30" s="74" t="s">
        <v>451</v>
      </c>
      <c r="G30" s="74" t="s">
        <v>118</v>
      </c>
      <c r="H30" s="77">
        <v>45681</v>
      </c>
      <c r="I30" s="207">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3" t="s">
        <v>1523</v>
      </c>
      <c r="U30" s="153">
        <v>29</v>
      </c>
      <c r="V30" s="153"/>
      <c r="W30" s="153"/>
      <c r="X30" s="153"/>
      <c r="Y30" s="136"/>
      <c r="Z30" s="153"/>
      <c r="AA30" s="152"/>
      <c r="AB30" s="8">
        <v>1</v>
      </c>
    </row>
    <row r="31" spans="1:28" ht="159.6" hidden="1">
      <c r="A31" s="74" t="s">
        <v>111</v>
      </c>
      <c r="B31" s="75" t="s">
        <v>112</v>
      </c>
      <c r="C31" s="74" t="s">
        <v>561</v>
      </c>
      <c r="D31" s="74" t="s">
        <v>126</v>
      </c>
      <c r="E31" s="76"/>
      <c r="F31" s="74" t="s">
        <v>127</v>
      </c>
      <c r="G31" s="74" t="s">
        <v>128</v>
      </c>
      <c r="H31" s="77">
        <v>45681</v>
      </c>
      <c r="I31" s="207">
        <v>45681</v>
      </c>
      <c r="J31" s="79"/>
      <c r="K31" s="79" t="s">
        <v>129</v>
      </c>
      <c r="L31" s="79" t="s">
        <v>20</v>
      </c>
      <c r="M31" s="80" t="str">
        <f t="shared" ca="1" si="0"/>
        <v/>
      </c>
      <c r="N31" s="37" t="str">
        <f t="shared" ca="1" si="1"/>
        <v/>
      </c>
      <c r="O31" s="81" t="str">
        <f t="shared" ca="1" si="2"/>
        <v/>
      </c>
      <c r="P31" s="81" t="str">
        <f t="shared" ca="1" si="3"/>
        <v/>
      </c>
      <c r="Q31" s="81" t="str">
        <f t="shared" ca="1" si="4"/>
        <v/>
      </c>
      <c r="R31" s="136"/>
      <c r="S31" s="88"/>
      <c r="T31" s="81"/>
      <c r="U31" s="153">
        <v>30</v>
      </c>
      <c r="V31" s="153"/>
      <c r="W31" s="153"/>
      <c r="X31" s="153"/>
      <c r="Y31" s="136"/>
      <c r="Z31" s="153"/>
      <c r="AA31" s="152"/>
      <c r="AB31" s="8">
        <v>1</v>
      </c>
    </row>
    <row r="32" spans="1:28" ht="136.80000000000001" hidden="1">
      <c r="A32" s="74" t="s">
        <v>111</v>
      </c>
      <c r="B32" s="75" t="s">
        <v>112</v>
      </c>
      <c r="C32" s="74" t="s">
        <v>562</v>
      </c>
      <c r="D32" s="74" t="s">
        <v>130</v>
      </c>
      <c r="E32" s="76"/>
      <c r="F32" s="74" t="s">
        <v>131</v>
      </c>
      <c r="G32" s="74" t="s">
        <v>118</v>
      </c>
      <c r="H32" s="77">
        <v>45728</v>
      </c>
      <c r="I32" s="207">
        <v>45747</v>
      </c>
      <c r="J32" s="85" t="s">
        <v>132</v>
      </c>
      <c r="K32" s="74" t="s">
        <v>133</v>
      </c>
      <c r="L32" s="79" t="s">
        <v>20</v>
      </c>
      <c r="M32" s="80" t="str">
        <f t="shared" ca="1" si="0"/>
        <v/>
      </c>
      <c r="N32" s="37" t="str">
        <f t="shared" ca="1" si="1"/>
        <v/>
      </c>
      <c r="O32" s="81" t="str">
        <f t="shared" ca="1" si="2"/>
        <v/>
      </c>
      <c r="P32" s="81" t="str">
        <f t="shared" ca="1" si="3"/>
        <v/>
      </c>
      <c r="Q32" s="81" t="str">
        <f t="shared" ca="1" si="4"/>
        <v/>
      </c>
      <c r="R32" s="136"/>
      <c r="S32" s="88"/>
      <c r="T32" s="81"/>
      <c r="U32" s="153">
        <v>31</v>
      </c>
      <c r="V32" s="153"/>
      <c r="W32" s="153"/>
      <c r="X32" s="153"/>
      <c r="Y32" s="136"/>
      <c r="Z32" s="153"/>
      <c r="AA32" s="152"/>
      <c r="AB32" s="8">
        <v>0.5</v>
      </c>
    </row>
    <row r="33" spans="1:28" ht="114" hidden="1">
      <c r="A33" s="74" t="s">
        <v>111</v>
      </c>
      <c r="B33" s="75" t="s">
        <v>112</v>
      </c>
      <c r="C33" s="74" t="s">
        <v>562</v>
      </c>
      <c r="D33" s="74"/>
      <c r="E33" s="76"/>
      <c r="F33" s="74" t="s">
        <v>134</v>
      </c>
      <c r="G33" s="74" t="s">
        <v>128</v>
      </c>
      <c r="H33" s="77">
        <v>45728</v>
      </c>
      <c r="I33" s="207">
        <v>45777</v>
      </c>
      <c r="J33" s="85" t="s">
        <v>135</v>
      </c>
      <c r="K33" s="74" t="s">
        <v>133</v>
      </c>
      <c r="L33" s="79" t="s">
        <v>20</v>
      </c>
      <c r="M33" s="80" t="str">
        <f t="shared" ca="1" si="0"/>
        <v/>
      </c>
      <c r="N33" s="37" t="str">
        <f t="shared" ca="1" si="1"/>
        <v/>
      </c>
      <c r="O33" s="81" t="str">
        <f t="shared" ca="1" si="2"/>
        <v/>
      </c>
      <c r="P33" s="81" t="str">
        <f t="shared" ca="1" si="3"/>
        <v/>
      </c>
      <c r="Q33" s="81" t="str">
        <f t="shared" ca="1" si="4"/>
        <v/>
      </c>
      <c r="R33" s="136"/>
      <c r="S33" s="88"/>
      <c r="T33" s="81"/>
      <c r="U33" s="153">
        <v>32</v>
      </c>
      <c r="V33" s="153"/>
      <c r="W33" s="153"/>
      <c r="X33" s="153"/>
      <c r="Y33" s="136"/>
      <c r="Z33" s="153"/>
      <c r="AA33" s="152"/>
      <c r="AB33" s="8">
        <v>0.5</v>
      </c>
    </row>
    <row r="34" spans="1:28" ht="125.4" hidden="1">
      <c r="A34" s="74" t="s">
        <v>111</v>
      </c>
      <c r="B34" s="75" t="s">
        <v>112</v>
      </c>
      <c r="C34" s="74" t="s">
        <v>563</v>
      </c>
      <c r="D34" s="74" t="s">
        <v>136</v>
      </c>
      <c r="E34" s="76"/>
      <c r="F34" s="74" t="s">
        <v>137</v>
      </c>
      <c r="G34" s="74" t="s">
        <v>115</v>
      </c>
      <c r="H34" s="77">
        <v>45315</v>
      </c>
      <c r="I34" s="207">
        <v>45747</v>
      </c>
      <c r="J34" s="85" t="s">
        <v>138</v>
      </c>
      <c r="K34" s="74" t="s">
        <v>139</v>
      </c>
      <c r="L34" s="79" t="s">
        <v>20</v>
      </c>
      <c r="M34" s="80" t="str">
        <f t="shared" ca="1" si="0"/>
        <v/>
      </c>
      <c r="N34" s="37" t="str">
        <f t="shared" ca="1" si="1"/>
        <v/>
      </c>
      <c r="O34" s="81" t="str">
        <f t="shared" ca="1" si="2"/>
        <v/>
      </c>
      <c r="P34" s="81" t="str">
        <f t="shared" ca="1" si="3"/>
        <v/>
      </c>
      <c r="Q34" s="81" t="str">
        <f t="shared" ca="1" si="4"/>
        <v/>
      </c>
      <c r="R34" s="136"/>
      <c r="S34" s="88"/>
      <c r="T34" s="81"/>
      <c r="U34" s="153">
        <v>33</v>
      </c>
      <c r="V34" s="153"/>
      <c r="W34" s="153"/>
      <c r="X34" s="153"/>
      <c r="Y34" s="136"/>
      <c r="Z34" s="153"/>
      <c r="AA34" s="152"/>
      <c r="AB34" s="8">
        <v>1</v>
      </c>
    </row>
    <row r="35" spans="1:28" ht="159.6" hidden="1">
      <c r="A35" s="74" t="s">
        <v>111</v>
      </c>
      <c r="B35" s="75" t="s">
        <v>112</v>
      </c>
      <c r="C35" s="74" t="s">
        <v>564</v>
      </c>
      <c r="D35" s="74" t="s">
        <v>140</v>
      </c>
      <c r="E35" s="76"/>
      <c r="F35" s="74" t="s">
        <v>141</v>
      </c>
      <c r="G35" s="74" t="s">
        <v>128</v>
      </c>
      <c r="H35" s="77">
        <v>45681</v>
      </c>
      <c r="I35" s="207">
        <v>45681</v>
      </c>
      <c r="J35" s="79"/>
      <c r="K35" s="79"/>
      <c r="L35" s="79" t="s">
        <v>20</v>
      </c>
      <c r="M35" s="80" t="str">
        <f t="shared" ca="1" si="0"/>
        <v/>
      </c>
      <c r="N35" s="37" t="str">
        <f t="shared" ca="1" si="1"/>
        <v/>
      </c>
      <c r="O35" s="81" t="str">
        <f t="shared" ca="1" si="2"/>
        <v/>
      </c>
      <c r="P35" s="81" t="str">
        <f t="shared" ca="1" si="3"/>
        <v/>
      </c>
      <c r="Q35" s="81" t="str">
        <f t="shared" ca="1" si="4"/>
        <v/>
      </c>
      <c r="R35" s="136"/>
      <c r="S35" s="88"/>
      <c r="T35" s="81"/>
      <c r="U35" s="153">
        <v>34</v>
      </c>
      <c r="V35" s="153"/>
      <c r="W35" s="153"/>
      <c r="X35" s="153"/>
      <c r="Y35" s="136"/>
      <c r="Z35" s="153"/>
      <c r="AA35" s="152"/>
      <c r="AB35" s="8">
        <v>1</v>
      </c>
    </row>
    <row r="36" spans="1:28" ht="307.8" hidden="1">
      <c r="A36" s="74" t="s">
        <v>111</v>
      </c>
      <c r="B36" s="75" t="s">
        <v>142</v>
      </c>
      <c r="C36" s="74" t="s">
        <v>565</v>
      </c>
      <c r="D36" s="74" t="s">
        <v>503</v>
      </c>
      <c r="E36" s="76"/>
      <c r="F36" s="74" t="s">
        <v>143</v>
      </c>
      <c r="G36" s="74" t="s">
        <v>144</v>
      </c>
      <c r="H36" s="77">
        <v>45716</v>
      </c>
      <c r="I36" s="211">
        <v>46081</v>
      </c>
      <c r="J36" s="82" t="s">
        <v>145</v>
      </c>
      <c r="K36" s="74" t="s">
        <v>806</v>
      </c>
      <c r="L36" s="214" t="s">
        <v>20</v>
      </c>
      <c r="M36" s="80" t="str">
        <f t="shared" ca="1" si="0"/>
        <v/>
      </c>
      <c r="N36" s="37" t="str">
        <f t="shared" ca="1" si="1"/>
        <v/>
      </c>
      <c r="O36" s="81" t="str">
        <f t="shared" ca="1" si="2"/>
        <v/>
      </c>
      <c r="P36" s="81" t="str">
        <f t="shared" ca="1" si="3"/>
        <v/>
      </c>
      <c r="Q36" s="81" t="str">
        <f t="shared" ca="1" si="4"/>
        <v/>
      </c>
      <c r="R36" s="83" t="s">
        <v>621</v>
      </c>
      <c r="S36" s="217">
        <v>46178</v>
      </c>
      <c r="T36" s="81"/>
      <c r="U36" s="153">
        <v>35</v>
      </c>
      <c r="V36" s="153"/>
      <c r="W36" s="153"/>
      <c r="X36" s="153"/>
      <c r="Y36" s="136"/>
      <c r="Z36" s="153"/>
      <c r="AA36" s="152"/>
      <c r="AB36" s="8">
        <v>1</v>
      </c>
    </row>
    <row r="37" spans="1:28" ht="239.4" hidden="1">
      <c r="A37" s="74" t="s">
        <v>111</v>
      </c>
      <c r="B37" s="75" t="s">
        <v>142</v>
      </c>
      <c r="C37" s="74" t="s">
        <v>566</v>
      </c>
      <c r="D37" s="74" t="s">
        <v>147</v>
      </c>
      <c r="E37" s="76"/>
      <c r="F37" s="74" t="s">
        <v>143</v>
      </c>
      <c r="G37" s="74" t="s">
        <v>144</v>
      </c>
      <c r="H37" s="77">
        <v>45716</v>
      </c>
      <c r="I37" s="211">
        <v>46081</v>
      </c>
      <c r="J37" s="85" t="s">
        <v>145</v>
      </c>
      <c r="K37" s="74" t="s">
        <v>806</v>
      </c>
      <c r="L37" s="214" t="s">
        <v>20</v>
      </c>
      <c r="M37" s="80" t="str">
        <f t="shared" ca="1" si="0"/>
        <v/>
      </c>
      <c r="N37" s="37" t="str">
        <f t="shared" ca="1" si="1"/>
        <v/>
      </c>
      <c r="O37" s="81" t="str">
        <f t="shared" ca="1" si="2"/>
        <v/>
      </c>
      <c r="P37" s="81" t="str">
        <f t="shared" ca="1" si="3"/>
        <v/>
      </c>
      <c r="Q37" s="81" t="str">
        <f t="shared" ca="1" si="4"/>
        <v/>
      </c>
      <c r="R37" s="83" t="s">
        <v>621</v>
      </c>
      <c r="S37" s="217">
        <v>46178</v>
      </c>
      <c r="T37" s="81"/>
      <c r="U37" s="153">
        <v>36</v>
      </c>
      <c r="V37" s="153"/>
      <c r="W37" s="153"/>
      <c r="X37" s="153"/>
      <c r="Y37" s="136"/>
      <c r="Z37" s="153"/>
      <c r="AA37" s="152"/>
      <c r="AB37" s="8">
        <v>1</v>
      </c>
    </row>
    <row r="38" spans="1:28" ht="330.6" hidden="1">
      <c r="A38" s="74" t="s">
        <v>111</v>
      </c>
      <c r="B38" s="75" t="s">
        <v>142</v>
      </c>
      <c r="C38" s="74" t="s">
        <v>567</v>
      </c>
      <c r="D38" s="74" t="s">
        <v>504</v>
      </c>
      <c r="E38" s="76"/>
      <c r="F38" s="74" t="s">
        <v>143</v>
      </c>
      <c r="G38" s="74" t="s">
        <v>144</v>
      </c>
      <c r="H38" s="77">
        <v>45716</v>
      </c>
      <c r="I38" s="211">
        <v>46081</v>
      </c>
      <c r="J38" s="85" t="s">
        <v>145</v>
      </c>
      <c r="K38" s="74" t="s">
        <v>806</v>
      </c>
      <c r="L38" s="214" t="s">
        <v>20</v>
      </c>
      <c r="M38" s="80" t="str">
        <f t="shared" ca="1" si="0"/>
        <v/>
      </c>
      <c r="N38" s="37" t="str">
        <f t="shared" ca="1" si="1"/>
        <v/>
      </c>
      <c r="O38" s="81" t="str">
        <f t="shared" ca="1" si="2"/>
        <v/>
      </c>
      <c r="P38" s="81" t="str">
        <f t="shared" ca="1" si="3"/>
        <v/>
      </c>
      <c r="Q38" s="81" t="str">
        <f t="shared" ca="1" si="4"/>
        <v/>
      </c>
      <c r="R38" s="83" t="s">
        <v>621</v>
      </c>
      <c r="S38" s="217">
        <v>46178</v>
      </c>
      <c r="T38" s="81"/>
      <c r="U38" s="153">
        <v>37</v>
      </c>
      <c r="V38" s="153"/>
      <c r="W38" s="153"/>
      <c r="X38" s="153"/>
      <c r="Y38" s="136"/>
      <c r="Z38" s="153"/>
      <c r="AA38" s="152"/>
      <c r="AB38" s="8">
        <v>1</v>
      </c>
    </row>
    <row r="39" spans="1:28" ht="319.2" hidden="1">
      <c r="A39" s="74" t="s">
        <v>111</v>
      </c>
      <c r="B39" s="75" t="s">
        <v>142</v>
      </c>
      <c r="C39" s="74" t="s">
        <v>568</v>
      </c>
      <c r="D39" s="74" t="s">
        <v>505</v>
      </c>
      <c r="E39" s="76"/>
      <c r="F39" s="74" t="s">
        <v>542</v>
      </c>
      <c r="G39" s="74" t="s">
        <v>148</v>
      </c>
      <c r="H39" s="77">
        <v>45412</v>
      </c>
      <c r="I39" s="207">
        <v>45712</v>
      </c>
      <c r="J39" s="85" t="s">
        <v>149</v>
      </c>
      <c r="K39" s="86" t="s">
        <v>150</v>
      </c>
      <c r="L39" s="79" t="s">
        <v>20</v>
      </c>
      <c r="M39" s="80" t="str">
        <f t="shared" ca="1" si="0"/>
        <v/>
      </c>
      <c r="N39" s="37" t="str">
        <f t="shared" ca="1" si="1"/>
        <v/>
      </c>
      <c r="O39" s="81" t="str">
        <f t="shared" ca="1" si="2"/>
        <v/>
      </c>
      <c r="P39" s="81" t="str">
        <f t="shared" ca="1" si="3"/>
        <v/>
      </c>
      <c r="Q39" s="81" t="str">
        <f t="shared" ca="1" si="4"/>
        <v/>
      </c>
      <c r="R39" s="136"/>
      <c r="S39" s="88"/>
      <c r="T39" s="81"/>
      <c r="U39" s="153">
        <v>38</v>
      </c>
      <c r="V39" s="153"/>
      <c r="W39" s="153"/>
      <c r="X39" s="153"/>
      <c r="Y39" s="136"/>
      <c r="Z39" s="153"/>
      <c r="AA39" s="152"/>
      <c r="AB39" s="8">
        <v>1</v>
      </c>
    </row>
    <row r="40" spans="1:28" ht="91.2" hidden="1">
      <c r="A40" s="74" t="s">
        <v>111</v>
      </c>
      <c r="B40" s="75" t="s">
        <v>142</v>
      </c>
      <c r="C40" s="74" t="s">
        <v>568</v>
      </c>
      <c r="D40" s="74"/>
      <c r="E40" s="76"/>
      <c r="F40" s="74" t="s">
        <v>151</v>
      </c>
      <c r="G40" s="74" t="s">
        <v>148</v>
      </c>
      <c r="H40" s="77">
        <v>45412</v>
      </c>
      <c r="I40" s="207">
        <v>45712</v>
      </c>
      <c r="J40" s="82" t="s">
        <v>152</v>
      </c>
      <c r="K40" s="74" t="s">
        <v>153</v>
      </c>
      <c r="L40" s="79" t="s">
        <v>20</v>
      </c>
      <c r="M40" s="80" t="str">
        <f t="shared" ca="1" si="0"/>
        <v/>
      </c>
      <c r="N40" s="37" t="str">
        <f t="shared" ca="1" si="1"/>
        <v/>
      </c>
      <c r="O40" s="81" t="str">
        <f t="shared" ca="1" si="2"/>
        <v/>
      </c>
      <c r="P40" s="81" t="str">
        <f t="shared" ca="1" si="3"/>
        <v/>
      </c>
      <c r="Q40" s="81" t="str">
        <f t="shared" ca="1" si="4"/>
        <v/>
      </c>
      <c r="R40" s="136"/>
      <c r="S40" s="88"/>
      <c r="T40" s="81"/>
      <c r="U40" s="153">
        <v>39</v>
      </c>
      <c r="V40" s="153"/>
      <c r="W40" s="153"/>
      <c r="X40" s="153"/>
      <c r="Y40" s="136"/>
      <c r="Z40" s="153"/>
      <c r="AA40" s="152"/>
      <c r="AB40" s="8">
        <v>1</v>
      </c>
    </row>
    <row r="41" spans="1:28" ht="79.8" hidden="1">
      <c r="A41" s="74" t="s">
        <v>111</v>
      </c>
      <c r="B41" s="75" t="s">
        <v>142</v>
      </c>
      <c r="C41" s="74" t="s">
        <v>568</v>
      </c>
      <c r="D41" s="74"/>
      <c r="E41" s="76"/>
      <c r="F41" s="74" t="s">
        <v>154</v>
      </c>
      <c r="G41" s="74" t="s">
        <v>148</v>
      </c>
      <c r="H41" s="77">
        <v>45412</v>
      </c>
      <c r="I41" s="207">
        <v>45712</v>
      </c>
      <c r="J41" s="85" t="s">
        <v>155</v>
      </c>
      <c r="K41" s="74" t="s">
        <v>156</v>
      </c>
      <c r="L41" s="79" t="s">
        <v>20</v>
      </c>
      <c r="M41" s="80" t="str">
        <f t="shared" ca="1" si="0"/>
        <v/>
      </c>
      <c r="N41" s="37" t="str">
        <f t="shared" ca="1" si="1"/>
        <v/>
      </c>
      <c r="O41" s="81" t="str">
        <f t="shared" ca="1" si="2"/>
        <v/>
      </c>
      <c r="P41" s="81" t="str">
        <f t="shared" ca="1" si="3"/>
        <v/>
      </c>
      <c r="Q41" s="81" t="str">
        <f t="shared" ca="1" si="4"/>
        <v/>
      </c>
      <c r="R41" s="136"/>
      <c r="S41" s="88"/>
      <c r="T41" s="81"/>
      <c r="U41" s="153">
        <v>40</v>
      </c>
      <c r="V41" s="153"/>
      <c r="W41" s="153"/>
      <c r="X41" s="153"/>
      <c r="Y41" s="136"/>
      <c r="Z41" s="153"/>
      <c r="AA41" s="152"/>
      <c r="AB41" s="8">
        <v>1</v>
      </c>
    </row>
    <row r="42" spans="1:28" ht="148.80000000000001" hidden="1">
      <c r="A42" s="74" t="s">
        <v>111</v>
      </c>
      <c r="B42" s="75" t="s">
        <v>157</v>
      </c>
      <c r="C42" s="74" t="s">
        <v>569</v>
      </c>
      <c r="D42" s="74" t="s">
        <v>158</v>
      </c>
      <c r="E42" s="76"/>
      <c r="F42" s="74" t="s">
        <v>159</v>
      </c>
      <c r="G42" s="74" t="s">
        <v>115</v>
      </c>
      <c r="H42" s="87">
        <v>45754</v>
      </c>
      <c r="I42" s="212">
        <v>46080</v>
      </c>
      <c r="J42" s="115" t="s">
        <v>160</v>
      </c>
      <c r="K42" s="74" t="s">
        <v>161</v>
      </c>
      <c r="L42" s="214" t="s">
        <v>20</v>
      </c>
      <c r="M42" s="80" t="str">
        <f t="shared" ca="1" si="0"/>
        <v/>
      </c>
      <c r="N42" s="37" t="str">
        <f t="shared" ca="1" si="1"/>
        <v/>
      </c>
      <c r="O42" s="81" t="str">
        <f t="shared" ca="1" si="2"/>
        <v/>
      </c>
      <c r="P42" s="81" t="str">
        <f t="shared" ca="1" si="3"/>
        <v/>
      </c>
      <c r="Q42" s="81" t="str">
        <f t="shared" ca="1" si="4"/>
        <v/>
      </c>
      <c r="R42" s="117" t="s">
        <v>632</v>
      </c>
      <c r="S42" s="218">
        <v>46128</v>
      </c>
      <c r="T42" s="153" t="s">
        <v>1537</v>
      </c>
      <c r="U42" s="153">
        <v>41</v>
      </c>
      <c r="V42" s="153"/>
      <c r="W42" s="153"/>
      <c r="X42" s="153"/>
      <c r="Y42" s="136"/>
      <c r="Z42" s="153"/>
      <c r="AA42" s="152"/>
      <c r="AB42" s="8">
        <v>1</v>
      </c>
    </row>
    <row r="43" spans="1:28" ht="148.80000000000001" hidden="1">
      <c r="A43" s="74" t="s">
        <v>111</v>
      </c>
      <c r="B43" s="75" t="s">
        <v>157</v>
      </c>
      <c r="C43" s="74" t="s">
        <v>570</v>
      </c>
      <c r="D43" s="74" t="s">
        <v>162</v>
      </c>
      <c r="E43" s="76"/>
      <c r="F43" s="74" t="s">
        <v>163</v>
      </c>
      <c r="G43" s="74" t="s">
        <v>115</v>
      </c>
      <c r="H43" s="87">
        <v>45754</v>
      </c>
      <c r="I43" s="212">
        <v>46080</v>
      </c>
      <c r="J43" s="82" t="s">
        <v>164</v>
      </c>
      <c r="K43" s="74" t="s">
        <v>165</v>
      </c>
      <c r="L43" s="214" t="s">
        <v>20</v>
      </c>
      <c r="M43" s="80" t="str">
        <f t="shared" ca="1" si="0"/>
        <v/>
      </c>
      <c r="N43" s="37" t="str">
        <f t="shared" ca="1" si="1"/>
        <v/>
      </c>
      <c r="O43" s="81" t="str">
        <f t="shared" ca="1" si="2"/>
        <v/>
      </c>
      <c r="P43" s="81" t="str">
        <f t="shared" ca="1" si="3"/>
        <v/>
      </c>
      <c r="Q43" s="81" t="str">
        <f t="shared" ca="1" si="4"/>
        <v/>
      </c>
      <c r="R43" s="116" t="s">
        <v>622</v>
      </c>
      <c r="S43" s="218">
        <v>46080</v>
      </c>
      <c r="T43" s="153" t="s">
        <v>1537</v>
      </c>
      <c r="U43" s="153">
        <v>42</v>
      </c>
      <c r="V43" s="153"/>
      <c r="W43" s="153"/>
      <c r="X43" s="153"/>
      <c r="Y43" s="136"/>
      <c r="Z43" s="153"/>
      <c r="AA43" s="152"/>
      <c r="AB43" s="8">
        <v>1</v>
      </c>
    </row>
    <row r="44" spans="1:28" ht="217.2" hidden="1">
      <c r="A44" s="74" t="s">
        <v>111</v>
      </c>
      <c r="B44" s="75" t="s">
        <v>157</v>
      </c>
      <c r="C44" s="74" t="s">
        <v>166</v>
      </c>
      <c r="D44" s="74" t="s">
        <v>167</v>
      </c>
      <c r="E44" s="76"/>
      <c r="F44" s="75" t="s">
        <v>631</v>
      </c>
      <c r="G44" s="74" t="s">
        <v>118</v>
      </c>
      <c r="H44" s="87" t="s">
        <v>169</v>
      </c>
      <c r="I44" s="209" t="s">
        <v>169</v>
      </c>
      <c r="J44" s="118" t="s">
        <v>170</v>
      </c>
      <c r="K44" s="75"/>
      <c r="L44" s="79" t="s">
        <v>20</v>
      </c>
      <c r="M44" s="80" t="str">
        <f t="shared" ca="1" si="0"/>
        <v/>
      </c>
      <c r="N44" s="37" t="str">
        <f t="shared" ca="1" si="1"/>
        <v/>
      </c>
      <c r="O44" s="81" t="str">
        <f t="shared" ca="1" si="2"/>
        <v/>
      </c>
      <c r="P44" s="81" t="str">
        <f t="shared" ca="1" si="3"/>
        <v/>
      </c>
      <c r="Q44" s="81" t="str">
        <f t="shared" ca="1" si="4"/>
        <v/>
      </c>
      <c r="R44" s="161"/>
      <c r="S44" s="205"/>
      <c r="T44" s="153" t="s">
        <v>1537</v>
      </c>
      <c r="U44" s="153">
        <v>43</v>
      </c>
      <c r="V44" s="153"/>
      <c r="W44" s="153"/>
      <c r="X44" s="153"/>
      <c r="Y44" s="136"/>
      <c r="Z44" s="153"/>
      <c r="AA44" s="152"/>
      <c r="AB44" s="8">
        <v>1</v>
      </c>
    </row>
    <row r="45" spans="1:28" ht="148.80000000000001" hidden="1">
      <c r="A45" s="74" t="s">
        <v>111</v>
      </c>
      <c r="B45" s="75" t="s">
        <v>157</v>
      </c>
      <c r="C45" s="74" t="s">
        <v>1579</v>
      </c>
      <c r="D45" s="74" t="s">
        <v>172</v>
      </c>
      <c r="E45" s="76"/>
      <c r="F45" s="74" t="s">
        <v>173</v>
      </c>
      <c r="G45" s="74" t="s">
        <v>148</v>
      </c>
      <c r="H45" s="77">
        <v>45715</v>
      </c>
      <c r="I45" s="207">
        <v>45736</v>
      </c>
      <c r="J45" s="118" t="s">
        <v>174</v>
      </c>
      <c r="K45" s="74" t="s">
        <v>175</v>
      </c>
      <c r="L45" s="79" t="s">
        <v>20</v>
      </c>
      <c r="M45" s="80" t="str">
        <f t="shared" ca="1" si="0"/>
        <v/>
      </c>
      <c r="N45" s="37" t="str">
        <f t="shared" ca="1" si="1"/>
        <v/>
      </c>
      <c r="O45" s="81" t="str">
        <f t="shared" ca="1" si="2"/>
        <v/>
      </c>
      <c r="P45" s="81" t="str">
        <f t="shared" ca="1" si="3"/>
        <v/>
      </c>
      <c r="Q45" s="81" t="str">
        <f t="shared" ca="1" si="4"/>
        <v/>
      </c>
      <c r="R45" s="161"/>
      <c r="S45" s="205"/>
      <c r="T45" s="153" t="s">
        <v>1537</v>
      </c>
      <c r="U45" s="153">
        <v>44</v>
      </c>
      <c r="V45" s="153"/>
      <c r="W45" s="153"/>
      <c r="X45" s="153"/>
      <c r="Y45" s="136"/>
      <c r="Z45" s="153"/>
      <c r="AA45" s="152"/>
      <c r="AB45" s="8">
        <v>0.5</v>
      </c>
    </row>
    <row r="46" spans="1:28" ht="68.400000000000006" hidden="1">
      <c r="A46" s="74" t="s">
        <v>111</v>
      </c>
      <c r="B46" s="75" t="s">
        <v>157</v>
      </c>
      <c r="C46" s="74" t="s">
        <v>1579</v>
      </c>
      <c r="D46" s="74"/>
      <c r="E46" s="76"/>
      <c r="F46" s="74" t="s">
        <v>176</v>
      </c>
      <c r="G46" s="74" t="s">
        <v>148</v>
      </c>
      <c r="H46" s="77">
        <v>45715</v>
      </c>
      <c r="I46" s="207">
        <v>45736</v>
      </c>
      <c r="J46" s="115" t="s">
        <v>174</v>
      </c>
      <c r="K46" s="74" t="s">
        <v>177</v>
      </c>
      <c r="L46" s="79" t="s">
        <v>20</v>
      </c>
      <c r="M46" s="80" t="str">
        <f t="shared" ca="1" si="0"/>
        <v/>
      </c>
      <c r="N46" s="37" t="str">
        <f t="shared" ca="1" si="1"/>
        <v/>
      </c>
      <c r="O46" s="81" t="str">
        <f t="shared" ca="1" si="2"/>
        <v/>
      </c>
      <c r="P46" s="81" t="str">
        <f t="shared" ca="1" si="3"/>
        <v/>
      </c>
      <c r="Q46" s="81" t="str">
        <f t="shared" ca="1" si="4"/>
        <v/>
      </c>
      <c r="R46" s="161"/>
      <c r="S46" s="205"/>
      <c r="T46" s="153" t="s">
        <v>1537</v>
      </c>
      <c r="U46" s="153">
        <v>45</v>
      </c>
      <c r="V46" s="153"/>
      <c r="W46" s="153"/>
      <c r="X46" s="153"/>
      <c r="Y46" s="136"/>
      <c r="Z46" s="153"/>
      <c r="AA46" s="152"/>
      <c r="AB46" s="8">
        <v>0.5</v>
      </c>
    </row>
    <row r="47" spans="1:28" ht="114.6">
      <c r="A47" s="74" t="s">
        <v>111</v>
      </c>
      <c r="B47" s="75" t="s">
        <v>157</v>
      </c>
      <c r="C47" s="74" t="s">
        <v>668</v>
      </c>
      <c r="D47" s="74" t="s">
        <v>668</v>
      </c>
      <c r="E47" s="76"/>
      <c r="F47" s="74" t="s">
        <v>178</v>
      </c>
      <c r="G47" s="74" t="s">
        <v>179</v>
      </c>
      <c r="H47" s="77">
        <v>46023</v>
      </c>
      <c r="I47" s="207">
        <v>46023</v>
      </c>
      <c r="J47" s="115" t="s">
        <v>170</v>
      </c>
      <c r="K47" s="74"/>
      <c r="L47" s="208" t="s">
        <v>20</v>
      </c>
      <c r="M47" s="80" t="str">
        <f t="shared" ca="1" si="0"/>
        <v/>
      </c>
      <c r="N47" s="37" t="str">
        <f t="shared" ca="1" si="1"/>
        <v/>
      </c>
      <c r="O47" s="81" t="str">
        <f t="shared" ca="1" si="2"/>
        <v/>
      </c>
      <c r="P47" s="81" t="str">
        <f t="shared" ca="1" si="3"/>
        <v/>
      </c>
      <c r="Q47" s="81" t="str">
        <f t="shared" ca="1" si="4"/>
        <v/>
      </c>
      <c r="R47" s="117" t="s">
        <v>644</v>
      </c>
      <c r="S47" s="220">
        <v>46023</v>
      </c>
      <c r="T47" s="88" t="s">
        <v>1537</v>
      </c>
      <c r="U47" s="153">
        <v>46</v>
      </c>
      <c r="V47" s="153"/>
      <c r="W47" s="153"/>
      <c r="X47" s="153"/>
      <c r="Y47" s="136"/>
      <c r="Z47" s="153"/>
      <c r="AA47" s="152"/>
      <c r="AB47" s="8">
        <v>0.5</v>
      </c>
    </row>
    <row r="48" spans="1:28" ht="34.200000000000003" hidden="1">
      <c r="A48" s="74" t="s">
        <v>180</v>
      </c>
      <c r="B48" s="75" t="s">
        <v>181</v>
      </c>
      <c r="C48" s="74" t="s">
        <v>182</v>
      </c>
      <c r="D48" s="74"/>
      <c r="E48" s="76"/>
      <c r="F48" s="74" t="s">
        <v>183</v>
      </c>
      <c r="G48" s="74" t="s">
        <v>144</v>
      </c>
      <c r="H48" s="77">
        <v>45809</v>
      </c>
      <c r="I48" s="211">
        <v>46081</v>
      </c>
      <c r="J48" s="85" t="s">
        <v>184</v>
      </c>
      <c r="K48" s="74" t="s">
        <v>185</v>
      </c>
      <c r="L48" s="214" t="s">
        <v>20</v>
      </c>
      <c r="M48" s="80" t="str">
        <f t="shared" ca="1" si="0"/>
        <v/>
      </c>
      <c r="N48" s="37" t="str">
        <f t="shared" ca="1" si="1"/>
        <v/>
      </c>
      <c r="O48" s="81" t="str">
        <f t="shared" ca="1" si="2"/>
        <v/>
      </c>
      <c r="P48" s="81" t="str">
        <f t="shared" ca="1" si="3"/>
        <v/>
      </c>
      <c r="Q48" s="81" t="str">
        <f t="shared" ca="1" si="4"/>
        <v/>
      </c>
      <c r="R48" s="136"/>
      <c r="S48" s="217">
        <v>46081</v>
      </c>
      <c r="T48" s="81"/>
      <c r="U48" s="153">
        <v>47</v>
      </c>
      <c r="V48" s="153"/>
      <c r="W48" s="153"/>
      <c r="X48" s="153"/>
      <c r="Y48" s="136"/>
      <c r="Z48" s="153"/>
      <c r="AA48" s="152"/>
      <c r="AB48" s="8">
        <v>0.5</v>
      </c>
    </row>
    <row r="49" spans="1:28" ht="183" hidden="1">
      <c r="A49" s="74" t="s">
        <v>180</v>
      </c>
      <c r="B49" s="75" t="s">
        <v>181</v>
      </c>
      <c r="C49" s="74" t="s">
        <v>186</v>
      </c>
      <c r="D49" s="74" t="s">
        <v>187</v>
      </c>
      <c r="E49" s="76" t="s">
        <v>188</v>
      </c>
      <c r="F49" s="74" t="s">
        <v>189</v>
      </c>
      <c r="G49" s="74" t="s">
        <v>190</v>
      </c>
      <c r="H49" s="77">
        <v>45809</v>
      </c>
      <c r="I49" s="207">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3">
        <v>48</v>
      </c>
      <c r="V49" s="153"/>
      <c r="W49" s="153"/>
      <c r="X49" s="153"/>
      <c r="Y49" s="136"/>
      <c r="Z49" s="153"/>
      <c r="AA49" s="152"/>
      <c r="AB49" s="8">
        <v>1</v>
      </c>
    </row>
    <row r="50" spans="1:28" ht="103.2" hidden="1">
      <c r="A50" s="74" t="s">
        <v>180</v>
      </c>
      <c r="B50" s="75" t="s">
        <v>181</v>
      </c>
      <c r="C50" s="74" t="s">
        <v>193</v>
      </c>
      <c r="D50" s="74" t="s">
        <v>194</v>
      </c>
      <c r="E50" s="76" t="s">
        <v>188</v>
      </c>
      <c r="F50" s="74" t="s">
        <v>195</v>
      </c>
      <c r="G50" s="74" t="s">
        <v>190</v>
      </c>
      <c r="H50" s="77">
        <v>45809</v>
      </c>
      <c r="I50" s="207">
        <v>45945</v>
      </c>
      <c r="J50" s="85" t="s">
        <v>196</v>
      </c>
      <c r="K50" s="74" t="s">
        <v>197</v>
      </c>
      <c r="L50" s="79" t="s">
        <v>20</v>
      </c>
      <c r="M50" s="80" t="str">
        <f t="shared" ca="1" si="0"/>
        <v/>
      </c>
      <c r="N50" s="37" t="str">
        <f t="shared" ca="1" si="1"/>
        <v/>
      </c>
      <c r="O50" s="81" t="str">
        <f t="shared" ca="1" si="2"/>
        <v/>
      </c>
      <c r="P50" s="81" t="str">
        <f t="shared" ca="1" si="3"/>
        <v/>
      </c>
      <c r="Q50" s="81" t="str">
        <f t="shared" ca="1" si="4"/>
        <v/>
      </c>
      <c r="R50" s="136"/>
      <c r="S50" s="88"/>
      <c r="T50" s="81"/>
      <c r="U50" s="153">
        <v>49</v>
      </c>
      <c r="V50" s="153"/>
      <c r="W50" s="153"/>
      <c r="X50" s="153"/>
      <c r="Y50" s="136"/>
      <c r="Z50" s="153"/>
      <c r="AA50" s="152"/>
      <c r="AB50" s="8">
        <v>0.33</v>
      </c>
    </row>
    <row r="51" spans="1:28" ht="125.4" hidden="1">
      <c r="A51" s="74" t="s">
        <v>180</v>
      </c>
      <c r="B51" s="75" t="s">
        <v>181</v>
      </c>
      <c r="C51" s="74" t="s">
        <v>186</v>
      </c>
      <c r="D51" s="74"/>
      <c r="E51" s="76"/>
      <c r="F51" s="74" t="s">
        <v>198</v>
      </c>
      <c r="G51" s="74" t="s">
        <v>199</v>
      </c>
      <c r="H51" s="77">
        <v>45809</v>
      </c>
      <c r="I51" s="207">
        <v>46387</v>
      </c>
      <c r="J51" s="142" t="s">
        <v>200</v>
      </c>
      <c r="K51" s="137" t="s">
        <v>840</v>
      </c>
      <c r="L51" s="143" t="s">
        <v>20</v>
      </c>
      <c r="M51" s="80" t="str">
        <f t="shared" ca="1" si="0"/>
        <v/>
      </c>
      <c r="N51" s="37" t="str">
        <f t="shared" ca="1" si="1"/>
        <v/>
      </c>
      <c r="O51" s="81" t="str">
        <f t="shared" ca="1" si="2"/>
        <v/>
      </c>
      <c r="P51" s="81" t="str">
        <f t="shared" ca="1" si="3"/>
        <v/>
      </c>
      <c r="Q51" s="81" t="str">
        <f t="shared" ca="1" si="4"/>
        <v/>
      </c>
      <c r="R51" s="141" t="s">
        <v>638</v>
      </c>
      <c r="S51" s="88">
        <v>46178</v>
      </c>
      <c r="T51" s="159"/>
      <c r="U51" s="153">
        <v>50</v>
      </c>
      <c r="V51" s="153"/>
      <c r="W51" s="153"/>
      <c r="X51" s="153"/>
      <c r="Y51" s="136"/>
      <c r="Z51" s="153"/>
      <c r="AA51" s="152"/>
      <c r="AB51" s="8">
        <v>0.33</v>
      </c>
    </row>
    <row r="52" spans="1:28" ht="68.400000000000006" hidden="1">
      <c r="A52" s="74" t="s">
        <v>180</v>
      </c>
      <c r="B52" s="75" t="s">
        <v>181</v>
      </c>
      <c r="C52" s="74" t="s">
        <v>182</v>
      </c>
      <c r="D52" s="74"/>
      <c r="E52" s="76"/>
      <c r="F52" s="74" t="s">
        <v>202</v>
      </c>
      <c r="G52" s="74" t="s">
        <v>203</v>
      </c>
      <c r="H52" s="77">
        <v>45809</v>
      </c>
      <c r="I52" s="207">
        <v>45992</v>
      </c>
      <c r="J52" s="85" t="s">
        <v>204</v>
      </c>
      <c r="K52" s="74" t="s">
        <v>205</v>
      </c>
      <c r="L52" s="79" t="s">
        <v>20</v>
      </c>
      <c r="M52" s="80" t="str">
        <f t="shared" ca="1" si="0"/>
        <v/>
      </c>
      <c r="N52" s="37" t="str">
        <f t="shared" ca="1" si="1"/>
        <v/>
      </c>
      <c r="O52" s="81" t="str">
        <f t="shared" ca="1" si="2"/>
        <v/>
      </c>
      <c r="P52" s="81" t="str">
        <f t="shared" ca="1" si="3"/>
        <v/>
      </c>
      <c r="Q52" s="81" t="str">
        <f t="shared" ca="1" si="4"/>
        <v/>
      </c>
      <c r="R52" s="136"/>
      <c r="S52" s="88"/>
      <c r="T52" s="81"/>
      <c r="U52" s="153">
        <v>51</v>
      </c>
      <c r="V52" s="153"/>
      <c r="W52" s="153"/>
      <c r="X52" s="153"/>
      <c r="Y52" s="136"/>
      <c r="Z52" s="153"/>
      <c r="AA52" s="152"/>
      <c r="AB52" s="8">
        <v>0.34</v>
      </c>
    </row>
    <row r="53" spans="1:28" ht="115.2" hidden="1">
      <c r="A53" s="74" t="s">
        <v>180</v>
      </c>
      <c r="B53" s="75" t="s">
        <v>181</v>
      </c>
      <c r="C53" s="74" t="s">
        <v>206</v>
      </c>
      <c r="D53" s="74" t="s">
        <v>207</v>
      </c>
      <c r="E53" s="76" t="s">
        <v>188</v>
      </c>
      <c r="F53" s="74" t="s">
        <v>651</v>
      </c>
      <c r="G53" s="74" t="s">
        <v>148</v>
      </c>
      <c r="H53" s="77" t="s">
        <v>169</v>
      </c>
      <c r="I53" s="207"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3">
        <v>52</v>
      </c>
      <c r="V53" s="153"/>
      <c r="W53" s="153"/>
      <c r="X53" s="153"/>
      <c r="Y53" s="136"/>
      <c r="Z53" s="153"/>
      <c r="AA53" s="152"/>
      <c r="AB53" s="8">
        <v>0.5</v>
      </c>
    </row>
    <row r="54" spans="1:28" ht="57.6" hidden="1">
      <c r="A54" s="74" t="s">
        <v>180</v>
      </c>
      <c r="B54" s="75" t="s">
        <v>181</v>
      </c>
      <c r="C54" s="74" t="s">
        <v>186</v>
      </c>
      <c r="D54" s="74"/>
      <c r="E54" s="76"/>
      <c r="F54" s="74" t="s">
        <v>209</v>
      </c>
      <c r="G54" s="74" t="s">
        <v>210</v>
      </c>
      <c r="H54" s="77">
        <v>45809</v>
      </c>
      <c r="I54" s="211">
        <v>46079</v>
      </c>
      <c r="J54" s="82" t="s">
        <v>191</v>
      </c>
      <c r="K54" s="74" t="s">
        <v>628</v>
      </c>
      <c r="L54" s="214" t="s">
        <v>20</v>
      </c>
      <c r="M54" s="80" t="str">
        <f t="shared" ca="1" si="0"/>
        <v/>
      </c>
      <c r="N54" s="37" t="str">
        <f t="shared" ca="1" si="1"/>
        <v/>
      </c>
      <c r="O54" s="81" t="str">
        <f t="shared" ca="1" si="2"/>
        <v/>
      </c>
      <c r="P54" s="81" t="str">
        <f t="shared" ca="1" si="3"/>
        <v/>
      </c>
      <c r="Q54" s="81" t="str">
        <f t="shared" ca="1" si="4"/>
        <v/>
      </c>
      <c r="R54" s="84" t="s">
        <v>623</v>
      </c>
      <c r="S54" s="217">
        <v>46079</v>
      </c>
      <c r="T54" s="81"/>
      <c r="U54" s="153">
        <v>53</v>
      </c>
      <c r="V54" s="153"/>
      <c r="W54" s="153"/>
      <c r="X54" s="153"/>
      <c r="Y54" s="136"/>
      <c r="Z54" s="153"/>
      <c r="AA54" s="152"/>
      <c r="AB54" s="8">
        <v>0.5</v>
      </c>
    </row>
    <row r="55" spans="1:28" ht="136.80000000000001" hidden="1">
      <c r="A55" s="74" t="s">
        <v>180</v>
      </c>
      <c r="B55" s="75" t="s">
        <v>181</v>
      </c>
      <c r="C55" s="74" t="s">
        <v>211</v>
      </c>
      <c r="D55" s="74" t="s">
        <v>212</v>
      </c>
      <c r="E55" s="76" t="s">
        <v>188</v>
      </c>
      <c r="F55" s="74" t="s">
        <v>213</v>
      </c>
      <c r="G55" s="74" t="s">
        <v>210</v>
      </c>
      <c r="H55" s="77">
        <v>45809</v>
      </c>
      <c r="I55" s="207">
        <v>45875</v>
      </c>
      <c r="J55" s="85" t="s">
        <v>214</v>
      </c>
      <c r="K55" s="74" t="s">
        <v>215</v>
      </c>
      <c r="L55" s="79" t="s">
        <v>20</v>
      </c>
      <c r="M55" s="80" t="str">
        <f t="shared" ca="1" si="0"/>
        <v/>
      </c>
      <c r="N55" s="37" t="str">
        <f t="shared" ca="1" si="1"/>
        <v/>
      </c>
      <c r="O55" s="81" t="str">
        <f t="shared" ca="1" si="2"/>
        <v/>
      </c>
      <c r="P55" s="81" t="str">
        <f t="shared" ca="1" si="3"/>
        <v/>
      </c>
      <c r="Q55" s="81" t="str">
        <f t="shared" ca="1" si="4"/>
        <v/>
      </c>
      <c r="R55" s="136"/>
      <c r="S55" s="88"/>
      <c r="T55" s="81"/>
      <c r="U55" s="153">
        <v>54</v>
      </c>
      <c r="V55" s="153"/>
      <c r="W55" s="153"/>
      <c r="X55" s="153"/>
      <c r="Y55" s="136"/>
      <c r="Z55" s="153"/>
      <c r="AA55" s="152"/>
      <c r="AB55" s="8">
        <v>1</v>
      </c>
    </row>
    <row r="56" spans="1:28" ht="69" hidden="1">
      <c r="A56" s="74" t="s">
        <v>180</v>
      </c>
      <c r="B56" s="75" t="s">
        <v>181</v>
      </c>
      <c r="C56" s="74" t="s">
        <v>216</v>
      </c>
      <c r="D56" s="74" t="s">
        <v>217</v>
      </c>
      <c r="E56" s="76" t="s">
        <v>188</v>
      </c>
      <c r="F56" s="74" t="s">
        <v>218</v>
      </c>
      <c r="G56" s="74" t="s">
        <v>210</v>
      </c>
      <c r="H56" s="77">
        <v>45809</v>
      </c>
      <c r="I56" s="207">
        <v>45875</v>
      </c>
      <c r="J56" s="85" t="s">
        <v>219</v>
      </c>
      <c r="K56" s="74" t="s">
        <v>220</v>
      </c>
      <c r="L56" s="79" t="s">
        <v>20</v>
      </c>
      <c r="M56" s="80" t="str">
        <f t="shared" ca="1" si="0"/>
        <v/>
      </c>
      <c r="N56" s="37" t="str">
        <f t="shared" ca="1" si="1"/>
        <v/>
      </c>
      <c r="O56" s="81" t="str">
        <f t="shared" ca="1" si="2"/>
        <v/>
      </c>
      <c r="P56" s="81" t="str">
        <f t="shared" ca="1" si="3"/>
        <v/>
      </c>
      <c r="Q56" s="81" t="str">
        <f t="shared" ca="1" si="4"/>
        <v/>
      </c>
      <c r="R56" s="136"/>
      <c r="S56" s="88"/>
      <c r="T56" s="81"/>
      <c r="U56" s="153">
        <v>55</v>
      </c>
      <c r="V56" s="153"/>
      <c r="W56" s="153"/>
      <c r="X56" s="153"/>
      <c r="Y56" s="136"/>
      <c r="Z56" s="153"/>
      <c r="AA56" s="152"/>
      <c r="AB56" s="8">
        <v>1</v>
      </c>
    </row>
    <row r="57" spans="1:28" ht="114" hidden="1">
      <c r="A57" s="74" t="s">
        <v>180</v>
      </c>
      <c r="B57" s="75" t="s">
        <v>181</v>
      </c>
      <c r="C57" s="74" t="s">
        <v>221</v>
      </c>
      <c r="D57" s="74" t="s">
        <v>222</v>
      </c>
      <c r="E57" s="76" t="s">
        <v>188</v>
      </c>
      <c r="F57" s="74" t="s">
        <v>223</v>
      </c>
      <c r="G57" s="74" t="s">
        <v>210</v>
      </c>
      <c r="H57" s="77">
        <v>45809</v>
      </c>
      <c r="I57" s="207">
        <v>45881</v>
      </c>
      <c r="J57" s="85" t="s">
        <v>224</v>
      </c>
      <c r="K57" s="74" t="s">
        <v>225</v>
      </c>
      <c r="L57" s="79" t="s">
        <v>20</v>
      </c>
      <c r="M57" s="80" t="str">
        <f t="shared" ca="1" si="0"/>
        <v/>
      </c>
      <c r="N57" s="37" t="str">
        <f t="shared" ca="1" si="1"/>
        <v/>
      </c>
      <c r="O57" s="81" t="str">
        <f t="shared" ca="1" si="2"/>
        <v/>
      </c>
      <c r="P57" s="81" t="str">
        <f t="shared" ca="1" si="3"/>
        <v/>
      </c>
      <c r="Q57" s="81" t="str">
        <f t="shared" ca="1" si="4"/>
        <v/>
      </c>
      <c r="R57" s="136"/>
      <c r="S57" s="88"/>
      <c r="T57" s="81"/>
      <c r="U57" s="153">
        <v>56</v>
      </c>
      <c r="V57" s="153"/>
      <c r="W57" s="153"/>
      <c r="X57" s="153"/>
      <c r="Y57" s="136"/>
      <c r="Z57" s="153"/>
      <c r="AA57" s="152"/>
      <c r="AB57" s="8">
        <v>1</v>
      </c>
    </row>
    <row r="58" spans="1:28" ht="103.2" hidden="1">
      <c r="A58" s="74" t="s">
        <v>180</v>
      </c>
      <c r="B58" s="75" t="s">
        <v>181</v>
      </c>
      <c r="C58" s="74" t="s">
        <v>226</v>
      </c>
      <c r="D58" s="74" t="s">
        <v>227</v>
      </c>
      <c r="E58" s="76" t="s">
        <v>188</v>
      </c>
      <c r="F58" s="74" t="s">
        <v>228</v>
      </c>
      <c r="G58" s="74" t="s">
        <v>210</v>
      </c>
      <c r="H58" s="77">
        <v>45809</v>
      </c>
      <c r="I58" s="207">
        <v>45960</v>
      </c>
      <c r="J58" s="85" t="s">
        <v>229</v>
      </c>
      <c r="K58" s="74" t="s">
        <v>230</v>
      </c>
      <c r="L58" s="79" t="s">
        <v>20</v>
      </c>
      <c r="M58" s="80" t="str">
        <f t="shared" ca="1" si="0"/>
        <v/>
      </c>
      <c r="N58" s="37" t="str">
        <f t="shared" ca="1" si="1"/>
        <v/>
      </c>
      <c r="O58" s="81" t="str">
        <f t="shared" ca="1" si="2"/>
        <v/>
      </c>
      <c r="P58" s="81" t="str">
        <f t="shared" ca="1" si="3"/>
        <v/>
      </c>
      <c r="Q58" s="81" t="str">
        <f t="shared" ca="1" si="4"/>
        <v/>
      </c>
      <c r="R58" s="136"/>
      <c r="S58" s="88"/>
      <c r="T58" s="81"/>
      <c r="U58" s="153">
        <v>57</v>
      </c>
      <c r="V58" s="153"/>
      <c r="W58" s="153"/>
      <c r="X58" s="153"/>
      <c r="Y58" s="136"/>
      <c r="Z58" s="153"/>
      <c r="AA58" s="152"/>
      <c r="AB58" s="8">
        <v>1</v>
      </c>
    </row>
    <row r="59" spans="1:28" ht="240.6" hidden="1">
      <c r="A59" s="74" t="s">
        <v>180</v>
      </c>
      <c r="B59" s="75" t="s">
        <v>181</v>
      </c>
      <c r="C59" s="74" t="s">
        <v>231</v>
      </c>
      <c r="D59" s="74" t="s">
        <v>232</v>
      </c>
      <c r="E59" s="76" t="s">
        <v>188</v>
      </c>
      <c r="F59" s="74" t="s">
        <v>233</v>
      </c>
      <c r="G59" s="74" t="s">
        <v>210</v>
      </c>
      <c r="H59" s="77">
        <v>45809</v>
      </c>
      <c r="I59" s="207">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3" t="s">
        <v>1523</v>
      </c>
      <c r="U59" s="153">
        <v>58</v>
      </c>
      <c r="V59" s="153"/>
      <c r="W59" s="153"/>
      <c r="X59" s="153"/>
      <c r="Y59" s="136"/>
      <c r="Z59" s="153"/>
      <c r="AA59" s="152"/>
      <c r="AB59" s="8">
        <v>0.33</v>
      </c>
    </row>
    <row r="60" spans="1:28" ht="72" hidden="1">
      <c r="A60" s="74" t="s">
        <v>180</v>
      </c>
      <c r="B60" s="75" t="s">
        <v>181</v>
      </c>
      <c r="C60" s="74" t="s">
        <v>231</v>
      </c>
      <c r="D60" s="74"/>
      <c r="E60" s="76"/>
      <c r="F60" s="74" t="s">
        <v>236</v>
      </c>
      <c r="G60" s="74" t="s">
        <v>210</v>
      </c>
      <c r="H60" s="77">
        <v>45809</v>
      </c>
      <c r="I60" s="207">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3" t="s">
        <v>1523</v>
      </c>
      <c r="U60" s="153">
        <v>59</v>
      </c>
      <c r="V60" s="153"/>
      <c r="W60" s="153"/>
      <c r="X60" s="153"/>
      <c r="Y60" s="136"/>
      <c r="Z60" s="153"/>
      <c r="AA60" s="152"/>
      <c r="AB60" s="8">
        <v>0.33</v>
      </c>
    </row>
    <row r="61" spans="1:28" ht="34.200000000000003" hidden="1">
      <c r="A61" s="74" t="s">
        <v>180</v>
      </c>
      <c r="B61" s="75" t="s">
        <v>181</v>
      </c>
      <c r="C61" s="74" t="s">
        <v>182</v>
      </c>
      <c r="D61" s="74"/>
      <c r="E61" s="76"/>
      <c r="F61" s="74" t="s">
        <v>238</v>
      </c>
      <c r="G61" s="74" t="s">
        <v>239</v>
      </c>
      <c r="H61" s="77">
        <v>45809</v>
      </c>
      <c r="I61" s="207">
        <v>46006</v>
      </c>
      <c r="J61" s="85" t="s">
        <v>240</v>
      </c>
      <c r="K61" s="74" t="s">
        <v>241</v>
      </c>
      <c r="L61" s="79" t="s">
        <v>20</v>
      </c>
      <c r="M61" s="80" t="str">
        <f t="shared" ca="1" si="0"/>
        <v/>
      </c>
      <c r="N61" s="37" t="str">
        <f t="shared" ca="1" si="1"/>
        <v/>
      </c>
      <c r="O61" s="81" t="str">
        <f t="shared" ca="1" si="2"/>
        <v/>
      </c>
      <c r="P61" s="81" t="str">
        <f t="shared" ca="1" si="3"/>
        <v/>
      </c>
      <c r="Q61" s="81" t="str">
        <f t="shared" ca="1" si="4"/>
        <v/>
      </c>
      <c r="R61" s="136"/>
      <c r="S61" s="88"/>
      <c r="T61" s="81"/>
      <c r="U61" s="153">
        <v>60</v>
      </c>
      <c r="V61" s="153"/>
      <c r="W61" s="153"/>
      <c r="X61" s="153"/>
      <c r="Y61" s="136"/>
      <c r="Z61" s="153"/>
      <c r="AA61" s="152"/>
      <c r="AB61" s="8">
        <v>0.34</v>
      </c>
    </row>
    <row r="62" spans="1:28" ht="137.4" hidden="1">
      <c r="A62" s="74" t="s">
        <v>180</v>
      </c>
      <c r="B62" s="75" t="s">
        <v>181</v>
      </c>
      <c r="C62" s="74" t="s">
        <v>182</v>
      </c>
      <c r="D62" s="74" t="s">
        <v>242</v>
      </c>
      <c r="E62" s="76" t="s">
        <v>188</v>
      </c>
      <c r="F62" s="74" t="s">
        <v>243</v>
      </c>
      <c r="G62" s="74" t="s">
        <v>17</v>
      </c>
      <c r="H62" s="77">
        <v>45809</v>
      </c>
      <c r="I62" s="207">
        <v>45853</v>
      </c>
      <c r="J62" s="85" t="s">
        <v>244</v>
      </c>
      <c r="K62" s="74" t="s">
        <v>245</v>
      </c>
      <c r="L62" s="79" t="s">
        <v>20</v>
      </c>
      <c r="M62" s="80" t="str">
        <f t="shared" ca="1" si="0"/>
        <v/>
      </c>
      <c r="N62" s="37" t="str">
        <f t="shared" ca="1" si="1"/>
        <v/>
      </c>
      <c r="O62" s="81" t="str">
        <f t="shared" ca="1" si="2"/>
        <v/>
      </c>
      <c r="P62" s="81" t="str">
        <f t="shared" ca="1" si="3"/>
        <v/>
      </c>
      <c r="Q62" s="81" t="str">
        <f t="shared" ca="1" si="4"/>
        <v/>
      </c>
      <c r="R62" s="136"/>
      <c r="S62" s="88"/>
      <c r="T62" s="81"/>
      <c r="U62" s="153">
        <v>61</v>
      </c>
      <c r="V62" s="153"/>
      <c r="W62" s="153"/>
      <c r="X62" s="153"/>
      <c r="Y62" s="136"/>
      <c r="Z62" s="153"/>
      <c r="AA62" s="152"/>
      <c r="AB62" s="8">
        <v>0.33</v>
      </c>
    </row>
    <row r="63" spans="1:28" ht="45.6">
      <c r="A63" s="74" t="s">
        <v>180</v>
      </c>
      <c r="B63" s="75" t="s">
        <v>181</v>
      </c>
      <c r="C63" s="74" t="s">
        <v>182</v>
      </c>
      <c r="D63" s="74"/>
      <c r="E63" s="76"/>
      <c r="F63" s="74" t="s">
        <v>246</v>
      </c>
      <c r="G63" s="74" t="s">
        <v>17</v>
      </c>
      <c r="H63" s="77">
        <v>45809</v>
      </c>
      <c r="I63" s="207">
        <v>46032</v>
      </c>
      <c r="J63" s="91" t="s">
        <v>247</v>
      </c>
      <c r="K63" s="90" t="s">
        <v>248</v>
      </c>
      <c r="L63" s="208" t="s">
        <v>20</v>
      </c>
      <c r="M63" s="80" t="str">
        <f t="shared" ca="1" si="0"/>
        <v/>
      </c>
      <c r="N63" s="37" t="str">
        <f t="shared" ca="1" si="1"/>
        <v/>
      </c>
      <c r="O63" s="81" t="str">
        <f t="shared" ca="1" si="2"/>
        <v/>
      </c>
      <c r="P63" s="81" t="str">
        <f t="shared" ca="1" si="3"/>
        <v/>
      </c>
      <c r="Q63" s="81" t="str">
        <f t="shared" ca="1" si="4"/>
        <v/>
      </c>
      <c r="R63" s="136"/>
      <c r="S63" s="221">
        <v>46032</v>
      </c>
      <c r="T63" s="81"/>
      <c r="U63" s="153">
        <v>62</v>
      </c>
      <c r="V63" s="153"/>
      <c r="W63" s="153"/>
      <c r="X63" s="153"/>
      <c r="Y63" s="136"/>
      <c r="Z63" s="153"/>
      <c r="AA63" s="152"/>
      <c r="AB63" s="8">
        <v>0.33</v>
      </c>
    </row>
    <row r="64" spans="1:28" ht="45.6">
      <c r="A64" s="74" t="s">
        <v>180</v>
      </c>
      <c r="B64" s="75" t="s">
        <v>181</v>
      </c>
      <c r="C64" s="74" t="s">
        <v>182</v>
      </c>
      <c r="D64" s="74"/>
      <c r="E64" s="76"/>
      <c r="F64" s="74" t="s">
        <v>249</v>
      </c>
      <c r="G64" s="74" t="s">
        <v>17</v>
      </c>
      <c r="H64" s="77">
        <v>45809</v>
      </c>
      <c r="I64" s="207">
        <v>46052</v>
      </c>
      <c r="J64" s="91" t="s">
        <v>250</v>
      </c>
      <c r="K64" s="90" t="s">
        <v>248</v>
      </c>
      <c r="L64" s="208" t="s">
        <v>20</v>
      </c>
      <c r="M64" s="80" t="str">
        <f t="shared" ca="1" si="0"/>
        <v/>
      </c>
      <c r="N64" s="37" t="str">
        <f t="shared" ca="1" si="1"/>
        <v/>
      </c>
      <c r="O64" s="81" t="str">
        <f t="shared" ca="1" si="2"/>
        <v/>
      </c>
      <c r="P64" s="81" t="str">
        <f t="shared" ca="1" si="3"/>
        <v/>
      </c>
      <c r="Q64" s="81" t="str">
        <f t="shared" ca="1" si="4"/>
        <v/>
      </c>
      <c r="R64" s="136"/>
      <c r="S64" s="221">
        <v>46052</v>
      </c>
      <c r="T64" s="81"/>
      <c r="U64" s="153">
        <v>63</v>
      </c>
      <c r="V64" s="153"/>
      <c r="W64" s="153"/>
      <c r="X64" s="153"/>
      <c r="Y64" s="136"/>
      <c r="Z64" s="153"/>
      <c r="AA64" s="152"/>
      <c r="AB64" s="8">
        <v>0.34</v>
      </c>
    </row>
    <row r="65" spans="1:28" ht="79.8" hidden="1">
      <c r="A65" s="74" t="s">
        <v>180</v>
      </c>
      <c r="B65" s="92" t="s">
        <v>251</v>
      </c>
      <c r="C65" s="45" t="s">
        <v>252</v>
      </c>
      <c r="D65" s="45" t="s">
        <v>253</v>
      </c>
      <c r="E65" s="199" t="s">
        <v>254</v>
      </c>
      <c r="F65" s="47" t="s">
        <v>255</v>
      </c>
      <c r="G65" s="47" t="s">
        <v>256</v>
      </c>
      <c r="H65" s="87">
        <v>45922</v>
      </c>
      <c r="I65" s="209">
        <v>45961</v>
      </c>
      <c r="J65" s="93" t="s">
        <v>257</v>
      </c>
      <c r="K65" s="45" t="s">
        <v>258</v>
      </c>
      <c r="L65" s="37" t="s">
        <v>20</v>
      </c>
      <c r="M65" s="80" t="str">
        <f t="shared" ca="1" si="0"/>
        <v/>
      </c>
      <c r="N65" s="37" t="str">
        <f t="shared" ca="1" si="1"/>
        <v/>
      </c>
      <c r="O65" s="81" t="str">
        <f t="shared" ca="1" si="2"/>
        <v/>
      </c>
      <c r="P65" s="81" t="str">
        <f t="shared" ca="1" si="3"/>
        <v/>
      </c>
      <c r="Q65" s="81" t="str">
        <f t="shared" ca="1" si="4"/>
        <v/>
      </c>
      <c r="R65" s="136"/>
      <c r="S65" s="88"/>
      <c r="T65" s="81"/>
      <c r="U65" s="153">
        <v>64</v>
      </c>
      <c r="V65" s="153"/>
      <c r="W65" s="153"/>
      <c r="X65" s="153"/>
      <c r="Y65" s="136"/>
      <c r="Z65" s="153"/>
      <c r="AA65" s="152"/>
      <c r="AB65" s="8">
        <v>0.5</v>
      </c>
    </row>
    <row r="66" spans="1:28" ht="114" hidden="1">
      <c r="A66" s="74" t="s">
        <v>180</v>
      </c>
      <c r="B66" s="92" t="s">
        <v>251</v>
      </c>
      <c r="C66" s="45" t="s">
        <v>252</v>
      </c>
      <c r="D66" s="45"/>
      <c r="E66" s="199"/>
      <c r="F66" s="47" t="s">
        <v>259</v>
      </c>
      <c r="G66" s="47" t="s">
        <v>269</v>
      </c>
      <c r="H66" s="87">
        <v>45922</v>
      </c>
      <c r="I66" s="209">
        <v>45961</v>
      </c>
      <c r="J66" s="93" t="s">
        <v>257</v>
      </c>
      <c r="K66" s="45" t="s">
        <v>260</v>
      </c>
      <c r="L66" s="37" t="s">
        <v>20</v>
      </c>
      <c r="M66" s="80" t="str">
        <f t="shared" ca="1" si="0"/>
        <v/>
      </c>
      <c r="N66" s="37" t="str">
        <f t="shared" ca="1" si="1"/>
        <v/>
      </c>
      <c r="O66" s="81" t="str">
        <f t="shared" ca="1" si="2"/>
        <v/>
      </c>
      <c r="P66" s="81" t="str">
        <f t="shared" ca="1" si="3"/>
        <v/>
      </c>
      <c r="Q66" s="81" t="str">
        <f t="shared" ca="1" si="4"/>
        <v/>
      </c>
      <c r="R66" s="136"/>
      <c r="S66" s="88"/>
      <c r="T66" s="81"/>
      <c r="U66" s="153">
        <v>65</v>
      </c>
      <c r="V66" s="153"/>
      <c r="W66" s="153"/>
      <c r="X66" s="153"/>
      <c r="Y66" s="136"/>
      <c r="Z66" s="153"/>
      <c r="AA66" s="152"/>
      <c r="AB66" s="8">
        <v>0.5</v>
      </c>
    </row>
    <row r="67" spans="1:28" ht="80.400000000000006" hidden="1">
      <c r="A67" s="74" t="s">
        <v>180</v>
      </c>
      <c r="B67" s="92" t="s">
        <v>251</v>
      </c>
      <c r="C67" s="45" t="s">
        <v>261</v>
      </c>
      <c r="D67" s="45" t="s">
        <v>262</v>
      </c>
      <c r="E67" s="76" t="s">
        <v>188</v>
      </c>
      <c r="F67" s="47" t="s">
        <v>263</v>
      </c>
      <c r="G67" s="47" t="s">
        <v>148</v>
      </c>
      <c r="H67" s="87">
        <v>45922</v>
      </c>
      <c r="I67" s="209">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6"/>
      <c r="S67" s="88"/>
      <c r="T67" s="81"/>
      <c r="U67" s="153">
        <v>66</v>
      </c>
      <c r="V67" s="153"/>
      <c r="W67" s="153"/>
      <c r="X67" s="153"/>
      <c r="Y67" s="136"/>
      <c r="Z67" s="153"/>
      <c r="AA67" s="152"/>
      <c r="AB67" s="8">
        <v>1</v>
      </c>
    </row>
    <row r="68" spans="1:28" ht="68.400000000000006" hidden="1">
      <c r="A68" s="74" t="s">
        <v>180</v>
      </c>
      <c r="B68" s="92" t="s">
        <v>251</v>
      </c>
      <c r="C68" s="45" t="s">
        <v>266</v>
      </c>
      <c r="D68" s="45" t="s">
        <v>267</v>
      </c>
      <c r="E68" s="76" t="s">
        <v>188</v>
      </c>
      <c r="F68" s="47" t="s">
        <v>268</v>
      </c>
      <c r="G68" s="47" t="s">
        <v>269</v>
      </c>
      <c r="H68" s="87">
        <v>45922</v>
      </c>
      <c r="I68" s="209">
        <v>46022</v>
      </c>
      <c r="J68" s="93" t="s">
        <v>270</v>
      </c>
      <c r="K68" s="45" t="s">
        <v>271</v>
      </c>
      <c r="L68" s="37" t="s">
        <v>20</v>
      </c>
      <c r="M68" s="80" t="str">
        <f t="shared" ca="1" si="5"/>
        <v/>
      </c>
      <c r="N68" s="37" t="str">
        <f t="shared" ca="1" si="6"/>
        <v/>
      </c>
      <c r="O68" s="81" t="str">
        <f t="shared" ca="1" si="7"/>
        <v/>
      </c>
      <c r="P68" s="81" t="str">
        <f t="shared" ca="1" si="8"/>
        <v/>
      </c>
      <c r="Q68" s="81" t="str">
        <f t="shared" ca="1" si="9"/>
        <v/>
      </c>
      <c r="R68" s="136"/>
      <c r="S68" s="88"/>
      <c r="T68" s="81"/>
      <c r="U68" s="153">
        <v>67</v>
      </c>
      <c r="V68" s="153"/>
      <c r="W68" s="153"/>
      <c r="X68" s="153"/>
      <c r="Y68" s="136"/>
      <c r="Z68" s="153"/>
      <c r="AA68" s="152"/>
      <c r="AB68" s="8">
        <v>1</v>
      </c>
    </row>
    <row r="69" spans="1:28" ht="102.6">
      <c r="A69" s="74" t="s">
        <v>180</v>
      </c>
      <c r="B69" s="92" t="s">
        <v>251</v>
      </c>
      <c r="C69" s="45" t="s">
        <v>272</v>
      </c>
      <c r="D69" s="45" t="s">
        <v>273</v>
      </c>
      <c r="E69" s="76" t="s">
        <v>188</v>
      </c>
      <c r="F69" s="47" t="s">
        <v>274</v>
      </c>
      <c r="G69" s="74" t="s">
        <v>275</v>
      </c>
      <c r="H69" s="87">
        <v>45922</v>
      </c>
      <c r="I69" s="209">
        <v>46053</v>
      </c>
      <c r="J69" s="95" t="s">
        <v>276</v>
      </c>
      <c r="K69" s="45" t="s">
        <v>277</v>
      </c>
      <c r="L69" s="219" t="s">
        <v>20</v>
      </c>
      <c r="M69" s="80" t="str">
        <f t="shared" ca="1" si="5"/>
        <v/>
      </c>
      <c r="N69" s="37" t="str">
        <f t="shared" ca="1" si="6"/>
        <v/>
      </c>
      <c r="O69" s="81" t="str">
        <f t="shared" ca="1" si="7"/>
        <v/>
      </c>
      <c r="P69" s="81" t="str">
        <f t="shared" ca="1" si="8"/>
        <v/>
      </c>
      <c r="Q69" s="81" t="str">
        <f t="shared" ca="1" si="9"/>
        <v/>
      </c>
      <c r="R69" s="84" t="s">
        <v>624</v>
      </c>
      <c r="S69" s="221">
        <v>46053</v>
      </c>
      <c r="T69" s="81"/>
      <c r="U69" s="153">
        <v>68</v>
      </c>
      <c r="V69" s="153"/>
      <c r="W69" s="153"/>
      <c r="X69" s="153"/>
      <c r="Y69" s="136"/>
      <c r="Z69" s="153"/>
      <c r="AA69" s="152"/>
      <c r="AB69" s="8">
        <v>1</v>
      </c>
    </row>
    <row r="70" spans="1:28" ht="45.6">
      <c r="A70" s="74" t="s">
        <v>180</v>
      </c>
      <c r="B70" s="92" t="s">
        <v>251</v>
      </c>
      <c r="C70" s="45" t="s">
        <v>278</v>
      </c>
      <c r="D70" s="45" t="s">
        <v>279</v>
      </c>
      <c r="E70" s="199" t="s">
        <v>280</v>
      </c>
      <c r="F70" s="47" t="s">
        <v>281</v>
      </c>
      <c r="G70" s="47" t="s">
        <v>502</v>
      </c>
      <c r="H70" s="87">
        <v>45922</v>
      </c>
      <c r="I70" s="209">
        <v>46053</v>
      </c>
      <c r="J70" s="95" t="s">
        <v>282</v>
      </c>
      <c r="K70" s="45" t="s">
        <v>283</v>
      </c>
      <c r="L70" s="219" t="s">
        <v>20</v>
      </c>
      <c r="M70" s="80" t="str">
        <f t="shared" ca="1" si="5"/>
        <v/>
      </c>
      <c r="N70" s="37" t="str">
        <f t="shared" ca="1" si="6"/>
        <v/>
      </c>
      <c r="O70" s="81" t="str">
        <f t="shared" ca="1" si="7"/>
        <v/>
      </c>
      <c r="P70" s="81" t="str">
        <f t="shared" ca="1" si="8"/>
        <v/>
      </c>
      <c r="Q70" s="81" t="str">
        <f t="shared" ca="1" si="9"/>
        <v/>
      </c>
      <c r="R70" s="136"/>
      <c r="S70" s="221">
        <v>46053</v>
      </c>
      <c r="T70" s="81"/>
      <c r="U70" s="153">
        <v>69</v>
      </c>
      <c r="V70" s="153"/>
      <c r="W70" s="153"/>
      <c r="X70" s="153"/>
      <c r="Y70" s="136"/>
      <c r="Z70" s="153"/>
      <c r="AA70" s="152"/>
      <c r="AB70" s="8">
        <v>1</v>
      </c>
    </row>
    <row r="71" spans="1:28" ht="80.400000000000006">
      <c r="A71" s="74" t="s">
        <v>180</v>
      </c>
      <c r="B71" s="92" t="s">
        <v>251</v>
      </c>
      <c r="C71" s="45" t="s">
        <v>284</v>
      </c>
      <c r="D71" s="45" t="s">
        <v>285</v>
      </c>
      <c r="E71" s="199" t="s">
        <v>280</v>
      </c>
      <c r="F71" s="47" t="s">
        <v>286</v>
      </c>
      <c r="G71" s="47" t="s">
        <v>256</v>
      </c>
      <c r="H71" s="87">
        <v>45922</v>
      </c>
      <c r="I71" s="209">
        <v>46053</v>
      </c>
      <c r="J71" s="93" t="s">
        <v>287</v>
      </c>
      <c r="K71" s="45" t="s">
        <v>288</v>
      </c>
      <c r="L71" s="219" t="s">
        <v>20</v>
      </c>
      <c r="M71" s="80" t="str">
        <f t="shared" ca="1" si="5"/>
        <v/>
      </c>
      <c r="N71" s="37" t="str">
        <f t="shared" ca="1" si="6"/>
        <v/>
      </c>
      <c r="O71" s="81" t="str">
        <f t="shared" ca="1" si="7"/>
        <v/>
      </c>
      <c r="P71" s="81" t="str">
        <f t="shared" ca="1" si="8"/>
        <v/>
      </c>
      <c r="Q71" s="81" t="str">
        <f t="shared" ca="1" si="9"/>
        <v/>
      </c>
      <c r="R71" s="136"/>
      <c r="S71" s="221">
        <v>46053</v>
      </c>
      <c r="T71" s="81"/>
      <c r="U71" s="153">
        <v>70</v>
      </c>
      <c r="V71" s="153"/>
      <c r="W71" s="153"/>
      <c r="X71" s="153"/>
      <c r="Y71" s="136"/>
      <c r="Z71" s="153"/>
      <c r="AA71" s="152"/>
      <c r="AB71" s="8">
        <v>0.5</v>
      </c>
    </row>
    <row r="72" spans="1:28" ht="34.799999999999997" hidden="1">
      <c r="A72" s="74" t="s">
        <v>180</v>
      </c>
      <c r="B72" s="92" t="s">
        <v>251</v>
      </c>
      <c r="C72" s="45" t="s">
        <v>284</v>
      </c>
      <c r="D72" s="45"/>
      <c r="E72" s="199"/>
      <c r="F72" s="47" t="s">
        <v>289</v>
      </c>
      <c r="G72" s="47" t="s">
        <v>256</v>
      </c>
      <c r="H72" s="87">
        <v>45922</v>
      </c>
      <c r="I72" s="209">
        <v>45989</v>
      </c>
      <c r="J72" s="93" t="s">
        <v>287</v>
      </c>
      <c r="K72" s="45" t="s">
        <v>283</v>
      </c>
      <c r="L72" s="37" t="s">
        <v>20</v>
      </c>
      <c r="M72" s="80" t="str">
        <f t="shared" ca="1" si="5"/>
        <v/>
      </c>
      <c r="N72" s="37" t="str">
        <f t="shared" ca="1" si="6"/>
        <v/>
      </c>
      <c r="O72" s="81" t="str">
        <f t="shared" ca="1" si="7"/>
        <v/>
      </c>
      <c r="P72" s="81" t="str">
        <f t="shared" ca="1" si="8"/>
        <v/>
      </c>
      <c r="Q72" s="81" t="str">
        <f t="shared" ca="1" si="9"/>
        <v/>
      </c>
      <c r="R72" s="136"/>
      <c r="S72" s="88"/>
      <c r="T72" s="81"/>
      <c r="U72" s="153">
        <v>71</v>
      </c>
      <c r="V72" s="153"/>
      <c r="W72" s="153"/>
      <c r="X72" s="153"/>
      <c r="Y72" s="136"/>
      <c r="Z72" s="153"/>
      <c r="AA72" s="152"/>
      <c r="AB72" s="8">
        <v>0.5</v>
      </c>
    </row>
    <row r="73" spans="1:28" ht="100.8" hidden="1">
      <c r="A73" s="74" t="s">
        <v>180</v>
      </c>
      <c r="B73" s="92" t="s">
        <v>251</v>
      </c>
      <c r="C73" s="45" t="s">
        <v>634</v>
      </c>
      <c r="D73" s="45" t="s">
        <v>290</v>
      </c>
      <c r="E73" s="199" t="s">
        <v>280</v>
      </c>
      <c r="F73" s="47" t="s">
        <v>291</v>
      </c>
      <c r="G73" s="47" t="s">
        <v>269</v>
      </c>
      <c r="H73" s="87">
        <v>45922</v>
      </c>
      <c r="I73" s="209">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3">
        <v>72</v>
      </c>
      <c r="V73" s="153"/>
      <c r="W73" s="153"/>
      <c r="X73" s="153"/>
      <c r="Y73" s="136"/>
      <c r="Z73" s="153"/>
      <c r="AA73" s="152"/>
      <c r="AB73" s="8">
        <v>1</v>
      </c>
    </row>
    <row r="74" spans="1:28" ht="68.400000000000006">
      <c r="A74" s="74" t="s">
        <v>180</v>
      </c>
      <c r="B74" s="92" t="s">
        <v>251</v>
      </c>
      <c r="C74" s="45" t="s">
        <v>294</v>
      </c>
      <c r="D74" s="45" t="s">
        <v>295</v>
      </c>
      <c r="E74" s="199" t="s">
        <v>280</v>
      </c>
      <c r="F74" s="47" t="s">
        <v>296</v>
      </c>
      <c r="G74" s="47" t="s">
        <v>275</v>
      </c>
      <c r="H74" s="87">
        <v>45922</v>
      </c>
      <c r="I74" s="209">
        <v>46053</v>
      </c>
      <c r="J74" s="93" t="s">
        <v>297</v>
      </c>
      <c r="K74" s="45" t="s">
        <v>298</v>
      </c>
      <c r="L74" s="219" t="s">
        <v>20</v>
      </c>
      <c r="M74" s="80" t="str">
        <f t="shared" ca="1" si="5"/>
        <v/>
      </c>
      <c r="N74" s="37" t="str">
        <f t="shared" ca="1" si="6"/>
        <v/>
      </c>
      <c r="O74" s="81" t="str">
        <f t="shared" ca="1" si="7"/>
        <v/>
      </c>
      <c r="P74" s="81" t="str">
        <f t="shared" ca="1" si="8"/>
        <v/>
      </c>
      <c r="Q74" s="81" t="str">
        <f t="shared" ca="1" si="9"/>
        <v/>
      </c>
      <c r="R74" s="136"/>
      <c r="S74" s="221">
        <v>46053</v>
      </c>
      <c r="T74" s="81"/>
      <c r="U74" s="153">
        <v>73</v>
      </c>
      <c r="V74" s="153"/>
      <c r="W74" s="153"/>
      <c r="X74" s="153"/>
      <c r="Y74" s="136"/>
      <c r="Z74" s="153"/>
      <c r="AA74" s="152"/>
      <c r="AB74" s="8">
        <v>1</v>
      </c>
    </row>
    <row r="75" spans="1:28" ht="57">
      <c r="A75" s="74" t="s">
        <v>180</v>
      </c>
      <c r="B75" s="92" t="s">
        <v>251</v>
      </c>
      <c r="C75" s="45" t="s">
        <v>299</v>
      </c>
      <c r="D75" s="45" t="s">
        <v>300</v>
      </c>
      <c r="E75" s="199" t="s">
        <v>280</v>
      </c>
      <c r="F75" s="47" t="s">
        <v>301</v>
      </c>
      <c r="G75" s="47" t="s">
        <v>148</v>
      </c>
      <c r="H75" s="87">
        <v>45922</v>
      </c>
      <c r="I75" s="209">
        <v>46025</v>
      </c>
      <c r="J75" s="93" t="s">
        <v>302</v>
      </c>
      <c r="K75" s="45" t="s">
        <v>303</v>
      </c>
      <c r="L75" s="219" t="s">
        <v>20</v>
      </c>
      <c r="M75" s="80" t="str">
        <f t="shared" ca="1" si="5"/>
        <v/>
      </c>
      <c r="N75" s="37" t="str">
        <f t="shared" ca="1" si="6"/>
        <v/>
      </c>
      <c r="O75" s="81" t="str">
        <f t="shared" ca="1" si="7"/>
        <v/>
      </c>
      <c r="P75" s="81" t="str">
        <f t="shared" ca="1" si="8"/>
        <v/>
      </c>
      <c r="Q75" s="81" t="str">
        <f t="shared" ca="1" si="9"/>
        <v/>
      </c>
      <c r="R75" s="136"/>
      <c r="S75" s="221">
        <v>46025</v>
      </c>
      <c r="T75" s="81"/>
      <c r="U75" s="153">
        <v>74</v>
      </c>
      <c r="V75" s="153"/>
      <c r="W75" s="153"/>
      <c r="X75" s="153"/>
      <c r="Y75" s="136"/>
      <c r="Z75" s="153"/>
      <c r="AA75" s="152"/>
      <c r="AB75" s="8">
        <v>0.5</v>
      </c>
    </row>
    <row r="76" spans="1:28" ht="91.2">
      <c r="A76" s="74" t="s">
        <v>180</v>
      </c>
      <c r="B76" s="92" t="s">
        <v>251</v>
      </c>
      <c r="C76" s="45" t="s">
        <v>299</v>
      </c>
      <c r="D76" s="45"/>
      <c r="E76" s="199"/>
      <c r="F76" s="47" t="s">
        <v>304</v>
      </c>
      <c r="G76" s="47" t="s">
        <v>256</v>
      </c>
      <c r="H76" s="87">
        <v>45922</v>
      </c>
      <c r="I76" s="209">
        <v>46053</v>
      </c>
      <c r="J76" s="93" t="s">
        <v>302</v>
      </c>
      <c r="K76" s="45" t="s">
        <v>305</v>
      </c>
      <c r="L76" s="219" t="s">
        <v>20</v>
      </c>
      <c r="M76" s="80" t="str">
        <f t="shared" ca="1" si="5"/>
        <v/>
      </c>
      <c r="N76" s="37" t="str">
        <f t="shared" ca="1" si="6"/>
        <v/>
      </c>
      <c r="O76" s="81" t="str">
        <f t="shared" ca="1" si="7"/>
        <v/>
      </c>
      <c r="P76" s="81" t="str">
        <f t="shared" ca="1" si="8"/>
        <v/>
      </c>
      <c r="Q76" s="81" t="str">
        <f t="shared" ca="1" si="9"/>
        <v/>
      </c>
      <c r="R76" s="136"/>
      <c r="S76" s="221">
        <v>46053</v>
      </c>
      <c r="T76" s="81"/>
      <c r="U76" s="153">
        <v>75</v>
      </c>
      <c r="V76" s="153"/>
      <c r="W76" s="153"/>
      <c r="X76" s="153"/>
      <c r="Y76" s="136"/>
      <c r="Z76" s="153"/>
      <c r="AA76" s="152"/>
      <c r="AB76" s="8">
        <v>0.5</v>
      </c>
    </row>
    <row r="77" spans="1:28" ht="171" hidden="1">
      <c r="A77" s="74" t="s">
        <v>180</v>
      </c>
      <c r="B77" s="92" t="s">
        <v>306</v>
      </c>
      <c r="C77" s="45" t="s">
        <v>307</v>
      </c>
      <c r="D77" s="74" t="s">
        <v>308</v>
      </c>
      <c r="E77" s="199" t="s">
        <v>280</v>
      </c>
      <c r="F77" s="47" t="s">
        <v>309</v>
      </c>
      <c r="G77" s="74" t="s">
        <v>310</v>
      </c>
      <c r="H77" s="87">
        <v>45988</v>
      </c>
      <c r="I77" s="209">
        <v>45988</v>
      </c>
      <c r="J77" s="97" t="s">
        <v>311</v>
      </c>
      <c r="K77" s="45" t="s">
        <v>312</v>
      </c>
      <c r="L77" s="79" t="s">
        <v>20</v>
      </c>
      <c r="M77" s="80" t="str">
        <f t="shared" ca="1" si="5"/>
        <v/>
      </c>
      <c r="N77" s="37" t="str">
        <f t="shared" ca="1" si="6"/>
        <v/>
      </c>
      <c r="O77" s="81" t="str">
        <f t="shared" ca="1" si="7"/>
        <v/>
      </c>
      <c r="P77" s="81" t="str">
        <f t="shared" ca="1" si="8"/>
        <v/>
      </c>
      <c r="Q77" s="81" t="str">
        <f t="shared" ca="1" si="9"/>
        <v/>
      </c>
      <c r="R77" s="136"/>
      <c r="S77" s="88"/>
      <c r="T77" s="81"/>
      <c r="U77" s="153">
        <v>76</v>
      </c>
      <c r="V77" s="153"/>
      <c r="W77" s="153"/>
      <c r="X77" s="153"/>
      <c r="Y77" s="136"/>
      <c r="Z77" s="153"/>
      <c r="AA77" s="152"/>
      <c r="AB77" s="8">
        <v>1</v>
      </c>
    </row>
    <row r="78" spans="1:28" ht="103.2" hidden="1">
      <c r="A78" s="74" t="s">
        <v>180</v>
      </c>
      <c r="B78" s="92" t="s">
        <v>306</v>
      </c>
      <c r="C78" s="45" t="s">
        <v>313</v>
      </c>
      <c r="D78" s="45" t="s">
        <v>314</v>
      </c>
      <c r="E78" s="199" t="s">
        <v>280</v>
      </c>
      <c r="F78" s="47" t="s">
        <v>315</v>
      </c>
      <c r="G78" s="74" t="s">
        <v>310</v>
      </c>
      <c r="H78" s="87">
        <v>45988</v>
      </c>
      <c r="I78" s="209">
        <v>46129</v>
      </c>
      <c r="J78" s="139" t="s">
        <v>316</v>
      </c>
      <c r="K78" s="138" t="s">
        <v>317</v>
      </c>
      <c r="L78" s="140" t="s">
        <v>33</v>
      </c>
      <c r="M78" s="80" t="str">
        <f t="shared" ca="1" si="5"/>
        <v/>
      </c>
      <c r="N78" s="37" t="str">
        <f t="shared" ca="1" si="6"/>
        <v/>
      </c>
      <c r="O78" s="81" t="str">
        <f t="shared" ca="1" si="7"/>
        <v/>
      </c>
      <c r="P78" s="81" t="str">
        <f t="shared" ca="1" si="8"/>
        <v/>
      </c>
      <c r="Q78" s="81" t="str">
        <f t="shared" ca="1" si="9"/>
        <v/>
      </c>
      <c r="R78" s="141" t="s">
        <v>653</v>
      </c>
      <c r="S78" s="88"/>
      <c r="T78" s="153" t="s">
        <v>1536</v>
      </c>
      <c r="U78" s="153">
        <v>77</v>
      </c>
      <c r="V78" s="153"/>
      <c r="W78" s="153"/>
      <c r="X78" s="153"/>
      <c r="Y78" s="136"/>
      <c r="Z78" s="153"/>
      <c r="AA78" s="152"/>
      <c r="AB78" s="8">
        <v>1</v>
      </c>
    </row>
    <row r="79" spans="1:28" ht="80.400000000000006" hidden="1">
      <c r="A79" s="74" t="s">
        <v>180</v>
      </c>
      <c r="B79" s="92" t="s">
        <v>306</v>
      </c>
      <c r="C79" s="45" t="s">
        <v>318</v>
      </c>
      <c r="D79" s="45" t="s">
        <v>319</v>
      </c>
      <c r="E79" s="199" t="s">
        <v>280</v>
      </c>
      <c r="F79" s="47" t="s">
        <v>320</v>
      </c>
      <c r="G79" s="74" t="s">
        <v>310</v>
      </c>
      <c r="H79" s="87">
        <v>45988</v>
      </c>
      <c r="I79" s="209">
        <v>45992</v>
      </c>
      <c r="J79" s="93" t="s">
        <v>321</v>
      </c>
      <c r="K79" s="45" t="s">
        <v>322</v>
      </c>
      <c r="L79" s="37" t="s">
        <v>20</v>
      </c>
      <c r="M79" s="80" t="str">
        <f t="shared" ca="1" si="5"/>
        <v/>
      </c>
      <c r="N79" s="37" t="str">
        <f t="shared" ca="1" si="6"/>
        <v/>
      </c>
      <c r="O79" s="81" t="str">
        <f t="shared" ca="1" si="7"/>
        <v/>
      </c>
      <c r="P79" s="81" t="str">
        <f t="shared" ca="1" si="8"/>
        <v/>
      </c>
      <c r="Q79" s="81" t="str">
        <f t="shared" ca="1" si="9"/>
        <v/>
      </c>
      <c r="R79" s="136"/>
      <c r="S79" s="88"/>
      <c r="T79" s="81"/>
      <c r="U79" s="153">
        <v>78</v>
      </c>
      <c r="V79" s="153"/>
      <c r="W79" s="153"/>
      <c r="X79" s="153"/>
      <c r="Y79" s="136"/>
      <c r="Z79" s="153"/>
      <c r="AA79" s="152"/>
      <c r="AB79" s="8">
        <v>0.25</v>
      </c>
    </row>
    <row r="80" spans="1:28" ht="57.6" hidden="1">
      <c r="A80" s="74" t="s">
        <v>180</v>
      </c>
      <c r="B80" s="92" t="s">
        <v>306</v>
      </c>
      <c r="C80" s="45" t="s">
        <v>318</v>
      </c>
      <c r="D80" s="45"/>
      <c r="E80" s="199"/>
      <c r="F80" s="47" t="s">
        <v>323</v>
      </c>
      <c r="G80" s="74" t="s">
        <v>310</v>
      </c>
      <c r="H80" s="87">
        <v>45988</v>
      </c>
      <c r="I80" s="209">
        <v>46127</v>
      </c>
      <c r="J80" s="139" t="s">
        <v>321</v>
      </c>
      <c r="K80" s="138"/>
      <c r="L80" s="140" t="s">
        <v>33</v>
      </c>
      <c r="M80" s="80" t="str">
        <f t="shared" ca="1" si="5"/>
        <v/>
      </c>
      <c r="N80" s="37" t="str">
        <f t="shared" ca="1" si="6"/>
        <v/>
      </c>
      <c r="O80" s="81" t="str">
        <f t="shared" ca="1" si="7"/>
        <v/>
      </c>
      <c r="P80" s="81" t="str">
        <f t="shared" ca="1" si="8"/>
        <v/>
      </c>
      <c r="Q80" s="81" t="str">
        <f t="shared" ca="1" si="9"/>
        <v/>
      </c>
      <c r="R80" s="141" t="s">
        <v>653</v>
      </c>
      <c r="S80" s="88"/>
      <c r="T80" s="153" t="s">
        <v>1536</v>
      </c>
      <c r="U80" s="153">
        <v>79</v>
      </c>
      <c r="V80" s="153"/>
      <c r="W80" s="153"/>
      <c r="X80" s="153"/>
      <c r="Y80" s="136"/>
      <c r="Z80" s="153"/>
      <c r="AA80" s="152"/>
      <c r="AB80" s="8">
        <v>0.25</v>
      </c>
    </row>
    <row r="81" spans="1:28" ht="91.2" hidden="1">
      <c r="A81" s="74" t="s">
        <v>180</v>
      </c>
      <c r="B81" s="92" t="s">
        <v>306</v>
      </c>
      <c r="C81" s="45" t="s">
        <v>318</v>
      </c>
      <c r="D81" s="45"/>
      <c r="E81" s="199"/>
      <c r="F81" s="47" t="s">
        <v>324</v>
      </c>
      <c r="G81" s="74" t="s">
        <v>17</v>
      </c>
      <c r="H81" s="87">
        <v>45988</v>
      </c>
      <c r="I81" s="209">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3">
        <v>80</v>
      </c>
      <c r="V81" s="153"/>
      <c r="W81" s="153"/>
      <c r="X81" s="153"/>
      <c r="Y81" s="136"/>
      <c r="Z81" s="153"/>
      <c r="AA81" s="152"/>
      <c r="AB81" s="8">
        <v>0.25</v>
      </c>
    </row>
    <row r="82" spans="1:28" ht="48" hidden="1">
      <c r="A82" s="74" t="s">
        <v>180</v>
      </c>
      <c r="B82" s="92" t="s">
        <v>306</v>
      </c>
      <c r="C82" s="45" t="s">
        <v>318</v>
      </c>
      <c r="D82" s="45"/>
      <c r="E82" s="199"/>
      <c r="F82" s="47" t="s">
        <v>325</v>
      </c>
      <c r="G82" s="74" t="s">
        <v>17</v>
      </c>
      <c r="H82" s="87">
        <v>45988</v>
      </c>
      <c r="I82" s="209">
        <v>45992</v>
      </c>
      <c r="J82" s="93" t="s">
        <v>316</v>
      </c>
      <c r="K82" s="45" t="s">
        <v>326</v>
      </c>
      <c r="L82" s="37" t="s">
        <v>20</v>
      </c>
      <c r="M82" s="80" t="str">
        <f t="shared" ca="1" si="5"/>
        <v/>
      </c>
      <c r="N82" s="37" t="str">
        <f t="shared" ca="1" si="6"/>
        <v/>
      </c>
      <c r="O82" s="81" t="str">
        <f t="shared" ca="1" si="7"/>
        <v/>
      </c>
      <c r="P82" s="81" t="str">
        <f t="shared" ca="1" si="8"/>
        <v/>
      </c>
      <c r="Q82" s="81" t="str">
        <f t="shared" ca="1" si="9"/>
        <v/>
      </c>
      <c r="R82" s="136"/>
      <c r="S82" s="88"/>
      <c r="T82" s="81"/>
      <c r="U82" s="153">
        <v>81</v>
      </c>
      <c r="V82" s="153"/>
      <c r="W82" s="153"/>
      <c r="X82" s="153"/>
      <c r="Y82" s="136"/>
      <c r="Z82" s="153"/>
      <c r="AA82" s="152"/>
      <c r="AB82" s="8">
        <v>0.25</v>
      </c>
    </row>
    <row r="83" spans="1:28" ht="69" hidden="1">
      <c r="A83" s="45" t="s">
        <v>180</v>
      </c>
      <c r="B83" s="101" t="s">
        <v>327</v>
      </c>
      <c r="C83" s="45" t="s">
        <v>328</v>
      </c>
      <c r="D83" s="45" t="s">
        <v>329</v>
      </c>
      <c r="E83" s="199" t="s">
        <v>254</v>
      </c>
      <c r="F83" s="47" t="s">
        <v>330</v>
      </c>
      <c r="G83" s="47" t="s">
        <v>256</v>
      </c>
      <c r="H83" s="87">
        <v>45860</v>
      </c>
      <c r="I83" s="209">
        <v>45884</v>
      </c>
      <c r="J83" s="93" t="s">
        <v>331</v>
      </c>
      <c r="K83" s="45"/>
      <c r="L83" s="37" t="s">
        <v>20</v>
      </c>
      <c r="M83" s="80" t="str">
        <f t="shared" ca="1" si="5"/>
        <v/>
      </c>
      <c r="N83" s="37" t="str">
        <f t="shared" ca="1" si="6"/>
        <v/>
      </c>
      <c r="O83" s="81" t="str">
        <f t="shared" ca="1" si="7"/>
        <v/>
      </c>
      <c r="P83" s="81" t="str">
        <f t="shared" ca="1" si="8"/>
        <v/>
      </c>
      <c r="Q83" s="81" t="str">
        <f t="shared" ca="1" si="9"/>
        <v/>
      </c>
      <c r="R83" s="136"/>
      <c r="S83" s="88"/>
      <c r="T83" s="81"/>
      <c r="U83" s="153">
        <v>82</v>
      </c>
      <c r="V83" s="153"/>
      <c r="W83" s="153"/>
      <c r="X83" s="153"/>
      <c r="Y83" s="136"/>
      <c r="Z83" s="153"/>
      <c r="AA83" s="152"/>
      <c r="AB83" s="8">
        <v>1</v>
      </c>
    </row>
    <row r="84" spans="1:28" ht="148.80000000000001" hidden="1">
      <c r="A84" s="45" t="s">
        <v>180</v>
      </c>
      <c r="B84" s="101" t="s">
        <v>327</v>
      </c>
      <c r="C84" s="45" t="s">
        <v>332</v>
      </c>
      <c r="D84" s="45" t="s">
        <v>333</v>
      </c>
      <c r="E84" s="199" t="s">
        <v>254</v>
      </c>
      <c r="F84" s="47" t="s">
        <v>334</v>
      </c>
      <c r="G84" s="47" t="s">
        <v>256</v>
      </c>
      <c r="H84" s="87">
        <v>45860</v>
      </c>
      <c r="I84" s="209">
        <v>46022</v>
      </c>
      <c r="J84" s="93" t="s">
        <v>335</v>
      </c>
      <c r="K84" s="45" t="s">
        <v>336</v>
      </c>
      <c r="L84" s="37" t="s">
        <v>20</v>
      </c>
      <c r="M84" s="80" t="str">
        <f t="shared" ca="1" si="5"/>
        <v/>
      </c>
      <c r="N84" s="37" t="str">
        <f t="shared" ca="1" si="6"/>
        <v/>
      </c>
      <c r="O84" s="81" t="str">
        <f t="shared" ca="1" si="7"/>
        <v/>
      </c>
      <c r="P84" s="81" t="str">
        <f t="shared" ca="1" si="8"/>
        <v/>
      </c>
      <c r="Q84" s="81" t="str">
        <f t="shared" ca="1" si="9"/>
        <v/>
      </c>
      <c r="R84" s="136"/>
      <c r="S84" s="88"/>
      <c r="T84" s="81"/>
      <c r="U84" s="153">
        <v>83</v>
      </c>
      <c r="V84" s="153"/>
      <c r="W84" s="153"/>
      <c r="X84" s="153"/>
      <c r="Y84" s="136"/>
      <c r="Z84" s="153"/>
      <c r="AA84" s="152"/>
      <c r="AB84" s="8">
        <v>0.5</v>
      </c>
    </row>
    <row r="85" spans="1:28" ht="69" hidden="1">
      <c r="A85" s="45" t="s">
        <v>180</v>
      </c>
      <c r="B85" s="101" t="s">
        <v>327</v>
      </c>
      <c r="C85" s="45" t="s">
        <v>332</v>
      </c>
      <c r="D85" s="45"/>
      <c r="E85" s="199"/>
      <c r="F85" s="47" t="s">
        <v>337</v>
      </c>
      <c r="G85" s="47" t="s">
        <v>256</v>
      </c>
      <c r="H85" s="87">
        <v>45860</v>
      </c>
      <c r="I85" s="209">
        <v>46022</v>
      </c>
      <c r="J85" s="93" t="s">
        <v>335</v>
      </c>
      <c r="K85" s="45" t="s">
        <v>338</v>
      </c>
      <c r="L85" s="37" t="s">
        <v>20</v>
      </c>
      <c r="M85" s="80" t="str">
        <f t="shared" ca="1" si="5"/>
        <v/>
      </c>
      <c r="N85" s="37" t="str">
        <f t="shared" ca="1" si="6"/>
        <v/>
      </c>
      <c r="O85" s="81" t="str">
        <f t="shared" ca="1" si="7"/>
        <v/>
      </c>
      <c r="P85" s="81" t="str">
        <f t="shared" ca="1" si="8"/>
        <v/>
      </c>
      <c r="Q85" s="81" t="str">
        <f t="shared" ca="1" si="9"/>
        <v/>
      </c>
      <c r="R85" s="136"/>
      <c r="S85" s="88"/>
      <c r="T85" s="81"/>
      <c r="U85" s="153">
        <v>84</v>
      </c>
      <c r="V85" s="153"/>
      <c r="W85" s="153"/>
      <c r="X85" s="153"/>
      <c r="Y85" s="136"/>
      <c r="Z85" s="153"/>
      <c r="AA85" s="152"/>
      <c r="AB85" s="8">
        <v>0.5</v>
      </c>
    </row>
    <row r="86" spans="1:28" ht="114.6" hidden="1">
      <c r="A86" s="45" t="s">
        <v>180</v>
      </c>
      <c r="B86" s="101" t="s">
        <v>327</v>
      </c>
      <c r="C86" s="45" t="s">
        <v>339</v>
      </c>
      <c r="D86" s="45" t="s">
        <v>340</v>
      </c>
      <c r="E86" s="76" t="s">
        <v>188</v>
      </c>
      <c r="F86" s="47" t="s">
        <v>341</v>
      </c>
      <c r="G86" s="47" t="s">
        <v>256</v>
      </c>
      <c r="H86" s="87">
        <v>45848</v>
      </c>
      <c r="I86" s="209">
        <v>45915</v>
      </c>
      <c r="J86" s="93" t="s">
        <v>342</v>
      </c>
      <c r="K86" s="45" t="s">
        <v>343</v>
      </c>
      <c r="L86" s="37" t="s">
        <v>20</v>
      </c>
      <c r="M86" s="80" t="str">
        <f t="shared" ca="1" si="5"/>
        <v/>
      </c>
      <c r="N86" s="37" t="str">
        <f t="shared" ca="1" si="6"/>
        <v/>
      </c>
      <c r="O86" s="81" t="str">
        <f t="shared" ca="1" si="7"/>
        <v/>
      </c>
      <c r="P86" s="81" t="str">
        <f t="shared" ca="1" si="8"/>
        <v/>
      </c>
      <c r="Q86" s="81" t="str">
        <f t="shared" ca="1" si="9"/>
        <v/>
      </c>
      <c r="R86" s="136"/>
      <c r="S86" s="88"/>
      <c r="T86" s="81"/>
      <c r="U86" s="153">
        <v>85</v>
      </c>
      <c r="V86" s="153"/>
      <c r="W86" s="153"/>
      <c r="X86" s="153"/>
      <c r="Y86" s="136"/>
      <c r="Z86" s="153"/>
      <c r="AA86" s="152"/>
      <c r="AB86" s="8">
        <v>1</v>
      </c>
    </row>
    <row r="87" spans="1:28" ht="45.6" hidden="1">
      <c r="A87" s="45" t="s">
        <v>180</v>
      </c>
      <c r="B87" s="101" t="s">
        <v>327</v>
      </c>
      <c r="C87" s="45" t="s">
        <v>344</v>
      </c>
      <c r="D87" s="45" t="s">
        <v>345</v>
      </c>
      <c r="E87" s="76" t="s">
        <v>188</v>
      </c>
      <c r="F87" s="47" t="s">
        <v>346</v>
      </c>
      <c r="G87" s="47" t="s">
        <v>256</v>
      </c>
      <c r="H87" s="87">
        <v>45853</v>
      </c>
      <c r="I87" s="209">
        <v>46022</v>
      </c>
      <c r="J87" s="93" t="s">
        <v>347</v>
      </c>
      <c r="K87" s="45" t="s">
        <v>338</v>
      </c>
      <c r="L87" s="37" t="s">
        <v>20</v>
      </c>
      <c r="M87" s="80" t="str">
        <f t="shared" ca="1" si="5"/>
        <v/>
      </c>
      <c r="N87" s="37" t="str">
        <f t="shared" ca="1" si="6"/>
        <v/>
      </c>
      <c r="O87" s="81" t="str">
        <f t="shared" ca="1" si="7"/>
        <v/>
      </c>
      <c r="P87" s="81" t="str">
        <f t="shared" ca="1" si="8"/>
        <v/>
      </c>
      <c r="Q87" s="81" t="str">
        <f t="shared" ca="1" si="9"/>
        <v/>
      </c>
      <c r="R87" s="136"/>
      <c r="S87" s="88"/>
      <c r="T87" s="81"/>
      <c r="U87" s="153">
        <v>86</v>
      </c>
      <c r="V87" s="153"/>
      <c r="W87" s="153"/>
      <c r="X87" s="153"/>
      <c r="Y87" s="136"/>
      <c r="Z87" s="153"/>
      <c r="AA87" s="152"/>
      <c r="AB87" s="8">
        <v>1</v>
      </c>
    </row>
    <row r="88" spans="1:28" ht="137.4" hidden="1">
      <c r="A88" s="45" t="s">
        <v>180</v>
      </c>
      <c r="B88" s="101" t="s">
        <v>327</v>
      </c>
      <c r="C88" s="45" t="s">
        <v>348</v>
      </c>
      <c r="D88" s="45" t="s">
        <v>349</v>
      </c>
      <c r="E88" s="199" t="s">
        <v>280</v>
      </c>
      <c r="F88" s="47" t="s">
        <v>350</v>
      </c>
      <c r="G88" s="47" t="s">
        <v>256</v>
      </c>
      <c r="H88" s="87">
        <v>45860</v>
      </c>
      <c r="I88" s="209">
        <v>45915</v>
      </c>
      <c r="J88" s="93" t="s">
        <v>351</v>
      </c>
      <c r="K88" s="45" t="s">
        <v>352</v>
      </c>
      <c r="L88" s="37" t="s">
        <v>20</v>
      </c>
      <c r="M88" s="80" t="str">
        <f t="shared" ca="1" si="5"/>
        <v/>
      </c>
      <c r="N88" s="37" t="str">
        <f t="shared" ca="1" si="6"/>
        <v/>
      </c>
      <c r="O88" s="81" t="str">
        <f t="shared" ca="1" si="7"/>
        <v/>
      </c>
      <c r="P88" s="81" t="str">
        <f t="shared" ca="1" si="8"/>
        <v/>
      </c>
      <c r="Q88" s="81" t="str">
        <f t="shared" ca="1" si="9"/>
        <v/>
      </c>
      <c r="R88" s="136"/>
      <c r="S88" s="88"/>
      <c r="T88" s="81"/>
      <c r="U88" s="153">
        <v>87</v>
      </c>
      <c r="V88" s="153"/>
      <c r="W88" s="153"/>
      <c r="X88" s="153"/>
      <c r="Y88" s="136"/>
      <c r="Z88" s="153"/>
      <c r="AA88" s="152"/>
      <c r="AB88" s="8">
        <v>1</v>
      </c>
    </row>
    <row r="89" spans="1:28" ht="137.4" hidden="1">
      <c r="A89" s="45" t="s">
        <v>180</v>
      </c>
      <c r="B89" s="101" t="s">
        <v>327</v>
      </c>
      <c r="C89" s="45" t="s">
        <v>353</v>
      </c>
      <c r="D89" s="45" t="s">
        <v>506</v>
      </c>
      <c r="E89" s="199" t="s">
        <v>280</v>
      </c>
      <c r="F89" s="47" t="s">
        <v>354</v>
      </c>
      <c r="G89" s="47" t="s">
        <v>256</v>
      </c>
      <c r="H89" s="87">
        <v>45860</v>
      </c>
      <c r="I89" s="209">
        <v>46022</v>
      </c>
      <c r="J89" s="93" t="s">
        <v>355</v>
      </c>
      <c r="K89" s="45" t="s">
        <v>338</v>
      </c>
      <c r="L89" s="37" t="s">
        <v>20</v>
      </c>
      <c r="M89" s="80" t="str">
        <f t="shared" ca="1" si="5"/>
        <v/>
      </c>
      <c r="N89" s="37" t="str">
        <f t="shared" ca="1" si="6"/>
        <v/>
      </c>
      <c r="O89" s="81" t="str">
        <f t="shared" ca="1" si="7"/>
        <v/>
      </c>
      <c r="P89" s="81" t="str">
        <f t="shared" ca="1" si="8"/>
        <v/>
      </c>
      <c r="Q89" s="81" t="str">
        <f t="shared" ca="1" si="9"/>
        <v/>
      </c>
      <c r="R89" s="136"/>
      <c r="S89" s="88"/>
      <c r="T89" s="81"/>
      <c r="U89" s="153">
        <v>88</v>
      </c>
      <c r="V89" s="153"/>
      <c r="W89" s="153"/>
      <c r="X89" s="153"/>
      <c r="Y89" s="136"/>
      <c r="Z89" s="153"/>
      <c r="AA89" s="152"/>
      <c r="AB89" s="8">
        <v>1</v>
      </c>
    </row>
    <row r="90" spans="1:28" ht="103.2" hidden="1">
      <c r="A90" s="45" t="s">
        <v>180</v>
      </c>
      <c r="B90" s="101" t="s">
        <v>327</v>
      </c>
      <c r="C90" s="45" t="s">
        <v>356</v>
      </c>
      <c r="D90" s="45" t="s">
        <v>357</v>
      </c>
      <c r="E90" s="199" t="s">
        <v>280</v>
      </c>
      <c r="F90" s="47" t="s">
        <v>358</v>
      </c>
      <c r="G90" s="47" t="s">
        <v>256</v>
      </c>
      <c r="H90" s="87">
        <v>45869</v>
      </c>
      <c r="I90" s="209">
        <v>46001</v>
      </c>
      <c r="J90" s="93" t="s">
        <v>359</v>
      </c>
      <c r="K90" s="45"/>
      <c r="L90" s="37" t="s">
        <v>20</v>
      </c>
      <c r="M90" s="80" t="str">
        <f t="shared" ca="1" si="5"/>
        <v/>
      </c>
      <c r="N90" s="37" t="str">
        <f t="shared" ca="1" si="6"/>
        <v/>
      </c>
      <c r="O90" s="81" t="str">
        <f t="shared" ca="1" si="7"/>
        <v/>
      </c>
      <c r="P90" s="81" t="str">
        <f t="shared" ca="1" si="8"/>
        <v/>
      </c>
      <c r="Q90" s="81" t="str">
        <f t="shared" ca="1" si="9"/>
        <v/>
      </c>
      <c r="R90" s="136"/>
      <c r="S90" s="88"/>
      <c r="T90" s="81"/>
      <c r="U90" s="153">
        <v>89</v>
      </c>
      <c r="V90" s="153"/>
      <c r="W90" s="153"/>
      <c r="X90" s="153"/>
      <c r="Y90" s="136"/>
      <c r="Z90" s="153"/>
      <c r="AA90" s="152"/>
      <c r="AB90" s="8">
        <v>1</v>
      </c>
    </row>
    <row r="91" spans="1:28" ht="79.8" hidden="1">
      <c r="A91" s="74" t="s">
        <v>180</v>
      </c>
      <c r="B91" s="92" t="s">
        <v>360</v>
      </c>
      <c r="C91" s="45" t="s">
        <v>361</v>
      </c>
      <c r="D91" s="45" t="s">
        <v>507</v>
      </c>
      <c r="E91" s="199" t="s">
        <v>254</v>
      </c>
      <c r="F91" s="47" t="s">
        <v>362</v>
      </c>
      <c r="G91" s="47" t="s">
        <v>210</v>
      </c>
      <c r="H91" s="87">
        <v>46001</v>
      </c>
      <c r="I91" s="212">
        <v>46063</v>
      </c>
      <c r="J91" s="97" t="s">
        <v>363</v>
      </c>
      <c r="K91" s="45" t="s">
        <v>364</v>
      </c>
      <c r="L91" s="215" t="s">
        <v>20</v>
      </c>
      <c r="M91" s="80" t="str">
        <f t="shared" ca="1" si="5"/>
        <v/>
      </c>
      <c r="N91" s="37" t="str">
        <f t="shared" ca="1" si="6"/>
        <v/>
      </c>
      <c r="O91" s="81" t="str">
        <f t="shared" ca="1" si="7"/>
        <v/>
      </c>
      <c r="P91" s="81" t="str">
        <f t="shared" ca="1" si="8"/>
        <v/>
      </c>
      <c r="Q91" s="81" t="str">
        <f t="shared" ca="1" si="9"/>
        <v/>
      </c>
      <c r="R91" s="136"/>
      <c r="S91" s="217">
        <v>46063</v>
      </c>
      <c r="T91" s="81"/>
      <c r="U91" s="153">
        <v>90</v>
      </c>
      <c r="V91" s="153"/>
      <c r="W91" s="153"/>
      <c r="X91" s="153"/>
      <c r="Y91" s="136"/>
      <c r="Z91" s="153"/>
      <c r="AA91" s="152"/>
      <c r="AB91" s="8">
        <v>1</v>
      </c>
    </row>
    <row r="92" spans="1:28" ht="114" hidden="1">
      <c r="A92" s="74" t="s">
        <v>180</v>
      </c>
      <c r="B92" s="92" t="s">
        <v>360</v>
      </c>
      <c r="C92" s="45" t="s">
        <v>365</v>
      </c>
      <c r="D92" s="45" t="s">
        <v>508</v>
      </c>
      <c r="E92" s="199" t="s">
        <v>188</v>
      </c>
      <c r="F92" s="47" t="s">
        <v>366</v>
      </c>
      <c r="G92" s="47" t="s">
        <v>210</v>
      </c>
      <c r="H92" s="87">
        <v>45989</v>
      </c>
      <c r="I92" s="209">
        <v>46203</v>
      </c>
      <c r="J92" s="99" t="s">
        <v>367</v>
      </c>
      <c r="K92" s="98" t="s">
        <v>368</v>
      </c>
      <c r="L92" s="100" t="s">
        <v>20</v>
      </c>
      <c r="M92" s="80" t="str">
        <f t="shared" ca="1" si="5"/>
        <v/>
      </c>
      <c r="N92" s="37" t="str">
        <f t="shared" ca="1" si="6"/>
        <v/>
      </c>
      <c r="O92" s="81" t="str">
        <f t="shared" ca="1" si="7"/>
        <v/>
      </c>
      <c r="P92" s="81" t="str">
        <f t="shared" ca="1" si="8"/>
        <v/>
      </c>
      <c r="Q92" s="81" t="str">
        <f t="shared" ca="1" si="9"/>
        <v/>
      </c>
      <c r="R92" s="136"/>
      <c r="S92" s="88">
        <v>46081</v>
      </c>
      <c r="T92" s="81"/>
      <c r="U92" s="153">
        <v>91</v>
      </c>
      <c r="V92" s="153"/>
      <c r="W92" s="153"/>
      <c r="X92" s="153"/>
      <c r="Y92" s="136"/>
      <c r="Z92" s="153"/>
      <c r="AA92" s="152"/>
      <c r="AB92" s="8">
        <v>1</v>
      </c>
    </row>
    <row r="93" spans="1:28" ht="144" hidden="1">
      <c r="A93" s="74" t="s">
        <v>180</v>
      </c>
      <c r="B93" s="92" t="s">
        <v>360</v>
      </c>
      <c r="C93" s="45" t="s">
        <v>369</v>
      </c>
      <c r="D93" s="47" t="s">
        <v>509</v>
      </c>
      <c r="E93" s="199" t="s">
        <v>188</v>
      </c>
      <c r="F93" s="47" t="s">
        <v>370</v>
      </c>
      <c r="G93" s="47" t="s">
        <v>371</v>
      </c>
      <c r="H93" s="87">
        <v>45989</v>
      </c>
      <c r="I93" s="209">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3" t="s">
        <v>1523</v>
      </c>
      <c r="U93" s="153">
        <v>92</v>
      </c>
      <c r="V93" s="153"/>
      <c r="W93" s="153"/>
      <c r="X93" s="153"/>
      <c r="Y93" s="136"/>
      <c r="Z93" s="153"/>
      <c r="AA93" s="152"/>
      <c r="AB93" s="8">
        <v>0.33</v>
      </c>
    </row>
    <row r="94" spans="1:28" ht="144" hidden="1">
      <c r="A94" s="74" t="s">
        <v>180</v>
      </c>
      <c r="B94" s="92" t="s">
        <v>360</v>
      </c>
      <c r="C94" s="45" t="s">
        <v>369</v>
      </c>
      <c r="D94" s="47"/>
      <c r="E94" s="199"/>
      <c r="F94" s="47" t="s">
        <v>373</v>
      </c>
      <c r="G94" s="47" t="s">
        <v>371</v>
      </c>
      <c r="H94" s="87">
        <v>45989</v>
      </c>
      <c r="I94" s="209">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3">
        <v>93</v>
      </c>
      <c r="V94" s="153"/>
      <c r="W94" s="153"/>
      <c r="X94" s="153"/>
      <c r="Y94" s="136"/>
      <c r="Z94" s="153"/>
      <c r="AA94" s="152"/>
      <c r="AB94" s="8">
        <v>0.33</v>
      </c>
    </row>
    <row r="95" spans="1:28" ht="91.2" hidden="1">
      <c r="A95" s="74" t="s">
        <v>180</v>
      </c>
      <c r="B95" s="92" t="s">
        <v>360</v>
      </c>
      <c r="C95" s="45" t="s">
        <v>369</v>
      </c>
      <c r="D95" s="47"/>
      <c r="E95" s="199"/>
      <c r="F95" s="47" t="s">
        <v>375</v>
      </c>
      <c r="G95" s="47" t="s">
        <v>210</v>
      </c>
      <c r="H95" s="87">
        <v>45989</v>
      </c>
      <c r="I95" s="209">
        <v>46142</v>
      </c>
      <c r="J95" s="97" t="s">
        <v>372</v>
      </c>
      <c r="K95" s="45" t="s">
        <v>376</v>
      </c>
      <c r="L95" s="37" t="s">
        <v>20</v>
      </c>
      <c r="M95" s="80" t="str">
        <f t="shared" ca="1" si="5"/>
        <v/>
      </c>
      <c r="N95" s="37" t="str">
        <f t="shared" ca="1" si="6"/>
        <v/>
      </c>
      <c r="O95" s="81" t="str">
        <f t="shared" ca="1" si="7"/>
        <v/>
      </c>
      <c r="P95" s="81" t="str">
        <f t="shared" ca="1" si="8"/>
        <v/>
      </c>
      <c r="Q95" s="81" t="str">
        <f t="shared" ca="1" si="9"/>
        <v/>
      </c>
      <c r="R95" s="136"/>
      <c r="S95" s="88">
        <v>46142</v>
      </c>
      <c r="T95" s="81"/>
      <c r="U95" s="153">
        <v>94</v>
      </c>
      <c r="V95" s="153"/>
      <c r="W95" s="153"/>
      <c r="X95" s="153"/>
      <c r="Y95" s="136"/>
      <c r="Z95" s="153"/>
      <c r="AA95" s="152"/>
      <c r="AB95" s="8">
        <v>0.34</v>
      </c>
    </row>
    <row r="96" spans="1:28" ht="100.8" hidden="1">
      <c r="A96" s="74" t="s">
        <v>180</v>
      </c>
      <c r="B96" s="92" t="s">
        <v>360</v>
      </c>
      <c r="C96" s="45" t="s">
        <v>377</v>
      </c>
      <c r="D96" s="45" t="s">
        <v>510</v>
      </c>
      <c r="E96" s="199" t="s">
        <v>188</v>
      </c>
      <c r="F96" s="47" t="s">
        <v>378</v>
      </c>
      <c r="G96" s="47" t="s">
        <v>210</v>
      </c>
      <c r="H96" s="87">
        <v>45989</v>
      </c>
      <c r="I96" s="209">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3">
        <v>95</v>
      </c>
      <c r="V96" s="153"/>
      <c r="W96" s="153"/>
      <c r="X96" s="153"/>
      <c r="Y96" s="136"/>
      <c r="Z96" s="153"/>
      <c r="AA96" s="152"/>
      <c r="AB96" s="8">
        <v>1</v>
      </c>
    </row>
    <row r="97" spans="1:28" ht="100.8" hidden="1">
      <c r="A97" s="74" t="s">
        <v>180</v>
      </c>
      <c r="B97" s="92" t="s">
        <v>360</v>
      </c>
      <c r="C97" s="45" t="s">
        <v>381</v>
      </c>
      <c r="D97" s="45" t="s">
        <v>511</v>
      </c>
      <c r="E97" s="199" t="s">
        <v>188</v>
      </c>
      <c r="F97" s="47" t="s">
        <v>382</v>
      </c>
      <c r="G97" s="47" t="s">
        <v>210</v>
      </c>
      <c r="H97" s="87">
        <v>45989</v>
      </c>
      <c r="I97" s="209">
        <v>46053</v>
      </c>
      <c r="J97" s="84" t="s">
        <v>383</v>
      </c>
      <c r="K97" s="45" t="s">
        <v>825</v>
      </c>
      <c r="L97" s="219" t="s">
        <v>20</v>
      </c>
      <c r="M97" s="80" t="str">
        <f t="shared" ca="1" si="5"/>
        <v/>
      </c>
      <c r="N97" s="37" t="str">
        <f t="shared" ca="1" si="6"/>
        <v/>
      </c>
      <c r="O97" s="81" t="str">
        <f t="shared" ca="1" si="7"/>
        <v/>
      </c>
      <c r="P97" s="81" t="str">
        <f t="shared" ca="1" si="8"/>
        <v/>
      </c>
      <c r="Q97" s="81" t="str">
        <f t="shared" ca="1" si="9"/>
        <v/>
      </c>
      <c r="R97" s="84" t="s">
        <v>630</v>
      </c>
      <c r="S97" s="221">
        <v>46178</v>
      </c>
      <c r="T97" s="81"/>
      <c r="U97" s="153">
        <v>96</v>
      </c>
      <c r="V97" s="153"/>
      <c r="W97" s="153"/>
      <c r="X97" s="153"/>
      <c r="Y97" s="136"/>
      <c r="Z97" s="153"/>
      <c r="AA97" s="152"/>
      <c r="AB97" s="8">
        <v>1</v>
      </c>
    </row>
    <row r="98" spans="1:28" ht="114" hidden="1">
      <c r="A98" s="74" t="s">
        <v>180</v>
      </c>
      <c r="B98" s="92" t="s">
        <v>360</v>
      </c>
      <c r="C98" s="45" t="s">
        <v>385</v>
      </c>
      <c r="D98" s="45" t="s">
        <v>512</v>
      </c>
      <c r="E98" s="199" t="s">
        <v>188</v>
      </c>
      <c r="F98" s="47" t="s">
        <v>386</v>
      </c>
      <c r="G98" s="47" t="s">
        <v>210</v>
      </c>
      <c r="H98" s="87">
        <v>45989</v>
      </c>
      <c r="I98" s="209">
        <v>46006</v>
      </c>
      <c r="J98" s="97" t="s">
        <v>387</v>
      </c>
      <c r="K98" s="45" t="s">
        <v>388</v>
      </c>
      <c r="L98" s="37" t="s">
        <v>20</v>
      </c>
      <c r="M98" s="80" t="str">
        <f t="shared" ca="1" si="5"/>
        <v/>
      </c>
      <c r="N98" s="37" t="str">
        <f t="shared" ca="1" si="6"/>
        <v/>
      </c>
      <c r="O98" s="81" t="str">
        <f t="shared" ca="1" si="7"/>
        <v/>
      </c>
      <c r="P98" s="81" t="str">
        <f t="shared" ca="1" si="8"/>
        <v/>
      </c>
      <c r="Q98" s="81" t="str">
        <f t="shared" ca="1" si="9"/>
        <v/>
      </c>
      <c r="R98" s="136"/>
      <c r="S98" s="88"/>
      <c r="T98" s="81"/>
      <c r="U98" s="153">
        <v>97</v>
      </c>
      <c r="V98" s="153"/>
      <c r="W98" s="153"/>
      <c r="X98" s="153"/>
      <c r="Y98" s="136"/>
      <c r="Z98" s="153"/>
      <c r="AA98" s="152"/>
      <c r="AB98" s="8">
        <v>1</v>
      </c>
    </row>
    <row r="99" spans="1:28" ht="34.799999999999997" hidden="1">
      <c r="A99" s="74" t="s">
        <v>180</v>
      </c>
      <c r="B99" s="92" t="s">
        <v>360</v>
      </c>
      <c r="C99" s="45" t="s">
        <v>389</v>
      </c>
      <c r="D99" s="45" t="s">
        <v>513</v>
      </c>
      <c r="E99" s="199" t="s">
        <v>280</v>
      </c>
      <c r="F99" s="47" t="s">
        <v>390</v>
      </c>
      <c r="G99" s="47" t="s">
        <v>210</v>
      </c>
      <c r="H99" s="87">
        <v>45989</v>
      </c>
      <c r="I99" s="209">
        <v>45992</v>
      </c>
      <c r="J99" s="97" t="s">
        <v>391</v>
      </c>
      <c r="K99" s="45" t="s">
        <v>392</v>
      </c>
      <c r="L99" s="37" t="s">
        <v>20</v>
      </c>
      <c r="M99" s="80" t="str">
        <f t="shared" ca="1" si="5"/>
        <v/>
      </c>
      <c r="N99" s="37" t="str">
        <f t="shared" ca="1" si="6"/>
        <v/>
      </c>
      <c r="O99" s="81" t="str">
        <f t="shared" ca="1" si="7"/>
        <v/>
      </c>
      <c r="P99" s="81" t="str">
        <f t="shared" ca="1" si="8"/>
        <v/>
      </c>
      <c r="Q99" s="81" t="str">
        <f t="shared" ca="1" si="9"/>
        <v/>
      </c>
      <c r="R99" s="136"/>
      <c r="S99" s="88"/>
      <c r="T99" s="81"/>
      <c r="U99" s="153">
        <v>98</v>
      </c>
      <c r="V99" s="153"/>
      <c r="W99" s="153"/>
      <c r="X99" s="153"/>
      <c r="Y99" s="136"/>
      <c r="Z99" s="153"/>
      <c r="AA99" s="152"/>
      <c r="AB99" s="8">
        <v>1</v>
      </c>
    </row>
    <row r="100" spans="1:28" ht="100.8" hidden="1">
      <c r="A100" s="74" t="s">
        <v>180</v>
      </c>
      <c r="B100" s="92" t="s">
        <v>360</v>
      </c>
      <c r="C100" s="45" t="s">
        <v>393</v>
      </c>
      <c r="D100" s="45" t="s">
        <v>514</v>
      </c>
      <c r="E100" s="199" t="s">
        <v>280</v>
      </c>
      <c r="F100" s="47" t="s">
        <v>394</v>
      </c>
      <c r="G100" s="47" t="s">
        <v>210</v>
      </c>
      <c r="H100" s="87">
        <v>45989</v>
      </c>
      <c r="I100" s="209">
        <v>46053</v>
      </c>
      <c r="J100" s="97" t="s">
        <v>395</v>
      </c>
      <c r="K100" s="45" t="s">
        <v>830</v>
      </c>
      <c r="L100" s="219" t="s">
        <v>20</v>
      </c>
      <c r="M100" s="80" t="str">
        <f t="shared" ca="1" si="5"/>
        <v/>
      </c>
      <c r="N100" s="37" t="str">
        <f t="shared" ca="1" si="6"/>
        <v/>
      </c>
      <c r="O100" s="81" t="str">
        <f t="shared" ca="1" si="7"/>
        <v/>
      </c>
      <c r="P100" s="81" t="str">
        <f t="shared" ca="1" si="8"/>
        <v/>
      </c>
      <c r="Q100" s="81" t="str">
        <f t="shared" ca="1" si="9"/>
        <v/>
      </c>
      <c r="R100" s="84" t="s">
        <v>630</v>
      </c>
      <c r="S100" s="221">
        <v>46178</v>
      </c>
      <c r="T100" s="81"/>
      <c r="U100" s="153">
        <v>99</v>
      </c>
      <c r="V100" s="153"/>
      <c r="W100" s="153"/>
      <c r="X100" s="153"/>
      <c r="Y100" s="136"/>
      <c r="Z100" s="153"/>
      <c r="AA100" s="152"/>
      <c r="AB100" s="8">
        <v>1</v>
      </c>
    </row>
    <row r="101" spans="1:28" ht="100.8" hidden="1">
      <c r="A101" s="74" t="s">
        <v>180</v>
      </c>
      <c r="B101" s="92" t="s">
        <v>360</v>
      </c>
      <c r="C101" s="45" t="s">
        <v>397</v>
      </c>
      <c r="D101" s="45" t="s">
        <v>515</v>
      </c>
      <c r="E101" s="199" t="s">
        <v>280</v>
      </c>
      <c r="F101" s="47" t="s">
        <v>394</v>
      </c>
      <c r="G101" s="47" t="s">
        <v>210</v>
      </c>
      <c r="H101" s="87">
        <v>45989</v>
      </c>
      <c r="I101" s="209">
        <v>46053</v>
      </c>
      <c r="J101" s="97" t="s">
        <v>398</v>
      </c>
      <c r="K101" s="45" t="s">
        <v>830</v>
      </c>
      <c r="L101" s="219" t="s">
        <v>20</v>
      </c>
      <c r="M101" s="80" t="str">
        <f t="shared" ca="1" si="5"/>
        <v/>
      </c>
      <c r="N101" s="37" t="str">
        <f t="shared" ca="1" si="6"/>
        <v/>
      </c>
      <c r="O101" s="81" t="str">
        <f t="shared" ca="1" si="7"/>
        <v/>
      </c>
      <c r="P101" s="81" t="str">
        <f t="shared" ca="1" si="8"/>
        <v/>
      </c>
      <c r="Q101" s="81" t="str">
        <f t="shared" ca="1" si="9"/>
        <v/>
      </c>
      <c r="R101" s="84" t="s">
        <v>630</v>
      </c>
      <c r="S101" s="221">
        <v>46178</v>
      </c>
      <c r="T101" s="81"/>
      <c r="U101" s="153">
        <v>100</v>
      </c>
      <c r="V101" s="153"/>
      <c r="W101" s="153"/>
      <c r="X101" s="153"/>
      <c r="Y101" s="136"/>
      <c r="Z101" s="153"/>
      <c r="AA101" s="152"/>
      <c r="AB101" s="8">
        <v>1</v>
      </c>
    </row>
    <row r="102" spans="1:28" ht="72" hidden="1">
      <c r="A102" s="74" t="s">
        <v>180</v>
      </c>
      <c r="B102" s="92" t="s">
        <v>399</v>
      </c>
      <c r="C102" s="45" t="s">
        <v>400</v>
      </c>
      <c r="D102" s="45" t="s">
        <v>516</v>
      </c>
      <c r="E102" s="199" t="s">
        <v>188</v>
      </c>
      <c r="F102" s="47" t="s">
        <v>401</v>
      </c>
      <c r="G102" s="47" t="s">
        <v>179</v>
      </c>
      <c r="H102" s="87">
        <v>46020</v>
      </c>
      <c r="I102" s="209">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3">
        <v>101</v>
      </c>
      <c r="V102" s="153"/>
      <c r="W102" s="153"/>
      <c r="X102" s="153"/>
      <c r="Y102" s="136"/>
      <c r="Z102" s="153"/>
      <c r="AA102" s="152"/>
      <c r="AB102" s="8">
        <v>1</v>
      </c>
    </row>
    <row r="103" spans="1:28" ht="100.8" hidden="1">
      <c r="A103" s="74" t="s">
        <v>180</v>
      </c>
      <c r="B103" s="92" t="s">
        <v>399</v>
      </c>
      <c r="C103" s="45" t="s">
        <v>403</v>
      </c>
      <c r="D103" s="45" t="s">
        <v>517</v>
      </c>
      <c r="E103" s="199" t="s">
        <v>188</v>
      </c>
      <c r="F103" s="47" t="s">
        <v>404</v>
      </c>
      <c r="G103" s="47" t="s">
        <v>269</v>
      </c>
      <c r="H103" s="87">
        <v>46020</v>
      </c>
      <c r="I103" s="209">
        <v>46115</v>
      </c>
      <c r="J103" s="141" t="s">
        <v>405</v>
      </c>
      <c r="K103" s="138" t="s">
        <v>873</v>
      </c>
      <c r="L103" s="140" t="s">
        <v>20</v>
      </c>
      <c r="M103" s="80" t="str">
        <f t="shared" ca="1" si="5"/>
        <v/>
      </c>
      <c r="N103" s="37" t="str">
        <f t="shared" ca="1" si="6"/>
        <v/>
      </c>
      <c r="O103" s="81" t="str">
        <f t="shared" ca="1" si="7"/>
        <v/>
      </c>
      <c r="P103" s="81" t="str">
        <f t="shared" ca="1" si="8"/>
        <v/>
      </c>
      <c r="Q103" s="81" t="str">
        <f t="shared" ca="1" si="9"/>
        <v/>
      </c>
      <c r="R103" s="141" t="s">
        <v>635</v>
      </c>
      <c r="S103" s="88">
        <v>46178</v>
      </c>
      <c r="T103" s="89"/>
      <c r="U103" s="153">
        <v>102</v>
      </c>
      <c r="V103" s="153"/>
      <c r="W103" s="153"/>
      <c r="X103" s="153"/>
      <c r="Y103" s="136"/>
      <c r="Z103" s="153"/>
      <c r="AA103" s="152"/>
      <c r="AB103" s="8">
        <v>0.5</v>
      </c>
    </row>
    <row r="104" spans="1:28" ht="72" hidden="1">
      <c r="A104" s="74" t="s">
        <v>180</v>
      </c>
      <c r="B104" s="92" t="s">
        <v>399</v>
      </c>
      <c r="C104" s="45" t="s">
        <v>403</v>
      </c>
      <c r="D104" s="45"/>
      <c r="E104" s="199"/>
      <c r="F104" s="47" t="s">
        <v>406</v>
      </c>
      <c r="G104" s="47" t="s">
        <v>179</v>
      </c>
      <c r="H104" s="87">
        <v>46020</v>
      </c>
      <c r="I104" s="209">
        <v>46387</v>
      </c>
      <c r="J104" s="84" t="s">
        <v>407</v>
      </c>
      <c r="K104" s="106"/>
      <c r="L104" s="37" t="s">
        <v>201</v>
      </c>
      <c r="M104" s="80">
        <f t="shared" ca="1" si="5"/>
        <v>106</v>
      </c>
      <c r="N104" s="37" t="str">
        <f t="shared" ca="1" si="6"/>
        <v/>
      </c>
      <c r="O104" s="81" t="str">
        <f t="shared" ca="1" si="7"/>
        <v/>
      </c>
      <c r="P104" s="81" t="str">
        <f t="shared" ca="1" si="8"/>
        <v/>
      </c>
      <c r="Q104" s="81" t="str">
        <f t="shared" ca="1" si="9"/>
        <v/>
      </c>
      <c r="R104" s="84" t="s">
        <v>644</v>
      </c>
      <c r="S104" s="88"/>
      <c r="T104" s="153" t="s">
        <v>1523</v>
      </c>
      <c r="U104" s="153">
        <v>103</v>
      </c>
      <c r="V104" s="153"/>
      <c r="W104" s="153"/>
      <c r="X104" s="153"/>
      <c r="Y104" s="136"/>
      <c r="Z104" s="88"/>
      <c r="AA104" s="152"/>
      <c r="AB104" s="8">
        <v>0.5</v>
      </c>
    </row>
    <row r="105" spans="1:28" ht="79.8" hidden="1">
      <c r="A105" s="74" t="s">
        <v>180</v>
      </c>
      <c r="B105" s="92" t="s">
        <v>399</v>
      </c>
      <c r="C105" s="45" t="s">
        <v>409</v>
      </c>
      <c r="D105" s="45" t="s">
        <v>518</v>
      </c>
      <c r="E105" s="199" t="s">
        <v>188</v>
      </c>
      <c r="F105" s="47" t="s">
        <v>410</v>
      </c>
      <c r="G105" s="47" t="s">
        <v>179</v>
      </c>
      <c r="H105" s="87">
        <v>46020</v>
      </c>
      <c r="I105" s="209">
        <v>46295</v>
      </c>
      <c r="J105" s="97" t="s">
        <v>407</v>
      </c>
      <c r="K105" s="181" t="s">
        <v>1334</v>
      </c>
      <c r="L105" s="37" t="s">
        <v>201</v>
      </c>
      <c r="M105" s="80">
        <f t="shared" ca="1" si="5"/>
        <v>14</v>
      </c>
      <c r="N105" s="37" t="str">
        <f t="shared" ca="1" si="6"/>
        <v/>
      </c>
      <c r="O105" s="81" t="str">
        <f t="shared" ca="1" si="7"/>
        <v>⏳ URGENTE (20d)</v>
      </c>
      <c r="P105" s="81" t="str">
        <f t="shared" ca="1" si="8"/>
        <v/>
      </c>
      <c r="Q105" s="81" t="str">
        <f t="shared" ca="1" si="9"/>
        <v/>
      </c>
      <c r="R105" s="84" t="s">
        <v>644</v>
      </c>
      <c r="S105" s="88"/>
      <c r="T105" s="153" t="s">
        <v>1523</v>
      </c>
      <c r="U105" s="153">
        <v>104</v>
      </c>
      <c r="V105" s="187">
        <v>20265000026423</v>
      </c>
      <c r="W105" s="88">
        <v>46233</v>
      </c>
      <c r="X105" s="153" t="s">
        <v>589</v>
      </c>
      <c r="Y105" s="83" t="s">
        <v>1351</v>
      </c>
      <c r="Z105" s="153" t="s">
        <v>1353</v>
      </c>
      <c r="AA105" s="188" t="s">
        <v>1355</v>
      </c>
      <c r="AB105" s="8">
        <v>0.5</v>
      </c>
    </row>
    <row r="106" spans="1:28" ht="72" hidden="1">
      <c r="A106" s="74" t="s">
        <v>180</v>
      </c>
      <c r="B106" s="92" t="s">
        <v>399</v>
      </c>
      <c r="C106" s="45" t="s">
        <v>409</v>
      </c>
      <c r="D106" s="45"/>
      <c r="E106" s="199"/>
      <c r="F106" s="107"/>
      <c r="G106" s="47" t="s">
        <v>118</v>
      </c>
      <c r="H106" s="87"/>
      <c r="I106" s="209"/>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3" t="s">
        <v>1523</v>
      </c>
      <c r="U106" s="153">
        <v>105</v>
      </c>
      <c r="V106" s="153"/>
      <c r="W106" s="153"/>
      <c r="X106" s="153"/>
      <c r="Y106" s="136"/>
      <c r="Z106" s="153"/>
      <c r="AA106" s="152"/>
      <c r="AB106" s="8">
        <v>0.5</v>
      </c>
    </row>
    <row r="107" spans="1:28" ht="201.6" hidden="1">
      <c r="A107" s="74" t="s">
        <v>180</v>
      </c>
      <c r="B107" s="92" t="s">
        <v>399</v>
      </c>
      <c r="C107" s="45" t="s">
        <v>411</v>
      </c>
      <c r="D107" s="45" t="s">
        <v>519</v>
      </c>
      <c r="E107" s="199" t="s">
        <v>188</v>
      </c>
      <c r="F107" s="47" t="s">
        <v>412</v>
      </c>
      <c r="G107" s="47" t="s">
        <v>413</v>
      </c>
      <c r="H107" s="87">
        <v>46020</v>
      </c>
      <c r="I107" s="209">
        <v>46295</v>
      </c>
      <c r="J107" s="84" t="s">
        <v>414</v>
      </c>
      <c r="K107" s="144" t="s">
        <v>1334</v>
      </c>
      <c r="L107" s="37" t="s">
        <v>201</v>
      </c>
      <c r="M107" s="80">
        <f t="shared" ca="1" si="5"/>
        <v>14</v>
      </c>
      <c r="N107" s="37" t="str">
        <f t="shared" ca="1" si="6"/>
        <v/>
      </c>
      <c r="O107" s="81" t="str">
        <f t="shared" ca="1" si="7"/>
        <v>⏳ URGENTE (20d)</v>
      </c>
      <c r="P107" s="81" t="str">
        <f t="shared" ca="1" si="8"/>
        <v/>
      </c>
      <c r="Q107" s="81" t="str">
        <f t="shared" ca="1" si="9"/>
        <v/>
      </c>
      <c r="R107" s="84" t="s">
        <v>648</v>
      </c>
      <c r="S107" s="88"/>
      <c r="T107" s="153" t="s">
        <v>1523</v>
      </c>
      <c r="U107" s="153">
        <v>106</v>
      </c>
      <c r="V107" s="187">
        <v>20265000026423</v>
      </c>
      <c r="W107" s="88">
        <v>46233</v>
      </c>
      <c r="X107" s="153" t="s">
        <v>589</v>
      </c>
      <c r="Y107" s="83" t="s">
        <v>1351</v>
      </c>
      <c r="Z107" s="153" t="s">
        <v>1353</v>
      </c>
      <c r="AA107" s="188" t="s">
        <v>1355</v>
      </c>
      <c r="AB107" s="8">
        <v>0.5</v>
      </c>
    </row>
    <row r="108" spans="1:28" ht="79.8" hidden="1">
      <c r="A108" s="74" t="s">
        <v>180</v>
      </c>
      <c r="B108" s="92" t="s">
        <v>399</v>
      </c>
      <c r="C108" s="45" t="s">
        <v>411</v>
      </c>
      <c r="D108" s="45"/>
      <c r="E108" s="199"/>
      <c r="F108" s="47" t="s">
        <v>415</v>
      </c>
      <c r="G108" s="47" t="s">
        <v>179</v>
      </c>
      <c r="H108" s="87">
        <v>46020</v>
      </c>
      <c r="I108" s="209">
        <v>46295</v>
      </c>
      <c r="J108" s="84" t="s">
        <v>414</v>
      </c>
      <c r="K108" s="144" t="s">
        <v>1334</v>
      </c>
      <c r="L108" s="37" t="s">
        <v>201</v>
      </c>
      <c r="M108" s="80">
        <f t="shared" ca="1" si="5"/>
        <v>14</v>
      </c>
      <c r="N108" s="37" t="str">
        <f t="shared" ca="1" si="6"/>
        <v/>
      </c>
      <c r="O108" s="81" t="str">
        <f t="shared" ca="1" si="7"/>
        <v>⏳ URGENTE (20d)</v>
      </c>
      <c r="P108" s="81" t="str">
        <f t="shared" ca="1" si="8"/>
        <v/>
      </c>
      <c r="Q108" s="81" t="str">
        <f t="shared" ca="1" si="9"/>
        <v/>
      </c>
      <c r="R108" s="84" t="s">
        <v>644</v>
      </c>
      <c r="S108" s="88"/>
      <c r="T108" s="153" t="s">
        <v>1523</v>
      </c>
      <c r="U108" s="153">
        <v>107</v>
      </c>
      <c r="V108" s="187">
        <v>20265000026423</v>
      </c>
      <c r="W108" s="88">
        <v>46233</v>
      </c>
      <c r="X108" s="153" t="s">
        <v>589</v>
      </c>
      <c r="Y108" s="83" t="s">
        <v>1351</v>
      </c>
      <c r="Z108" s="153" t="s">
        <v>1353</v>
      </c>
      <c r="AA108" s="188" t="s">
        <v>1355</v>
      </c>
      <c r="AB108" s="8">
        <v>0.5</v>
      </c>
    </row>
    <row r="109" spans="1:28" ht="72" hidden="1">
      <c r="A109" s="74" t="s">
        <v>180</v>
      </c>
      <c r="B109" s="92" t="s">
        <v>399</v>
      </c>
      <c r="C109" s="45" t="s">
        <v>416</v>
      </c>
      <c r="D109" s="45" t="s">
        <v>520</v>
      </c>
      <c r="E109" s="199" t="s">
        <v>280</v>
      </c>
      <c r="F109" s="47" t="s">
        <v>417</v>
      </c>
      <c r="G109" s="47" t="s">
        <v>179</v>
      </c>
      <c r="H109" s="87">
        <v>46020</v>
      </c>
      <c r="I109" s="209">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3">
        <v>108</v>
      </c>
      <c r="V109" s="153"/>
      <c r="W109" s="153"/>
      <c r="X109" s="153"/>
      <c r="Y109" s="136"/>
      <c r="Z109" s="153"/>
      <c r="AA109" s="152"/>
      <c r="AB109" s="8">
        <v>1</v>
      </c>
    </row>
    <row r="110" spans="1:28" ht="72" hidden="1">
      <c r="A110" s="74" t="s">
        <v>180</v>
      </c>
      <c r="B110" s="92" t="s">
        <v>419</v>
      </c>
      <c r="C110" s="45" t="s">
        <v>420</v>
      </c>
      <c r="D110" s="45" t="s">
        <v>421</v>
      </c>
      <c r="E110" s="199" t="s">
        <v>188</v>
      </c>
      <c r="F110" s="47" t="s">
        <v>422</v>
      </c>
      <c r="G110" s="47" t="s">
        <v>17</v>
      </c>
      <c r="H110" s="87">
        <v>45992</v>
      </c>
      <c r="I110" s="209">
        <v>46218</v>
      </c>
      <c r="J110" s="119" t="s">
        <v>423</v>
      </c>
      <c r="K110" s="108"/>
      <c r="L110" s="37" t="s">
        <v>33</v>
      </c>
      <c r="M110" s="80" t="str">
        <f t="shared" ca="1" si="5"/>
        <v/>
      </c>
      <c r="N110" s="37" t="str">
        <f t="shared" ca="1" si="6"/>
        <v/>
      </c>
      <c r="O110" s="81" t="str">
        <f t="shared" ca="1" si="7"/>
        <v/>
      </c>
      <c r="P110" s="81" t="str">
        <f t="shared" ca="1" si="8"/>
        <v/>
      </c>
      <c r="Q110" s="81" t="str">
        <f t="shared" ca="1" si="9"/>
        <v/>
      </c>
      <c r="R110" s="117" t="s">
        <v>641</v>
      </c>
      <c r="S110" s="205"/>
      <c r="T110" s="153" t="s">
        <v>1537</v>
      </c>
      <c r="U110" s="153">
        <v>109</v>
      </c>
      <c r="V110" s="153"/>
      <c r="W110" s="153"/>
      <c r="X110" s="153"/>
      <c r="Y110" s="136"/>
      <c r="Z110" s="153"/>
      <c r="AA110" s="152"/>
      <c r="AB110" s="8">
        <v>0.16</v>
      </c>
    </row>
    <row r="111" spans="1:28" ht="72" hidden="1">
      <c r="A111" s="74" t="s">
        <v>180</v>
      </c>
      <c r="B111" s="92" t="s">
        <v>419</v>
      </c>
      <c r="C111" s="45" t="s">
        <v>420</v>
      </c>
      <c r="D111" s="108"/>
      <c r="E111" s="199"/>
      <c r="F111" s="47" t="s">
        <v>424</v>
      </c>
      <c r="G111" s="47" t="s">
        <v>17</v>
      </c>
      <c r="H111" s="87">
        <v>45992</v>
      </c>
      <c r="I111" s="209">
        <v>46218</v>
      </c>
      <c r="J111" s="119" t="s">
        <v>423</v>
      </c>
      <c r="K111" s="108"/>
      <c r="L111" s="37" t="s">
        <v>33</v>
      </c>
      <c r="M111" s="80" t="str">
        <f t="shared" ca="1" si="5"/>
        <v/>
      </c>
      <c r="N111" s="37" t="str">
        <f t="shared" ca="1" si="6"/>
        <v/>
      </c>
      <c r="O111" s="81" t="str">
        <f t="shared" ca="1" si="7"/>
        <v/>
      </c>
      <c r="P111" s="81" t="str">
        <f t="shared" ca="1" si="8"/>
        <v/>
      </c>
      <c r="Q111" s="81" t="str">
        <f t="shared" ca="1" si="9"/>
        <v/>
      </c>
      <c r="R111" s="117" t="s">
        <v>641</v>
      </c>
      <c r="S111" s="205"/>
      <c r="T111" s="153" t="s">
        <v>1537</v>
      </c>
      <c r="U111" s="153">
        <v>110</v>
      </c>
      <c r="V111" s="153"/>
      <c r="W111" s="153"/>
      <c r="X111" s="153"/>
      <c r="Y111" s="136"/>
      <c r="Z111" s="153"/>
      <c r="AA111" s="152"/>
      <c r="AB111" s="8">
        <v>0.16</v>
      </c>
    </row>
    <row r="112" spans="1:28" ht="72" hidden="1">
      <c r="A112" s="74" t="s">
        <v>180</v>
      </c>
      <c r="B112" s="92" t="s">
        <v>419</v>
      </c>
      <c r="C112" s="45" t="s">
        <v>420</v>
      </c>
      <c r="D112" s="108"/>
      <c r="E112" s="199"/>
      <c r="F112" s="47" t="s">
        <v>425</v>
      </c>
      <c r="G112" s="47" t="s">
        <v>17</v>
      </c>
      <c r="H112" s="87">
        <v>45992</v>
      </c>
      <c r="I112" s="209">
        <v>46218</v>
      </c>
      <c r="J112" s="119" t="s">
        <v>423</v>
      </c>
      <c r="K112" s="108"/>
      <c r="L112" s="37" t="s">
        <v>33</v>
      </c>
      <c r="M112" s="80" t="str">
        <f t="shared" ca="1" si="5"/>
        <v/>
      </c>
      <c r="N112" s="37" t="str">
        <f t="shared" ca="1" si="6"/>
        <v/>
      </c>
      <c r="O112" s="81" t="str">
        <f t="shared" ca="1" si="7"/>
        <v/>
      </c>
      <c r="P112" s="81" t="str">
        <f t="shared" ca="1" si="8"/>
        <v/>
      </c>
      <c r="Q112" s="81" t="str">
        <f t="shared" ca="1" si="9"/>
        <v/>
      </c>
      <c r="R112" s="117" t="s">
        <v>641</v>
      </c>
      <c r="S112" s="205"/>
      <c r="T112" s="153" t="s">
        <v>1537</v>
      </c>
      <c r="U112" s="153">
        <v>111</v>
      </c>
      <c r="V112" s="153"/>
      <c r="W112" s="153"/>
      <c r="X112" s="153"/>
      <c r="Y112" s="136"/>
      <c r="Z112" s="153"/>
      <c r="AA112" s="152"/>
      <c r="AB112" s="8">
        <v>0.16</v>
      </c>
    </row>
    <row r="113" spans="1:28" ht="72" hidden="1">
      <c r="A113" s="74" t="s">
        <v>180</v>
      </c>
      <c r="B113" s="92" t="s">
        <v>419</v>
      </c>
      <c r="C113" s="45" t="s">
        <v>420</v>
      </c>
      <c r="D113" s="108"/>
      <c r="E113" s="199"/>
      <c r="F113" s="47" t="s">
        <v>426</v>
      </c>
      <c r="G113" s="47" t="s">
        <v>17</v>
      </c>
      <c r="H113" s="87">
        <v>45992</v>
      </c>
      <c r="I113" s="209">
        <v>46218</v>
      </c>
      <c r="J113" s="119" t="s">
        <v>423</v>
      </c>
      <c r="K113" s="108"/>
      <c r="L113" s="37" t="s">
        <v>33</v>
      </c>
      <c r="M113" s="80" t="str">
        <f t="shared" ca="1" si="5"/>
        <v/>
      </c>
      <c r="N113" s="37" t="str">
        <f t="shared" ca="1" si="6"/>
        <v/>
      </c>
      <c r="O113" s="81" t="str">
        <f t="shared" ca="1" si="7"/>
        <v/>
      </c>
      <c r="P113" s="81" t="str">
        <f t="shared" ca="1" si="8"/>
        <v/>
      </c>
      <c r="Q113" s="81" t="str">
        <f t="shared" ca="1" si="9"/>
        <v/>
      </c>
      <c r="R113" s="117" t="s">
        <v>641</v>
      </c>
      <c r="S113" s="205"/>
      <c r="T113" s="153" t="s">
        <v>1537</v>
      </c>
      <c r="U113" s="153">
        <v>112</v>
      </c>
      <c r="V113" s="153"/>
      <c r="W113" s="153"/>
      <c r="X113" s="153"/>
      <c r="Y113" s="136"/>
      <c r="Z113" s="153"/>
      <c r="AA113" s="152"/>
      <c r="AB113" s="8">
        <v>0.16</v>
      </c>
    </row>
    <row r="114" spans="1:28" ht="72" hidden="1">
      <c r="A114" s="74" t="s">
        <v>180</v>
      </c>
      <c r="B114" s="92" t="s">
        <v>419</v>
      </c>
      <c r="C114" s="45" t="s">
        <v>420</v>
      </c>
      <c r="D114" s="108"/>
      <c r="E114" s="199"/>
      <c r="F114" s="47" t="s">
        <v>427</v>
      </c>
      <c r="G114" s="47" t="s">
        <v>17</v>
      </c>
      <c r="H114" s="87">
        <v>45992</v>
      </c>
      <c r="I114" s="209">
        <v>46218</v>
      </c>
      <c r="J114" s="119" t="s">
        <v>423</v>
      </c>
      <c r="K114" s="108"/>
      <c r="L114" s="37" t="s">
        <v>33</v>
      </c>
      <c r="M114" s="80" t="str">
        <f t="shared" ca="1" si="5"/>
        <v/>
      </c>
      <c r="N114" s="37" t="str">
        <f t="shared" ca="1" si="6"/>
        <v/>
      </c>
      <c r="O114" s="81" t="str">
        <f t="shared" ca="1" si="7"/>
        <v/>
      </c>
      <c r="P114" s="81" t="str">
        <f t="shared" ca="1" si="8"/>
        <v/>
      </c>
      <c r="Q114" s="81" t="str">
        <f t="shared" ca="1" si="9"/>
        <v/>
      </c>
      <c r="R114" s="117" t="s">
        <v>641</v>
      </c>
      <c r="S114" s="205"/>
      <c r="T114" s="153" t="s">
        <v>1537</v>
      </c>
      <c r="U114" s="153">
        <v>113</v>
      </c>
      <c r="V114" s="153"/>
      <c r="W114" s="153"/>
      <c r="X114" s="153"/>
      <c r="Y114" s="136"/>
      <c r="Z114" s="153"/>
      <c r="AA114" s="152"/>
      <c r="AB114" s="8">
        <v>0.16</v>
      </c>
    </row>
    <row r="115" spans="1:28" ht="72" hidden="1">
      <c r="A115" s="74" t="s">
        <v>180</v>
      </c>
      <c r="B115" s="92" t="s">
        <v>419</v>
      </c>
      <c r="C115" s="45" t="s">
        <v>420</v>
      </c>
      <c r="D115" s="108"/>
      <c r="E115" s="199"/>
      <c r="F115" s="47" t="s">
        <v>428</v>
      </c>
      <c r="G115" s="47" t="s">
        <v>17</v>
      </c>
      <c r="H115" s="87">
        <v>45992</v>
      </c>
      <c r="I115" s="209">
        <v>46218</v>
      </c>
      <c r="J115" s="119" t="s">
        <v>423</v>
      </c>
      <c r="K115" s="108"/>
      <c r="L115" s="37" t="s">
        <v>33</v>
      </c>
      <c r="M115" s="80" t="str">
        <f t="shared" ca="1" si="5"/>
        <v/>
      </c>
      <c r="N115" s="37" t="str">
        <f t="shared" ca="1" si="6"/>
        <v/>
      </c>
      <c r="O115" s="81" t="str">
        <f t="shared" ca="1" si="7"/>
        <v/>
      </c>
      <c r="P115" s="81" t="str">
        <f t="shared" ca="1" si="8"/>
        <v/>
      </c>
      <c r="Q115" s="81" t="str">
        <f t="shared" ca="1" si="9"/>
        <v/>
      </c>
      <c r="R115" s="117" t="s">
        <v>641</v>
      </c>
      <c r="S115" s="205"/>
      <c r="T115" s="153" t="s">
        <v>1537</v>
      </c>
      <c r="U115" s="153">
        <v>114</v>
      </c>
      <c r="V115" s="153"/>
      <c r="W115" s="153"/>
      <c r="X115" s="153"/>
      <c r="Y115" s="136"/>
      <c r="Z115" s="153"/>
      <c r="AA115" s="152"/>
      <c r="AB115" s="8">
        <v>0.2</v>
      </c>
    </row>
    <row r="116" spans="1:28" ht="125.4" hidden="1">
      <c r="A116" s="74" t="s">
        <v>180</v>
      </c>
      <c r="B116" s="92" t="s">
        <v>419</v>
      </c>
      <c r="C116" s="45" t="s">
        <v>429</v>
      </c>
      <c r="D116" s="45" t="s">
        <v>430</v>
      </c>
      <c r="E116" s="199" t="s">
        <v>188</v>
      </c>
      <c r="F116" s="47" t="s">
        <v>431</v>
      </c>
      <c r="G116" s="47" t="s">
        <v>534</v>
      </c>
      <c r="H116" s="87">
        <v>45992</v>
      </c>
      <c r="I116" s="209">
        <v>46142</v>
      </c>
      <c r="J116" s="119" t="s">
        <v>432</v>
      </c>
      <c r="K116" s="108"/>
      <c r="L116" s="37" t="s">
        <v>33</v>
      </c>
      <c r="M116" s="80" t="str">
        <f t="shared" ca="1" si="5"/>
        <v/>
      </c>
      <c r="N116" s="37" t="str">
        <f t="shared" ca="1" si="6"/>
        <v/>
      </c>
      <c r="O116" s="81" t="str">
        <f t="shared" ca="1" si="7"/>
        <v/>
      </c>
      <c r="P116" s="81" t="str">
        <f t="shared" ca="1" si="8"/>
        <v/>
      </c>
      <c r="Q116" s="81" t="str">
        <f t="shared" ca="1" si="9"/>
        <v/>
      </c>
      <c r="R116" s="117" t="s">
        <v>633</v>
      </c>
      <c r="S116" s="205"/>
      <c r="T116" s="153" t="s">
        <v>1537</v>
      </c>
      <c r="U116" s="153">
        <v>115</v>
      </c>
      <c r="V116" s="153"/>
      <c r="W116" s="153"/>
      <c r="X116" s="153"/>
      <c r="Y116" s="136"/>
      <c r="Z116" s="153"/>
      <c r="AA116" s="152"/>
      <c r="AB116" s="8">
        <v>0.25</v>
      </c>
    </row>
    <row r="117" spans="1:28" ht="72" hidden="1">
      <c r="A117" s="74" t="s">
        <v>180</v>
      </c>
      <c r="B117" s="92" t="s">
        <v>419</v>
      </c>
      <c r="C117" s="45" t="s">
        <v>429</v>
      </c>
      <c r="D117" s="108"/>
      <c r="E117" s="199"/>
      <c r="F117" s="47" t="s">
        <v>433</v>
      </c>
      <c r="G117" s="47" t="s">
        <v>534</v>
      </c>
      <c r="H117" s="87">
        <v>45992</v>
      </c>
      <c r="I117" s="209">
        <v>46142</v>
      </c>
      <c r="J117" s="119" t="s">
        <v>432</v>
      </c>
      <c r="K117" s="108"/>
      <c r="L117" s="37" t="s">
        <v>33</v>
      </c>
      <c r="M117" s="80" t="str">
        <f t="shared" ca="1" si="5"/>
        <v/>
      </c>
      <c r="N117" s="37" t="str">
        <f t="shared" ca="1" si="6"/>
        <v/>
      </c>
      <c r="O117" s="81" t="str">
        <f t="shared" ca="1" si="7"/>
        <v/>
      </c>
      <c r="P117" s="81" t="str">
        <f t="shared" ca="1" si="8"/>
        <v/>
      </c>
      <c r="Q117" s="81" t="str">
        <f t="shared" ca="1" si="9"/>
        <v/>
      </c>
      <c r="R117" s="117" t="s">
        <v>633</v>
      </c>
      <c r="S117" s="205"/>
      <c r="T117" s="153" t="s">
        <v>1537</v>
      </c>
      <c r="U117" s="153">
        <v>116</v>
      </c>
      <c r="V117" s="153"/>
      <c r="W117" s="153"/>
      <c r="X117" s="153"/>
      <c r="Y117" s="136"/>
      <c r="Z117" s="153"/>
      <c r="AA117" s="152"/>
      <c r="AB117" s="8">
        <v>0.25</v>
      </c>
    </row>
    <row r="118" spans="1:28" ht="72" hidden="1">
      <c r="A118" s="74" t="s">
        <v>180</v>
      </c>
      <c r="B118" s="92" t="s">
        <v>419</v>
      </c>
      <c r="C118" s="45" t="s">
        <v>429</v>
      </c>
      <c r="D118" s="108"/>
      <c r="E118" s="199"/>
      <c r="F118" s="47" t="s">
        <v>434</v>
      </c>
      <c r="G118" s="47" t="s">
        <v>534</v>
      </c>
      <c r="H118" s="87">
        <v>45992</v>
      </c>
      <c r="I118" s="209">
        <v>46142</v>
      </c>
      <c r="J118" s="119" t="s">
        <v>432</v>
      </c>
      <c r="K118" s="108"/>
      <c r="L118" s="37" t="s">
        <v>33</v>
      </c>
      <c r="M118" s="80" t="str">
        <f t="shared" ca="1" si="5"/>
        <v/>
      </c>
      <c r="N118" s="37" t="str">
        <f t="shared" ca="1" si="6"/>
        <v/>
      </c>
      <c r="O118" s="81" t="str">
        <f t="shared" ca="1" si="7"/>
        <v/>
      </c>
      <c r="P118" s="81" t="str">
        <f t="shared" ca="1" si="8"/>
        <v/>
      </c>
      <c r="Q118" s="81" t="str">
        <f t="shared" ca="1" si="9"/>
        <v/>
      </c>
      <c r="R118" s="117" t="s">
        <v>633</v>
      </c>
      <c r="S118" s="205"/>
      <c r="T118" s="153" t="s">
        <v>1537</v>
      </c>
      <c r="U118" s="153">
        <v>117</v>
      </c>
      <c r="V118" s="153"/>
      <c r="W118" s="153"/>
      <c r="X118" s="153"/>
      <c r="Y118" s="136"/>
      <c r="Z118" s="153"/>
      <c r="AA118" s="152"/>
      <c r="AB118" s="8">
        <v>0.25</v>
      </c>
    </row>
    <row r="119" spans="1:28" ht="72" hidden="1">
      <c r="A119" s="74" t="s">
        <v>180</v>
      </c>
      <c r="B119" s="92" t="s">
        <v>419</v>
      </c>
      <c r="C119" s="45" t="s">
        <v>429</v>
      </c>
      <c r="D119" s="108"/>
      <c r="E119" s="199"/>
      <c r="F119" s="47" t="s">
        <v>435</v>
      </c>
      <c r="G119" s="47" t="s">
        <v>534</v>
      </c>
      <c r="H119" s="87">
        <v>45992</v>
      </c>
      <c r="I119" s="209">
        <v>46142</v>
      </c>
      <c r="J119" s="119" t="s">
        <v>432</v>
      </c>
      <c r="K119" s="108"/>
      <c r="L119" s="37" t="s">
        <v>33</v>
      </c>
      <c r="M119" s="80" t="str">
        <f t="shared" ca="1" si="5"/>
        <v/>
      </c>
      <c r="N119" s="37" t="str">
        <f t="shared" ca="1" si="6"/>
        <v/>
      </c>
      <c r="O119" s="81" t="str">
        <f t="shared" ca="1" si="7"/>
        <v/>
      </c>
      <c r="P119" s="81" t="str">
        <f t="shared" ca="1" si="8"/>
        <v/>
      </c>
      <c r="Q119" s="81" t="str">
        <f t="shared" ca="1" si="9"/>
        <v/>
      </c>
      <c r="R119" s="117" t="s">
        <v>633</v>
      </c>
      <c r="S119" s="205"/>
      <c r="T119" s="153" t="s">
        <v>1537</v>
      </c>
      <c r="U119" s="153">
        <v>118</v>
      </c>
      <c r="V119" s="153"/>
      <c r="W119" s="153"/>
      <c r="X119" s="153"/>
      <c r="Y119" s="136"/>
      <c r="Z119" s="153"/>
      <c r="AA119" s="152"/>
      <c r="AB119" s="8">
        <v>0.25</v>
      </c>
    </row>
    <row r="120" spans="1:28" ht="126" hidden="1">
      <c r="A120" s="74" t="s">
        <v>180</v>
      </c>
      <c r="B120" s="92" t="s">
        <v>419</v>
      </c>
      <c r="C120" s="45" t="s">
        <v>436</v>
      </c>
      <c r="D120" s="45" t="s">
        <v>521</v>
      </c>
      <c r="E120" s="199" t="s">
        <v>188</v>
      </c>
      <c r="F120" s="47" t="s">
        <v>437</v>
      </c>
      <c r="G120" s="47" t="s">
        <v>115</v>
      </c>
      <c r="H120" s="87">
        <v>45996</v>
      </c>
      <c r="I120" s="209">
        <v>46386</v>
      </c>
      <c r="J120" s="119" t="s">
        <v>438</v>
      </c>
      <c r="K120" s="108"/>
      <c r="L120" s="37" t="s">
        <v>201</v>
      </c>
      <c r="M120" s="80">
        <f t="shared" ca="1" si="5"/>
        <v>105</v>
      </c>
      <c r="N120" s="37" t="str">
        <f t="shared" ca="1" si="6"/>
        <v/>
      </c>
      <c r="O120" s="81" t="str">
        <f t="shared" ca="1" si="7"/>
        <v/>
      </c>
      <c r="P120" s="81" t="str">
        <f t="shared" ca="1" si="8"/>
        <v/>
      </c>
      <c r="Q120" s="81" t="str">
        <f t="shared" ca="1" si="9"/>
        <v/>
      </c>
      <c r="R120" s="117" t="s">
        <v>632</v>
      </c>
      <c r="S120" s="205"/>
      <c r="T120" s="153" t="s">
        <v>1537</v>
      </c>
      <c r="U120" s="153">
        <v>119</v>
      </c>
      <c r="V120" s="153"/>
      <c r="W120" s="153"/>
      <c r="X120" s="153"/>
      <c r="Y120" s="136"/>
      <c r="Z120" s="153"/>
      <c r="AA120" s="152"/>
      <c r="AB120" s="8">
        <v>0.2</v>
      </c>
    </row>
    <row r="121" spans="1:28" ht="43.2" hidden="1">
      <c r="A121" s="74" t="s">
        <v>180</v>
      </c>
      <c r="B121" s="92" t="s">
        <v>419</v>
      </c>
      <c r="C121" s="45" t="s">
        <v>436</v>
      </c>
      <c r="D121" s="108"/>
      <c r="E121" s="199"/>
      <c r="F121" s="47" t="s">
        <v>439</v>
      </c>
      <c r="G121" s="47" t="s">
        <v>115</v>
      </c>
      <c r="H121" s="87">
        <v>45996</v>
      </c>
      <c r="I121" s="209">
        <v>46386</v>
      </c>
      <c r="J121" s="119" t="s">
        <v>438</v>
      </c>
      <c r="K121" s="108"/>
      <c r="L121" s="37" t="s">
        <v>201</v>
      </c>
      <c r="M121" s="80">
        <f t="shared" ca="1" si="5"/>
        <v>105</v>
      </c>
      <c r="N121" s="37" t="str">
        <f t="shared" ca="1" si="6"/>
        <v/>
      </c>
      <c r="O121" s="81" t="str">
        <f t="shared" ca="1" si="7"/>
        <v/>
      </c>
      <c r="P121" s="81" t="str">
        <f t="shared" ca="1" si="8"/>
        <v/>
      </c>
      <c r="Q121" s="81" t="str">
        <f t="shared" ca="1" si="9"/>
        <v/>
      </c>
      <c r="R121" s="117" t="s">
        <v>632</v>
      </c>
      <c r="S121" s="205"/>
      <c r="T121" s="153" t="s">
        <v>1537</v>
      </c>
      <c r="U121" s="153">
        <v>120</v>
      </c>
      <c r="V121" s="153"/>
      <c r="W121" s="153"/>
      <c r="X121" s="153"/>
      <c r="Y121" s="136"/>
      <c r="Z121" s="153"/>
      <c r="AA121" s="152"/>
      <c r="AB121" s="8">
        <v>0.2</v>
      </c>
    </row>
    <row r="122" spans="1:28" ht="43.2" hidden="1">
      <c r="A122" s="74" t="s">
        <v>180</v>
      </c>
      <c r="B122" s="92" t="s">
        <v>419</v>
      </c>
      <c r="C122" s="45" t="s">
        <v>436</v>
      </c>
      <c r="D122" s="108"/>
      <c r="E122" s="199"/>
      <c r="F122" s="47" t="s">
        <v>440</v>
      </c>
      <c r="G122" s="47" t="s">
        <v>115</v>
      </c>
      <c r="H122" s="87">
        <v>45996</v>
      </c>
      <c r="I122" s="209">
        <v>46386</v>
      </c>
      <c r="J122" s="119" t="s">
        <v>438</v>
      </c>
      <c r="K122" s="108"/>
      <c r="L122" s="37" t="s">
        <v>201</v>
      </c>
      <c r="M122" s="80">
        <f t="shared" ca="1" si="5"/>
        <v>105</v>
      </c>
      <c r="N122" s="37" t="str">
        <f t="shared" ca="1" si="6"/>
        <v/>
      </c>
      <c r="O122" s="81" t="str">
        <f t="shared" ca="1" si="7"/>
        <v/>
      </c>
      <c r="P122" s="81" t="str">
        <f t="shared" ca="1" si="8"/>
        <v/>
      </c>
      <c r="Q122" s="81" t="str">
        <f t="shared" ca="1" si="9"/>
        <v/>
      </c>
      <c r="R122" s="117" t="s">
        <v>632</v>
      </c>
      <c r="S122" s="205"/>
      <c r="T122" s="153" t="s">
        <v>1537</v>
      </c>
      <c r="U122" s="153">
        <v>121</v>
      </c>
      <c r="V122" s="153"/>
      <c r="W122" s="153"/>
      <c r="X122" s="153"/>
      <c r="Y122" s="136"/>
      <c r="Z122" s="153"/>
      <c r="AA122" s="152"/>
      <c r="AB122" s="8">
        <v>0.2</v>
      </c>
    </row>
    <row r="123" spans="1:28" ht="43.2" hidden="1">
      <c r="A123" s="74" t="s">
        <v>180</v>
      </c>
      <c r="B123" s="92" t="s">
        <v>419</v>
      </c>
      <c r="C123" s="45" t="s">
        <v>436</v>
      </c>
      <c r="D123" s="108"/>
      <c r="E123" s="199"/>
      <c r="F123" s="47" t="s">
        <v>441</v>
      </c>
      <c r="G123" s="47" t="s">
        <v>115</v>
      </c>
      <c r="H123" s="87">
        <v>45996</v>
      </c>
      <c r="I123" s="209">
        <v>46386</v>
      </c>
      <c r="J123" s="119" t="s">
        <v>438</v>
      </c>
      <c r="K123" s="108"/>
      <c r="L123" s="37" t="s">
        <v>201</v>
      </c>
      <c r="M123" s="80">
        <f t="shared" ca="1" si="5"/>
        <v>105</v>
      </c>
      <c r="N123" s="37" t="str">
        <f t="shared" ca="1" si="6"/>
        <v/>
      </c>
      <c r="O123" s="81" t="str">
        <f t="shared" ca="1" si="7"/>
        <v/>
      </c>
      <c r="P123" s="81" t="str">
        <f t="shared" ca="1" si="8"/>
        <v/>
      </c>
      <c r="Q123" s="81" t="str">
        <f t="shared" ca="1" si="9"/>
        <v/>
      </c>
      <c r="R123" s="117" t="s">
        <v>632</v>
      </c>
      <c r="S123" s="205"/>
      <c r="T123" s="153" t="s">
        <v>1537</v>
      </c>
      <c r="U123" s="153">
        <v>122</v>
      </c>
      <c r="V123" s="153"/>
      <c r="W123" s="153"/>
      <c r="X123" s="153"/>
      <c r="Y123" s="136"/>
      <c r="Z123" s="153"/>
      <c r="AA123" s="152"/>
      <c r="AB123" s="8">
        <v>0.2</v>
      </c>
    </row>
    <row r="124" spans="1:28" ht="45.6" hidden="1">
      <c r="A124" s="74" t="s">
        <v>180</v>
      </c>
      <c r="B124" s="92" t="s">
        <v>419</v>
      </c>
      <c r="C124" s="45" t="s">
        <v>436</v>
      </c>
      <c r="D124" s="108"/>
      <c r="E124" s="199"/>
      <c r="F124" s="47" t="s">
        <v>442</v>
      </c>
      <c r="G124" s="47" t="s">
        <v>115</v>
      </c>
      <c r="H124" s="87">
        <v>45996</v>
      </c>
      <c r="I124" s="209">
        <v>46386</v>
      </c>
      <c r="J124" s="119" t="s">
        <v>438</v>
      </c>
      <c r="K124" s="108"/>
      <c r="L124" s="37" t="s">
        <v>201</v>
      </c>
      <c r="M124" s="80">
        <f t="shared" ca="1" si="5"/>
        <v>105</v>
      </c>
      <c r="N124" s="37" t="str">
        <f t="shared" ca="1" si="6"/>
        <v/>
      </c>
      <c r="O124" s="81" t="str">
        <f t="shared" ca="1" si="7"/>
        <v/>
      </c>
      <c r="P124" s="81" t="str">
        <f t="shared" ca="1" si="8"/>
        <v/>
      </c>
      <c r="Q124" s="81" t="str">
        <f t="shared" ca="1" si="9"/>
        <v/>
      </c>
      <c r="R124" s="117" t="s">
        <v>632</v>
      </c>
      <c r="S124" s="205"/>
      <c r="T124" s="153" t="s">
        <v>1537</v>
      </c>
      <c r="U124" s="153">
        <v>123</v>
      </c>
      <c r="V124" s="153"/>
      <c r="W124" s="153"/>
      <c r="X124" s="153"/>
      <c r="Y124" s="136"/>
      <c r="Z124" s="153"/>
      <c r="AA124" s="152"/>
      <c r="AB124" s="8">
        <v>0.2</v>
      </c>
    </row>
    <row r="125" spans="1:28" ht="114.6" hidden="1">
      <c r="A125" s="74" t="s">
        <v>180</v>
      </c>
      <c r="B125" s="92" t="s">
        <v>419</v>
      </c>
      <c r="C125" s="45" t="s">
        <v>443</v>
      </c>
      <c r="D125" s="45" t="s">
        <v>522</v>
      </c>
      <c r="E125" s="199" t="s">
        <v>188</v>
      </c>
      <c r="F125" s="47" t="s">
        <v>444</v>
      </c>
      <c r="G125" s="47" t="s">
        <v>445</v>
      </c>
      <c r="H125" s="87">
        <v>45992</v>
      </c>
      <c r="I125" s="209">
        <v>46142</v>
      </c>
      <c r="J125" s="119" t="s">
        <v>446</v>
      </c>
      <c r="K125" s="108" t="s">
        <v>1278</v>
      </c>
      <c r="L125" s="37" t="s">
        <v>33</v>
      </c>
      <c r="M125" s="80" t="str">
        <f t="shared" ca="1" si="5"/>
        <v/>
      </c>
      <c r="N125" s="37" t="str">
        <f t="shared" ca="1" si="6"/>
        <v/>
      </c>
      <c r="O125" s="81" t="str">
        <f t="shared" ca="1" si="7"/>
        <v/>
      </c>
      <c r="P125" s="81" t="str">
        <f t="shared" ca="1" si="8"/>
        <v/>
      </c>
      <c r="Q125" s="81" t="str">
        <f t="shared" ca="1" si="9"/>
        <v/>
      </c>
      <c r="R125" s="117" t="s">
        <v>642</v>
      </c>
      <c r="S125" s="205"/>
      <c r="T125" s="153" t="s">
        <v>1537</v>
      </c>
      <c r="U125" s="153">
        <v>124</v>
      </c>
      <c r="V125" s="153"/>
      <c r="W125" s="153"/>
      <c r="X125" s="153"/>
      <c r="Y125" s="136"/>
      <c r="Z125" s="153"/>
      <c r="AA125" s="152"/>
      <c r="AB125" s="8">
        <v>0.33</v>
      </c>
    </row>
    <row r="126" spans="1:28" ht="72" hidden="1">
      <c r="A126" s="74" t="s">
        <v>180</v>
      </c>
      <c r="B126" s="92" t="s">
        <v>419</v>
      </c>
      <c r="C126" s="45" t="s">
        <v>443</v>
      </c>
      <c r="D126" s="108"/>
      <c r="E126" s="199"/>
      <c r="F126" s="47" t="s">
        <v>447</v>
      </c>
      <c r="G126" s="47" t="s">
        <v>445</v>
      </c>
      <c r="H126" s="87">
        <v>45992</v>
      </c>
      <c r="I126" s="209">
        <v>46142</v>
      </c>
      <c r="J126" s="119" t="s">
        <v>446</v>
      </c>
      <c r="K126" s="108"/>
      <c r="L126" s="37" t="s">
        <v>33</v>
      </c>
      <c r="M126" s="80" t="str">
        <f t="shared" ca="1" si="5"/>
        <v/>
      </c>
      <c r="N126" s="37" t="str">
        <f t="shared" ca="1" si="6"/>
        <v/>
      </c>
      <c r="O126" s="81" t="str">
        <f t="shared" ca="1" si="7"/>
        <v/>
      </c>
      <c r="P126" s="81" t="str">
        <f t="shared" ca="1" si="8"/>
        <v/>
      </c>
      <c r="Q126" s="81" t="str">
        <f t="shared" ca="1" si="9"/>
        <v/>
      </c>
      <c r="R126" s="117" t="s">
        <v>643</v>
      </c>
      <c r="S126" s="205"/>
      <c r="T126" s="153" t="s">
        <v>1537</v>
      </c>
      <c r="U126" s="153">
        <v>125</v>
      </c>
      <c r="V126" s="153"/>
      <c r="W126" s="153"/>
      <c r="X126" s="153"/>
      <c r="Y126" s="136"/>
      <c r="Z126" s="153"/>
      <c r="AA126" s="152"/>
      <c r="AB126" s="8">
        <v>0.33</v>
      </c>
    </row>
    <row r="127" spans="1:28" ht="72" hidden="1">
      <c r="A127" s="74" t="s">
        <v>180</v>
      </c>
      <c r="B127" s="92" t="s">
        <v>419</v>
      </c>
      <c r="C127" s="45" t="s">
        <v>443</v>
      </c>
      <c r="D127" s="108"/>
      <c r="E127" s="199"/>
      <c r="F127" s="47" t="s">
        <v>448</v>
      </c>
      <c r="G127" s="47" t="s">
        <v>445</v>
      </c>
      <c r="H127" s="87">
        <v>45992</v>
      </c>
      <c r="I127" s="209">
        <v>46142</v>
      </c>
      <c r="J127" s="119" t="s">
        <v>446</v>
      </c>
      <c r="K127" s="108"/>
      <c r="L127" s="37" t="s">
        <v>33</v>
      </c>
      <c r="M127" s="80" t="str">
        <f t="shared" ca="1" si="5"/>
        <v/>
      </c>
      <c r="N127" s="37" t="str">
        <f t="shared" ca="1" si="6"/>
        <v/>
      </c>
      <c r="O127" s="81" t="str">
        <f t="shared" ca="1" si="7"/>
        <v/>
      </c>
      <c r="P127" s="81" t="str">
        <f t="shared" ca="1" si="8"/>
        <v/>
      </c>
      <c r="Q127" s="81" t="str">
        <f t="shared" ca="1" si="9"/>
        <v/>
      </c>
      <c r="R127" s="117" t="s">
        <v>643</v>
      </c>
      <c r="S127" s="205"/>
      <c r="T127" s="153" t="s">
        <v>1537</v>
      </c>
      <c r="U127" s="153">
        <v>126</v>
      </c>
      <c r="V127" s="153"/>
      <c r="W127" s="153"/>
      <c r="X127" s="153"/>
      <c r="Y127" s="136"/>
      <c r="Z127" s="153"/>
      <c r="AA127" s="152"/>
      <c r="AB127" s="8">
        <v>0.34</v>
      </c>
    </row>
    <row r="128" spans="1:28" ht="136.80000000000001" hidden="1">
      <c r="A128" s="74" t="s">
        <v>180</v>
      </c>
      <c r="B128" s="92" t="s">
        <v>449</v>
      </c>
      <c r="C128" s="45" t="s">
        <v>450</v>
      </c>
      <c r="D128" s="45" t="s">
        <v>523</v>
      </c>
      <c r="E128" s="199" t="s">
        <v>254</v>
      </c>
      <c r="F128" s="47" t="s">
        <v>451</v>
      </c>
      <c r="G128" s="47" t="s">
        <v>179</v>
      </c>
      <c r="H128" s="87">
        <v>46051</v>
      </c>
      <c r="I128" s="209">
        <v>46171</v>
      </c>
      <c r="J128" s="117" t="s">
        <v>452</v>
      </c>
      <c r="K128" s="108"/>
      <c r="L128" s="37" t="s">
        <v>33</v>
      </c>
      <c r="M128" s="80" t="str">
        <f t="shared" ca="1" si="5"/>
        <v/>
      </c>
      <c r="N128" s="37" t="str">
        <f t="shared" ca="1" si="6"/>
        <v/>
      </c>
      <c r="O128" s="81" t="str">
        <f t="shared" ca="1" si="7"/>
        <v/>
      </c>
      <c r="P128" s="81" t="str">
        <f t="shared" ca="1" si="8"/>
        <v/>
      </c>
      <c r="Q128" s="81" t="str">
        <f t="shared" ca="1" si="9"/>
        <v/>
      </c>
      <c r="R128" s="117" t="s">
        <v>644</v>
      </c>
      <c r="S128" s="205"/>
      <c r="T128" s="153" t="s">
        <v>1537</v>
      </c>
      <c r="U128" s="153">
        <v>127</v>
      </c>
      <c r="V128" s="153"/>
      <c r="W128" s="153"/>
      <c r="X128" s="153"/>
      <c r="Y128" s="136"/>
      <c r="Z128" s="153"/>
      <c r="AA128" s="152"/>
      <c r="AB128" s="8">
        <v>1</v>
      </c>
    </row>
    <row r="129" spans="1:28" ht="80.400000000000006" hidden="1">
      <c r="A129" s="74" t="s">
        <v>180</v>
      </c>
      <c r="B129" s="92" t="s">
        <v>449</v>
      </c>
      <c r="C129" s="45" t="s">
        <v>453</v>
      </c>
      <c r="D129" s="45" t="s">
        <v>524</v>
      </c>
      <c r="E129" s="199" t="s">
        <v>188</v>
      </c>
      <c r="F129" s="47" t="s">
        <v>454</v>
      </c>
      <c r="G129" s="47" t="s">
        <v>115</v>
      </c>
      <c r="H129" s="87">
        <v>45697</v>
      </c>
      <c r="I129" s="209">
        <v>45715</v>
      </c>
      <c r="J129" s="119" t="s">
        <v>455</v>
      </c>
      <c r="K129" s="108"/>
      <c r="L129" s="37" t="s">
        <v>20</v>
      </c>
      <c r="M129" s="80" t="str">
        <f t="shared" ca="1" si="5"/>
        <v/>
      </c>
      <c r="N129" s="37" t="str">
        <f t="shared" ca="1" si="6"/>
        <v/>
      </c>
      <c r="O129" s="81" t="str">
        <f t="shared" ca="1" si="7"/>
        <v/>
      </c>
      <c r="P129" s="81" t="str">
        <f t="shared" ca="1" si="8"/>
        <v/>
      </c>
      <c r="Q129" s="81" t="str">
        <f t="shared" ca="1" si="9"/>
        <v/>
      </c>
      <c r="R129" s="161"/>
      <c r="S129" s="205"/>
      <c r="T129" s="153" t="s">
        <v>1537</v>
      </c>
      <c r="U129" s="153">
        <v>128</v>
      </c>
      <c r="V129" s="153"/>
      <c r="W129" s="153"/>
      <c r="X129" s="153"/>
      <c r="Y129" s="136"/>
      <c r="Z129" s="153"/>
      <c r="AA129" s="152"/>
      <c r="AB129" s="8">
        <v>1</v>
      </c>
    </row>
    <row r="130" spans="1:28" ht="114.6" hidden="1">
      <c r="A130" s="74" t="s">
        <v>180</v>
      </c>
      <c r="B130" s="92" t="s">
        <v>449</v>
      </c>
      <c r="C130" s="45" t="s">
        <v>456</v>
      </c>
      <c r="D130" s="45" t="s">
        <v>525</v>
      </c>
      <c r="E130" s="199" t="s">
        <v>188</v>
      </c>
      <c r="F130" s="47" t="s">
        <v>457</v>
      </c>
      <c r="G130" s="47" t="s">
        <v>115</v>
      </c>
      <c r="H130" s="87">
        <v>45697</v>
      </c>
      <c r="I130" s="209">
        <v>45715</v>
      </c>
      <c r="J130" s="119" t="s">
        <v>458</v>
      </c>
      <c r="K130" s="108"/>
      <c r="L130" s="37" t="s">
        <v>20</v>
      </c>
      <c r="M130" s="80" t="str">
        <f t="shared" ca="1" si="5"/>
        <v/>
      </c>
      <c r="N130" s="37" t="str">
        <f t="shared" ca="1" si="6"/>
        <v/>
      </c>
      <c r="O130" s="81" t="str">
        <f t="shared" ca="1" si="7"/>
        <v/>
      </c>
      <c r="P130" s="81" t="str">
        <f t="shared" ca="1" si="8"/>
        <v/>
      </c>
      <c r="Q130" s="81" t="str">
        <f t="shared" ca="1" si="9"/>
        <v/>
      </c>
      <c r="R130" s="161"/>
      <c r="S130" s="205"/>
      <c r="T130" s="153" t="s">
        <v>1537</v>
      </c>
      <c r="U130" s="153">
        <v>129</v>
      </c>
      <c r="V130" s="153"/>
      <c r="W130" s="153"/>
      <c r="X130" s="153"/>
      <c r="Y130" s="136"/>
      <c r="Z130" s="153"/>
      <c r="AA130" s="152"/>
      <c r="AB130" s="8">
        <v>1</v>
      </c>
    </row>
    <row r="131" spans="1:28" ht="70.2" hidden="1">
      <c r="A131" s="74" t="s">
        <v>180</v>
      </c>
      <c r="B131" s="92" t="s">
        <v>449</v>
      </c>
      <c r="C131" s="45" t="s">
        <v>459</v>
      </c>
      <c r="D131" s="108" t="s">
        <v>526</v>
      </c>
      <c r="E131" s="199" t="s">
        <v>280</v>
      </c>
      <c r="F131" s="47" t="s">
        <v>646</v>
      </c>
      <c r="G131" s="47" t="s">
        <v>118</v>
      </c>
      <c r="H131" s="87">
        <v>46118</v>
      </c>
      <c r="I131" s="209">
        <v>46118</v>
      </c>
      <c r="J131" s="117"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1"/>
      <c r="S131" s="205">
        <v>46118</v>
      </c>
      <c r="T131" s="153" t="s">
        <v>1537</v>
      </c>
      <c r="U131" s="153">
        <v>130</v>
      </c>
      <c r="V131" s="153"/>
      <c r="W131" s="153"/>
      <c r="X131" s="153"/>
      <c r="Y131" s="136"/>
      <c r="Z131" s="153"/>
      <c r="AA131" s="152"/>
      <c r="AB131" s="8">
        <v>1</v>
      </c>
    </row>
    <row r="132" spans="1:28" ht="114.6" hidden="1">
      <c r="A132" s="74" t="s">
        <v>180</v>
      </c>
      <c r="B132" s="92" t="s">
        <v>461</v>
      </c>
      <c r="C132" s="45" t="s">
        <v>462</v>
      </c>
      <c r="D132" s="45" t="s">
        <v>527</v>
      </c>
      <c r="E132" s="199"/>
      <c r="F132" s="47" t="s">
        <v>463</v>
      </c>
      <c r="G132" s="47" t="s">
        <v>148</v>
      </c>
      <c r="H132" s="87">
        <v>46044</v>
      </c>
      <c r="I132" s="209">
        <v>46293</v>
      </c>
      <c r="J132" s="109" t="s">
        <v>464</v>
      </c>
      <c r="K132" s="37"/>
      <c r="L132" s="37" t="s">
        <v>201</v>
      </c>
      <c r="M132" s="80">
        <f t="shared" ca="1" si="10"/>
        <v>12</v>
      </c>
      <c r="N132" s="37" t="str">
        <f t="shared" ca="1" si="11"/>
        <v/>
      </c>
      <c r="O132" s="81" t="str">
        <f t="shared" ca="1" si="12"/>
        <v>⏳ URGENTE (20d)</v>
      </c>
      <c r="P132" s="81" t="str">
        <f t="shared" ca="1" si="13"/>
        <v/>
      </c>
      <c r="Q132" s="81" t="str">
        <f t="shared" ca="1" si="14"/>
        <v/>
      </c>
      <c r="R132" s="84" t="s">
        <v>652</v>
      </c>
      <c r="S132" s="88"/>
      <c r="T132" s="153" t="s">
        <v>1560</v>
      </c>
      <c r="U132" s="153">
        <v>131</v>
      </c>
      <c r="V132" s="153"/>
      <c r="W132" s="153"/>
      <c r="X132" s="153"/>
      <c r="Y132" s="136"/>
      <c r="Z132" s="153"/>
      <c r="AA132" s="152"/>
      <c r="AB132" s="8">
        <v>1</v>
      </c>
    </row>
    <row r="133" spans="1:28" ht="241.2" hidden="1">
      <c r="A133" s="74" t="s">
        <v>180</v>
      </c>
      <c r="B133" s="92" t="s">
        <v>461</v>
      </c>
      <c r="C133" s="45" t="s">
        <v>465</v>
      </c>
      <c r="D133" s="108" t="s">
        <v>528</v>
      </c>
      <c r="E133" s="199"/>
      <c r="F133" s="47" t="s">
        <v>466</v>
      </c>
      <c r="G133" s="47" t="s">
        <v>148</v>
      </c>
      <c r="H133" s="87">
        <v>46044</v>
      </c>
      <c r="I133" s="209">
        <v>46310</v>
      </c>
      <c r="J133" s="97" t="s">
        <v>467</v>
      </c>
      <c r="K133" s="108"/>
      <c r="L133" s="37" t="s">
        <v>201</v>
      </c>
      <c r="M133" s="80">
        <f t="shared" ca="1" si="10"/>
        <v>29</v>
      </c>
      <c r="N133" s="37" t="str">
        <f t="shared" ca="1" si="11"/>
        <v/>
      </c>
      <c r="O133" s="81" t="str">
        <f t="shared" ca="1" si="12"/>
        <v/>
      </c>
      <c r="P133" s="81" t="str">
        <f t="shared" ca="1" si="13"/>
        <v>📅 SEGUIMIENTO (30d)</v>
      </c>
      <c r="Q133" s="81" t="str">
        <f t="shared" ca="1" si="14"/>
        <v/>
      </c>
      <c r="R133" s="84" t="s">
        <v>652</v>
      </c>
      <c r="S133" s="88"/>
      <c r="T133" s="153" t="s">
        <v>1560</v>
      </c>
      <c r="U133" s="153">
        <v>132</v>
      </c>
      <c r="V133" s="153"/>
      <c r="W133" s="153"/>
      <c r="X133" s="153"/>
      <c r="Y133" s="136"/>
      <c r="Z133" s="153"/>
      <c r="AA133" s="152"/>
      <c r="AB133" s="8">
        <v>0.25</v>
      </c>
    </row>
    <row r="134" spans="1:28" ht="72" hidden="1">
      <c r="A134" s="74" t="s">
        <v>180</v>
      </c>
      <c r="B134" s="92" t="s">
        <v>461</v>
      </c>
      <c r="C134" s="45" t="s">
        <v>465</v>
      </c>
      <c r="D134" s="108"/>
      <c r="E134" s="199"/>
      <c r="F134" s="47" t="s">
        <v>468</v>
      </c>
      <c r="G134" s="47" t="s">
        <v>148</v>
      </c>
      <c r="H134" s="87">
        <v>46044</v>
      </c>
      <c r="I134" s="209">
        <v>46310</v>
      </c>
      <c r="J134" s="97" t="s">
        <v>467</v>
      </c>
      <c r="K134" s="108"/>
      <c r="L134" s="37" t="s">
        <v>201</v>
      </c>
      <c r="M134" s="80">
        <f t="shared" ca="1" si="10"/>
        <v>29</v>
      </c>
      <c r="N134" s="37" t="str">
        <f t="shared" ca="1" si="11"/>
        <v/>
      </c>
      <c r="O134" s="81" t="str">
        <f t="shared" ca="1" si="12"/>
        <v/>
      </c>
      <c r="P134" s="81" t="str">
        <f t="shared" ca="1" si="13"/>
        <v>📅 SEGUIMIENTO (30d)</v>
      </c>
      <c r="Q134" s="81" t="str">
        <f t="shared" ca="1" si="14"/>
        <v/>
      </c>
      <c r="R134" s="84" t="s">
        <v>652</v>
      </c>
      <c r="S134" s="88"/>
      <c r="T134" s="153" t="s">
        <v>1560</v>
      </c>
      <c r="U134" s="153">
        <v>133</v>
      </c>
      <c r="V134" s="153"/>
      <c r="W134" s="153"/>
      <c r="X134" s="153"/>
      <c r="Y134" s="136"/>
      <c r="Z134" s="153"/>
      <c r="AA134" s="152"/>
      <c r="AB134" s="8">
        <v>0.25</v>
      </c>
    </row>
    <row r="135" spans="1:28" ht="72" hidden="1">
      <c r="A135" s="74" t="s">
        <v>180</v>
      </c>
      <c r="B135" s="92" t="s">
        <v>461</v>
      </c>
      <c r="C135" s="45" t="s">
        <v>465</v>
      </c>
      <c r="D135" s="108"/>
      <c r="E135" s="199"/>
      <c r="F135" s="47" t="s">
        <v>469</v>
      </c>
      <c r="G135" s="47" t="s">
        <v>148</v>
      </c>
      <c r="H135" s="87">
        <v>46044</v>
      </c>
      <c r="I135" s="209">
        <v>46310</v>
      </c>
      <c r="J135" s="97" t="s">
        <v>467</v>
      </c>
      <c r="K135" s="108"/>
      <c r="L135" s="37" t="s">
        <v>201</v>
      </c>
      <c r="M135" s="80">
        <f t="shared" ca="1" si="10"/>
        <v>29</v>
      </c>
      <c r="N135" s="37" t="str">
        <f t="shared" ca="1" si="11"/>
        <v/>
      </c>
      <c r="O135" s="81" t="str">
        <f t="shared" ca="1" si="12"/>
        <v/>
      </c>
      <c r="P135" s="81" t="str">
        <f t="shared" ca="1" si="13"/>
        <v>📅 SEGUIMIENTO (30d)</v>
      </c>
      <c r="Q135" s="81" t="str">
        <f t="shared" ca="1" si="14"/>
        <v/>
      </c>
      <c r="R135" s="84" t="s">
        <v>652</v>
      </c>
      <c r="S135" s="88"/>
      <c r="T135" s="153" t="s">
        <v>1560</v>
      </c>
      <c r="U135" s="153">
        <v>134</v>
      </c>
      <c r="V135" s="153"/>
      <c r="W135" s="153"/>
      <c r="X135" s="153"/>
      <c r="Y135" s="136"/>
      <c r="Z135" s="153"/>
      <c r="AA135" s="152"/>
      <c r="AB135" s="8">
        <v>0.25</v>
      </c>
    </row>
    <row r="136" spans="1:28" ht="72" hidden="1">
      <c r="A136" s="74" t="s">
        <v>180</v>
      </c>
      <c r="B136" s="92" t="s">
        <v>461</v>
      </c>
      <c r="C136" s="45" t="s">
        <v>465</v>
      </c>
      <c r="D136" s="108"/>
      <c r="E136" s="199"/>
      <c r="F136" s="47" t="s">
        <v>470</v>
      </c>
      <c r="G136" s="47" t="s">
        <v>148</v>
      </c>
      <c r="H136" s="87">
        <v>46044</v>
      </c>
      <c r="I136" s="209">
        <v>46300</v>
      </c>
      <c r="J136" s="97" t="s">
        <v>467</v>
      </c>
      <c r="K136" s="108"/>
      <c r="L136" s="37" t="s">
        <v>201</v>
      </c>
      <c r="M136" s="80">
        <f t="shared" ca="1" si="10"/>
        <v>19</v>
      </c>
      <c r="N136" s="37" t="str">
        <f t="shared" ca="1" si="11"/>
        <v/>
      </c>
      <c r="O136" s="81" t="str">
        <f t="shared" ca="1" si="12"/>
        <v>⏳ URGENTE (20d)</v>
      </c>
      <c r="P136" s="81" t="str">
        <f t="shared" ca="1" si="13"/>
        <v/>
      </c>
      <c r="Q136" s="81" t="str">
        <f t="shared" ca="1" si="14"/>
        <v/>
      </c>
      <c r="R136" s="84" t="s">
        <v>652</v>
      </c>
      <c r="S136" s="88"/>
      <c r="T136" s="153" t="s">
        <v>1560</v>
      </c>
      <c r="U136" s="153">
        <v>135</v>
      </c>
      <c r="V136" s="153"/>
      <c r="W136" s="153"/>
      <c r="X136" s="153"/>
      <c r="Y136" s="136"/>
      <c r="Z136" s="153"/>
      <c r="AA136" s="152"/>
      <c r="AB136" s="8">
        <v>0.25</v>
      </c>
    </row>
    <row r="137" spans="1:28" ht="229.8" hidden="1">
      <c r="A137" s="74" t="s">
        <v>180</v>
      </c>
      <c r="B137" s="92" t="s">
        <v>471</v>
      </c>
      <c r="C137" s="45" t="s">
        <v>450</v>
      </c>
      <c r="D137" s="108" t="s">
        <v>529</v>
      </c>
      <c r="E137" s="199" t="s">
        <v>188</v>
      </c>
      <c r="F137" s="47" t="s">
        <v>472</v>
      </c>
      <c r="G137" s="74" t="s">
        <v>179</v>
      </c>
      <c r="H137" s="87">
        <v>46051</v>
      </c>
      <c r="I137" s="209">
        <v>46171</v>
      </c>
      <c r="J137" s="117" t="s">
        <v>473</v>
      </c>
      <c r="K137" s="74"/>
      <c r="L137" s="37" t="s">
        <v>33</v>
      </c>
      <c r="M137" s="80" t="str">
        <f t="shared" ca="1" si="10"/>
        <v/>
      </c>
      <c r="N137" s="37" t="str">
        <f t="shared" ca="1" si="11"/>
        <v/>
      </c>
      <c r="O137" s="81" t="str">
        <f t="shared" ca="1" si="12"/>
        <v/>
      </c>
      <c r="P137" s="81" t="str">
        <f t="shared" ca="1" si="13"/>
        <v/>
      </c>
      <c r="Q137" s="81" t="str">
        <f t="shared" ca="1" si="14"/>
        <v/>
      </c>
      <c r="R137" s="117" t="s">
        <v>644</v>
      </c>
      <c r="S137" s="205"/>
      <c r="T137" s="153" t="s">
        <v>1537</v>
      </c>
      <c r="U137" s="153">
        <v>136</v>
      </c>
      <c r="V137" s="153"/>
      <c r="W137" s="153"/>
      <c r="X137" s="153"/>
      <c r="Y137" s="136"/>
      <c r="Z137" s="153"/>
      <c r="AA137" s="152"/>
      <c r="AB137" s="8">
        <v>0.5</v>
      </c>
    </row>
    <row r="138" spans="1:28" ht="72" hidden="1">
      <c r="A138" s="74" t="s">
        <v>180</v>
      </c>
      <c r="B138" s="75" t="s">
        <v>471</v>
      </c>
      <c r="C138" s="45" t="s">
        <v>450</v>
      </c>
      <c r="D138" s="74"/>
      <c r="E138" s="199"/>
      <c r="F138" s="74" t="s">
        <v>474</v>
      </c>
      <c r="G138" s="74" t="s">
        <v>179</v>
      </c>
      <c r="H138" s="87">
        <v>46051</v>
      </c>
      <c r="I138" s="209">
        <v>46171</v>
      </c>
      <c r="J138" s="117" t="s">
        <v>475</v>
      </c>
      <c r="K138" s="74"/>
      <c r="L138" s="79" t="s">
        <v>33</v>
      </c>
      <c r="M138" s="80" t="str">
        <f t="shared" ca="1" si="10"/>
        <v/>
      </c>
      <c r="N138" s="37" t="str">
        <f t="shared" ca="1" si="11"/>
        <v/>
      </c>
      <c r="O138" s="81" t="str">
        <f t="shared" ca="1" si="12"/>
        <v/>
      </c>
      <c r="P138" s="81" t="str">
        <f t="shared" ca="1" si="13"/>
        <v/>
      </c>
      <c r="Q138" s="81" t="str">
        <f t="shared" ca="1" si="14"/>
        <v/>
      </c>
      <c r="R138" s="162" t="s">
        <v>644</v>
      </c>
      <c r="S138" s="205"/>
      <c r="T138" s="153" t="s">
        <v>1537</v>
      </c>
      <c r="U138" s="153">
        <v>137</v>
      </c>
      <c r="V138" s="153"/>
      <c r="W138" s="153"/>
      <c r="X138" s="153"/>
      <c r="Y138" s="136"/>
      <c r="Z138" s="153"/>
      <c r="AA138" s="152"/>
      <c r="AB138" s="8">
        <v>0.5</v>
      </c>
    </row>
    <row r="139" spans="1:28" ht="126" hidden="1">
      <c r="A139" s="74" t="s">
        <v>180</v>
      </c>
      <c r="B139" s="75" t="s">
        <v>471</v>
      </c>
      <c r="C139" s="74" t="s">
        <v>476</v>
      </c>
      <c r="D139" s="74" t="s">
        <v>530</v>
      </c>
      <c r="E139" s="199" t="s">
        <v>188</v>
      </c>
      <c r="F139" s="47" t="s">
        <v>645</v>
      </c>
      <c r="G139" s="74" t="s">
        <v>118</v>
      </c>
      <c r="H139" s="87">
        <v>46108</v>
      </c>
      <c r="I139" s="209">
        <v>46295</v>
      </c>
      <c r="J139" s="117" t="s">
        <v>475</v>
      </c>
      <c r="K139" s="101"/>
      <c r="L139" s="79" t="s">
        <v>201</v>
      </c>
      <c r="M139" s="80">
        <f t="shared" ca="1" si="10"/>
        <v>14</v>
      </c>
      <c r="N139" s="37" t="str">
        <f t="shared" ca="1" si="11"/>
        <v/>
      </c>
      <c r="O139" s="81" t="str">
        <f t="shared" ca="1" si="12"/>
        <v>⏳ URGENTE (20d)</v>
      </c>
      <c r="P139" s="81" t="str">
        <f t="shared" ca="1" si="13"/>
        <v/>
      </c>
      <c r="Q139" s="81" t="str">
        <f t="shared" ca="1" si="14"/>
        <v/>
      </c>
      <c r="R139" s="117" t="s">
        <v>647</v>
      </c>
      <c r="S139" s="205"/>
      <c r="T139" s="153" t="s">
        <v>1537</v>
      </c>
      <c r="U139" s="153">
        <v>138</v>
      </c>
      <c r="V139" s="153"/>
      <c r="W139" s="153"/>
      <c r="X139" s="153"/>
      <c r="Y139" s="136"/>
      <c r="Z139" s="153"/>
      <c r="AA139" s="152"/>
      <c r="AB139" s="8">
        <v>1</v>
      </c>
    </row>
    <row r="140" spans="1:28" ht="58.8">
      <c r="A140" s="74" t="s">
        <v>180</v>
      </c>
      <c r="B140" s="92" t="s">
        <v>477</v>
      </c>
      <c r="C140" s="45" t="s">
        <v>478</v>
      </c>
      <c r="D140" s="108" t="s">
        <v>479</v>
      </c>
      <c r="E140" s="199" t="s">
        <v>188</v>
      </c>
      <c r="F140" s="47" t="s">
        <v>480</v>
      </c>
      <c r="G140" s="47" t="s">
        <v>190</v>
      </c>
      <c r="H140" s="87">
        <v>45947</v>
      </c>
      <c r="I140" s="209">
        <v>46052</v>
      </c>
      <c r="J140" s="84" t="s">
        <v>481</v>
      </c>
      <c r="K140" s="108"/>
      <c r="L140" s="219" t="s">
        <v>20</v>
      </c>
      <c r="M140" s="80" t="str">
        <f t="shared" ca="1" si="10"/>
        <v/>
      </c>
      <c r="N140" s="37" t="str">
        <f t="shared" ca="1" si="11"/>
        <v/>
      </c>
      <c r="O140" s="81" t="str">
        <f t="shared" ca="1" si="12"/>
        <v/>
      </c>
      <c r="P140" s="81" t="str">
        <f t="shared" ca="1" si="13"/>
        <v/>
      </c>
      <c r="Q140" s="81" t="str">
        <f t="shared" ca="1" si="14"/>
        <v/>
      </c>
      <c r="R140" s="136"/>
      <c r="S140" s="221">
        <v>46052</v>
      </c>
      <c r="T140" s="81"/>
      <c r="U140" s="153">
        <v>139</v>
      </c>
      <c r="V140" s="153"/>
      <c r="W140" s="153"/>
      <c r="X140" s="153"/>
      <c r="Y140" s="136"/>
      <c r="Z140" s="153"/>
      <c r="AA140" s="152"/>
      <c r="AB140" s="8">
        <v>1</v>
      </c>
    </row>
    <row r="141" spans="1:28" ht="115.8">
      <c r="A141" s="74" t="s">
        <v>180</v>
      </c>
      <c r="B141" s="92" t="s">
        <v>477</v>
      </c>
      <c r="C141" s="45" t="s">
        <v>482</v>
      </c>
      <c r="D141" s="108" t="s">
        <v>483</v>
      </c>
      <c r="E141" s="199" t="s">
        <v>188</v>
      </c>
      <c r="F141" s="47" t="s">
        <v>484</v>
      </c>
      <c r="G141" s="47" t="s">
        <v>190</v>
      </c>
      <c r="H141" s="87">
        <v>45947</v>
      </c>
      <c r="I141" s="209">
        <v>46052</v>
      </c>
      <c r="J141" s="84" t="s">
        <v>485</v>
      </c>
      <c r="K141" s="108"/>
      <c r="L141" s="219" t="s">
        <v>20</v>
      </c>
      <c r="M141" s="80" t="str">
        <f t="shared" ca="1" si="10"/>
        <v/>
      </c>
      <c r="N141" s="37" t="str">
        <f t="shared" ca="1" si="11"/>
        <v/>
      </c>
      <c r="O141" s="81" t="str">
        <f t="shared" ca="1" si="12"/>
        <v/>
      </c>
      <c r="P141" s="81" t="str">
        <f t="shared" ca="1" si="13"/>
        <v/>
      </c>
      <c r="Q141" s="81" t="str">
        <f t="shared" ca="1" si="14"/>
        <v/>
      </c>
      <c r="R141" s="136"/>
      <c r="S141" s="221">
        <v>46052</v>
      </c>
      <c r="T141" s="81"/>
      <c r="U141" s="153">
        <v>140</v>
      </c>
      <c r="V141" s="153"/>
      <c r="W141" s="153"/>
      <c r="X141" s="153"/>
      <c r="Y141" s="136"/>
      <c r="Z141" s="153"/>
      <c r="AA141" s="152"/>
      <c r="AB141" s="8">
        <v>1</v>
      </c>
    </row>
    <row r="142" spans="1:28" ht="100.8" hidden="1">
      <c r="A142" s="74" t="s">
        <v>180</v>
      </c>
      <c r="B142" s="92" t="s">
        <v>486</v>
      </c>
      <c r="C142" s="45" t="s">
        <v>487</v>
      </c>
      <c r="D142" s="108" t="s">
        <v>531</v>
      </c>
      <c r="E142" s="199" t="s">
        <v>254</v>
      </c>
      <c r="F142" s="47" t="s">
        <v>488</v>
      </c>
      <c r="G142" s="47" t="s">
        <v>269</v>
      </c>
      <c r="H142" s="87">
        <v>46084</v>
      </c>
      <c r="I142" s="209">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10" t="s">
        <v>635</v>
      </c>
      <c r="S142" s="88"/>
      <c r="T142" s="160"/>
      <c r="U142" s="153">
        <v>141</v>
      </c>
      <c r="V142" s="153"/>
      <c r="W142" s="153"/>
      <c r="X142" s="153"/>
      <c r="Y142" s="136"/>
      <c r="Z142" s="153"/>
      <c r="AA142" s="152"/>
      <c r="AB142" s="8">
        <v>0.5</v>
      </c>
    </row>
    <row r="143" spans="1:28" ht="100.8" hidden="1">
      <c r="A143" s="74" t="s">
        <v>180</v>
      </c>
      <c r="B143" s="92" t="s">
        <v>486</v>
      </c>
      <c r="C143" s="45" t="s">
        <v>487</v>
      </c>
      <c r="D143" s="108"/>
      <c r="E143" s="199"/>
      <c r="F143" s="47" t="s">
        <v>490</v>
      </c>
      <c r="G143" s="47" t="s">
        <v>269</v>
      </c>
      <c r="H143" s="87">
        <v>46084</v>
      </c>
      <c r="I143" s="209">
        <v>46203</v>
      </c>
      <c r="J143" s="84" t="s">
        <v>489</v>
      </c>
      <c r="K143" s="182" t="s">
        <v>1330</v>
      </c>
      <c r="L143" s="37" t="s">
        <v>20</v>
      </c>
      <c r="M143" s="80" t="str">
        <f t="shared" ca="1" si="10"/>
        <v/>
      </c>
      <c r="N143" s="37" t="str">
        <f t="shared" ca="1" si="11"/>
        <v/>
      </c>
      <c r="O143" s="81" t="str">
        <f t="shared" ca="1" si="12"/>
        <v/>
      </c>
      <c r="P143" s="81" t="str">
        <f t="shared" ca="1" si="13"/>
        <v/>
      </c>
      <c r="Q143" s="81" t="str">
        <f t="shared" ca="1" si="14"/>
        <v/>
      </c>
      <c r="R143" s="110" t="s">
        <v>635</v>
      </c>
      <c r="S143" s="88"/>
      <c r="T143" s="160"/>
      <c r="U143" s="153">
        <v>142</v>
      </c>
      <c r="V143" s="153"/>
      <c r="W143" s="153"/>
      <c r="X143" s="153"/>
      <c r="Y143" s="136"/>
      <c r="Z143" s="153"/>
      <c r="AA143" s="152"/>
      <c r="AB143" s="8">
        <v>0.5</v>
      </c>
    </row>
    <row r="144" spans="1:28" ht="102.6" hidden="1">
      <c r="A144" s="74" t="s">
        <v>180</v>
      </c>
      <c r="B144" s="92" t="s">
        <v>486</v>
      </c>
      <c r="C144" s="45" t="s">
        <v>491</v>
      </c>
      <c r="D144" s="45" t="s">
        <v>532</v>
      </c>
      <c r="E144" s="199" t="s">
        <v>188</v>
      </c>
      <c r="F144" s="47" t="s">
        <v>492</v>
      </c>
      <c r="G144" s="47" t="s">
        <v>269</v>
      </c>
      <c r="H144" s="87">
        <v>46084</v>
      </c>
      <c r="I144" s="209">
        <v>46295</v>
      </c>
      <c r="J144" s="84" t="s">
        <v>493</v>
      </c>
      <c r="K144" s="107"/>
      <c r="L144" s="37" t="s">
        <v>201</v>
      </c>
      <c r="M144" s="80">
        <f t="shared" ca="1" si="10"/>
        <v>14</v>
      </c>
      <c r="N144" s="37" t="str">
        <f t="shared" ca="1" si="11"/>
        <v/>
      </c>
      <c r="O144" s="81" t="str">
        <f t="shared" ca="1" si="12"/>
        <v>⏳ URGENTE (20d)</v>
      </c>
      <c r="P144" s="81" t="str">
        <f t="shared" ca="1" si="13"/>
        <v/>
      </c>
      <c r="Q144" s="81" t="str">
        <f t="shared" ca="1" si="14"/>
        <v/>
      </c>
      <c r="R144" s="84" t="s">
        <v>635</v>
      </c>
      <c r="S144" s="88"/>
      <c r="T144" s="88" t="s">
        <v>1523</v>
      </c>
      <c r="U144" s="153">
        <v>143</v>
      </c>
      <c r="V144" s="153"/>
      <c r="W144" s="153"/>
      <c r="X144" s="153"/>
      <c r="Y144" s="136"/>
      <c r="Z144" s="153"/>
      <c r="AA144" s="152"/>
      <c r="AB144" s="8">
        <v>1</v>
      </c>
    </row>
    <row r="145" spans="1:28" ht="100.8" hidden="1">
      <c r="A145" s="74" t="s">
        <v>180</v>
      </c>
      <c r="B145" s="92" t="s">
        <v>486</v>
      </c>
      <c r="C145" s="45" t="s">
        <v>494</v>
      </c>
      <c r="D145" s="108" t="s">
        <v>533</v>
      </c>
      <c r="E145" s="199" t="s">
        <v>188</v>
      </c>
      <c r="F145" s="47" t="s">
        <v>495</v>
      </c>
      <c r="G145" s="47" t="s">
        <v>269</v>
      </c>
      <c r="H145" s="87">
        <v>46084</v>
      </c>
      <c r="I145" s="209">
        <v>46203</v>
      </c>
      <c r="J145" s="111" t="s">
        <v>496</v>
      </c>
      <c r="K145" s="47" t="s">
        <v>1322</v>
      </c>
      <c r="L145" s="37" t="s">
        <v>20</v>
      </c>
      <c r="M145" s="80" t="str">
        <f t="shared" ca="1" si="10"/>
        <v/>
      </c>
      <c r="N145" s="37" t="str">
        <f t="shared" ca="1" si="11"/>
        <v/>
      </c>
      <c r="O145" s="81" t="str">
        <f t="shared" ca="1" si="12"/>
        <v/>
      </c>
      <c r="P145" s="81" t="str">
        <f t="shared" ca="1" si="13"/>
        <v/>
      </c>
      <c r="Q145" s="81" t="str">
        <f t="shared" ca="1" si="14"/>
        <v/>
      </c>
      <c r="R145" s="110" t="s">
        <v>635</v>
      </c>
      <c r="S145" s="88"/>
      <c r="T145" s="81"/>
      <c r="U145" s="153">
        <v>144</v>
      </c>
      <c r="V145" s="153"/>
      <c r="W145" s="153"/>
      <c r="X145" s="153"/>
      <c r="Y145" s="136"/>
      <c r="Z145" s="153"/>
      <c r="AA145" s="152"/>
      <c r="AB145" s="8">
        <v>0.5</v>
      </c>
    </row>
    <row r="146" spans="1:28" ht="100.8" hidden="1">
      <c r="A146" s="74" t="s">
        <v>180</v>
      </c>
      <c r="B146" s="92" t="s">
        <v>486</v>
      </c>
      <c r="C146" s="45" t="s">
        <v>494</v>
      </c>
      <c r="D146" s="108"/>
      <c r="E146" s="199"/>
      <c r="F146" s="47" t="s">
        <v>497</v>
      </c>
      <c r="G146" s="47" t="s">
        <v>269</v>
      </c>
      <c r="H146" s="87">
        <v>46084</v>
      </c>
      <c r="I146" s="209">
        <v>46203</v>
      </c>
      <c r="J146" s="111"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c r="T146" s="81"/>
      <c r="U146" s="153">
        <v>145</v>
      </c>
      <c r="V146" s="153"/>
      <c r="W146" s="153"/>
      <c r="X146" s="153"/>
      <c r="Y146" s="136"/>
      <c r="Z146" s="153"/>
      <c r="AA146" s="152"/>
      <c r="AB146" s="8">
        <v>0.5</v>
      </c>
    </row>
    <row r="147" spans="1:28" ht="100.8" hidden="1">
      <c r="A147" s="74" t="s">
        <v>180</v>
      </c>
      <c r="B147" s="92" t="s">
        <v>486</v>
      </c>
      <c r="C147" s="45" t="s">
        <v>498</v>
      </c>
      <c r="D147" s="45" t="s">
        <v>499</v>
      </c>
      <c r="E147" s="199" t="s">
        <v>280</v>
      </c>
      <c r="F147" s="47" t="s">
        <v>500</v>
      </c>
      <c r="G147" s="47" t="s">
        <v>269</v>
      </c>
      <c r="H147" s="87">
        <v>46084</v>
      </c>
      <c r="I147" s="209">
        <v>46203</v>
      </c>
      <c r="J147" s="111" t="s">
        <v>501</v>
      </c>
      <c r="K147" s="107"/>
      <c r="L147" s="37" t="s">
        <v>33</v>
      </c>
      <c r="M147" s="80" t="str">
        <f t="shared" ca="1" si="10"/>
        <v/>
      </c>
      <c r="N147" s="37" t="str">
        <f t="shared" ca="1" si="11"/>
        <v/>
      </c>
      <c r="O147" s="81" t="str">
        <f t="shared" ca="1" si="12"/>
        <v/>
      </c>
      <c r="P147" s="81" t="str">
        <f t="shared" ca="1" si="13"/>
        <v/>
      </c>
      <c r="Q147" s="81" t="str">
        <f t="shared" ca="1" si="14"/>
        <v/>
      </c>
      <c r="R147" s="110" t="s">
        <v>635</v>
      </c>
      <c r="S147" s="88"/>
      <c r="T147" s="153" t="s">
        <v>1523</v>
      </c>
      <c r="U147" s="153">
        <v>146</v>
      </c>
      <c r="V147" s="153"/>
      <c r="W147" s="153"/>
      <c r="X147" s="153"/>
      <c r="Y147" s="136"/>
      <c r="Z147" s="153"/>
      <c r="AA147" s="152"/>
      <c r="AB147" s="8">
        <v>1</v>
      </c>
    </row>
    <row r="148" spans="1:28" ht="183" hidden="1">
      <c r="A148" s="45" t="s">
        <v>180</v>
      </c>
      <c r="B148" s="92" t="s">
        <v>925</v>
      </c>
      <c r="C148" s="45" t="s">
        <v>926</v>
      </c>
      <c r="D148" s="200" t="s">
        <v>942</v>
      </c>
      <c r="E148" s="201" t="s">
        <v>254</v>
      </c>
      <c r="F148" s="47" t="s">
        <v>932</v>
      </c>
      <c r="G148" s="47" t="s">
        <v>115</v>
      </c>
      <c r="H148" s="202">
        <v>46191</v>
      </c>
      <c r="I148" s="210">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2" t="s">
        <v>1537</v>
      </c>
      <c r="U148" s="153">
        <v>147</v>
      </c>
      <c r="V148" s="153"/>
      <c r="W148" s="153"/>
      <c r="X148" s="153"/>
      <c r="Y148" s="136"/>
      <c r="Z148" s="153"/>
      <c r="AA148" s="152"/>
      <c r="AB148" s="8">
        <v>1</v>
      </c>
    </row>
    <row r="149" spans="1:28" ht="229.8" hidden="1">
      <c r="A149" s="45" t="s">
        <v>180</v>
      </c>
      <c r="B149" s="92" t="s">
        <v>925</v>
      </c>
      <c r="C149" s="45" t="s">
        <v>945</v>
      </c>
      <c r="D149" s="108" t="s">
        <v>943</v>
      </c>
      <c r="E149" s="201" t="s">
        <v>188</v>
      </c>
      <c r="F149" s="47" t="s">
        <v>884</v>
      </c>
      <c r="G149" s="47" t="s">
        <v>950</v>
      </c>
      <c r="H149" s="39" t="s">
        <v>952</v>
      </c>
      <c r="I149" s="210">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c r="T149" s="152" t="s">
        <v>1537</v>
      </c>
      <c r="U149" s="153">
        <v>148</v>
      </c>
      <c r="V149" s="153"/>
      <c r="W149" s="153"/>
      <c r="X149" s="153"/>
      <c r="Y149" s="136"/>
      <c r="Z149" s="153"/>
      <c r="AA149" s="152"/>
      <c r="AB149" s="8">
        <v>1</v>
      </c>
    </row>
    <row r="150" spans="1:28" ht="321" hidden="1">
      <c r="A150" s="45" t="s">
        <v>180</v>
      </c>
      <c r="B150" s="92" t="s">
        <v>925</v>
      </c>
      <c r="C150" s="45" t="s">
        <v>961</v>
      </c>
      <c r="D150" s="108" t="s">
        <v>959</v>
      </c>
      <c r="E150" s="201" t="s">
        <v>188</v>
      </c>
      <c r="F150" s="200" t="s">
        <v>965</v>
      </c>
      <c r="G150" s="47" t="s">
        <v>190</v>
      </c>
      <c r="H150" s="202">
        <v>46235</v>
      </c>
      <c r="I150" s="210">
        <v>46357</v>
      </c>
      <c r="J150" s="84" t="s">
        <v>969</v>
      </c>
      <c r="K150" s="81"/>
      <c r="L150" s="153" t="s">
        <v>201</v>
      </c>
      <c r="M150" s="80">
        <f t="shared" ca="1" si="10"/>
        <v>76</v>
      </c>
      <c r="N150" s="37" t="str">
        <f t="shared" ca="1" si="11"/>
        <v/>
      </c>
      <c r="O150" s="81" t="str">
        <f t="shared" ca="1" si="12"/>
        <v/>
      </c>
      <c r="P150" s="81" t="str">
        <f t="shared" ca="1" si="13"/>
        <v/>
      </c>
      <c r="Q150" s="81" t="str">
        <f t="shared" ca="1" si="14"/>
        <v/>
      </c>
      <c r="R150" s="84" t="s">
        <v>1022</v>
      </c>
      <c r="S150" s="88"/>
      <c r="T150" s="152" t="s">
        <v>1537</v>
      </c>
      <c r="U150" s="153">
        <v>149</v>
      </c>
      <c r="V150" s="153"/>
      <c r="W150" s="153"/>
      <c r="X150" s="153"/>
      <c r="Y150" s="136"/>
      <c r="Z150" s="153"/>
      <c r="AA150" s="152"/>
      <c r="AB150" s="8">
        <v>1</v>
      </c>
    </row>
    <row r="151" spans="1:28" ht="93" hidden="1">
      <c r="A151" s="45" t="s">
        <v>180</v>
      </c>
      <c r="B151" s="92" t="s">
        <v>925</v>
      </c>
      <c r="C151" s="45" t="s">
        <v>975</v>
      </c>
      <c r="D151" s="108" t="s">
        <v>973</v>
      </c>
      <c r="E151" s="201" t="s">
        <v>188</v>
      </c>
      <c r="F151" s="47" t="s">
        <v>977</v>
      </c>
      <c r="G151" s="47" t="s">
        <v>115</v>
      </c>
      <c r="H151" s="202">
        <v>46191</v>
      </c>
      <c r="I151" s="210">
        <v>46113</v>
      </c>
      <c r="J151" s="84" t="s">
        <v>982</v>
      </c>
      <c r="K151" s="81"/>
      <c r="L151" s="153" t="s">
        <v>33</v>
      </c>
      <c r="M151" s="80" t="str">
        <f t="shared" ca="1" si="10"/>
        <v/>
      </c>
      <c r="N151" s="37" t="str">
        <f t="shared" ca="1" si="11"/>
        <v/>
      </c>
      <c r="O151" s="81" t="str">
        <f t="shared" ca="1" si="12"/>
        <v/>
      </c>
      <c r="P151" s="81" t="str">
        <f t="shared" ca="1" si="13"/>
        <v/>
      </c>
      <c r="Q151" s="81" t="str">
        <f t="shared" ca="1" si="14"/>
        <v/>
      </c>
      <c r="R151" s="84" t="s">
        <v>1019</v>
      </c>
      <c r="S151" s="88"/>
      <c r="T151" s="152" t="s">
        <v>1537</v>
      </c>
      <c r="U151" s="153">
        <v>150</v>
      </c>
      <c r="V151" s="153"/>
      <c r="W151" s="153"/>
      <c r="X151" s="153"/>
      <c r="Y151" s="136"/>
      <c r="Z151" s="153"/>
      <c r="AA151" s="152"/>
      <c r="AB151" s="8">
        <v>1</v>
      </c>
    </row>
    <row r="152" spans="1:28" ht="195.6" hidden="1">
      <c r="A152" s="45" t="s">
        <v>1030</v>
      </c>
      <c r="B152" s="92" t="s">
        <v>1039</v>
      </c>
      <c r="C152" s="45" t="s">
        <v>1033</v>
      </c>
      <c r="D152" s="108" t="s">
        <v>1038</v>
      </c>
      <c r="E152" s="201" t="s">
        <v>254</v>
      </c>
      <c r="F152" s="47" t="s">
        <v>1042</v>
      </c>
      <c r="G152" s="47" t="s">
        <v>148</v>
      </c>
      <c r="H152" s="202">
        <v>46204</v>
      </c>
      <c r="I152" s="210">
        <v>46295</v>
      </c>
      <c r="J152" s="84" t="s">
        <v>1201</v>
      </c>
      <c r="K152" s="81"/>
      <c r="L152" s="37" t="s">
        <v>201</v>
      </c>
      <c r="M152" s="80">
        <f t="shared" ca="1" si="10"/>
        <v>14</v>
      </c>
      <c r="N152" s="37" t="str">
        <f t="shared" ca="1" si="11"/>
        <v/>
      </c>
      <c r="O152" s="81" t="str">
        <f t="shared" ca="1" si="12"/>
        <v>⏳ URGENTE (20d)</v>
      </c>
      <c r="P152" s="81" t="str">
        <f t="shared" ca="1" si="13"/>
        <v/>
      </c>
      <c r="Q152" s="81" t="str">
        <f t="shared" ca="1" si="14"/>
        <v/>
      </c>
      <c r="R152" s="84" t="s">
        <v>1265</v>
      </c>
      <c r="S152" s="88"/>
      <c r="T152" s="152" t="s">
        <v>1560</v>
      </c>
      <c r="U152" s="153">
        <v>151</v>
      </c>
      <c r="V152" s="153"/>
      <c r="W152" s="153"/>
      <c r="X152" s="153"/>
      <c r="Y152" s="136"/>
      <c r="Z152" s="153"/>
      <c r="AA152" s="152"/>
      <c r="AB152" s="8">
        <v>1</v>
      </c>
    </row>
    <row r="153" spans="1:28" ht="93" hidden="1">
      <c r="A153" s="45" t="s">
        <v>1030</v>
      </c>
      <c r="B153" s="92" t="s">
        <v>1039</v>
      </c>
      <c r="C153" s="45" t="s">
        <v>1048</v>
      </c>
      <c r="D153" s="108" t="s">
        <v>1142</v>
      </c>
      <c r="E153" s="201" t="s">
        <v>254</v>
      </c>
      <c r="F153" s="47" t="s">
        <v>1052</v>
      </c>
      <c r="G153" s="47" t="s">
        <v>148</v>
      </c>
      <c r="H153" s="202">
        <v>46204</v>
      </c>
      <c r="I153" s="210">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2" t="s">
        <v>1560</v>
      </c>
      <c r="U153" s="153">
        <v>152</v>
      </c>
      <c r="V153" s="153"/>
      <c r="W153" s="153"/>
      <c r="X153" s="153"/>
      <c r="Y153" s="136"/>
      <c r="Z153" s="153"/>
      <c r="AA153" s="152"/>
      <c r="AB153" s="8">
        <v>1</v>
      </c>
    </row>
    <row r="154" spans="1:28" ht="184.2" hidden="1">
      <c r="A154" s="45" t="s">
        <v>1030</v>
      </c>
      <c r="B154" s="92" t="s">
        <v>1039</v>
      </c>
      <c r="C154" s="45" t="s">
        <v>1058</v>
      </c>
      <c r="D154" s="108" t="s">
        <v>1144</v>
      </c>
      <c r="E154" s="201" t="s">
        <v>254</v>
      </c>
      <c r="F154" s="47" t="s">
        <v>1062</v>
      </c>
      <c r="G154" s="47" t="s">
        <v>148</v>
      </c>
      <c r="H154" s="202">
        <v>46204</v>
      </c>
      <c r="I154" s="210">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2" t="s">
        <v>1560</v>
      </c>
      <c r="U154" s="153">
        <v>153</v>
      </c>
      <c r="V154" s="153"/>
      <c r="W154" s="153"/>
      <c r="X154" s="153"/>
      <c r="Y154" s="136"/>
      <c r="Z154" s="153"/>
      <c r="AA154" s="152"/>
      <c r="AB154" s="8">
        <v>1</v>
      </c>
    </row>
    <row r="155" spans="1:28" ht="355.2" hidden="1">
      <c r="A155" s="45" t="s">
        <v>1030</v>
      </c>
      <c r="B155" s="92" t="s">
        <v>1039</v>
      </c>
      <c r="C155" s="45" t="s">
        <v>1076</v>
      </c>
      <c r="D155" s="108" t="s">
        <v>1146</v>
      </c>
      <c r="E155" s="201" t="s">
        <v>254</v>
      </c>
      <c r="F155" s="203" t="s">
        <v>1271</v>
      </c>
      <c r="G155" s="47" t="s">
        <v>1181</v>
      </c>
      <c r="H155" s="202">
        <v>46204</v>
      </c>
      <c r="I155" s="210">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2" t="s">
        <v>1560</v>
      </c>
      <c r="U155" s="153">
        <v>154</v>
      </c>
      <c r="V155" s="153"/>
      <c r="W155" s="153"/>
      <c r="X155" s="153"/>
      <c r="Y155" s="136"/>
      <c r="Z155" s="153"/>
      <c r="AA155" s="152"/>
      <c r="AB155" s="8">
        <v>1</v>
      </c>
    </row>
    <row r="156" spans="1:28" ht="229.8" hidden="1">
      <c r="A156" s="45" t="s">
        <v>1030</v>
      </c>
      <c r="B156" s="92" t="s">
        <v>1039</v>
      </c>
      <c r="C156" s="45" t="s">
        <v>1078</v>
      </c>
      <c r="D156" s="108" t="s">
        <v>1149</v>
      </c>
      <c r="E156" s="201" t="s">
        <v>254</v>
      </c>
      <c r="F156" s="47" t="s">
        <v>1121</v>
      </c>
      <c r="G156" s="47" t="s">
        <v>148</v>
      </c>
      <c r="H156" s="202">
        <v>46204</v>
      </c>
      <c r="I156" s="210">
        <v>46325</v>
      </c>
      <c r="J156" s="84" t="s">
        <v>1208</v>
      </c>
      <c r="K156" s="81"/>
      <c r="L156" s="37" t="s">
        <v>201</v>
      </c>
      <c r="M156" s="80">
        <f t="shared" ca="1" si="10"/>
        <v>44</v>
      </c>
      <c r="N156" s="37" t="str">
        <f t="shared" ca="1" si="11"/>
        <v/>
      </c>
      <c r="O156" s="81" t="str">
        <f t="shared" ca="1" si="12"/>
        <v/>
      </c>
      <c r="P156" s="81" t="str">
        <f t="shared" ca="1" si="13"/>
        <v/>
      </c>
      <c r="Q156" s="81" t="str">
        <f t="shared" ca="1" si="14"/>
        <v/>
      </c>
      <c r="R156" s="84" t="s">
        <v>1265</v>
      </c>
      <c r="S156" s="88"/>
      <c r="T156" s="152" t="s">
        <v>1560</v>
      </c>
      <c r="U156" s="153">
        <v>155</v>
      </c>
      <c r="V156" s="153"/>
      <c r="W156" s="153"/>
      <c r="X156" s="153"/>
      <c r="Y156" s="136"/>
      <c r="Z156" s="153"/>
      <c r="AA156" s="152"/>
      <c r="AB156" s="8">
        <v>1</v>
      </c>
    </row>
    <row r="157" spans="1:28" ht="275.39999999999998" hidden="1">
      <c r="A157" s="45" t="s">
        <v>1030</v>
      </c>
      <c r="B157" s="92" t="s">
        <v>1039</v>
      </c>
      <c r="C157" s="45" t="s">
        <v>1080</v>
      </c>
      <c r="D157" s="108" t="s">
        <v>1152</v>
      </c>
      <c r="E157" s="201" t="s">
        <v>254</v>
      </c>
      <c r="F157" s="47" t="s">
        <v>1123</v>
      </c>
      <c r="G157" s="47" t="s">
        <v>1181</v>
      </c>
      <c r="H157" s="202">
        <v>46204</v>
      </c>
      <c r="I157" s="210">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2" t="s">
        <v>1560</v>
      </c>
      <c r="U157" s="153">
        <v>156</v>
      </c>
      <c r="V157" s="153"/>
      <c r="W157" s="153"/>
      <c r="X157" s="153"/>
      <c r="Y157" s="136"/>
      <c r="Z157" s="153"/>
      <c r="AA157" s="152"/>
      <c r="AB157" s="8">
        <v>1</v>
      </c>
    </row>
    <row r="158" spans="1:28" ht="138.6" hidden="1">
      <c r="A158" s="45" t="s">
        <v>1030</v>
      </c>
      <c r="B158" s="92" t="s">
        <v>1039</v>
      </c>
      <c r="C158" s="45" t="s">
        <v>1082</v>
      </c>
      <c r="D158" s="108" t="s">
        <v>1155</v>
      </c>
      <c r="E158" s="201" t="s">
        <v>254</v>
      </c>
      <c r="F158" s="47" t="s">
        <v>1125</v>
      </c>
      <c r="G158" s="47" t="s">
        <v>148</v>
      </c>
      <c r="H158" s="202">
        <v>46204</v>
      </c>
      <c r="I158" s="210">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2" t="s">
        <v>1560</v>
      </c>
      <c r="U158" s="153">
        <v>157</v>
      </c>
      <c r="V158" s="153"/>
      <c r="W158" s="153"/>
      <c r="X158" s="153"/>
      <c r="Y158" s="136"/>
      <c r="Z158" s="153"/>
      <c r="AA158" s="152"/>
      <c r="AB158" s="8">
        <v>1</v>
      </c>
    </row>
    <row r="159" spans="1:28" ht="81.599999999999994" hidden="1">
      <c r="A159" s="45" t="s">
        <v>1030</v>
      </c>
      <c r="B159" s="92" t="s">
        <v>1039</v>
      </c>
      <c r="C159" s="45" t="s">
        <v>1084</v>
      </c>
      <c r="D159" s="108" t="s">
        <v>1158</v>
      </c>
      <c r="E159" s="201" t="s">
        <v>254</v>
      </c>
      <c r="F159" s="203" t="s">
        <v>1272</v>
      </c>
      <c r="G159" s="47" t="s">
        <v>148</v>
      </c>
      <c r="H159" s="202">
        <v>46204</v>
      </c>
      <c r="I159" s="210">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2" t="s">
        <v>1560</v>
      </c>
      <c r="U159" s="153">
        <v>158</v>
      </c>
      <c r="V159" s="153"/>
      <c r="W159" s="153"/>
      <c r="X159" s="153"/>
      <c r="Y159" s="136"/>
      <c r="Z159" s="153"/>
      <c r="AA159" s="152"/>
      <c r="AB159" s="8">
        <v>1</v>
      </c>
    </row>
    <row r="160" spans="1:28" ht="138.6" hidden="1">
      <c r="A160" s="45" t="s">
        <v>1030</v>
      </c>
      <c r="B160" s="92" t="s">
        <v>1039</v>
      </c>
      <c r="C160" s="45" t="s">
        <v>1086</v>
      </c>
      <c r="D160" s="108" t="s">
        <v>1161</v>
      </c>
      <c r="E160" s="201" t="s">
        <v>254</v>
      </c>
      <c r="F160" s="47" t="s">
        <v>1130</v>
      </c>
      <c r="G160" s="47" t="s">
        <v>148</v>
      </c>
      <c r="H160" s="202">
        <v>46204</v>
      </c>
      <c r="I160" s="210">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2" t="s">
        <v>1560</v>
      </c>
      <c r="U160" s="153">
        <v>159</v>
      </c>
      <c r="V160" s="153"/>
      <c r="W160" s="153"/>
      <c r="X160" s="153"/>
      <c r="Y160" s="136"/>
      <c r="Z160" s="153"/>
      <c r="AA160" s="152"/>
      <c r="AB160" s="8">
        <v>1</v>
      </c>
    </row>
    <row r="161" spans="1:28" ht="150" hidden="1">
      <c r="A161" s="45" t="s">
        <v>1030</v>
      </c>
      <c r="B161" s="92" t="s">
        <v>1039</v>
      </c>
      <c r="C161" s="45" t="s">
        <v>1088</v>
      </c>
      <c r="D161" s="108" t="s">
        <v>1164</v>
      </c>
      <c r="E161" s="201" t="s">
        <v>254</v>
      </c>
      <c r="F161" s="47" t="s">
        <v>1132</v>
      </c>
      <c r="G161" s="47" t="s">
        <v>148</v>
      </c>
      <c r="H161" s="202">
        <v>46204</v>
      </c>
      <c r="I161" s="210">
        <v>46325</v>
      </c>
      <c r="J161" s="84" t="s">
        <v>1218</v>
      </c>
      <c r="K161" s="81"/>
      <c r="L161" s="37" t="s">
        <v>201</v>
      </c>
      <c r="M161" s="80">
        <f t="shared" ca="1" si="10"/>
        <v>44</v>
      </c>
      <c r="N161" s="37" t="str">
        <f t="shared" ca="1" si="11"/>
        <v/>
      </c>
      <c r="O161" s="81" t="str">
        <f t="shared" ca="1" si="12"/>
        <v/>
      </c>
      <c r="P161" s="81" t="str">
        <f t="shared" ca="1" si="13"/>
        <v/>
      </c>
      <c r="Q161" s="81" t="str">
        <f t="shared" ca="1" si="14"/>
        <v/>
      </c>
      <c r="R161" s="84" t="s">
        <v>1265</v>
      </c>
      <c r="S161" s="88"/>
      <c r="T161" s="152" t="s">
        <v>1560</v>
      </c>
      <c r="U161" s="153">
        <v>160</v>
      </c>
      <c r="V161" s="153"/>
      <c r="W161" s="153"/>
      <c r="X161" s="153"/>
      <c r="Y161" s="136"/>
      <c r="Z161" s="153"/>
      <c r="AA161" s="152"/>
      <c r="AB161" s="8">
        <v>1</v>
      </c>
    </row>
    <row r="162" spans="1:28" ht="241.2" hidden="1">
      <c r="A162" s="45" t="s">
        <v>1030</v>
      </c>
      <c r="B162" s="92" t="s">
        <v>1039</v>
      </c>
      <c r="C162" s="45" t="s">
        <v>1090</v>
      </c>
      <c r="D162" s="108" t="s">
        <v>1167</v>
      </c>
      <c r="E162" s="201" t="s">
        <v>254</v>
      </c>
      <c r="F162" s="47" t="s">
        <v>1134</v>
      </c>
      <c r="G162" s="47" t="s">
        <v>148</v>
      </c>
      <c r="H162" s="202">
        <v>46204</v>
      </c>
      <c r="I162" s="210">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2" t="s">
        <v>1560</v>
      </c>
      <c r="U162" s="153">
        <v>161</v>
      </c>
      <c r="V162" s="153"/>
      <c r="W162" s="153"/>
      <c r="X162" s="153"/>
      <c r="Y162" s="136"/>
      <c r="Z162" s="153"/>
      <c r="AA162" s="152"/>
      <c r="AB162" s="8">
        <v>1</v>
      </c>
    </row>
    <row r="163" spans="1:28" ht="138.6" hidden="1">
      <c r="A163" s="45" t="s">
        <v>1030</v>
      </c>
      <c r="B163" s="92" t="s">
        <v>1039</v>
      </c>
      <c r="C163" s="45" t="s">
        <v>1092</v>
      </c>
      <c r="D163" s="108" t="s">
        <v>1170</v>
      </c>
      <c r="E163" s="201" t="s">
        <v>188</v>
      </c>
      <c r="F163" s="47" t="s">
        <v>1136</v>
      </c>
      <c r="G163" s="47" t="s">
        <v>148</v>
      </c>
      <c r="H163" s="202">
        <v>46204</v>
      </c>
      <c r="I163" s="210">
        <v>46325</v>
      </c>
      <c r="J163" s="84" t="s">
        <v>1222</v>
      </c>
      <c r="K163" s="81"/>
      <c r="L163" s="37" t="s">
        <v>201</v>
      </c>
      <c r="M163" s="80">
        <f t="shared" ca="1" si="10"/>
        <v>44</v>
      </c>
      <c r="N163" s="37" t="str">
        <f t="shared" ca="1" si="11"/>
        <v/>
      </c>
      <c r="O163" s="81" t="str">
        <f t="shared" ca="1" si="12"/>
        <v/>
      </c>
      <c r="P163" s="81" t="str">
        <f t="shared" ca="1" si="13"/>
        <v/>
      </c>
      <c r="Q163" s="81" t="str">
        <f t="shared" ca="1" si="14"/>
        <v/>
      </c>
      <c r="R163" s="84" t="s">
        <v>1265</v>
      </c>
      <c r="S163" s="88"/>
      <c r="T163" s="152" t="s">
        <v>1560</v>
      </c>
      <c r="U163" s="153">
        <v>162</v>
      </c>
      <c r="V163" s="153"/>
      <c r="W163" s="153"/>
      <c r="X163" s="153"/>
      <c r="Y163" s="136"/>
      <c r="Z163" s="153"/>
      <c r="AA163" s="152"/>
      <c r="AB163" s="8">
        <v>1</v>
      </c>
    </row>
    <row r="164" spans="1:28" ht="104.4" hidden="1">
      <c r="A164" s="45" t="s">
        <v>1030</v>
      </c>
      <c r="B164" s="92" t="s">
        <v>1039</v>
      </c>
      <c r="C164" s="45" t="s">
        <v>1094</v>
      </c>
      <c r="D164" s="108" t="s">
        <v>1173</v>
      </c>
      <c r="E164" s="201" t="s">
        <v>188</v>
      </c>
      <c r="F164" s="47" t="s">
        <v>1138</v>
      </c>
      <c r="G164" s="47" t="s">
        <v>148</v>
      </c>
      <c r="H164" s="202">
        <v>46204</v>
      </c>
      <c r="I164" s="210">
        <v>46325</v>
      </c>
      <c r="J164" s="84" t="s">
        <v>1224</v>
      </c>
      <c r="K164" s="81"/>
      <c r="L164" s="37" t="s">
        <v>201</v>
      </c>
      <c r="M164" s="80">
        <f t="shared" ca="1" si="10"/>
        <v>44</v>
      </c>
      <c r="N164" s="37" t="str">
        <f t="shared" ca="1" si="11"/>
        <v/>
      </c>
      <c r="O164" s="81" t="str">
        <f t="shared" ca="1" si="12"/>
        <v/>
      </c>
      <c r="P164" s="81" t="str">
        <f t="shared" ca="1" si="13"/>
        <v/>
      </c>
      <c r="Q164" s="81" t="str">
        <f t="shared" ca="1" si="14"/>
        <v/>
      </c>
      <c r="R164" s="84" t="s">
        <v>1265</v>
      </c>
      <c r="S164" s="88"/>
      <c r="T164" s="152" t="s">
        <v>1560</v>
      </c>
      <c r="U164" s="153">
        <v>163</v>
      </c>
      <c r="V164" s="153"/>
      <c r="W164" s="153"/>
      <c r="X164" s="153"/>
      <c r="Y164" s="136"/>
      <c r="Z164" s="153"/>
      <c r="AA164" s="152"/>
      <c r="AB164" s="8">
        <v>1</v>
      </c>
    </row>
    <row r="165" spans="1:28" ht="172.8" hidden="1">
      <c r="A165" s="45" t="s">
        <v>1030</v>
      </c>
      <c r="B165" s="92" t="s">
        <v>1039</v>
      </c>
      <c r="C165" s="45" t="s">
        <v>1096</v>
      </c>
      <c r="D165" s="108" t="s">
        <v>1176</v>
      </c>
      <c r="E165" s="201" t="s">
        <v>254</v>
      </c>
      <c r="F165" s="47" t="s">
        <v>1140</v>
      </c>
      <c r="G165" s="47" t="s">
        <v>148</v>
      </c>
      <c r="H165" s="202">
        <v>46204</v>
      </c>
      <c r="I165" s="210">
        <v>46325</v>
      </c>
      <c r="J165" s="84" t="s">
        <v>1226</v>
      </c>
      <c r="K165" s="81"/>
      <c r="L165" s="37" t="s">
        <v>201</v>
      </c>
      <c r="M165" s="80">
        <f t="shared" ca="1" si="10"/>
        <v>44</v>
      </c>
      <c r="N165" s="37" t="str">
        <f t="shared" ca="1" si="11"/>
        <v/>
      </c>
      <c r="O165" s="81" t="str">
        <f t="shared" ca="1" si="12"/>
        <v/>
      </c>
      <c r="P165" s="81" t="str">
        <f t="shared" ca="1" si="13"/>
        <v/>
      </c>
      <c r="Q165" s="81" t="str">
        <f t="shared" ca="1" si="14"/>
        <v/>
      </c>
      <c r="R165" s="84" t="s">
        <v>1265</v>
      </c>
      <c r="S165" s="88"/>
      <c r="T165" s="152" t="s">
        <v>1560</v>
      </c>
      <c r="U165" s="153">
        <v>164</v>
      </c>
      <c r="V165" s="153"/>
      <c r="W165" s="153"/>
      <c r="X165" s="153"/>
      <c r="Y165" s="136"/>
      <c r="Z165" s="153"/>
      <c r="AA165" s="152"/>
      <c r="AB165" s="8">
        <v>1</v>
      </c>
    </row>
    <row r="166" spans="1:28">
      <c r="D166" s="158"/>
    </row>
  </sheetData>
  <sheetProtection pivotTables="0"/>
  <autoFilter ref="A1:AA165" xr:uid="{583BFC58-7A1F-417E-8D3C-AA30FB2C86FD}">
    <filterColumn colId="18">
      <filters>
        <dateGroupItem year="2026" month="1" dateTimeGrouping="month"/>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89" bestFit="1" customWidth="1"/>
  </cols>
  <sheetData>
    <row r="1" spans="1:3">
      <c r="A1" s="8" t="s">
        <v>1357</v>
      </c>
      <c r="B1" s="8" t="s">
        <v>1358</v>
      </c>
      <c r="C1" s="8" t="s">
        <v>1343</v>
      </c>
    </row>
    <row r="2" spans="1:3">
      <c r="A2" s="8">
        <v>2024</v>
      </c>
      <c r="B2" s="189" t="s">
        <v>1430</v>
      </c>
      <c r="C2" s="190" t="s">
        <v>1431</v>
      </c>
    </row>
    <row r="3" spans="1:3">
      <c r="A3" s="8">
        <v>2024</v>
      </c>
      <c r="B3" s="189" t="s">
        <v>1432</v>
      </c>
      <c r="C3" s="190" t="s">
        <v>1433</v>
      </c>
    </row>
    <row r="4" spans="1:3">
      <c r="A4" s="8">
        <v>2024</v>
      </c>
      <c r="B4" s="20" t="s">
        <v>1435</v>
      </c>
      <c r="C4" s="190" t="s">
        <v>1436</v>
      </c>
    </row>
    <row r="5" spans="1:3">
      <c r="A5" s="8">
        <v>2024</v>
      </c>
      <c r="B5" s="189" t="s">
        <v>1437</v>
      </c>
      <c r="C5" s="190" t="s">
        <v>1438</v>
      </c>
    </row>
    <row r="6" spans="1:3">
      <c r="A6" s="8">
        <v>2024</v>
      </c>
      <c r="B6" s="189" t="s">
        <v>1439</v>
      </c>
      <c r="C6" s="190" t="s">
        <v>1440</v>
      </c>
    </row>
    <row r="7" spans="1:3">
      <c r="A7" s="8">
        <v>2024</v>
      </c>
      <c r="B7" s="189" t="s">
        <v>1378</v>
      </c>
      <c r="C7" s="190" t="s">
        <v>1441</v>
      </c>
    </row>
    <row r="8" spans="1:3">
      <c r="A8" s="8">
        <v>2024</v>
      </c>
      <c r="B8" s="20" t="s">
        <v>1443</v>
      </c>
      <c r="C8" s="190" t="s">
        <v>1444</v>
      </c>
    </row>
    <row r="9" spans="1:3">
      <c r="A9" s="8">
        <v>2024</v>
      </c>
      <c r="B9" s="20" t="s">
        <v>1446</v>
      </c>
      <c r="C9" s="190" t="s">
        <v>1447</v>
      </c>
    </row>
    <row r="10" spans="1:3">
      <c r="A10" s="8">
        <v>2024</v>
      </c>
      <c r="B10" s="189" t="s">
        <v>1363</v>
      </c>
      <c r="C10" s="190" t="s">
        <v>1448</v>
      </c>
    </row>
    <row r="11" spans="1:3">
      <c r="A11" s="8">
        <v>2025</v>
      </c>
      <c r="B11" s="18" t="s">
        <v>1363</v>
      </c>
      <c r="C11" s="190" t="s">
        <v>1364</v>
      </c>
    </row>
    <row r="12" spans="1:3">
      <c r="A12" s="8">
        <v>2025</v>
      </c>
      <c r="B12" s="18" t="s">
        <v>1368</v>
      </c>
      <c r="C12" s="190" t="s">
        <v>1370</v>
      </c>
    </row>
    <row r="13" spans="1:3">
      <c r="A13" s="8">
        <v>2025</v>
      </c>
      <c r="B13" s="18" t="s">
        <v>1375</v>
      </c>
      <c r="C13" s="190" t="s">
        <v>1371</v>
      </c>
    </row>
    <row r="14" spans="1:3">
      <c r="A14" s="8">
        <v>2025</v>
      </c>
      <c r="B14" s="18" t="s">
        <v>1378</v>
      </c>
      <c r="C14" s="190" t="s">
        <v>1376</v>
      </c>
    </row>
    <row r="15" spans="1:3" ht="28.8">
      <c r="A15" s="8">
        <v>2025</v>
      </c>
      <c r="B15" s="18" t="s">
        <v>477</v>
      </c>
      <c r="C15" s="190" t="s">
        <v>1381</v>
      </c>
    </row>
    <row r="16" spans="1:3" ht="28.8">
      <c r="A16" s="8">
        <v>2025</v>
      </c>
      <c r="B16" s="18" t="s">
        <v>1384</v>
      </c>
      <c r="C16" s="190" t="s">
        <v>1386</v>
      </c>
    </row>
    <row r="17" spans="1:3" ht="28.8">
      <c r="A17" s="8">
        <v>2025</v>
      </c>
      <c r="B17" s="18" t="s">
        <v>1388</v>
      </c>
      <c r="C17" s="190" t="s">
        <v>1392</v>
      </c>
    </row>
    <row r="18" spans="1:3" ht="28.8">
      <c r="A18" s="8">
        <v>2025</v>
      </c>
      <c r="B18" s="18" t="s">
        <v>1395</v>
      </c>
      <c r="C18" s="190" t="s">
        <v>1397</v>
      </c>
    </row>
    <row r="19" spans="1:3">
      <c r="A19" s="8">
        <v>2025</v>
      </c>
      <c r="B19" s="18" t="s">
        <v>1399</v>
      </c>
      <c r="C19" s="190" t="s">
        <v>1402</v>
      </c>
    </row>
    <row r="20" spans="1:3">
      <c r="A20" s="8">
        <v>2025</v>
      </c>
      <c r="B20" s="18" t="s">
        <v>1407</v>
      </c>
      <c r="C20" s="190" t="s">
        <v>1404</v>
      </c>
    </row>
    <row r="21" spans="1:3">
      <c r="A21" s="8">
        <v>2025</v>
      </c>
      <c r="B21" s="18" t="s">
        <v>1409</v>
      </c>
      <c r="C21" s="190" t="s">
        <v>1412</v>
      </c>
    </row>
    <row r="22" spans="1:3">
      <c r="A22" s="8">
        <v>2025</v>
      </c>
      <c r="B22" s="18" t="s">
        <v>1416</v>
      </c>
      <c r="C22" s="190" t="s">
        <v>1414</v>
      </c>
    </row>
    <row r="23" spans="1:3">
      <c r="A23" s="8">
        <v>2025</v>
      </c>
      <c r="B23" s="18" t="s">
        <v>1419</v>
      </c>
      <c r="C23" s="190" t="s">
        <v>1422</v>
      </c>
    </row>
    <row r="24" spans="1:3">
      <c r="A24" s="8">
        <v>2025</v>
      </c>
      <c r="B24" s="18" t="s">
        <v>1427</v>
      </c>
      <c r="C24" s="190"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tabSelected="1" workbookViewId="0">
      <selection activeCell="E30" sqref="E30"/>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1" t="s">
        <v>1465</v>
      </c>
      <c r="B1" s="192" t="s">
        <v>1450</v>
      </c>
      <c r="C1" s="192" t="s">
        <v>11</v>
      </c>
      <c r="D1" s="231" t="s">
        <v>1755</v>
      </c>
      <c r="E1" s="231" t="s">
        <v>1753</v>
      </c>
    </row>
    <row r="2" spans="1:5">
      <c r="A2" s="228">
        <v>2026</v>
      </c>
      <c r="B2" s="195" t="s">
        <v>1477</v>
      </c>
      <c r="C2" t="s">
        <v>20</v>
      </c>
      <c r="D2" s="13" t="s">
        <v>660</v>
      </c>
      <c r="E2" s="13" t="s">
        <v>662</v>
      </c>
    </row>
    <row r="3" spans="1:5">
      <c r="A3" s="228"/>
      <c r="B3" s="195" t="s">
        <v>1478</v>
      </c>
      <c r="C3" t="s">
        <v>20</v>
      </c>
      <c r="D3" s="13" t="s">
        <v>660</v>
      </c>
      <c r="E3" s="13" t="s">
        <v>662</v>
      </c>
    </row>
    <row r="4" spans="1:5">
      <c r="A4" s="228"/>
      <c r="B4" s="193" t="s">
        <v>1479</v>
      </c>
      <c r="C4" t="s">
        <v>1466</v>
      </c>
      <c r="D4" s="13" t="s">
        <v>662</v>
      </c>
    </row>
    <row r="5" spans="1:5">
      <c r="A5" s="228"/>
      <c r="B5" s="193" t="s">
        <v>1480</v>
      </c>
      <c r="C5" t="s">
        <v>1466</v>
      </c>
      <c r="D5" s="13" t="s">
        <v>662</v>
      </c>
    </row>
    <row r="6" spans="1:5">
      <c r="A6" s="228"/>
      <c r="B6" s="193" t="s">
        <v>1481</v>
      </c>
      <c r="C6" t="s">
        <v>1466</v>
      </c>
      <c r="D6" s="13" t="s">
        <v>1296</v>
      </c>
    </row>
    <row r="7" spans="1:5">
      <c r="A7" s="228"/>
      <c r="B7" s="193" t="s">
        <v>1483</v>
      </c>
      <c r="C7" t="s">
        <v>1466</v>
      </c>
      <c r="D7" s="13" t="s">
        <v>1293</v>
      </c>
    </row>
    <row r="8" spans="1:5">
      <c r="A8" s="228"/>
      <c r="B8" s="193" t="s">
        <v>1482</v>
      </c>
      <c r="C8" t="s">
        <v>1466</v>
      </c>
      <c r="D8" s="13" t="s">
        <v>1298</v>
      </c>
    </row>
    <row r="9" spans="1:5">
      <c r="A9" s="228"/>
      <c r="B9" s="193" t="s">
        <v>1484</v>
      </c>
      <c r="C9" t="s">
        <v>1466</v>
      </c>
      <c r="D9" s="13" t="s">
        <v>1298</v>
      </c>
    </row>
    <row r="10" spans="1:5">
      <c r="A10" s="228"/>
      <c r="B10" s="194" t="s">
        <v>1485</v>
      </c>
      <c r="C10" t="s">
        <v>1466</v>
      </c>
      <c r="D10" s="13" t="s">
        <v>1300</v>
      </c>
    </row>
    <row r="11" spans="1:5">
      <c r="A11" s="228"/>
      <c r="B11" s="194" t="s">
        <v>1486</v>
      </c>
      <c r="C11" t="s">
        <v>1466</v>
      </c>
      <c r="D11" s="13" t="s">
        <v>1304</v>
      </c>
    </row>
    <row r="12" spans="1:5">
      <c r="A12" s="228"/>
      <c r="B12" s="195" t="s">
        <v>1487</v>
      </c>
      <c r="C12" t="s">
        <v>20</v>
      </c>
      <c r="D12" s="13" t="s">
        <v>662</v>
      </c>
      <c r="E12" s="13" t="s">
        <v>1293</v>
      </c>
    </row>
    <row r="13" spans="1:5">
      <c r="A13" s="228"/>
      <c r="B13" s="195" t="s">
        <v>1488</v>
      </c>
      <c r="C13" t="s">
        <v>20</v>
      </c>
      <c r="D13" s="13" t="s">
        <v>662</v>
      </c>
      <c r="E13" s="13" t="s">
        <v>1293</v>
      </c>
    </row>
    <row r="14" spans="1:5">
      <c r="A14" s="228">
        <v>2025</v>
      </c>
      <c r="B14" s="196" t="s">
        <v>1489</v>
      </c>
      <c r="C14" t="s">
        <v>20</v>
      </c>
    </row>
    <row r="15" spans="1:5">
      <c r="A15" s="228"/>
      <c r="B15" s="196" t="s">
        <v>1490</v>
      </c>
      <c r="C15" t="s">
        <v>20</v>
      </c>
    </row>
    <row r="16" spans="1:5">
      <c r="A16" s="228"/>
      <c r="B16" s="196" t="s">
        <v>1491</v>
      </c>
      <c r="C16" t="s">
        <v>20</v>
      </c>
    </row>
    <row r="17" spans="1:3">
      <c r="A17" s="228"/>
      <c r="B17" s="196" t="s">
        <v>1485</v>
      </c>
      <c r="C17" t="s">
        <v>20</v>
      </c>
    </row>
    <row r="18" spans="1:3">
      <c r="A18" s="228"/>
      <c r="B18" s="196" t="s">
        <v>1481</v>
      </c>
      <c r="C18" t="s">
        <v>20</v>
      </c>
    </row>
    <row r="19" spans="1:3">
      <c r="A19" s="228"/>
      <c r="B19" s="196" t="s">
        <v>1483</v>
      </c>
      <c r="C19" t="s">
        <v>20</v>
      </c>
    </row>
    <row r="20" spans="1:3">
      <c r="A20" s="228"/>
      <c r="B20" s="196" t="s">
        <v>1496</v>
      </c>
      <c r="C20" t="s">
        <v>20</v>
      </c>
    </row>
    <row r="21" spans="1:3">
      <c r="A21" s="228"/>
      <c r="B21" s="193" t="s">
        <v>1484</v>
      </c>
      <c r="C21" t="s">
        <v>1509</v>
      </c>
    </row>
    <row r="22" spans="1:3">
      <c r="A22" s="228"/>
      <c r="B22" s="194" t="s">
        <v>1499</v>
      </c>
      <c r="C22" t="s">
        <v>1509</v>
      </c>
    </row>
    <row r="23" spans="1:3">
      <c r="A23" s="228"/>
      <c r="B23" s="197" t="s">
        <v>1501</v>
      </c>
      <c r="C23" t="s">
        <v>20</v>
      </c>
    </row>
    <row r="24" spans="1:3">
      <c r="A24" s="228"/>
      <c r="B24" s="194" t="s">
        <v>1503</v>
      </c>
      <c r="C24" t="s">
        <v>1509</v>
      </c>
    </row>
    <row r="25" spans="1:3">
      <c r="A25" s="228"/>
      <c r="B25" s="198"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50">
      <c r="B3" s="75" t="s">
        <v>14</v>
      </c>
      <c r="C3" s="229" t="s">
        <v>29</v>
      </c>
      <c r="D3" s="74" t="s">
        <v>30</v>
      </c>
      <c r="E3" s="74" t="s">
        <v>269</v>
      </c>
      <c r="F3" s="77">
        <v>46203</v>
      </c>
      <c r="G3" s="82" t="s">
        <v>31</v>
      </c>
    </row>
    <row r="4" spans="2:7" ht="34.200000000000003">
      <c r="B4" s="75" t="s">
        <v>14</v>
      </c>
      <c r="C4" s="230"/>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5" t="s">
        <v>423</v>
      </c>
    </row>
    <row r="13" spans="2:7" ht="36">
      <c r="B13" s="92" t="s">
        <v>419</v>
      </c>
      <c r="C13" s="45" t="s">
        <v>420</v>
      </c>
      <c r="D13" s="47" t="s">
        <v>424</v>
      </c>
      <c r="E13" s="47" t="s">
        <v>17</v>
      </c>
      <c r="F13" s="87">
        <v>46218</v>
      </c>
      <c r="G13" s="145" t="s">
        <v>423</v>
      </c>
    </row>
    <row r="14" spans="2:7" ht="36">
      <c r="B14" s="92" t="s">
        <v>419</v>
      </c>
      <c r="C14" s="45" t="s">
        <v>420</v>
      </c>
      <c r="D14" s="47" t="s">
        <v>425</v>
      </c>
      <c r="E14" s="47" t="s">
        <v>17</v>
      </c>
      <c r="F14" s="87">
        <v>46218</v>
      </c>
      <c r="G14" s="145" t="s">
        <v>423</v>
      </c>
    </row>
    <row r="15" spans="2:7" ht="36">
      <c r="B15" s="92" t="s">
        <v>419</v>
      </c>
      <c r="C15" s="45" t="s">
        <v>420</v>
      </c>
      <c r="D15" s="47" t="s">
        <v>426</v>
      </c>
      <c r="E15" s="47" t="s">
        <v>17</v>
      </c>
      <c r="F15" s="87">
        <v>46218</v>
      </c>
      <c r="G15" s="145" t="s">
        <v>423</v>
      </c>
    </row>
    <row r="16" spans="2:7" ht="36">
      <c r="B16" s="92" t="s">
        <v>419</v>
      </c>
      <c r="C16" s="45" t="s">
        <v>420</v>
      </c>
      <c r="D16" s="47" t="s">
        <v>427</v>
      </c>
      <c r="E16" s="47" t="s">
        <v>17</v>
      </c>
      <c r="F16" s="87">
        <v>46218</v>
      </c>
      <c r="G16" s="145" t="s">
        <v>423</v>
      </c>
    </row>
    <row r="17" spans="2:7" ht="57">
      <c r="B17" s="92" t="s">
        <v>419</v>
      </c>
      <c r="C17" s="45" t="s">
        <v>420</v>
      </c>
      <c r="D17" s="47" t="s">
        <v>428</v>
      </c>
      <c r="E17" s="47" t="s">
        <v>17</v>
      </c>
      <c r="F17" s="87">
        <v>46218</v>
      </c>
      <c r="G17" s="145" t="s">
        <v>423</v>
      </c>
    </row>
    <row r="18" spans="2:7" ht="36">
      <c r="B18" s="92" t="s">
        <v>419</v>
      </c>
      <c r="C18" s="45" t="s">
        <v>436</v>
      </c>
      <c r="D18" s="47" t="s">
        <v>437</v>
      </c>
      <c r="E18" s="47" t="s">
        <v>115</v>
      </c>
      <c r="F18" s="87">
        <v>46386</v>
      </c>
      <c r="G18" s="145" t="s">
        <v>438</v>
      </c>
    </row>
    <row r="19" spans="2:7" ht="45.6">
      <c r="B19" s="92" t="s">
        <v>419</v>
      </c>
      <c r="C19" s="45" t="s">
        <v>436</v>
      </c>
      <c r="D19" s="47" t="s">
        <v>439</v>
      </c>
      <c r="E19" s="47" t="s">
        <v>115</v>
      </c>
      <c r="F19" s="87">
        <v>46386</v>
      </c>
      <c r="G19" s="145" t="s">
        <v>438</v>
      </c>
    </row>
    <row r="20" spans="2:7" ht="45.6">
      <c r="B20" s="92" t="s">
        <v>419</v>
      </c>
      <c r="C20" s="45" t="s">
        <v>436</v>
      </c>
      <c r="D20" s="47" t="s">
        <v>440</v>
      </c>
      <c r="E20" s="47" t="s">
        <v>115</v>
      </c>
      <c r="F20" s="87">
        <v>46386</v>
      </c>
      <c r="G20" s="145" t="s">
        <v>438</v>
      </c>
    </row>
    <row r="21" spans="2:7" ht="36">
      <c r="B21" s="92" t="s">
        <v>419</v>
      </c>
      <c r="C21" s="45" t="s">
        <v>436</v>
      </c>
      <c r="D21" s="47" t="s">
        <v>441</v>
      </c>
      <c r="E21" s="47" t="s">
        <v>115</v>
      </c>
      <c r="F21" s="87">
        <v>46386</v>
      </c>
      <c r="G21" s="145" t="s">
        <v>438</v>
      </c>
    </row>
    <row r="22" spans="2:7" ht="57">
      <c r="B22" s="92" t="s">
        <v>419</v>
      </c>
      <c r="C22" s="45" t="s">
        <v>436</v>
      </c>
      <c r="D22" s="47" t="s">
        <v>442</v>
      </c>
      <c r="E22" s="47" t="s">
        <v>115</v>
      </c>
      <c r="F22" s="87">
        <v>46386</v>
      </c>
      <c r="G22" s="145"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6"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7" t="s">
        <v>496</v>
      </c>
    </row>
    <row r="33" spans="2:7" ht="45.6">
      <c r="B33" s="92" t="s">
        <v>486</v>
      </c>
      <c r="C33" s="45" t="s">
        <v>494</v>
      </c>
      <c r="D33" s="47" t="s">
        <v>497</v>
      </c>
      <c r="E33" s="47" t="s">
        <v>269</v>
      </c>
      <c r="F33" s="87">
        <v>46203</v>
      </c>
      <c r="G33" s="147" t="s">
        <v>496</v>
      </c>
    </row>
    <row r="34" spans="2:7" ht="79.8">
      <c r="B34" s="92" t="s">
        <v>486</v>
      </c>
      <c r="C34" s="45" t="s">
        <v>498</v>
      </c>
      <c r="D34" s="47" t="s">
        <v>500</v>
      </c>
      <c r="E34" s="47" t="s">
        <v>269</v>
      </c>
      <c r="F34" s="87">
        <v>46203</v>
      </c>
      <c r="G34" s="147"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2"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5" t="s">
        <v>432</v>
      </c>
    </row>
    <row r="7" spans="2:7" ht="36">
      <c r="B7" s="92" t="s">
        <v>419</v>
      </c>
      <c r="C7" s="45" t="s">
        <v>429</v>
      </c>
      <c r="D7" s="47" t="s">
        <v>433</v>
      </c>
      <c r="E7" s="47" t="s">
        <v>534</v>
      </c>
      <c r="F7" s="87">
        <v>46142</v>
      </c>
      <c r="G7" s="145" t="s">
        <v>432</v>
      </c>
    </row>
    <row r="8" spans="2:7" ht="36">
      <c r="B8" s="92" t="s">
        <v>419</v>
      </c>
      <c r="C8" s="45" t="s">
        <v>429</v>
      </c>
      <c r="D8" s="47" t="s">
        <v>434</v>
      </c>
      <c r="E8" s="47" t="s">
        <v>534</v>
      </c>
      <c r="F8" s="87">
        <v>46142</v>
      </c>
      <c r="G8" s="145" t="s">
        <v>432</v>
      </c>
    </row>
    <row r="9" spans="2:7" ht="45.6">
      <c r="B9" s="92" t="s">
        <v>419</v>
      </c>
      <c r="C9" s="45" t="s">
        <v>429</v>
      </c>
      <c r="D9" s="47" t="s">
        <v>435</v>
      </c>
      <c r="E9" s="47" t="s">
        <v>534</v>
      </c>
      <c r="F9" s="87">
        <v>46142</v>
      </c>
      <c r="G9" s="145" t="s">
        <v>432</v>
      </c>
    </row>
    <row r="10" spans="2:7" ht="45.6">
      <c r="B10" s="92" t="s">
        <v>419</v>
      </c>
      <c r="C10" s="45" t="s">
        <v>443</v>
      </c>
      <c r="D10" s="47" t="s">
        <v>444</v>
      </c>
      <c r="E10" s="47" t="s">
        <v>445</v>
      </c>
      <c r="F10" s="87">
        <v>46142</v>
      </c>
      <c r="G10" s="145" t="s">
        <v>446</v>
      </c>
    </row>
    <row r="11" spans="2:7" ht="45.6">
      <c r="B11" s="92" t="s">
        <v>419</v>
      </c>
      <c r="C11" s="45" t="s">
        <v>443</v>
      </c>
      <c r="D11" s="47" t="s">
        <v>447</v>
      </c>
      <c r="E11" s="47" t="s">
        <v>445</v>
      </c>
      <c r="F11" s="87">
        <v>46142</v>
      </c>
      <c r="G11" s="145" t="s">
        <v>446</v>
      </c>
    </row>
    <row r="12" spans="2:7" ht="45.6">
      <c r="B12" s="92" t="s">
        <v>419</v>
      </c>
      <c r="C12" s="45" t="s">
        <v>443</v>
      </c>
      <c r="D12" s="47" t="s">
        <v>448</v>
      </c>
      <c r="E12" s="47" t="s">
        <v>445</v>
      </c>
      <c r="F12" s="87">
        <v>46142</v>
      </c>
      <c r="G12" s="145" t="s">
        <v>446</v>
      </c>
    </row>
    <row r="13" spans="2:7" ht="182.4">
      <c r="B13" s="92" t="s">
        <v>449</v>
      </c>
      <c r="C13" s="45" t="s">
        <v>450</v>
      </c>
      <c r="D13" s="47" t="s">
        <v>451</v>
      </c>
      <c r="E13" s="47" t="s">
        <v>179</v>
      </c>
      <c r="F13" s="87">
        <v>46171</v>
      </c>
      <c r="G13" s="146" t="s">
        <v>452</v>
      </c>
    </row>
    <row r="14" spans="2:7" ht="68.400000000000006">
      <c r="B14" s="92" t="s">
        <v>471</v>
      </c>
      <c r="C14" s="45" t="s">
        <v>450</v>
      </c>
      <c r="D14" s="47" t="s">
        <v>472</v>
      </c>
      <c r="E14" s="74" t="s">
        <v>179</v>
      </c>
      <c r="F14" s="87">
        <v>46171</v>
      </c>
      <c r="G14" s="146" t="s">
        <v>473</v>
      </c>
    </row>
    <row r="15" spans="2:7" ht="91.2">
      <c r="B15" s="75" t="s">
        <v>471</v>
      </c>
      <c r="C15" s="45" t="s">
        <v>450</v>
      </c>
      <c r="D15" s="74" t="s">
        <v>474</v>
      </c>
      <c r="E15" s="74" t="s">
        <v>179</v>
      </c>
      <c r="F15" s="87">
        <v>46171</v>
      </c>
      <c r="G15" s="146"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0">
        <v>46044</v>
      </c>
      <c r="I2" s="120">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0">
        <v>46044</v>
      </c>
      <c r="I3" s="120">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0">
        <v>46044</v>
      </c>
      <c r="I4" s="120">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0">
        <v>46044</v>
      </c>
      <c r="I5" s="120">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0">
        <v>46044</v>
      </c>
      <c r="I6" s="120">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0">
        <v>45992</v>
      </c>
      <c r="I2" s="120">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0">
        <v>45992</v>
      </c>
      <c r="I3" s="120">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0">
        <v>45992</v>
      </c>
      <c r="I4" s="120">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0">
        <v>45992</v>
      </c>
      <c r="I5" s="120">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0">
        <v>45992</v>
      </c>
      <c r="I6" s="120">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0">
        <v>45992</v>
      </c>
      <c r="I7" s="120">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0">
        <v>45992</v>
      </c>
      <c r="I8" s="120">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0">
        <v>45992</v>
      </c>
      <c r="I9" s="120">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0">
        <v>45992</v>
      </c>
      <c r="I10" s="120">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0">
        <v>45992</v>
      </c>
      <c r="I11" s="120">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0">
        <v>45996</v>
      </c>
      <c r="I12" s="120">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0">
        <v>45996</v>
      </c>
      <c r="I13" s="120">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0">
        <v>45996</v>
      </c>
      <c r="I14" s="120">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0">
        <v>45996</v>
      </c>
      <c r="I15" s="120">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0">
        <v>45996</v>
      </c>
      <c r="I16" s="120">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0">
        <v>45992</v>
      </c>
      <c r="I17" s="120">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0">
        <v>45992</v>
      </c>
      <c r="I18" s="120">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0">
        <v>45992</v>
      </c>
      <c r="I19" s="120">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0">
        <v>46051</v>
      </c>
      <c r="I20" s="120">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0">
        <v>46051</v>
      </c>
      <c r="I21" s="120">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0">
        <v>46051</v>
      </c>
      <c r="I22" s="120">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0">
        <v>46108</v>
      </c>
      <c r="I23" s="120">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0">
        <v>46191</v>
      </c>
      <c r="I24" s="120">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0">
        <v>46235</v>
      </c>
      <c r="I25" s="120">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0">
        <v>46191</v>
      </c>
      <c r="I26" s="120">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2026-09-16T15:33:53Z</dcterms:modified>
</cp:coreProperties>
</file>