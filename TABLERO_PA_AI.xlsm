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968" documentId="8_{B94AFFE1-3DFB-409E-960F-FF1A97CB5BC7}" xr6:coauthVersionLast="47" xr6:coauthVersionMax="47" xr10:uidLastSave="{45AB2F6D-BC59-4695-BBEB-0CA775560173}"/>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<sst xmlns="http://schemas.openxmlformats.org/spreadsheetml/2006/main" count="7397" uniqueCount="1857">
  <si>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</si>
  <si>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</si>
  <si>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</si>
  <si>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</si>
  <si>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</si>
  <si>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</si>
  <si>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</si>
  <si>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</si>
  <si>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</si>
  <si>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</si>
  <si>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</si>
  <si>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</si>
  <si>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</si>
  <si>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</si>
  <si>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</si>
  <si>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</si>
  <si>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</si>
  <si>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</si>
  <si>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</si>
  <si>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</si>
  <si>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</si>
  <si>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</si>
  <si>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</si>
  <si>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</si>
  <si>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</si>
  <si>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</si>
  <si>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</si>
  <si>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</si>
  <si>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</si>
  <si>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</si>
  <si>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</si>
  <si>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</si>
  <si>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</si>
  <si>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</si>
  <si>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</si>
  <si>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</si>
  <si>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</si>
  <si>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</si>
  <si>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</si>
  <si>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</si>
  <si>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</si>
  <si>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</si>
  <si>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</si>
  <si>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</si>
  <si>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</si>
  <si>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</si>
  <si>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</si>
  <si>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</si>
  <si>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</si>
  <si>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</si>
  <si>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</si>
  <si>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</si>
  <si>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</si>
  <si>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</si>
  <si>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</si>
  <si>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</si>
  <si>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</si>
  <si>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</si>
  <si>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</si>
  <si>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</si>
  <si>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</si>
  <si>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</si>
  <si>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</si>
  <si>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</si>
  <si>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</si>
  <si>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</si>
  <si>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</si>
  <si>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</si>
  <si>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</si>
  <si>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</si>
  <si>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</si>
  <si>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</si>
  <si>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</si>
  <si>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</si>
  <si>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</si>
  <si>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</si>
  <si>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</si>
  <si>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</si>
  <si>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</si>
  <si>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</si>
  <si>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</si>
  <si>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</si>
  <si>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</si>
  <si>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</si>
  <si>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</si>
  <si>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</si>
  <si>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</si>
  <si>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</si>
  <si>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</si>
  <si>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</si>
  <si>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</si>
  <si>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</si>
  <si>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</si>
  <si>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</si>
  <si>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</si>
  <si>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</si>
  <si>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</si>
  <si>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</si>
  <si>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</si>
  <si>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</si>
  <si>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</si>
  <si>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</si>
  <si>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</si>
  <si>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</si>
  <si>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</si>
  <si>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</si>
  <si>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</si>
  <si>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</si>
  <si>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</si>
  <si>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</si>
  <si>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</si>
  <si>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</si>
  <si>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</si>
  <si>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</si>
  <si>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</si>
  <si>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</si>
  <si>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</si>
  <si>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</si>
  <si>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</si>
  <si>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</si>
  <si>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</si>
  <si>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</si>
  <si>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</si>
  <si>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</si>
  <si>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</si>
  <si>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</si>
  <si>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</si>
  <si>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</si>
  <si>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</si>
  <si>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</si>
  <si>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</si>
  <si>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</si>
  <si>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</si>
  <si>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</si>
  <si>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</si>
  <si>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</si>
  <si>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</si>
  <si>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</si>
  <si>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</si>
  <si>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</si>
  <si>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</si>
  <si>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</si>
  <si>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</si>
  <si>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</si>
  <si>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</si>
  <si>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</si>
  <si>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</si>
  <si>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</si>
  <si>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</si>
  <si>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</si>
  <si>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</si>
  <si>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</si>
  <si>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</si>
  <si>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</si>
  <si>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</si>
  <si>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</si>
  <si>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</si>
  <si>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</si>
  <si>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</si>
  <si>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</si>
  <si>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</si>
  <si>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</si>
  <si>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</si>
  <si>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</si>
  <si>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</si>
  <si>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</si>
  <si>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</si>
  <si>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</si>
  <si>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</si>
  <si>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</si>
  <si>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</si>
  <si>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</si>
  <si>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</si>
  <si>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</si>
  <si>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</si>
  <si>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</si>
  <si>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</si>
  <si>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</si>
  <si>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</si>
  <si>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</si>
  <si>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</si>
  <si>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</si>
  <si>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</si>
  <si>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</si>
  <si>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</si>
  <si>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</si>
  <si>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</si>
  <si>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</si>
  <si>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</si>
  <si>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</si>
  <si>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</si>
  <si>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</si>
  <si>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</si>
  <si>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</si>
  <si>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</si>
  <si>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</si>
  <si>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</si>
  <si>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</si>
  <si>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</si>
  <si>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</si>
  <si>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</si>
  <si>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</si>
  <si>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</si>
  <si>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</si>
  <si>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</si>
  <si>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</si>
  <si>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</si>
  <si>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</si>
  <si>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</si>
  <si>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</si>
  <si>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</si>
  <si>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</si>
  <si>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</si>
  <si>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</si>
  <si>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</si>
  <si>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</si>
  <si>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</si>
  <si>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</si>
  <si>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</si>
  <si>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</si>
  <si>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</si>
  <si>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</si>
  <si>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</si>
  <si>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</si>
  <si>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</si>
  <si>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</si>
  <si>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</si>
  <si>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</si>
  <si>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</si>
  <si>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</si>
  <si>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</si>
  <si>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</si>
  <si>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</si>
  <si>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</si>
  <si>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</si>
  <si>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</si>
  <si>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</si>
  <si>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</si>
  <si>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</si>
  <si>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</si>
  <si>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</si>
  <si>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</si>
  <si>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</si>
  <si>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</si>
  <si>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</si>
  <si>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</si>
  <si>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</si>
  <si>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</si>
  <si>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</si>
  <si>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</si>
  <si>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</si>
  <si>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</si>
  <si>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</si>
  <si>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</si>
  <si>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</si>
  <si>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</si>
  <si>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</si>
  <si>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</si>
  <si>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</si>
  <si>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</si>
  <si>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</si>
  <si>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</si>
  <si>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</si>
  <si>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</si>
  <si>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</si>
  <si>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</si>
  <si>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</si>
  <si>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</si>
  <si>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</si>
  <si>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</si>
  <si>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</si>
  <si>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</si>
  <si>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</si>
  <si>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</si>
  <si>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</si>
  <si>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</si>
  <si>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</si>
  <si>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</si>
  <si>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</si>
  <si>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</si>
  <si>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</si>
  <si>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</si>
  <si>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</si>
  <si>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</si>
  <si>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</si>
  <si>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</si>
  <si>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</si>
  <si>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</si>
  <si>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</si>
  <si>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</si>
  <si>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</si>
  <si>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</si>
  <si>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</si>
  <si>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</si>
  <si>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</si>
  <si>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</si>
  <si>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</si>
  <si>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</si>
  <si>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</si>
  <si>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</si>
  <si>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</si>
  <si>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</si>
  <si>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</si>
  <si>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</si>
  <si>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</si>
  <si>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</si>
  <si>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</si>
  <si>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</si>
  <si>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</si>
  <si>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</si>
  <si>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</si>
  <si>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</si>
  <si>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</si>
  <si>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</si>
  <si>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</si>
  <si>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</si>
  <si>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</si>
  <si>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</si>
  <si>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</si>
  <si>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</si>
  <si>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</si>
  <si>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</si>
  <si>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</si>
  <si>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</si>
  <si>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</si>
  <si>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</si>
  <si>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</si>
  <si>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</si>
  <si>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</si>
  <si>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</si>
  <si>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</si>
  <si>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</si>
  <si>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</si>
  <si>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</si>
  <si>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</si>
  <si>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</si>
  <si>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</si>
  <si>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</si>
  <si>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</si>
  <si>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</si>
  <si>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</si>
  <si>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</si>
  <si>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</si>
  <si>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</si>
  <si>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</si>
  <si>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</si>
  <si>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</si>
  <si>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</si>
  <si>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</si>
  <si>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</si>
  <si>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</si>
  <si>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</si>
  <si>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</si>
  <si>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</si>
  <si>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</si>
  <si>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</si>
  <si>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</si>
  <si>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</si>
  <si>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</si>
  <si>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</si>
  <si>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</si>
  <si>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</si>
  <si>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</si>
  <si>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</si>
  <si>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</si>
  <si>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</si>
  <si>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</si>
  <si>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</si>
  <si>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</si>
  <si>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</si>
  <si>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</si>
  <si>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</si>
  <si>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</si>
  <si>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</si>
  <si>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</si>
  <si>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</si>
  <si>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</si>
  <si>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</si>
  <si>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</si>
  <si>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</si>
  <si>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</si>
  <si>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</si>
  <si>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</si>
  <si>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</si>
  <si>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</si>
  <si>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</si>
  <si>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</si>
  <si>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</si>
  <si>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</si>
  <si>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</si>
  <si>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</si>
  <si>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</si>
  <si>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</si>
  <si>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</si>
  <si>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</si>
  <si>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</si>
  <si>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</si>
  <si>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</si>
  <si>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</si>
  <si>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</si>
  <si>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</si>
  <si>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</si>
  <si>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</si>
  <si>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</si>
  <si>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</si>
  <si>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</si>
  <si>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</si>
  <si>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</si>
  <si>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</si>
  <si>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</si>
  <si>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</si>
  <si>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</si>
  <si>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</si>
  <si>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</si>
  <si>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</si>
  <si>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</si>
  <si>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</si>
  <si>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</si>
  <si>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</si>
  <si>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</si>
  <si>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</si>
  <si>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</si>
  <si>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</si>
  <si>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</si>
  <si>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</si>
  <si>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</si>
  <si>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</si>
  <si>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</si>
  <si>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</si>
  <si>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</si>
  <si>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</si>
  <si>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</si>
  <si>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</si>
  <si>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</si>
  <si>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</si>
  <si>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</si>
  <si>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</si>
  <si>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</si>
  <si>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</si>
  <si>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</si>
  <si>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</si>
  <si>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</si>
  <si>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</si>
  <si>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</si>
  <si>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</si>
  <si>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</si>
  <si>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</si>
  <si>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</si>
  <si>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</si>
  <si>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</si>
  <si>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</si>
  <si>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</si>
  <si>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</si>
  <si>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</si>
  <si>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</si>
  <si>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</si>
  <si>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</si>
  <si>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</si>
  <si>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</si>
  <si>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</si>
  <si>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</si>
  <si>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</si>
  <si>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</si>
  <si>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</si>
  <si>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</si>
  <si>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</si>
  <si>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</si>
  <si>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</si>
  <si>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</si>
  <si>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</si>
  <si>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</si>
  <si>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</si>
  <si>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</si>
  <si>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</si>
  <si>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</si>
  <si>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</si>
  <si>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</si>
  <si>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</si>
  <si>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</si>
  <si>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</si>
  <si>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</si>
  <si>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</si>
  <si>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</si>
  <si>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</si>
  <si>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</si>
  <si>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</si>
  <si>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</si>
  <si>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</si>
  <si>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</si>
  <si>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</si>
  <si>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</si>
  <si>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</si>
  <si>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</si>
  <si>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</si>
  <si>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</si>
  <si>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</si>
  <si>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</si>
  <si>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</si>
  <si>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</si>
  <si>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</si>
  <si>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</si>
  <si>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</si>
  <si>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</si>
  <si>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</si>
  <si>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</si>
  <si>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</si>
  <si>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</si>
  <si>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</si>
  <si>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</si>
  <si>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</si>
  <si>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</si>
  <si>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</si>
  <si>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</si>
  <si>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</si>
  <si>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</si>
  <si>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</si>
  <si>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</si>
  <si>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</si>
  <si>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</si>
  <si>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</si>
  <si>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</si>
  <si>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</si>
  <si>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</si>
  <si>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</si>
  <si>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</si>
  <si>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</si>
  <si>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</si>
  <si>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</si>
  <si>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</si>
  <si>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</si>
  <si>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</si>
  <si>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</si>
  <si>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</si>
  <si>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</si>
  <si>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</si>
  <si>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</si>
  <si>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</si>
  <si>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</si>
  <si>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</si>
  <si>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</si>
  <si>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</si>
  <si>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</si>
  <si>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</si>
  <si>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</si>
  <si>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</si>
  <si>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</si>
  <si>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</si>
  <si>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</si>
  <si>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</si>
  <si>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</si>
  <si>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</si>
  <si>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</si>
  <si>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</si>
  <si>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</si>
  <si>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</si>
  <si>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</si>
  <si>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</si>
  <si>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</si>
  <si>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</si>
  <si>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</si>
  <si>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</si>
  <si>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</si>
  <si>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</si>
  <si>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</si>
  <si>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</si>
  <si>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</si>
  <si>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</si>
  <si>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</si>
  <si>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</si>
  <si>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</si>
  <si>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</si>
  <si>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</si>
  <si>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</si>
  <si>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</si>
  <si>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</si>
  <si>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</si>
  <si>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</si>
  <si>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</si>
  <si>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</si>
  <si>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</si>
  <si>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</si>
  <si>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</si>
  <si>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</si>
  <si>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</si>
  <si>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</si>
  <si>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</si>
  <si>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</si>
  <si>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</si>
  <si>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</si>
  <si>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</si>
  <si>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</si>
  <si>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</si>
  <si>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</si>
  <si>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</si>
  <si>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</si>
  <si>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</si>
  <si>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</si>
  <si>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</si>
  <si>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</si>
  <si>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</si>
  <si>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</si>
  <si>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</si>
  <si>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</si>
  <si>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</si>
  <si>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</si>
  <si>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</si>
  <si>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</si>
  <si>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</si>
  <si>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</si>
  <si>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</si>
  <si>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</si>
  <si>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</si>
  <si>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</si>
  <si>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</si>
  <si>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</si>
  <si>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</si>
  <si>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</si>
  <si>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</si>
  <si>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</si>
  <si>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</si>
  <si>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</si>
  <si>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</si>
  <si>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</si>
  <si>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</si>
  <si>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</si>
  <si>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</si>
  <si>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</si>
  <si>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</si>
  <si>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</si>
  <si>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</si>
  <si>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</si>
  <si>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</si>
  <si>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</si>
  <si>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</si>
  <si>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</si>
  <si>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</si>
  <si>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</si>
  <si>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</si>
  <si>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</si>
  <si>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</si>
  <si>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</si>
  <si>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</si>
  <si>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</si>
  <si>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</si>
  <si>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</si>
  <si>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</si>
  <si>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</si>
  <si>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</si>
  <si>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</si>
  <si>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</si>
  <si>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</si>
  <si>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</si>
  <si>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</si>
  <si>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</si>
  <si>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</si>
  <si>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</si>
  <si>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</si>
  <si>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</si>
  <si>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</si>
  <si>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</si>
  <si>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</si>
  <si>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</si>
  <si>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</si>
  <si>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</si>
  <si>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</si>
  <si>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</si>
  <si>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</si>
  <si>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</si>
  <si>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</si>
  <si>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</si>
  <si>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</si>
  <si>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</si>
  <si>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</si>
  <si>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</si>
  <si>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</si>
  <si>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</si>
  <si>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</si>
  <si>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</si>
  <si>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</si>
  <si>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</si>
  <si>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</si>
  <si>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</si>
  <si>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</si>
  <si>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</si>
  <si>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</si>
  <si>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</si>
  <si>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</si>
  <si>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</si>
  <si>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</si>
  <si>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</si>
  <si>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</si>
  <si>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</si>
  <si>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</si>
  <si>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</si>
  <si>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</si>
  <si>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</si>
  <si>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</si>
  <si>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</si>
  <si>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</si>
  <si>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</si>
  <si>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</si>
  <si>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</si>
  <si>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</si>
  <si>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</si>
  <si>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</si>
  <si>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</si>
  <si>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</si>
  <si>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</si>
  <si>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</si>
  <si>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</si>
  <si>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</si>
  <si>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</si>
  <si>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</si>
  <si>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</si>
  <si>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</si>
  <si>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</si>
  <si>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</si>
  <si>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</si>
  <si>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</si>
  <si>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</si>
  <si>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</si>
  <si>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</si>
  <si>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</si>
  <si>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</si>
  <si>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</si>
  <si>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</si>
  <si>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</si>
  <si>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</si>
  <si>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</si>
  <si>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</si>
  <si>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</si>
  <si>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</si>
  <si>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</si>
  <si>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</si>
  <si>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</si>
  <si>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</si>
  <si>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</si>
  <si>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</si>
  <si>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</si>
  <si>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</si>
  <si>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</si>
  <si>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</si>
  <si>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</si>
  <si>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</si>
  <si>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</si>
  <si>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</si>
  <si>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</si>
  <si>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</si>
  <si>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</si>
  <si>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</si>
  <si>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</si>
  <si>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</si>
  <si>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</si>
  <si>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</si>
  <si>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</si>
  <si>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</si>
  <si>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</si>
  <si>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</si>
  <si>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</si>
  <si>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</si>
  <si>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</si>
  <si>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</si>
  <si>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</si>
  <si>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</si>
  <si>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</si>
  <si>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</si>
  <si>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</si>
  <si>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</si>
  <si>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</si>
  <si>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</si>
  <si>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</si>
  <si>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</si>
  <si>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</si>
  <si>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</si>
  <si>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</si>
  <si>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</si>
  <si>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</si>
  <si>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</si>
  <si>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</si>
  <si>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</si>
  <si>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</si>
  <si>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</si>
  <si>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</si>
  <si>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</si>
  <si>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</si>
  <si>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</si>
  <si>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</si>
  <si>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</si>
  <si>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</si>
  <si>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</si>
  <si>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</si>
  <si>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</si>
  <si>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</si>
  <si>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</si>
  <si>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</si>
  <si>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</si>
  <si>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</si>
  <si>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</si>
  <si>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</si>
  <si>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</si>
  <si>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</si>
  <si>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</si>
  <si>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</si>
  <si>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</si>
  <si>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</si>
  <si>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</si>
  <si>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</si>
  <si>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</si>
  <si>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</si>
  <si>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</si>
  <si>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</si>
  <si>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</si>
  <si>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</si>
  <si>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</si>
  <si>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</si>
  <si>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</si>
  <si>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</si>
  <si>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</si>
  <si>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</si>
  <si>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</si>
  <si>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</si>
  <si>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</si>
  <si>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</si>
  <si>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</si>
  <si>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</si>
  <si>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</si>
  <si>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</si>
  <si>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</si>
  <si>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</si>
  <si>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</si>
  <si>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</si>
  <si>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</si>
  <si>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</si>
  <si>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</si>
  <si>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</si>
  <si>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</si>
  <si>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</si>
  <si>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</si>
  <si>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</si>
  <si>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</si>
  <si>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</si>
  <si>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</si>
  <si>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</si>
  <si>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</si>
  <si>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</si>
  <si>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</si>
  <si>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</si>
  <si>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</si>
  <si>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</si>
  <si>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</si>
  <si>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</si>
  <si>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</si>
  <si>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</si>
  <si>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</si>
  <si>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</si>
  <si>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</si>
  <si>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</si>
  <si>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</si>
  <si>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</si>
  <si>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</si>
  <si>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</si>
  <si>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</si>
  <si>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</si>
  <si>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</si>
  <si>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</si>
  <si>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</si>
  <si>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</si>
  <si>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</si>
  <si>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</si>
  <si>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</si>
  <si>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</si>
  <si>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</si>
  <si>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</si>
  <si>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</si>
  <si>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</si>
  <si>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</si>
  <si>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</si>
  <si>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</si>
  <si>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</si>
  <si>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</si>
  <si>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</si>
  <si>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</si>
  <si>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</si>
  <si>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</si>
  <si>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</si>
  <si>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</si>
  <si>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</si>
  <si>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</si>
  <si>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</si>
  <si>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</si>
  <si>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</si>
  <si>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</si>
  <si>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</si>
  <si>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</si>
  <si>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</si>
  <si>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</si>
  <si>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</si>
  <si>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</si>
  <si>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</si>
  <si>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</si>
  <si>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</si>
  <si>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</si>
  <si>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</si>
  <si>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</si>
  <si>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</si>
  <si>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</si>
  <si>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</si>
  <si>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</si>
  <si>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</si>
  <si>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</si>
  <si>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</si>
  <si>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</si>
  <si>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</si>
  <si>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</si>
  <si>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</si>
  <si>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</si>
  <si>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</si>
  <si>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</si>
  <si>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</si>
  <si>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</si>
  <si>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</si>
  <si>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</si>
  <si>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</si>
  <si>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</si>
  <si>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</si>
  <si>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</si>
  <si>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</si>
  <si>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</si>
  <si>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</si>
  <si>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</si>
  <si>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</si>
  <si>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</si>
  <si>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</si>
  <si>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</si>
  <si>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</si>
  <si>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</si>
  <si>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</si>
  <si>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</si>
  <si>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</si>
  <si>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</si>
  <si>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</si>
  <si>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</si>
  <si>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</si>
  <si>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</si>
  <si>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</si>
  <si>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</si>
  <si>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</si>
  <si>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</si>
  <si>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</si>
  <si>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</si>
  <si>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</si>
  <si>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</si>
  <si>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</si>
  <si>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</si>
  <si>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</si>
  <si>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</si>
  <si>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</si>
  <si>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</si>
  <si>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</si>
  <si>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</si>
  <si>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</si>
  <si>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</si>
  <si>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</si>
  <si>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</si>
  <si>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</si>
  <si>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</si>
  <si>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</si>
  <si>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</si>
  <si>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</si>
  <si>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</si>
  <si>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</si>
  <si>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</si>
  <si>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</si>
  <si>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</si>
  <si>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</si>
  <si>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</si>
  <si>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</si>
  <si>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</si>
  <si>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</si>
  <si>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</si>
  <si>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</si>
  <si>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</si>
  <si>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</si>
  <si>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</si>
  <si>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</si>
  <si>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</si>
  <si>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</si>
  <si>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</si>
  <si>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</si>
  <si>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</si>
  <si>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</si>
  <si>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</si>
  <si>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</si>
  <si>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</si>
  <si>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</si>
  <si>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</si>
  <si>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</si>
  <si>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</si>
  <si>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</si>
  <si>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</si>
  <si>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</si>
  <si>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</si>
  <si>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</si>
  <si>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</si>
  <si>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</si>
  <si>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</si>
  <si>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</si>
  <si>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</si>
  <si>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</si>
  <si>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</si>
  <si>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</si>
  <si>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</si>
  <si>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</si>
  <si>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</si>
  <si>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</si>
  <si>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</si>
  <si>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</si>
  <si>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</si>
  <si>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</si>
  <si>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</si>
  <si>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</si>
  <si>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</si>
  <si>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</si>
  <si>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</si>
  <si>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</si>
  <si>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</si>
  <si>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</si>
  <si>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</si>
  <si>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</si>
  <si>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</si>
  <si>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</si>
  <si>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</si>
  <si>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</si>
  <si>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</si>
  <si>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</si>
  <si>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</si>
  <si>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</si>
  <si>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</si>
  <si>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</si>
  <si>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</si>
  <si>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</si>
  <si>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</si>
  <si>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</si>
  <si>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</si>
  <si>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</si>
  <si>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</si>
  <si>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</si>
  <si>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</si>
  <si>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</si>
  <si>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</si>
  <si>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</si>
  <si>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</si>
  <si>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</si>
  <si>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</si>
  <si>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</si>
  <si>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</si>
  <si>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</si>
  <si>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</si>
  <si>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</si>
  <si>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</si>
  <si>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</si>
  <si>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</si>
  <si>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</si>
  <si>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</si>
  <si>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</si>
  <si>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</si>
  <si>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</si>
  <si>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</si>
  <si>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</si>
  <si>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</si>
  <si>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</si>
  <si>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</si>
  <si>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</si>
  <si>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</si>
  <si>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</si>
  <si>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</si>
  <si>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</si>
  <si>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</si>
  <si>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</si>
  <si>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</si>
  <si>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</si>
  <si>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</si>
  <si>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</si>
  <si>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</si>
  <si>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</si>
  <si>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</si>
  <si>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</si>
  <si>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</si>
  <si>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</si>
  <si>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</si>
  <si>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</si>
  <si>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</si>
  <si>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</si>
  <si>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</si>
  <si>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</si>
  <si>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</si>
  <si>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</si>
  <si>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</si>
  <si>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</si>
  <si>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</si>
  <si>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</si>
  <si>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</si>
  <si>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</si>
  <si>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</si>
  <si>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</si>
  <si>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</si>
  <si>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</si>
  <si>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</si>
  <si>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</si>
  <si>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</si>
  <si>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</si>
  <si>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</si>
  <si>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</si>
  <si>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</si>
  <si>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</si>
  <si>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</si>
  <si>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</si>
  <si>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</si>
  <si>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</si>
  <si>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</si>
  <si>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</si>
  <si>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</si>
  <si>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</si>
  <si>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</si>
  <si>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</si>
  <si>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</si>
  <si>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</si>
  <si>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</si>
  <si>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</si>
  <si>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</si>
  <si>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</si>
  <si>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</si>
  <si>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</si>
  <si>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</si>
  <si>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</si>
  <si>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</si>
  <si>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</si>
  <si>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</si>
  <si>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</si>
  <si>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</si>
  <si>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</si>
  <si>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</si>
  <si>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</si>
  <si>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</si>
  <si>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</si>
  <si>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</si>
  <si>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</si>
  <si>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</si>
  <si>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</si>
  <si>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</si>
  <si>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</si>
  <si>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</si>
  <si>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</si>
  <si>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</si>
  <si>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</si>
  <si>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</si>
  <si>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</si>
  <si>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</si>
  <si>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</si>
  <si>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</si>
  <si>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</si>
  <si>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</si>
  <si>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</si>
  <si>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</si>
  <si>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</si>
  <si>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</si>
  <si>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</si>
  <si>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</si>
  <si>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</si>
  <si>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</si>
  <si>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</si>
  <si>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</si>
  <si>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</si>
  <si>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</si>
  <si>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</si>
  <si>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</si>
  <si>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</si>
  <si>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</si>
  <si>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</si>
  <si>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</si>
  <si>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</si>
  <si>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</si>
  <si>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</si>
  <si>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</si>
  <si>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</si>
  <si>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</si>
  <si>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</si>
  <si>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</si>
  <si>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</si>
  <si>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</si>
  <si>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</si>
  <si>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</si>
  <si>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</si>
  <si>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</si>
  <si>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</si>
  <si>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</si>
  <si>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</si>
  <si>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</si>
  <si>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</si>
  <si>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</si>
  <si>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</si>
  <si>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</si>
  <si>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</si>
  <si>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</si>
  <si>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</si>
  <si>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</si>
  <si>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</si>
  <si>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</si>
  <si>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</si>
  <si>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</si>
  <si>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</si>
  <si>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</si>
  <si>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</si>
  <si>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</si>
  <si>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</si>
  <si>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</si>
  <si>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</si>
  <si>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</si>
  <si>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</si>
  <si>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</si>
  <si>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</si>
  <si>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</si>
  <si>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</si>
  <si>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</si>
  <si>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</si>
  <si>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</si>
  <si>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</si>
  <si>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</si>
  <si>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</si>
  <si>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</si>
  <si>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</si>
  <si>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</si>
  <si>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</si>
  <si>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</si>
  <si>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</si>
  <si>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</si>
  <si>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</si>
  <si>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</si>
  <si>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</si>
  <si>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</si>
  <si>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</si>
  <si>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</si>
  <si>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</si>
  <si>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</si>
  <si>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</si>
  <si>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</si>
  <si>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</si>
  <si>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</si>
  <si>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</si>
  <si>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</si>
  <si>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</si>
  <si>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</si>
  <si>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</si>
  <si>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</si>
  <si>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</si>
  <si>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</si>
  <si>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</si>
  <si>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</si>
  <si>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</si>
  <si>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</si>
  <si>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</si>
  <si>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</si>
  <si>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</si>
  <si>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</si>
  <si>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</si>
  <si>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</si>
  <si>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</si>
  <si>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</si>
  <si>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</si>
  <si>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</si>
  <si>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</si>
  <si>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</si>
  <si>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</si>
  <si>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</si>
  <si>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</si>
  <si>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</si>
  <si>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</si>
  <si>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</si>
  <si>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</si>
  <si>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</si>
  <si>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</si>
  <si>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</si>
  <si>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</si>
  <si>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</si>
  <si>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</si>
  <si>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</si>
  <si>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</si>
  <si>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</si>
  <si>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</si>
  <si>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</si>
  <si>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</si>
  <si>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</si>
  <si>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</si>
  <si>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</si>
  <si>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</si>
  <si>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</si>
  <si>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</si>
  <si>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</si>
  <si>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</si>
  <si>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</si>
  <si>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</si>
  <si>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</si>
  <si>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</si>
  <si>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</si>
  <si>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</si>
  <si>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</si>
  <si>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</si>
  <si>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</si>
  <si>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</si>
  <si>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</si>
  <si>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</si>
  <si>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</si>
  <si>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</si>
  <si>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</si>
  <si>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</si>
  <si>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</si>
  <si>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</si>
  <si>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</si>
  <si>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</si>
  <si>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</si>
  <si>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</si>
  <si>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</si>
  <si>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</si>
  <si>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</si>
  <si>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</si>
  <si>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</si>
  <si>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</si>
  <si>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</si>
  <si>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</si>
  <si>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</si>
  <si>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</si>
  <si>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</si>
  <si>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</si>
  <si>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</si>
  <si>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</si>
  <si>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</si>
  <si>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</si>
  <si>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</si>
  <si>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</si>
  <si>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</si>
  <si>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</si>
  <si>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</si>
  <si>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</si>
  <si>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</si>
  <si>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</si>
  <si>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</si>
  <si>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</si>
  <si>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</si>
  <si>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</si>
  <si>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</si>
  <si>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</si>
  <si>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</si>
  <si>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</si>
  <si>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</si>
  <si>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</si>
  <si>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</si>
  <si>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</si>
  <si>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</si>
  <si>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</si>
  <si>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</si>
  <si>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</si>
  <si>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</si>
  <si>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</si>
  <si>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</si>
  <si>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</si>
  <si>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</si>
  <si>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</si>
  <si>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</si>
  <si>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</si>
  <si>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</si>
  <si>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</si>
  <si>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</si>
  <si>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</si>
  <si>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</si>
  <si>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</si>
  <si>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</si>
  <si>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</si>
  <si>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</si>
  <si>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</si>
  <si>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</si>
  <si>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</si>
  <si>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</si>
  <si>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</si>
  <si>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</si>
  <si>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</si>
  <si>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</si>
  <si>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</si>
  <si>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</si>
  <si>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</si>
  <si>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</si>
  <si>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</si>
  <si>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</si>
  <si>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</si>
  <si>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</si>
  <si>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</si>
  <si>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</si>
  <si>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</si>
  <si>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</si>
  <si>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</si>
  <si>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</si>
  <si>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</si>
  <si>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</si>
  <si>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</si>
  <si>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</si>
  <si>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</si>
  <si>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</si>
  <si>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</si>
  <si>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</si>
  <si>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</si>
  <si>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</si>
  <si>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</si>
  <si>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</si>
  <si>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</si>
  <si>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</si>
  <si>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</si>
  <si>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</si>
  <si>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</si>
  <si>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</si>
  <si>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</si>
  <si>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</si>
  <si>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</si>
  <si>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</si>
  <si>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</si>
  <si>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</si>
  <si>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</si>
  <si>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</si>
  <si>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</si>
  <si>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</si>
  <si>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</si>
  <si>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</si>
  <si>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</si>
  <si>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</si>
  <si>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</si>
  <si>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</si>
  <si>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</si>
  <si>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</si>
  <si>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</si>
  <si>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</si>
  <si>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</si>
  <si>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</si>
  <si>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</si>
  <si>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</si>
  <si>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</si>
  <si>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</si>
  <si>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</si>
  <si>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</si>
  <si>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</si>
  <si>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</si>
  <si>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</si>
  <si>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</si>
  <si>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</si>
  <si>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</si>
  <si>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</si>
  <si>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</si>
  <si>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</si>
  <si>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</si>
  <si>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</si>
  <si>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</si>
  <si>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</si>
  <si>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</si>
  <si>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</si>
  <si>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</si>
  <si>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</si>
  <si>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</si>
  <si>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</si>
  <si>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</si>
  <si>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</si>
  <si>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</si>
  <si>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</si>
  <si>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</si>
  <si>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</si>
  <si>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</si>
  <si>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</si>
  <si>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</si>
  <si>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</si>
  <si>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</si>
  <si>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</si>
  <si>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</si>
  <si>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</si>
  <si>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</si>
  <si>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</si>
  <si>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</si>
  <si>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</si>
  <si>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</si>
  <si>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</si>
  <si>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</si>
  <si>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</si>
  <si>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</si>
  <si>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</si>
  <si>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</si>
  <si>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</si>
  <si>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</si>
  <si>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</si>
  <si>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</si>
  <si>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</si>
  <si>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</si>
  <si>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</si>
  <si>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</si>
  <si>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</si>
  <si>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</si>
  <si>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</si>
  <si>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</si>
  <si>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</si>
  <si>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</si>
  <si>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</si>
  <si>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</si>
  <si>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</si>
  <si>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</si>
  <si>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</si>
  <si>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</si>
  <si>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</si>
  <si>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</si>
  <si>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</si>
  <si>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</si>
  <si>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</si>
  <si>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</si>
  <si>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</si>
  <si>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</si>
  <si>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</si>
  <si>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</si>
  <si>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</si>
  <si>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</si>
  <si>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</si>
  <si>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</si>
  <si>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</si>
  <si>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</si>
  <si>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</si>
  <si>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</si>
  <si>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</si>
  <si>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</si>
  <si>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</si>
  <si>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</si>
  <si>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</si>
  <si>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</si>
  <si>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</si>
  <si>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</si>
  <si>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</si>
  <si>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</si>
  <si>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</si>
  <si>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</si>
  <si>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</si>
  <si>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</si>
  <si>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</si>
  <si>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</si>
  <si>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</si>
  <si>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</si>
  <si>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</si>
  <si>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</si>
  <si>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</si>
  <si>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</si>
  <si>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</si>
  <si>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</si>
  <si>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</si>
  <si>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</si>
  <si>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</si>
  <si>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</si>
  <si>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</si>
  <si>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</si>
  <si>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</si>
  <si>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</si>
  <si>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</si>
  <si>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</si>
  <si>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</si>
  <si>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</si>
  <si>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</si>
  <si>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</si>
  <si>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</si>
  <si>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</si>
  <si>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</si>
  <si>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</si>
  <si>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</si>
  <si>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</si>
  <si>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</si>
  <si>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</si>
  <si>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</si>
  <si>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</si>
  <si>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</si>
  <si>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</si>
  <si>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</si>
  <si>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</si>
  <si>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</si>
  <si>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</si>
  <si>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</si>
  <si>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</si>
  <si>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</si>
  <si>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</si>
  <si>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</si>
  <si>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</si>
  <si>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</si>
  <si>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</si>
  <si>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</si>
  <si>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</si>
  <si>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</si>
  <si>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</si>
  <si>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</si>
  <si>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</si>
  <si>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</si>
  <si>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</si>
  <si>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</si>
  <si>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</si>
  <si>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</si>
  <si>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</si>
  <si>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</si>
  <si>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</si>
  <si>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</si>
  <si>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</si>
  <si>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</si>
  <si>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</si>
  <si>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</si>
  <si>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</si>
  <si>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</si>
  <si>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</si>
  <si>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</si>
  <si>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</si>
  <si>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</si>
  <si>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</si>
  <si>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</si>
  <si>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</si>
  <si>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</si>
  <si>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</si>
  <si>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</si>
  <si>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</si>
  <si>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</si>
  <si>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</si>
  <si>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</si>
  <si>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</si>
  <si>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</si>
  <si>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</si>
  <si>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</si>
  <si>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</si>
  <si>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</si>
  <si>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</si>
  <si>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</si>
  <si>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</si>
  <si>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</si>
  <si>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</si>
  <si>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</si>
  <si>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</si>
  <si>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</si>
  <si>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</si>
  <si>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</si>
  <si>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</si>
  <si>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</si>
  <si>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</si>
  <si>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</si>
  <si>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</si>
  <si>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</si>
  <si>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</si>
  <si>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</si>
  <si>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</si>
  <si>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</si>
  <si>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</si>
  <si>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</si>
  <si>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</si>
  <si>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</si>
  <si>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</si>
  <si>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</si>
  <si>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</si>
  <si>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</si>
  <si>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</si>
  <si>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</si>
  <si>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</si>
  <si>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</si>
  <si>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</si>
  <si>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</si>
  <si>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</si>
  <si>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</si>
  <si>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</si>
  <si>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</si>
  <si>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</si>
  <si>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</si>
  <si>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</si>
  <si>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</si>
  <si>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</si>
  <si>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</si>
  <si>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</si>
  <si>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</si>
  <si>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</si>
  <si>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</si>
  <si>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</si>
  <si>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</si>
  <si>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</si>
  <si>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</si>
  <si>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</si>
  <si>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</si>
  <si>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</si>
  <si>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</si>
  <si>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</si>
  <si>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</si>
  <si>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</si>
  <si>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</si>
  <si>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</si>
  <si>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</si>
  <si>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</si>
  <si>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</si>
  <si>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</si>
  <si>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</si>
  <si>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</si>
  <si>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</si>
  <si>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</si>
  <si>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</si>
  <si>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</si>
  <si>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</si>
  <si>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</si>
  <si>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</si>
  <si>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</si>
  <si>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</si>
  <si>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</si>
  <si>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</si>
  <si>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</si>
  <si>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</si>
  <si>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</si>
  <si>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</si>
  <si>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</si>
  <si>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</si>
  <si>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</si>
  <si>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</si>
  <si>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</si>
  <si>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</si>
  <si>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</si>
  <si>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</si>
  <si>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</si>
  <si>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</si>
  <si>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</si>
  <si>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</si>
  <si>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</si>
  <si>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</si>
  <si>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</si>
  <si>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</si>
  <si>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</si>
  <si>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</si>
  <si>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</si>
  <si>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</si>
  <si>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</si>
  <si>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</si>
  <si>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</si>
  <si>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</si>
  <si>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</si>
  <si>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</si>
  <si>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</si>
  <si>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</si>
  <si>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</si>
  <si>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</si>
  <si>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</si>
  <si>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</si>
  <si>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</si>
  <si>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</si>
  <si>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</si>
  <si>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</si>
  <si>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</si>
  <si>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</si>
  <si>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</si>
  <si>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</si>
  <si>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</si>
  <si>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</si>
  <si>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</si>
  <si>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</si>
  <si>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</si>
  <si>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</si>
  <si>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</si>
  <si>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</si>
  <si>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</si>
  <si>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</si>
  <si>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</si>
  <si>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</si>
  <si>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</si>
  <si>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</si>
  <si>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</si>
  <si>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</si>
  <si>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</si>
  <si>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</si>
  <si>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</si>
  <si>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</si>
  <si>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</si>
  <si>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</si>
  <si>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</si>
  <si>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</si>
  <si>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</si>
  <si>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</si>
  <si>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</si>
  <si>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</si>
  <si>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</si>
  <si>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</si>
  <si>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</si>
  <si>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</si>
  <si>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</si>
  <si>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</si>
  <si>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</si>
  <si>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</si>
  <si>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</si>
  <si>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</si>
  <si>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</si>
  <si>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</si>
  <si>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</si>
  <si>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</si>
  <si>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</si>
  <si>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</si>
  <si>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</si>
  <si>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</si>
  <si>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</si>
  <si>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</si>
  <si>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</si>
  <si>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</si>
  <si>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</si>
  <si>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</si>
  <si>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</si>
  <si>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</si>
  <si>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</si>
  <si>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</si>
  <si>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</si>
  <si>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</si>
  <si>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</si>
  <si>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</si>
  <si>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</si>
  <si>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</si>
  <si>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</si>
  <si>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</si>
  <si>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</si>
  <si>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</si>
  <si>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</si>
  <si>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</si>
  <si>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</si>
  <si>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</si>
  <si>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</si>
  <si>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</si>
  <si>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</si>
  <si>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</si>
  <si>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</si>
  <si>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</si>
  <si>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</si>
  <si>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</si>
  <si>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</si>
  <si>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</si>
  <si>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</si>
  <si>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</si>
  <si>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</si>
  <si>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</si>
  <si>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</si>
  <si>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</si>
  <si>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</si>
  <si>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</si>
  <si>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</si>
  <si>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</si>
  <si>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</si>
  <si>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</si>
  <si>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</si>
  <si>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</si>
  <si>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</si>
  <si>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</si>
  <si>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</si>
  <si>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</si>
  <si>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</si>
  <si>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</si>
  <si>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</si>
  <si>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</si>
  <si>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</si>
  <si>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Última fecha de Actualización: 30/09/2026 10:58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</si>
</sst>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3">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1856</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43"/>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1838</v>
      </c>
      <c r="G1121" s="129" t="s">
        <v>1813</v>
      </c>
    </row>
    <row r="1122" spans="2:7">
      <c r="B1122" s="56">
        <v>46282</v>
      </c>
      <c r="C1122" s="69">
        <v>46282.456377314818</v>
      </c>
      <c r="D1122" s="55" t="s">
        <v>684</v>
      </c>
      <c r="E1122" s="55" t="s">
        <v>1839</v>
      </c>
      <c r="G1122" s="129" t="s">
        <v>1813</v>
      </c>
    </row>
    <row r="1123" spans="2:7">
      <c r="B1123" s="56">
        <v>46282</v>
      </c>
      <c r="C1123" s="69">
        <v>46282.45648148148</v>
      </c>
      <c r="D1123" s="55" t="s">
        <v>684</v>
      </c>
      <c r="E1123" s="55" t="s">
        <v>1840</v>
      </c>
      <c r="G1123" s="129" t="s">
        <v>1813</v>
      </c>
    </row>
    <row r="1124" spans="2:7">
      <c r="B1124" s="56">
        <v>46282</v>
      </c>
      <c r="C1124" s="69">
        <v>46282.456608796296</v>
      </c>
      <c r="D1124" s="55" t="s">
        <v>684</v>
      </c>
      <c r="E1124" s="55" t="s">
        <v>1841</v>
      </c>
      <c r="G1124" s="129" t="s">
        <v>1813</v>
      </c>
    </row>
    <row r="1125" spans="2:7">
      <c r="B1125" s="56">
        <v>46282</v>
      </c>
      <c r="C1125" s="69">
        <v>46282.456736111111</v>
      </c>
      <c r="D1125" s="55" t="s">
        <v>684</v>
      </c>
      <c r="E1125" s="55" t="s">
        <v>1842</v>
      </c>
      <c r="G1125" s="129" t="s">
        <v>1813</v>
      </c>
    </row>
    <row r="1126" spans="2:7" ht="26.4">
      <c r="B1126" s="56">
        <v>46282</v>
      </c>
      <c r="C1126" s="69">
        <v>46282.465474537035</v>
      </c>
      <c r="D1126" s="55" t="s">
        <v>684</v>
      </c>
      <c r="E1126" s="55" t="s">
        <v>1808</v>
      </c>
      <c r="F1126" s="129" t="s">
        <v>1807</v>
      </c>
      <c r="G1126" s="129" t="s">
        <v>1843</v>
      </c>
    </row>
    <row r="1127" spans="2:7" ht="26.4">
      <c r="B1127" s="56">
        <v>46282</v>
      </c>
      <c r="C1127" s="69">
        <v>46282.465520833335</v>
      </c>
      <c r="D1127" s="55" t="s">
        <v>684</v>
      </c>
      <c r="E1127" s="55" t="s">
        <v>1809</v>
      </c>
      <c r="F1127" s="129" t="s">
        <v>1807</v>
      </c>
      <c r="G1127" s="129" t="s">
        <v>1843</v>
      </c>
    </row>
    <row r="1128" spans="2:7" ht="26.4">
      <c r="B1128" s="56">
        <v>46282</v>
      </c>
      <c r="C1128" s="69">
        <v>46282.465555555558</v>
      </c>
      <c r="D1128" s="55" t="s">
        <v>684</v>
      </c>
      <c r="E1128" s="55" t="s">
        <v>1810</v>
      </c>
      <c r="F1128" s="129" t="s">
        <v>1807</v>
      </c>
      <c r="G1128" s="129" t="s">
        <v>1843</v>
      </c>
    </row>
    <row r="1129" spans="2:7" ht="26.4">
      <c r="B1129" s="56">
        <v>46282</v>
      </c>
      <c r="C1129" s="69">
        <v>46282.469571759262</v>
      </c>
      <c r="D1129" s="55" t="s">
        <v>684</v>
      </c>
      <c r="E1129" s="55" t="s">
        <v>1831</v>
      </c>
      <c r="F1129" s="129" t="s">
        <v>1832</v>
      </c>
      <c r="G1129" s="129" t="s">
        <v>1844</v>
      </c>
    </row>
    <row r="1130" spans="2:7" ht="26.4">
      <c r="B1130" s="56">
        <v>46282</v>
      </c>
      <c r="C1130" s="69">
        <v>46282.469641203701</v>
      </c>
      <c r="D1130" s="55" t="s">
        <v>684</v>
      </c>
      <c r="E1130" s="55" t="s">
        <v>1834</v>
      </c>
      <c r="F1130" s="129" t="s">
        <v>1832</v>
      </c>
      <c r="G1130" s="129" t="s">
        <v>1844</v>
      </c>
    </row>
    <row r="1131" spans="2:7" ht="26.4">
      <c r="B1131" s="56">
        <v>46282</v>
      </c>
      <c r="C1131" s="69">
        <v>46282.472037037034</v>
      </c>
      <c r="D1131" s="55" t="s">
        <v>684</v>
      </c>
      <c r="E1131" s="55" t="s">
        <v>1784</v>
      </c>
      <c r="F1131" s="129" t="s">
        <v>1783</v>
      </c>
      <c r="G1131" s="129" t="s">
        <v>1845</v>
      </c>
    </row>
    <row r="1132" spans="2:7">
      <c r="B1132" s="56">
        <v>46282</v>
      </c>
      <c r="C1132" s="69">
        <v>46282.579525462963</v>
      </c>
      <c r="D1132" s="55" t="s">
        <v>684</v>
      </c>
      <c r="E1132" s="55" t="s">
        <v>1778</v>
      </c>
      <c r="F1132" s="129" t="s">
        <v>1777</v>
      </c>
      <c r="G1132" s="129" t="s">
        <v>1846</v>
      </c>
    </row>
    <row r="1133" spans="2:7">
      <c r="B1133" s="56">
        <v>46282</v>
      </c>
      <c r="C1133" s="69">
        <v>46282.579618055555</v>
      </c>
      <c r="D1133" s="55" t="s">
        <v>684</v>
      </c>
      <c r="E1133" s="55" t="s">
        <v>1779</v>
      </c>
      <c r="F1133" s="129" t="s">
        <v>1777</v>
      </c>
      <c r="G1133" s="129" t="s">
        <v>1846</v>
      </c>
    </row>
    <row r="1134" spans="2:7" ht="26.4">
      <c r="B1134" s="56">
        <v>46282</v>
      </c>
      <c r="C1134" s="69">
        <v>46282.579942129632</v>
      </c>
      <c r="D1134" s="55" t="s">
        <v>684</v>
      </c>
      <c r="E1134" s="55" t="s">
        <v>1784</v>
      </c>
      <c r="F1134" s="129" t="s">
        <v>1845</v>
      </c>
      <c r="G1134" s="129" t="s">
        <v>1847</v>
      </c>
    </row>
    <row r="1135" spans="2:7">
      <c r="B1135" s="56">
        <v>46283</v>
      </c>
      <c r="C1135" s="69">
        <v>46283.437986111108</v>
      </c>
      <c r="D1135" s="55" t="s">
        <v>684</v>
      </c>
      <c r="E1135" s="55" t="s">
        <v>1848</v>
      </c>
      <c r="G1135" s="130">
        <v>46203</v>
      </c>
    </row>
    <row r="1136" spans="2:7">
      <c r="B1136" s="56">
        <v>46283</v>
      </c>
      <c r="C1136" s="69">
        <v>46283.438414351855</v>
      </c>
      <c r="D1136" s="55" t="s">
        <v>684</v>
      </c>
      <c r="E1136" s="55" t="s">
        <v>1849</v>
      </c>
      <c r="G1136" s="130">
        <v>46203</v>
      </c>
    </row>
    <row r="1137" spans="2:7">
      <c r="B1137" s="56">
        <v>46283</v>
      </c>
      <c r="C1137" s="69">
        <v>46283.438483796293</v>
      </c>
      <c r="D1137" s="55" t="s">
        <v>684</v>
      </c>
      <c r="E1137" s="55" t="s">
        <v>1850</v>
      </c>
      <c r="G1137" s="130">
        <v>46203</v>
      </c>
    </row>
    <row r="1138" spans="2:7">
      <c r="B1138" s="56">
        <v>46283</v>
      </c>
      <c r="C1138" s="69">
        <v>46283.43855324074</v>
      </c>
      <c r="D1138" s="55" t="s">
        <v>684</v>
      </c>
      <c r="E1138" s="55" t="s">
        <v>1851</v>
      </c>
      <c r="G1138" s="130">
        <v>46203</v>
      </c>
    </row>
    <row r="1139" spans="2:7">
      <c r="B1139" s="56">
        <v>46283</v>
      </c>
      <c r="C1139" s="69">
        <v>46283.438645833332</v>
      </c>
      <c r="D1139" s="55" t="s">
        <v>684</v>
      </c>
      <c r="E1139" s="55" t="s">
        <v>1852</v>
      </c>
      <c r="G1139" s="130">
        <v>46203</v>
      </c>
    </row>
    <row r="1140" spans="2:7">
      <c r="B1140" s="56">
        <v>46283</v>
      </c>
      <c r="C1140" s="69">
        <v>46283.438807870371</v>
      </c>
      <c r="D1140" s="55" t="s">
        <v>684</v>
      </c>
      <c r="E1140" s="55" t="s">
        <v>1853</v>
      </c>
      <c r="G1140" s="130">
        <v>46161</v>
      </c>
    </row>
    <row r="1141" spans="2:7">
      <c r="B1141" s="56">
        <v>46292</v>
      </c>
      <c r="C1141" s="69">
        <v>46292.554351851853</v>
      </c>
      <c r="D1141" s="55" t="s">
        <v>1359</v>
      </c>
      <c r="E1141" s="55" t="s">
        <v>1854</v>
      </c>
      <c r="G1141" s="129">
        <v>2026</v>
      </c>
    </row>
    <row r="1142" spans="2:7">
      <c r="B1142" s="56">
        <v>46292</v>
      </c>
      <c r="C1142" s="69">
        <v>46292.554525462961</v>
      </c>
      <c r="D1142" s="55" t="s">
        <v>1359</v>
      </c>
      <c r="E1142" s="55" t="s">
        <v>1506</v>
      </c>
      <c r="G1142" s="129" t="s">
        <v>1487</v>
      </c>
    </row>
    <row r="1143" spans="2:7" ht="39.6">
      <c r="B1143" s="56">
        <v>46292</v>
      </c>
      <c r="C1143" s="69">
        <v>46292.555787037039</v>
      </c>
      <c r="D1143" s="55" t="s">
        <v>1359</v>
      </c>
      <c r="E1143" s="55" t="s">
        <v>1507</v>
      </c>
      <c r="G1143" s="129" t="s">
        <v>1855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6" t="s">
        <v>585</v>
      </c>
      <c r="V9" s="226"/>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7" t="s">
        <v>585</v>
      </c>
      <c r="L24" s="227"/>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8" t="s">
        <v>573</v>
      </c>
      <c r="D39" s="61" t="s">
        <v>573</v>
      </c>
      <c r="E39" s="61" t="s">
        <v>574</v>
      </c>
      <c r="F39" s="63" t="s">
        <v>575</v>
      </c>
      <c r="G39" s="63" t="s">
        <v>576</v>
      </c>
      <c r="H39" s="35"/>
      <c r="I39" s="63" t="s">
        <v>587</v>
      </c>
    </row>
    <row r="40" spans="3:36" ht="12">
      <c r="C40" s="229"/>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7" t="s">
        <v>585</v>
      </c>
      <c r="AC63" s="227"/>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8" t="s">
        <v>573</v>
      </c>
      <c r="AB78" s="43"/>
      <c r="AC78" s="7"/>
      <c r="AD78" s="43"/>
      <c r="AE78" s="43"/>
      <c r="AF78" s="43"/>
      <c r="AG78" s="43"/>
      <c r="AH78" s="43"/>
      <c r="AI78" s="43"/>
      <c r="AJ78" s="43"/>
    </row>
    <row r="79" spans="20:52">
      <c r="T79" s="229"/>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7" t="s">
        <v>585</v>
      </c>
      <c r="AS99" s="227"/>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8"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9"/>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2</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1</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3</v>
      </c>
      <c r="O42" s="29">
        <f ca="1">COUNTIFS('Base de datos'!$B:$B, $B42, 'Base de datos'!$G:$G, $C42, 'Base de datos'!$N:$N, "*30d*")</f>
        <v>0</v>
      </c>
      <c r="P42" s="52">
        <f ca="1">COUNTIFS('Base de datos'!$B:$B, $B42, 'Base de datos'!$G:$G, $C42, 'Base de datos'!$Q:$Q, "*5d*")</f>
        <v>2</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1</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1</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1</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1</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E1" zoomScale="90" zoomScaleNormal="90" workbookViewId="0">
      <pane ySplit="1" topLeftCell="A105" activePane="bottomLeft" state="frozen"/>
      <selection pane="bottomLeft" activeCell="G132" sqref="G132"/>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5"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hidden="1">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hidden="1">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hidden="1">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hidden="1">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3">
        <v>4</v>
      </c>
      <c r="V5" s="153"/>
      <c r="W5" s="153"/>
      <c r="X5" s="153"/>
      <c r="Y5" s="136"/>
      <c r="Z5" s="153"/>
      <c r="AA5" s="152"/>
      <c r="AB5" s="8">
        <v>0.5</v>
      </c>
      <c r="AC5"/>
    </row>
    <row r="6" spans="1:29" ht="100.8" hidden="1">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hidden="1">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hidden="1">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hidden="1">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hidden="1">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hidden="1">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hidden="1">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hidden="1">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hidden="1">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hidden="1">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hidden="1">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hidden="1">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hidden="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hidden="1">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hidden="1">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hidden="1">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hidden="1">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hidden="1">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hidden="1">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hidden="1">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hidden="1">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hidden="1">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hidden="1">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hidden="1">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hidden="1"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hidden="1">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hidden="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hidden="1">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hidden="1">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hidden="1">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hidden="1">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hidden="1">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hidden="1">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hidden="1">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hidden="1">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hidden="1">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hidden="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hidden="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hidden="1">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hidden="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hidden="1">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hidden="1">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hidden="1">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hidden="1">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hidden="1">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65.6" hidden="1" customHeight="1">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hidden="1">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hidden="1">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hidden="1">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hidden="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hidden="1">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hidden="1">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hidden="1">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hidden="1">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1846</v>
      </c>
    </row>
    <row r="60" spans="1:29" ht="72" hidden="1">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1846</v>
      </c>
    </row>
    <row r="61" spans="1:29" ht="34.200000000000003" hidden="1">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hidden="1">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hidden="1">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hidden="1">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hidden="1">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hidden="1">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hidden="1">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hidden="1">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hidden="1">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hidden="1">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hidden="1">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hidden="1">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hidden="1">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hidden="1">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hidden="1">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hidden="1">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hidden="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hidden="1">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hidden="1">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hidden="1">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hidden="1">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hidden="1">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hidden="1">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hidden="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hidden="1">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hidden="1">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hidden="1">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hidden="1">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hidden="1">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hidden="1">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hidden="1">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hidden="1">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hidden="1">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21" t="s">
        <v>1847</v>
      </c>
    </row>
    <row r="94" spans="1:29" ht="144" hidden="1">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hidden="1">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hidden="1">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hidden="1">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hidden="1">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hidden="1">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hidden="1">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hidden="1">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hidden="1">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hidden="1">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hidden="1">
      <c r="A104" s="74" t="s">
        <v>180</v>
      </c>
      <c r="B104" s="92" t="s">
        <v>399</v>
      </c>
      <c r="C104" s="45" t="s">
        <v>403</v>
      </c>
      <c r="D104" s="45"/>
      <c r="E104" s="199"/>
      <c r="F104" s="47" t="s">
        <v>406</v>
      </c>
      <c r="G104" s="47" t="s">
        <v>179</v>
      </c>
      <c r="H104" s="87">
        <v>46020</v>
      </c>
      <c r="I104" s="209">
        <v>46387</v>
      </c>
      <c r="J104" s="84" t="s">
        <v>407</v>
      </c>
      <c r="K104" s="106"/>
      <c r="L104" s="37" t="s">
        <v>201</v>
      </c>
      <c r="M104" s="80">
        <f t="shared" ca="1" si="5"/>
        <v>92</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0</v>
      </c>
      <c r="N105" s="37" t="str">
        <f t="shared" ca="1" si="6"/>
        <v/>
      </c>
      <c r="O105" s="81" t="str">
        <f t="shared" ca="1" si="7"/>
        <v/>
      </c>
      <c r="P105" s="81" t="str">
        <f t="shared" ca="1" si="8"/>
        <v/>
      </c>
      <c r="Q105" s="81" t="str">
        <f t="shared" ca="1" si="9"/>
        <v>⚠️ INMINENTE (5d)</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hidden="1">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0</v>
      </c>
      <c r="N107" s="37" t="str">
        <f t="shared" ca="1" si="6"/>
        <v/>
      </c>
      <c r="O107" s="81" t="str">
        <f t="shared" ca="1" si="7"/>
        <v/>
      </c>
      <c r="P107" s="81" t="str">
        <f t="shared" ca="1" si="8"/>
        <v/>
      </c>
      <c r="Q107" s="81" t="str">
        <f t="shared" ca="1" si="9"/>
        <v>⚠️ INMINENTE (5d)</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0</v>
      </c>
      <c r="N108" s="37" t="str">
        <f t="shared" ca="1" si="6"/>
        <v/>
      </c>
      <c r="O108" s="81" t="str">
        <f t="shared" ca="1" si="7"/>
        <v/>
      </c>
      <c r="P108" s="81" t="str">
        <f t="shared" ca="1" si="8"/>
        <v/>
      </c>
      <c r="Q108" s="81" t="str">
        <f t="shared" ca="1" si="9"/>
        <v>⚠️ INMINENTE (5d)</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hidden="1">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hidden="1">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hidden="1">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hidden="1">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hidden="1">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hidden="1">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hidden="1">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hidden="1"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hidden="1">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hidden="1">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hidden="1">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hidden="1">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91</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hidden="1">
      <c r="A121" s="74" t="s">
        <v>180</v>
      </c>
      <c r="B121" s="92" t="s">
        <v>419</v>
      </c>
      <c r="C121" s="45" t="s">
        <v>436</v>
      </c>
      <c r="D121" s="108"/>
      <c r="E121" s="199"/>
      <c r="F121" s="47" t="s">
        <v>439</v>
      </c>
      <c r="G121" s="47" t="s">
        <v>115</v>
      </c>
      <c r="H121" s="87">
        <v>45996</v>
      </c>
      <c r="I121" s="209">
        <v>46386</v>
      </c>
      <c r="J121" s="119" t="s">
        <v>438</v>
      </c>
      <c r="K121" s="108"/>
      <c r="L121" s="37" t="s">
        <v>201</v>
      </c>
      <c r="M121" s="80">
        <f t="shared" ca="1" si="5"/>
        <v>91</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hidden="1">
      <c r="A122" s="74" t="s">
        <v>180</v>
      </c>
      <c r="B122" s="92" t="s">
        <v>419</v>
      </c>
      <c r="C122" s="45" t="s">
        <v>436</v>
      </c>
      <c r="D122" s="108"/>
      <c r="E122" s="199"/>
      <c r="F122" s="47" t="s">
        <v>440</v>
      </c>
      <c r="G122" s="47" t="s">
        <v>115</v>
      </c>
      <c r="H122" s="87">
        <v>45996</v>
      </c>
      <c r="I122" s="209">
        <v>46386</v>
      </c>
      <c r="J122" s="119" t="s">
        <v>438</v>
      </c>
      <c r="K122" s="108"/>
      <c r="L122" s="37" t="s">
        <v>201</v>
      </c>
      <c r="M122" s="80">
        <f t="shared" ca="1" si="5"/>
        <v>91</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hidden="1">
      <c r="A123" s="74" t="s">
        <v>180</v>
      </c>
      <c r="B123" s="92" t="s">
        <v>419</v>
      </c>
      <c r="C123" s="45" t="s">
        <v>436</v>
      </c>
      <c r="D123" s="108"/>
      <c r="E123" s="199"/>
      <c r="F123" s="47" t="s">
        <v>441</v>
      </c>
      <c r="G123" s="47" t="s">
        <v>115</v>
      </c>
      <c r="H123" s="87">
        <v>45996</v>
      </c>
      <c r="I123" s="209">
        <v>46386</v>
      </c>
      <c r="J123" s="119" t="s">
        <v>438</v>
      </c>
      <c r="K123" s="108"/>
      <c r="L123" s="37" t="s">
        <v>201</v>
      </c>
      <c r="M123" s="80">
        <f t="shared" ca="1" si="5"/>
        <v>91</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hidden="1">
      <c r="A124" s="74" t="s">
        <v>180</v>
      </c>
      <c r="B124" s="92" t="s">
        <v>419</v>
      </c>
      <c r="C124" s="45" t="s">
        <v>436</v>
      </c>
      <c r="D124" s="108"/>
      <c r="E124" s="199"/>
      <c r="F124" s="47" t="s">
        <v>442</v>
      </c>
      <c r="G124" s="47" t="s">
        <v>115</v>
      </c>
      <c r="H124" s="87">
        <v>45996</v>
      </c>
      <c r="I124" s="209">
        <v>46386</v>
      </c>
      <c r="J124" s="119" t="s">
        <v>438</v>
      </c>
      <c r="K124" s="108"/>
      <c r="L124" s="37" t="s">
        <v>201</v>
      </c>
      <c r="M124" s="80">
        <f t="shared" ca="1" si="5"/>
        <v>91</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hidden="1">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1843</v>
      </c>
    </row>
    <row r="126" spans="1:29" ht="72" hidden="1">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1843</v>
      </c>
    </row>
    <row r="127" spans="1:29" ht="72" hidden="1">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1843</v>
      </c>
    </row>
    <row r="128" spans="1:29" ht="136.80000000000001" hidden="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hidden="1">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hidden="1">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hidden="1">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-2</v>
      </c>
      <c r="N132" s="37" t="str">
        <f t="shared" ca="1" si="11"/>
        <v/>
      </c>
      <c r="O132" s="81" t="str">
        <f t="shared" ca="1" si="12"/>
        <v/>
      </c>
      <c r="P132" s="81" t="str">
        <f t="shared" ca="1" si="13"/>
        <v/>
      </c>
      <c r="Q132" s="81" t="str">
        <f t="shared" ca="1" si="14"/>
        <v>⚠️ INMINENTE (5d)</v>
      </c>
      <c r="R132" s="84" t="s">
        <v>652</v>
      </c>
      <c r="S132" s="88"/>
      <c r="T132" s="153" t="s">
        <v>1560</v>
      </c>
      <c r="U132" s="153">
        <v>131</v>
      </c>
      <c r="V132" s="153"/>
      <c r="W132" s="153"/>
      <c r="X132" s="153"/>
      <c r="Y132" s="136"/>
      <c r="Z132" s="153"/>
      <c r="AA132" s="152"/>
      <c r="AB132" s="8">
        <v>1</v>
      </c>
      <c r="AC132" s="8" t="s">
        <v>1813</v>
      </c>
    </row>
    <row r="133" spans="1:29" ht="241.2" hidden="1">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15</v>
      </c>
      <c r="N133" s="37" t="str">
        <f t="shared" ca="1" si="11"/>
        <v/>
      </c>
      <c r="O133" s="81" t="str">
        <f t="shared" ca="1" si="12"/>
        <v>⏳ URGENTE (20d)</v>
      </c>
      <c r="P133" s="81" t="str">
        <f t="shared" ca="1" si="13"/>
        <v/>
      </c>
      <c r="Q133" s="81" t="str">
        <f t="shared" ca="1" si="14"/>
        <v/>
      </c>
      <c r="R133" s="84" t="s">
        <v>652</v>
      </c>
      <c r="S133" s="88"/>
      <c r="T133" s="153" t="s">
        <v>1560</v>
      </c>
      <c r="U133" s="153">
        <v>132</v>
      </c>
      <c r="V133" s="153"/>
      <c r="W133" s="153"/>
      <c r="X133" s="153"/>
      <c r="Y133" s="136"/>
      <c r="Z133" s="153"/>
      <c r="AA133" s="152"/>
      <c r="AB133" s="8">
        <v>0.25</v>
      </c>
      <c r="AC133" s="8" t="s">
        <v>1813</v>
      </c>
    </row>
    <row r="134" spans="1:29" ht="72" hidden="1">
      <c r="A134" s="74" t="s">
        <v>180</v>
      </c>
      <c r="B134" s="92" t="s">
        <v>461</v>
      </c>
      <c r="C134" s="45" t="s">
        <v>465</v>
      </c>
      <c r="D134" s="108"/>
      <c r="E134" s="199"/>
      <c r="F134" s="47" t="s">
        <v>468</v>
      </c>
      <c r="G134" s="47" t="s">
        <v>148</v>
      </c>
      <c r="H134" s="87">
        <v>46044</v>
      </c>
      <c r="I134" s="209">
        <v>46310</v>
      </c>
      <c r="J134" s="97" t="s">
        <v>467</v>
      </c>
      <c r="K134" s="108"/>
      <c r="L134" s="37" t="s">
        <v>201</v>
      </c>
      <c r="M134" s="80">
        <f t="shared" ca="1" si="10"/>
        <v>15</v>
      </c>
      <c r="N134" s="37" t="str">
        <f t="shared" ca="1" si="11"/>
        <v/>
      </c>
      <c r="O134" s="81" t="str">
        <f t="shared" ca="1" si="12"/>
        <v>⏳ URGENTE (20d)</v>
      </c>
      <c r="P134" s="81" t="str">
        <f t="shared" ca="1" si="13"/>
        <v/>
      </c>
      <c r="Q134" s="81" t="str">
        <f t="shared" ca="1" si="14"/>
        <v/>
      </c>
      <c r="R134" s="84" t="s">
        <v>652</v>
      </c>
      <c r="S134" s="88"/>
      <c r="T134" s="153" t="s">
        <v>1560</v>
      </c>
      <c r="U134" s="153">
        <v>133</v>
      </c>
      <c r="V134" s="153"/>
      <c r="W134" s="153"/>
      <c r="X134" s="153"/>
      <c r="Y134" s="136"/>
      <c r="Z134" s="153"/>
      <c r="AA134" s="152"/>
      <c r="AB134" s="8">
        <v>0.25</v>
      </c>
      <c r="AC134" s="8" t="s">
        <v>1813</v>
      </c>
    </row>
    <row r="135" spans="1:29" ht="72" hidden="1">
      <c r="A135" s="74" t="s">
        <v>180</v>
      </c>
      <c r="B135" s="92" t="s">
        <v>461</v>
      </c>
      <c r="C135" s="45" t="s">
        <v>465</v>
      </c>
      <c r="D135" s="108"/>
      <c r="E135" s="199"/>
      <c r="F135" s="47" t="s">
        <v>469</v>
      </c>
      <c r="G135" s="47" t="s">
        <v>148</v>
      </c>
      <c r="H135" s="87">
        <v>46044</v>
      </c>
      <c r="I135" s="209">
        <v>46310</v>
      </c>
      <c r="J135" s="97" t="s">
        <v>467</v>
      </c>
      <c r="K135" s="108"/>
      <c r="L135" s="37" t="s">
        <v>201</v>
      </c>
      <c r="M135" s="80">
        <f t="shared" ca="1" si="10"/>
        <v>15</v>
      </c>
      <c r="N135" s="37" t="str">
        <f t="shared" ca="1" si="11"/>
        <v/>
      </c>
      <c r="O135" s="81" t="str">
        <f t="shared" ca="1" si="12"/>
        <v>⏳ URGENTE (20d)</v>
      </c>
      <c r="P135" s="81" t="str">
        <f t="shared" ca="1" si="13"/>
        <v/>
      </c>
      <c r="Q135" s="81" t="str">
        <f t="shared" ca="1" si="14"/>
        <v/>
      </c>
      <c r="R135" s="84" t="s">
        <v>652</v>
      </c>
      <c r="S135" s="88"/>
      <c r="T135" s="153" t="s">
        <v>1560</v>
      </c>
      <c r="U135" s="153">
        <v>134</v>
      </c>
      <c r="V135" s="153"/>
      <c r="W135" s="153"/>
      <c r="X135" s="153"/>
      <c r="Y135" s="136"/>
      <c r="Z135" s="153"/>
      <c r="AA135" s="152"/>
      <c r="AB135" s="8">
        <v>0.25</v>
      </c>
      <c r="AC135" s="8" t="s">
        <v>1813</v>
      </c>
    </row>
    <row r="136" spans="1:29"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5</v>
      </c>
      <c r="N136" s="37" t="str">
        <f t="shared" ca="1" si="11"/>
        <v/>
      </c>
      <c r="O136" s="81" t="str">
        <f t="shared" ca="1" si="12"/>
        <v/>
      </c>
      <c r="P136" s="81" t="str">
        <f t="shared" ca="1" si="13"/>
        <v/>
      </c>
      <c r="Q136" s="81" t="str">
        <f t="shared" ca="1" si="14"/>
        <v>⚠️ INMINENTE (5d)</v>
      </c>
      <c r="R136" s="84" t="s">
        <v>652</v>
      </c>
      <c r="S136" s="88"/>
      <c r="T136" s="153" t="s">
        <v>1560</v>
      </c>
      <c r="U136" s="153">
        <v>135</v>
      </c>
      <c r="V136" s="153"/>
      <c r="W136" s="153"/>
      <c r="X136" s="153"/>
      <c r="Y136" s="136"/>
      <c r="Z136" s="153"/>
      <c r="AA136" s="152"/>
      <c r="AB136" s="8">
        <v>0.25</v>
      </c>
      <c r="AC136" s="8" t="s">
        <v>1813</v>
      </c>
    </row>
    <row r="137" spans="1:29" ht="229.8" hidden="1">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hidden="1">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0</v>
      </c>
      <c r="N139" s="37" t="str">
        <f t="shared" ca="1" si="11"/>
        <v/>
      </c>
      <c r="O139" s="81" t="str">
        <f t="shared" ca="1" si="12"/>
        <v/>
      </c>
      <c r="P139" s="81" t="str">
        <f t="shared" ca="1" si="13"/>
        <v/>
      </c>
      <c r="Q139" s="81" t="str">
        <f t="shared" ca="1" si="14"/>
        <v>⚠️ INMINENTE (5d)</v>
      </c>
      <c r="R139" s="117" t="s">
        <v>647</v>
      </c>
      <c r="S139" s="205"/>
      <c r="T139" s="153" t="s">
        <v>1537</v>
      </c>
      <c r="U139" s="153">
        <v>138</v>
      </c>
      <c r="V139" s="153"/>
      <c r="W139" s="153"/>
      <c r="X139" s="153"/>
      <c r="Y139" s="136"/>
      <c r="Z139" s="153"/>
      <c r="AA139" s="152"/>
      <c r="AB139" s="8">
        <v>1</v>
      </c>
      <c r="AC139" s="8" t="s">
        <v>1775</v>
      </c>
    </row>
    <row r="140" spans="1:29" ht="58.8" hidden="1">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hidden="1">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hidden="1">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v>46203</v>
      </c>
      <c r="T142" s="160"/>
      <c r="U142" s="153">
        <v>141</v>
      </c>
      <c r="V142" s="153"/>
      <c r="W142" s="153"/>
      <c r="X142" s="153"/>
      <c r="Y142" s="136"/>
      <c r="Z142" s="153"/>
      <c r="AA142" s="152"/>
      <c r="AB142" s="8">
        <v>0.5</v>
      </c>
      <c r="AC142"/>
    </row>
    <row r="143" spans="1:29" ht="100.8" hidden="1">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v>46203</v>
      </c>
      <c r="T143" s="160"/>
      <c r="U143" s="153">
        <v>142</v>
      </c>
      <c r="V143" s="153"/>
      <c r="W143" s="153"/>
      <c r="X143" s="153"/>
      <c r="Y143" s="136"/>
      <c r="Z143" s="153"/>
      <c r="AA143" s="152"/>
      <c r="AB143" s="8">
        <v>0.5</v>
      </c>
      <c r="AC143"/>
    </row>
    <row r="144" spans="1:29" ht="114">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0</v>
      </c>
      <c r="N144" s="37" t="str">
        <f t="shared" ca="1" si="11"/>
        <v/>
      </c>
      <c r="O144" s="81" t="str">
        <f t="shared" ca="1" si="12"/>
        <v/>
      </c>
      <c r="P144" s="81" t="str">
        <f t="shared" ca="1" si="13"/>
        <v/>
      </c>
      <c r="Q144" s="81" t="str">
        <f t="shared" ca="1" si="14"/>
        <v>⚠️ INMINENTE (5d)</v>
      </c>
      <c r="R144" s="84" t="s">
        <v>635</v>
      </c>
      <c r="S144" s="88"/>
      <c r="T144" s="88" t="s">
        <v>1523</v>
      </c>
      <c r="U144" s="153">
        <v>143</v>
      </c>
      <c r="V144" s="153"/>
      <c r="W144" s="153"/>
      <c r="X144" s="153"/>
      <c r="Y144" s="136"/>
      <c r="Z144" s="153"/>
      <c r="AA144" s="152"/>
      <c r="AB144" s="8">
        <v>1</v>
      </c>
      <c r="AC144" s="8" t="s">
        <v>1773</v>
      </c>
    </row>
    <row r="145" spans="1:29" ht="100.8" hidden="1">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v>46203</v>
      </c>
      <c r="T145" s="81"/>
      <c r="U145" s="153">
        <v>144</v>
      </c>
      <c r="V145" s="153"/>
      <c r="W145" s="153"/>
      <c r="X145" s="153"/>
      <c r="Y145" s="136"/>
      <c r="Z145" s="153"/>
      <c r="AA145" s="152"/>
      <c r="AB145" s="8">
        <v>0.5</v>
      </c>
      <c r="AC145"/>
    </row>
    <row r="146" spans="1:29" ht="100.8" hidden="1">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3">
        <v>145</v>
      </c>
      <c r="V146" s="153"/>
      <c r="W146" s="153"/>
      <c r="X146" s="153"/>
      <c r="Y146" s="136"/>
      <c r="Z146" s="153"/>
      <c r="AA146" s="152"/>
      <c r="AB146" s="8">
        <v>0.5</v>
      </c>
      <c r="AC146"/>
    </row>
    <row r="147" spans="1:29" ht="100.8" hidden="1">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hidden="1">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hidden="1">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2" t="s">
        <v>1537</v>
      </c>
      <c r="U149" s="153">
        <v>148</v>
      </c>
      <c r="V149" s="153"/>
      <c r="W149" s="153"/>
      <c r="X149" s="153"/>
      <c r="Y149" s="136"/>
      <c r="Z149" s="153"/>
      <c r="AA149" s="152"/>
      <c r="AB149" s="8">
        <v>1</v>
      </c>
      <c r="AC149"/>
    </row>
    <row r="150" spans="1:29" ht="343.8" hidden="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62</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104.4" hidden="1">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0</v>
      </c>
      <c r="N152" s="37" t="str">
        <f t="shared" ca="1" si="11"/>
        <v/>
      </c>
      <c r="O152" s="81" t="str">
        <f t="shared" ca="1" si="12"/>
        <v/>
      </c>
      <c r="P152" s="81" t="str">
        <f t="shared" ca="1" si="13"/>
        <v/>
      </c>
      <c r="Q152" s="81" t="str">
        <f t="shared" ca="1" si="14"/>
        <v>⚠️ INMINENTE (5d)</v>
      </c>
      <c r="R152" s="84" t="s">
        <v>1265</v>
      </c>
      <c r="S152" s="88"/>
      <c r="T152" s="152" t="s">
        <v>1560</v>
      </c>
      <c r="U152" s="153">
        <v>151</v>
      </c>
      <c r="V152" s="153"/>
      <c r="W152" s="153"/>
      <c r="X152" s="153"/>
      <c r="Y152" s="136"/>
      <c r="Z152" s="153"/>
      <c r="AA152" s="152"/>
      <c r="AB152" s="8">
        <v>1</v>
      </c>
      <c r="AC152" s="8" t="s">
        <v>1813</v>
      </c>
    </row>
    <row r="153" spans="1:29" ht="93" hidden="1">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hidden="1">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hidden="1">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1844</v>
      </c>
    </row>
    <row r="156" spans="1:29" ht="229.8" hidden="1">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30</v>
      </c>
      <c r="N156" s="37" t="str">
        <f t="shared" ca="1" si="11"/>
        <v/>
      </c>
      <c r="O156" s="81" t="str">
        <f t="shared" ca="1" si="12"/>
        <v/>
      </c>
      <c r="P156" s="81" t="str">
        <f t="shared" ca="1" si="13"/>
        <v>📅 SEGUIMIENTO (30d)</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hidden="1">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1844</v>
      </c>
    </row>
    <row r="158" spans="1:29" ht="138.6" hidden="1">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hidden="1">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hidden="1">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hidden="1">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30</v>
      </c>
      <c r="N161" s="37" t="str">
        <f t="shared" ca="1" si="11"/>
        <v/>
      </c>
      <c r="O161" s="81" t="str">
        <f t="shared" ca="1" si="12"/>
        <v/>
      </c>
      <c r="P161" s="81" t="str">
        <f t="shared" ca="1" si="13"/>
        <v>📅 SEGUIMIENTO (30d)</v>
      </c>
      <c r="Q161" s="81" t="str">
        <f t="shared" ca="1" si="14"/>
        <v/>
      </c>
      <c r="R161" s="84" t="s">
        <v>1265</v>
      </c>
      <c r="S161" s="88"/>
      <c r="T161" s="152" t="s">
        <v>1560</v>
      </c>
      <c r="U161" s="153">
        <v>160</v>
      </c>
      <c r="V161" s="153"/>
      <c r="W161" s="153"/>
      <c r="X161" s="153"/>
      <c r="Y161" s="136"/>
      <c r="Z161" s="153"/>
      <c r="AA161" s="152"/>
      <c r="AB161" s="8">
        <v>1</v>
      </c>
      <c r="AC161" s="8" t="s">
        <v>1813</v>
      </c>
    </row>
    <row r="162" spans="1:29" ht="252.6" hidden="1">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hidden="1">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30</v>
      </c>
      <c r="N163" s="37" t="str">
        <f t="shared" ca="1" si="11"/>
        <v/>
      </c>
      <c r="O163" s="81" t="str">
        <f t="shared" ca="1" si="12"/>
        <v/>
      </c>
      <c r="P163" s="81" t="str">
        <f t="shared" ca="1" si="13"/>
        <v>📅 SEGUIMIENTO (30d)</v>
      </c>
      <c r="Q163" s="81" t="str">
        <f t="shared" ca="1" si="14"/>
        <v/>
      </c>
      <c r="R163" s="84" t="s">
        <v>1265</v>
      </c>
      <c r="S163" s="88"/>
      <c r="T163" s="152" t="s">
        <v>1560</v>
      </c>
      <c r="U163" s="153">
        <v>162</v>
      </c>
      <c r="V163" s="153"/>
      <c r="W163" s="153"/>
      <c r="X163" s="153"/>
      <c r="Y163" s="136"/>
      <c r="Z163" s="153"/>
      <c r="AA163" s="152"/>
      <c r="AB163" s="8">
        <v>1</v>
      </c>
      <c r="AC163" s="8" t="s">
        <v>1813</v>
      </c>
    </row>
    <row r="164" spans="1:29" ht="104.4" hidden="1">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30</v>
      </c>
      <c r="N164" s="37" t="str">
        <f t="shared" ca="1" si="11"/>
        <v/>
      </c>
      <c r="O164" s="81" t="str">
        <f t="shared" ca="1" si="12"/>
        <v/>
      </c>
      <c r="P164" s="81" t="str">
        <f t="shared" ca="1" si="13"/>
        <v>📅 SEGUIMIENTO (30d)</v>
      </c>
      <c r="Q164" s="81" t="str">
        <f t="shared" ca="1" si="14"/>
        <v/>
      </c>
      <c r="R164" s="84" t="s">
        <v>1265</v>
      </c>
      <c r="S164" s="88"/>
      <c r="T164" s="152" t="s">
        <v>1560</v>
      </c>
      <c r="U164" s="153">
        <v>163</v>
      </c>
      <c r="V164" s="153"/>
      <c r="W164" s="153"/>
      <c r="X164" s="153"/>
      <c r="Y164" s="136"/>
      <c r="Z164" s="153"/>
      <c r="AA164" s="152"/>
      <c r="AB164" s="8">
        <v>1</v>
      </c>
      <c r="AC164" s="8" t="s">
        <v>1813</v>
      </c>
    </row>
    <row r="165" spans="1:29" ht="172.8" hidden="1">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30</v>
      </c>
      <c r="N165" s="37" t="str">
        <f t="shared" ca="1" si="11"/>
        <v/>
      </c>
      <c r="O165" s="81" t="str">
        <f t="shared" ca="1" si="12"/>
        <v/>
      </c>
      <c r="P165" s="81" t="str">
        <f t="shared" ca="1" si="13"/>
        <v>📅 SEGUIMIENTO (30d)</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C165" xr:uid="{583BFC58-7A1F-417E-8D3C-AA30FB2C86FD}">
    <filterColumn colId="16">
      <customFilters>
        <customFilter operator="notEqual" val=" "/>
      </custom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row r="25" spans="1:3">
      <c r="A25" s="8">
        <v>2026</v>
      </c>
      <c r="B25" s="18" t="s">
        <v>1487</v>
      </c>
      <c r="C25" s="190"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30">
        <v>2026</v>
      </c>
      <c r="B2" s="195" t="s">
        <v>1477</v>
      </c>
      <c r="C2" t="s">
        <v>20</v>
      </c>
      <c r="D2" s="13" t="s">
        <v>660</v>
      </c>
      <c r="E2" s="13" t="s">
        <v>662</v>
      </c>
    </row>
    <row r="3" spans="1:5">
      <c r="A3" s="230"/>
      <c r="B3" s="195" t="s">
        <v>1478</v>
      </c>
      <c r="C3" t="s">
        <v>20</v>
      </c>
      <c r="D3" s="13" t="s">
        <v>660</v>
      </c>
      <c r="E3" s="13" t="s">
        <v>662</v>
      </c>
    </row>
    <row r="4" spans="1:5">
      <c r="A4" s="230"/>
      <c r="B4" s="193" t="s">
        <v>1479</v>
      </c>
      <c r="C4" t="s">
        <v>1466</v>
      </c>
      <c r="D4" s="13" t="s">
        <v>662</v>
      </c>
    </row>
    <row r="5" spans="1:5">
      <c r="A5" s="230"/>
      <c r="B5" s="193" t="s">
        <v>1480</v>
      </c>
      <c r="C5" t="s">
        <v>1466</v>
      </c>
      <c r="D5" s="13" t="s">
        <v>662</v>
      </c>
    </row>
    <row r="6" spans="1:5">
      <c r="A6" s="230"/>
      <c r="B6" s="193" t="s">
        <v>1481</v>
      </c>
      <c r="C6" t="s">
        <v>1466</v>
      </c>
      <c r="D6" s="13" t="s">
        <v>1296</v>
      </c>
    </row>
    <row r="7" spans="1:5">
      <c r="A7" s="230"/>
      <c r="B7" s="193" t="s">
        <v>1483</v>
      </c>
      <c r="C7" t="s">
        <v>1466</v>
      </c>
      <c r="D7" s="13" t="s">
        <v>1293</v>
      </c>
    </row>
    <row r="8" spans="1:5">
      <c r="A8" s="230"/>
      <c r="B8" s="193" t="s">
        <v>1482</v>
      </c>
      <c r="C8" t="s">
        <v>1466</v>
      </c>
      <c r="D8" s="13" t="s">
        <v>1298</v>
      </c>
    </row>
    <row r="9" spans="1:5">
      <c r="A9" s="230"/>
      <c r="B9" s="193" t="s">
        <v>1484</v>
      </c>
      <c r="C9" t="s">
        <v>1466</v>
      </c>
      <c r="D9" s="13" t="s">
        <v>1298</v>
      </c>
    </row>
    <row r="10" spans="1:5">
      <c r="A10" s="230"/>
      <c r="B10" s="194" t="s">
        <v>1485</v>
      </c>
      <c r="C10" t="s">
        <v>1466</v>
      </c>
      <c r="D10" s="13" t="s">
        <v>1300</v>
      </c>
    </row>
    <row r="11" spans="1:5">
      <c r="A11" s="230"/>
      <c r="B11" s="194" t="s">
        <v>1486</v>
      </c>
      <c r="C11" t="s">
        <v>1466</v>
      </c>
      <c r="D11" s="13" t="s">
        <v>1304</v>
      </c>
    </row>
    <row r="12" spans="1:5">
      <c r="A12" s="230"/>
      <c r="B12" s="195" t="s">
        <v>1487</v>
      </c>
      <c r="C12" t="s">
        <v>20</v>
      </c>
      <c r="D12" s="13" t="s">
        <v>662</v>
      </c>
      <c r="E12" s="13" t="s">
        <v>1293</v>
      </c>
    </row>
    <row r="13" spans="1:5">
      <c r="A13" s="230"/>
      <c r="B13" s="195" t="s">
        <v>1488</v>
      </c>
      <c r="C13" t="s">
        <v>20</v>
      </c>
      <c r="D13" s="13" t="s">
        <v>662</v>
      </c>
      <c r="E13" s="13" t="s">
        <v>1293</v>
      </c>
    </row>
    <row r="14" spans="1:5">
      <c r="A14" s="230">
        <v>2025</v>
      </c>
      <c r="B14" s="196" t="s">
        <v>1489</v>
      </c>
      <c r="C14" t="s">
        <v>20</v>
      </c>
    </row>
    <row r="15" spans="1:5">
      <c r="A15" s="230"/>
      <c r="B15" s="196" t="s">
        <v>1490</v>
      </c>
      <c r="C15" t="s">
        <v>20</v>
      </c>
    </row>
    <row r="16" spans="1:5">
      <c r="A16" s="230"/>
      <c r="B16" s="196" t="s">
        <v>1491</v>
      </c>
      <c r="C16" t="s">
        <v>20</v>
      </c>
    </row>
    <row r="17" spans="1:3">
      <c r="A17" s="230"/>
      <c r="B17" s="196" t="s">
        <v>1485</v>
      </c>
      <c r="C17" t="s">
        <v>20</v>
      </c>
    </row>
    <row r="18" spans="1:3">
      <c r="A18" s="230"/>
      <c r="B18" s="196" t="s">
        <v>1481</v>
      </c>
      <c r="C18" t="s">
        <v>20</v>
      </c>
    </row>
    <row r="19" spans="1:3">
      <c r="A19" s="230"/>
      <c r="B19" s="196" t="s">
        <v>1483</v>
      </c>
      <c r="C19" t="s">
        <v>20</v>
      </c>
    </row>
    <row r="20" spans="1:3">
      <c r="A20" s="230"/>
      <c r="B20" s="196" t="s">
        <v>1496</v>
      </c>
      <c r="C20" t="s">
        <v>20</v>
      </c>
    </row>
    <row r="21" spans="1:3">
      <c r="A21" s="230"/>
      <c r="B21" s="193" t="s">
        <v>1484</v>
      </c>
      <c r="C21" t="s">
        <v>1509</v>
      </c>
    </row>
    <row r="22" spans="1:3">
      <c r="A22" s="230"/>
      <c r="B22" s="194" t="s">
        <v>1499</v>
      </c>
      <c r="C22" t="s">
        <v>1509</v>
      </c>
    </row>
    <row r="23" spans="1:3">
      <c r="A23" s="230"/>
      <c r="B23" s="197" t="s">
        <v>1501</v>
      </c>
      <c r="C23" t="s">
        <v>20</v>
      </c>
    </row>
    <row r="24" spans="1:3">
      <c r="A24" s="230"/>
      <c r="B24" s="194" t="s">
        <v>1503</v>
      </c>
      <c r="C24" t="s">
        <v>1509</v>
      </c>
    </row>
    <row r="25" spans="1:3">
      <c r="A25" s="230"/>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1" t="s">
        <v>29</v>
      </c>
      <c r="D3" s="74" t="s">
        <v>30</v>
      </c>
      <c r="E3" s="74" t="s">
        <v>269</v>
      </c>
      <c r="F3" s="77">
        <v>46203</v>
      </c>
      <c r="G3" s="82" t="s">
        <v>31</v>
      </c>
    </row>
    <row r="4" spans="2:7" ht="34.200000000000003">
      <c r="B4" s="75" t="s">
        <v>14</v>
      </c>
      <c r="C4" s="232"/>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2026-09-30T15:59:32Z</dcterms:modified>
</cp:coreProperties>
</file>