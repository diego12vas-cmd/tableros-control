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35" documentId="13_ncr:1_{5037B3AD-B0A2-4521-8F49-D3B2F1605E79}" xr6:coauthVersionLast="47" xr6:coauthVersionMax="47" xr10:uidLastSave="{E578FF17-DE02-447B-99E5-1C7E6708F17A}"/>
  <bookViews>
    <workbookView xWindow="-108" yWindow="-108" windowWidth="23256" windowHeight="13896" firstSheet="2" activeTab="11"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<sst xmlns="http://schemas.openxmlformats.org/spreadsheetml/2006/main" count="2638" uniqueCount="812">
  <si>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</si>
  <si>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</si>
  <si>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</si>
  <si>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</si>
  <si>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</si>
  <si>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</si>
  <si>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</si>
  <si>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</si>
  <si>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</si>
  <si>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</si>
  <si>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</si>
  <si>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</si>
  <si>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</si>
  <si>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</si>
  <si>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</si>
  <si>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</si>
  <si>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</si>
  <si>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</si>
  <si>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</si>
  <si>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</si>
  <si>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</si>
  <si>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</si>
  <si>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ENTIDAD</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</si>
  <si>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</si>
  <si>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</si>
  <si>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</si>
  <si>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</si>
  <si>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</si>
  <si>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</si>
  <si>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</si>
  <si>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</si>
  <si>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</si>
  <si>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</si>
  <si>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</si>
  <si>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</si>
  <si>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</si>
  <si>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</si>
  <si>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</si>
  <si>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</si>
  <si>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</si>
  <si>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</si>
  <si>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</si>
  <si>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</si>
  <si>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</si>
  <si>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</si>
  <si>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</si>
  <si>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</si>
  <si>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</si>
  <si>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2026-05-30</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</si>
  <si>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</si>
  <si>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</si>
  <si>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</si>
  <si>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</si>
  <si>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</si>
  <si>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</si>
  <si>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</si>
  <si>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</si>
  <si>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</si>
  <si>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</si>
  <si>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</si>
  <si>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</si>
  <si>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</si>
  <si>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2025-11-30</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</si>
  <si>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</si>
  <si>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</si>
  <si>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</si>
  <si>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</si>
  <si>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</si>
  <si>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</si>
  <si>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</si>
  <si>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</si>
  <si>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</si>
  <si>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</si>
  <si>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</si>
  <si>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</si>
  <si>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</si>
  <si>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</si>
  <si>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</si>
  <si>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</si>
  <si>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</si>
  <si>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</si>
  <si>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</si>
  <si>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</si>
  <si>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</si>
  <si>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</si>
  <si>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</si>
  <si>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</si>
  <si>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</si>
  <si>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</si>
  <si>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</si>
  <si>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</si>
  <si>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</si>
  <si>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</si>
  <si>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</si>
  <si>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</si>
  <si>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</si>
  <si>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</si>
  <si>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</si>
  <si>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</si>
  <si>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</si>
  <si>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</si>
  <si>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</si>
  <si>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</si>
  <si>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</si>
  <si>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</si>
  <si>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</si>
  <si>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</si>
  <si>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</si>
  <si>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</si>
  <si>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</si>
  <si>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</si>
  <si>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</si>
  <si>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</si>
  <si>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</si>
  <si>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</si>
  <si>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</si>
  <si>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</si>
  <si>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</si>
  <si>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</si>
  <si>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</si>
  <si>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</si>
  <si>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</si>
  <si>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</si>
  <si>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</si>
  <si>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</si>
  <si>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</si>
  <si>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</si>
  <si>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</si>
  <si>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</si>
  <si>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</si>
  <si>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</si>
  <si>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</si>
  <si>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</si>
  <si>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</si>
  <si>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</si>
  <si>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</si>
  <si>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</si>
  <si>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</si>
  <si>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</si>
  <si>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</si>
  <si>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</si>
  <si>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</si>
  <si>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</si>
  <si>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</si>
  <si>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</si>
  <si>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</si>
  <si>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</si>
  <si>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</si>
  <si>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</si>
  <si>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</si>
  <si>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</si>
  <si>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</si>
  <si>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</si>
  <si>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</si>
  <si>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</si>
  <si>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</si>
  <si>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</si>
  <si>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</si>
  <si>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</si>
  <si>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</si>
  <si>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</si>
  <si>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</si>
  <si>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</si>
  <si>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</si>
  <si>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</si>
  <si>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</si>
  <si>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</si>
  <si>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</si>
  <si>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</si>
  <si>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</si>
  <si>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</si>
  <si>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</si>
  <si>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</si>
  <si>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</si>
  <si>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</si>
  <si>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</si>
  <si>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</si>
  <si>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</si>
  <si>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</si>
  <si>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</si>
  <si>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</si>
  <si>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</si>
  <si>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</si>
  <si>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</si>
  <si>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</si>
  <si>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</si>
  <si>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</si>
  <si>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</si>
  <si>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</si>
  <si>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</si>
  <si>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</si>
  <si>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</si>
  <si>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</si>
  <si>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</si>
  <si>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</si>
  <si>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</si>
  <si>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</si>
  <si>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</si>
  <si>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</si>
  <si>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</si>
  <si>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</si>
  <si>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</si>
  <si>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</si>
  <si>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</si>
  <si>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</si>
  <si>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</si>
  <si>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</si>
  <si>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</si>
  <si>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</si>
  <si>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</si>
  <si>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</si>
  <si>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</si>
  <si>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</si>
  <si>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</si>
  <si>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</si>
  <si>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</si>
  <si>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</si>
  <si>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</si>
  <si>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</si>
  <si>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</si>
  <si>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</si>
  <si>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</si>
  <si>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</si>
  <si>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</si>
  <si>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</si>
  <si>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</si>
  <si>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</si>
  <si>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</si>
  <si>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</si>
  <si>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</si>
  <si>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</si>
  <si>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</si>
  <si>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</si>
  <si>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</si>
  <si>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</si>
  <si>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</si>
  <si>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</si>
  <si>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</si>
  <si>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</si>
  <si>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</si>
  <si>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</si>
  <si>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</si>
  <si>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</si>
  <si>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</si>
  <si>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</si>
  <si>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</si>
  <si>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</si>
  <si>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</si>
  <si>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2024-11-30</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</si>
  <si>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</si>
  <si>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</si>
  <si>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</si>
  <si>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</si>
  <si>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</si>
  <si>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</si>
  <si>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</si>
  <si>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</si>
  <si>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</si>
  <si>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</si>
  <si>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2024-12-31</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</si>
  <si>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</si>
  <si>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</si>
  <si>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</si>
  <si>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</si>
  <si>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</si>
  <si>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</si>
  <si>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</si>
  <si>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</si>
  <si>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</si>
  <si>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</si>
  <si>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</si>
  <si>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</si>
  <si>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</si>
  <si>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</si>
  <si>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</si>
  <si>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</si>
  <si>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2025-02-28</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</si>
  <si>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</si>
  <si>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</si>
  <si>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</si>
  <si>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</si>
  <si>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</si>
  <si>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</si>
  <si>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</si>
  <si>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</si>
  <si>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</si>
  <si>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</si>
  <si>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</si>
  <si>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</si>
  <si>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</si>
  <si>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</si>
  <si>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2025-01-31</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</si>
  <si>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</si>
  <si>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</si>
  <si>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</si>
  <si>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</si>
  <si>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</si>
  <si>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</si>
  <si>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</si>
  <si>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</si>
  <si>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</si>
  <si>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</si>
  <si>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</si>
  <si>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2025-04-30</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</si>
  <si>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</si>
  <si>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</si>
  <si>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</si>
  <si>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</si>
  <si>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</si>
  <si>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2025-08-30</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</si>
  <si>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</si>
  <si>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</si>
  <si>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</si>
  <si>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</si>
  <si>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</si>
  <si>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</si>
  <si>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</si>
  <si>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</si>
  <si>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</si>
  <si>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</si>
  <si>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</si>
  <si>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</si>
  <si>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</si>
  <si>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</si>
  <si>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</si>
  <si>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</si>
  <si>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</si>
  <si>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</si>
  <si>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</si>
  <si>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</si>
  <si>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</si>
  <si>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</si>
  <si>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</si>
  <si>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</si>
  <si>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2025-05-31</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</si>
  <si>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</si>
  <si>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</si>
  <si>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</si>
  <si>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</si>
  <si>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</si>
  <si>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</si>
  <si>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</si>
  <si>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</si>
  <si>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</si>
  <si>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</si>
  <si>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</si>
  <si>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</si>
  <si>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</si>
  <si>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</si>
  <si>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</si>
  <si>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</si>
  <si>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</si>
  <si>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</si>
  <si>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</si>
  <si>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</si>
  <si>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</si>
  <si>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</si>
  <si>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</si>
  <si>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</si>
  <si>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</si>
  <si>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</si>
  <si>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</si>
  <si>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</si>
  <si>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</si>
  <si>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</si>
  <si>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</si>
  <si>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</si>
  <si>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</si>
  <si>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</si>
  <si>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</si>
  <si>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</si>
  <si>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</si>
  <si>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</si>
  <si>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</si>
  <si>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</si>
  <si>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</si>
  <si>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</si>
  <si>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</si>
  <si>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</si>
  <si>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</si>
  <si>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</si>
  <si>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</si>
  <si>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</si>
  <si>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</si>
  <si>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</si>
  <si>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</si>
  <si>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</si>
  <si>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</si>
  <si>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</si>
  <si>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</si>
  <si>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</si>
  <si>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</si>
  <si>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</si>
  <si>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</si>
  <si>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</si>
  <si>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</si>
  <si>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</si>
  <si>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</si>
  <si>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</si>
  <si>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</si>
  <si>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</si>
  <si>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</si>
  <si>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</si>
  <si>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</si>
  <si>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</si>
  <si>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</si>
  <si>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</si>
  <si>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</si>
  <si>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</si>
  <si>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</si>
  <si>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</si>
  <si>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</si>
  <si>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</si>
  <si>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</si>
  <si>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</si>
  <si>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</si>
  <si>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</si>
  <si>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</si>
  <si>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</si>
  <si>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</si>
  <si>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</si>
  <si>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</si>
  <si>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</si>
  <si>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</si>
  <si>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</si>
  <si>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</si>
  <si>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</si>
  <si>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</si>
  <si>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</si>
  <si>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</si>
  <si>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</si>
  <si>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</si>
  <si>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</si>
  <si>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</si>
  <si>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</si>
  <si>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</si>
  <si>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</si>
  <si>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</si>
  <si>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</si>
  <si>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</si>
  <si>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</si>
  <si>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</si>
  <si>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</si>
  <si>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</si>
  <si>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</si>
  <si>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</si>
  <si>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</si>
  <si>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</si>
  <si>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</si>
  <si>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</si>
  <si>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</si>
  <si>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</si>
  <si>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</si>
  <si>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</si>
  <si>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</si>
  <si>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</si>
  <si>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</si>
  <si>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2024-09-30</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</si>
  <si>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</si>
  <si>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</si>
  <si>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</si>
  <si>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</si>
  <si>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</si>
  <si>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</si>
  <si>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</si>
  <si>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</si>
  <si>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</si>
  <si>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2024-07-31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</si>
  <si>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</si>
  <si>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</si>
  <si>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</si>
  <si>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</si>
  <si>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</si>
  <si>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</si>
  <si>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</si>
  <si>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</si>
  <si>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2024-05-31</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</si>
  <si>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</si>
  <si>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</si>
  <si>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</si>
  <si>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</si>
  <si>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</si>
  <si>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</si>
  <si>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</si>
  <si>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</si>
  <si>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</si>
  <si>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</si>
  <si>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</si>
  <si>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</si>
  <si>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</si>
  <si>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</si>
  <si>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</si>
  <si>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</si>
  <si>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</si>
  <si>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2024-03-31</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</si>
  <si>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</si>
  <si>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</si>
  <si>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</si>
  <si>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</si>
  <si>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</si>
  <si>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</si>
  <si>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</si>
  <si>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</si>
  <si>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</si>
  <si>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</si>
  <si>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</si>
  <si>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</si>
  <si>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</si>
  <si>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</si>
  <si>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</si>
  <si>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</si>
  <si>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</si>
  <si>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</si>
  <si>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</si>
  <si>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</si>
  <si>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</si>
  <si>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</si>
  <si>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</si>
  <si>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</si>
  <si>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</si>
  <si>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</si>
  <si>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</si>
  <si>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2024-10-01</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</si>
  <si>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</si>
  <si>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</si>
  <si>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</si>
  <si>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</si>
  <si>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</si>
  <si>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</si>
  <si>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</si>
  <si>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</si>
  <si>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</si>
  <si>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</si>
  <si>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</si>
  <si>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</si>
  <si>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</si>
  <si>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</si>
  <si>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</si>
  <si>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</si>
  <si>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</si>
  <si>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</si>
  <si>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</si>
  <si>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</si>
  <si>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</si>
  <si>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</si>
  <si>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</si>
  <si>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</si>
  <si>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</si>
  <si>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</si>
  <si>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</si>
  <si>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</si>
  <si>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</si>
  <si>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</si>
  <si>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</si>
  <si>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</si>
  <si>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</si>
  <si>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</si>
  <si>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</si>
  <si>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</si>
  <si>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</si>
  <si>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</si>
  <si>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</si>
  <si>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</si>
  <si>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</si>
  <si>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</si>
  <si>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</si>
  <si>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</si>
  <si>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</si>
  <si>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</si>
  <si>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</si>
  <si>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</si>
  <si>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</si>
  <si>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</si>
  <si>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</si>
  <si>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</si>
  <si>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</si>
  <si>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</si>
  <si>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</si>
  <si>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</si>
  <si>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</si>
  <si>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</si>
  <si>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</si>
  <si>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</si>
  <si>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</si>
  <si>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</si>
  <si>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</si>
  <si>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</si>
  <si>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</si>
  <si>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</si>
  <si>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</si>
  <si>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</si>
  <si>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</si>
  <si>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</si>
  <si>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</si>
  <si>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</si>
  <si>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</si>
  <si>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</si>
  <si>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</si>
  <si>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</si>
  <si>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</si>
  <si>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</si>
  <si>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</si>
  <si>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</si>
  <si>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</si>
  <si>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</si>
  <si>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</si>
  <si>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</si>
  <si>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</si>
  <si>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</si>
  <si>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</si>
  <si>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</si>
  <si>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</si>
  <si>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</si>
  <si>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</si>
  <si>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</si>
  <si>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</si>
  <si>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</si>
  <si>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</si>
  <si>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</si>
  <si>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</si>
  <si>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</si>
  <si>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</si>
  <si>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</si>
  <si>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</si>
  <si>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</si>
  <si>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</si>
  <si>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</si>
  <si>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</si>
  <si>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</si>
  <si>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</si>
  <si>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</si>
  <si>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</si>
  <si>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</si>
  <si>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</si>
  <si>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</si>
  <si>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</si>
  <si>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</si>
  <si>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</si>
  <si>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</si>
  <si>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</si>
  <si>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</si>
  <si>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</si>
  <si>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</si>
  <si>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</si>
  <si>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</si>
  <si>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</si>
  <si>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</si>
  <si>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</si>
  <si>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</si>
  <si>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</si>
  <si>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</si>
  <si>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</si>
  <si>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</si>
  <si>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</si>
  <si>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</si>
  <si>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</si>
  <si>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</si>
  <si>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</si>
  <si>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</si>
  <si>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</si>
  <si>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</si>
  <si>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</si>
  <si>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</si>
  <si>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</si>
  <si>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</si>
  <si>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</si>
  <si>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</si>
  <si>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</si>
  <si>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</si>
  <si>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</si>
  <si>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</si>
  <si>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</si>
  <si>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</si>
  <si>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</si>
  <si>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</si>
  <si>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</si>
  <si>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</si>
  <si>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</si>
  <si>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</si>
  <si>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</si>
  <si>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</si>
  <si>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</si>
  <si>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</si>
  <si>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</si>
  <si>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</si>
  <si>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</si>
  <si>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</si>
  <si>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</si>
  <si>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</si>
  <si>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</si>
  <si>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</si>
  <si>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</si>
  <si>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</si>
  <si>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</si>
  <si>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</si>
  <si>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</si>
  <si>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</si>
  <si>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</si>
  <si>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</si>
  <si>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</si>
  <si>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</si>
  <si>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</si>
  <si>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</si>
  <si>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</si>
  <si>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</si>
  <si>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</si>
  <si>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</si>
  <si>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</si>
  <si>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</si>
  <si>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</si>
  <si>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</si>
  <si>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</si>
  <si>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</si>
  <si>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</si>
  <si>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</si>
  <si>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</si>
  <si>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</si>
  <si>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</si>
  <si>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</si>
  <si>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</si>
  <si>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</si>
  <si>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</si>
  <si>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</si>
  <si>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</si>
  <si>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</si>
  <si>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</si>
  <si>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</si>
  <si>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</si>
  <si>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</si>
  <si>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</si>
  <si>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</si>
  <si>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</si>
  <si>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</si>
  <si>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</si>
  <si>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</si>
  <si>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</si>
  <si>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</si>
  <si>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</si>
  <si>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</si>
  <si>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</si>
  <si>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</si>
  <si>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</si>
  <si>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</si>
  <si>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</si>
  <si>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</si>
  <si>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</si>
  <si>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</si>
  <si>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Fecha de cierre Auditoría</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</si>
  <si>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</si>
  <si>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</si>
  <si>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</si>
  <si>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</si>
  <si>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</si>
  <si>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</si>
  <si>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</si>
  <si>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</si>
  <si>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</si>
  <si>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</si>
  <si>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</si>
  <si>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</si>
  <si>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</si>
  <si>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</si>
  <si>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</si>
  <si>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</si>
  <si>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</si>
  <si>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</si>
  <si>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</si>
  <si>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</si>
  <si>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</si>
  <si>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</si>
  <si>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</si>
  <si>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</si>
  <si>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</si>
  <si>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</si>
  <si>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</si>
  <si>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</si>
  <si>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</si>
  <si>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</si>
  <si>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</si>
  <si>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</si>
  <si>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</si>
  <si>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</si>
  <si>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</si>
  <si>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</si>
  <si>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</si>
  <si>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</si>
  <si>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</si>
  <si>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</si>
  <si>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</si>
  <si>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</si>
  <si>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</si>
  <si>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</si>
  <si>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</si>
  <si>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</si>
  <si>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</si>
  <si>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28/02/2026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</si>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</sst>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1">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20">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1" fillId="4" borderId="4" xfId="0" applyFont="1" applyFill="1" applyBorder="1" applyAlignment="1">
      <alignment horizontal="center" vertical="center" wrapText="1"/>
    </xf>
    <xf numFmtId="0" fontId="11" fillId="4" borderId="0" xfId="0" applyFont="1" applyFill="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17" fillId="4" borderId="4" xfId="0" applyFont="1" applyFill="1" applyBorder="1" applyAlignment="1">
      <alignment horizontal="center" vertical="center" wrapText="1"/>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5" borderId="1"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14" fontId="15" fillId="3" borderId="0" xfId="0" applyNumberFormat="1" applyFont="1" applyFill="1" applyAlignment="1">
      <alignment horizontal="center" vertical="center"/>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row>
        <row r="143">
          <cell r="A143" t="str">
            <v>PLAN DE MEJORAMIENTO VIGENCIA 2025</v>
          </cell>
          <cell r="B143" t="str">
            <v>Informe de Auditoría al Proceso Gestión de Parqueaderos en Vía (ZPP) 20260110007943</v>
          </cell>
          <cell r="G143" t="str">
            <v>SUB GERENCIA DE SERVICIOS OPERACIONALES E INFRAESTRUCTURA</v>
          </cell>
          <cell r="S143"/>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row>
        <row r="146">
          <cell r="A146" t="str">
            <v>PLAN DE MEJORAMIENTO VIGENCIA 2025</v>
          </cell>
          <cell r="B146" t="str">
            <v>Informe de Auditoría al Proceso Gestión de Parqueaderos en Vía (ZPP) 20260110007943</v>
          </cell>
          <cell r="G146" t="str">
            <v>SUB GERENCIA DE SERVICIOS OPERACIONALES E INFRAESTRUCTURA</v>
          </cell>
          <cell r="S146"/>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40">
      <pivotArea type="all" dataOnly="0" outline="0" fieldPosition="0"/>
    </format>
    <format dxfId="239">
      <pivotArea outline="0" collapsedLevelsAreSubtotals="1" fieldPosition="0"/>
    </format>
    <format dxfId="238">
      <pivotArea field="1" type="button" dataOnly="0" labelOnly="1" outline="0"/>
    </format>
    <format dxfId="237">
      <pivotArea dataOnly="0" labelOnly="1" grandRow="1" outline="0" fieldPosition="0"/>
    </format>
    <format dxfId="23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fieldPosition="0">
        <references count="1">
          <reference field="3" count="0"/>
        </references>
      </pivotArea>
    </format>
    <format dxfId="255">
      <pivotArea collapsedLevelsAreSubtotals="1" fieldPosition="0">
        <references count="1">
          <reference field="3" count="0"/>
        </references>
      </pivotArea>
    </format>
    <format dxfId="254">
      <pivotArea dataOnly="0" labelOnly="1" fieldPosition="0">
        <references count="1">
          <reference field="3" count="0"/>
        </references>
      </pivotArea>
    </format>
    <format dxfId="253">
      <pivotArea dataOnly="0" fieldPosition="0">
        <references count="1">
          <reference field="3" count="1">
            <x v="13"/>
          </reference>
        </references>
      </pivotArea>
    </format>
    <format dxfId="252">
      <pivotArea dataOnly="0" fieldPosition="0">
        <references count="1">
          <reference field="3" count="1">
            <x v="14"/>
          </reference>
        </references>
      </pivotArea>
    </format>
    <format dxfId="251">
      <pivotArea dataOnly="0" fieldPosition="0">
        <references count="1">
          <reference field="3" count="1">
            <x v="19"/>
          </reference>
        </references>
      </pivotArea>
    </format>
    <format dxfId="250">
      <pivotArea dataOnly="0" fieldPosition="0">
        <references count="1">
          <reference field="3" count="1">
            <x v="20"/>
          </reference>
        </references>
      </pivotArea>
    </format>
    <format dxfId="249">
      <pivotArea dataOnly="0" fieldPosition="0">
        <references count="1">
          <reference field="3" count="1">
            <x v="23"/>
          </reference>
        </references>
      </pivotArea>
    </format>
    <format dxfId="248">
      <pivotArea dataOnly="0" fieldPosition="0">
        <references count="1">
          <reference field="3" count="1">
            <x v="25"/>
          </reference>
        </references>
      </pivotArea>
    </format>
    <format dxfId="247">
      <pivotArea dataOnly="0" fieldPosition="0">
        <references count="1">
          <reference field="3" count="1">
            <x v="42"/>
          </reference>
        </references>
      </pivotArea>
    </format>
    <format dxfId="246">
      <pivotArea dataOnly="0" fieldPosition="0">
        <references count="1">
          <reference field="3" count="1">
            <x v="43"/>
          </reference>
        </references>
      </pivotArea>
    </format>
    <format dxfId="245">
      <pivotArea dataOnly="0" fieldPosition="0">
        <references count="1">
          <reference field="3" count="1">
            <x v="44"/>
          </reference>
        </references>
      </pivotArea>
    </format>
    <format dxfId="244">
      <pivotArea dataOnly="0" fieldPosition="0">
        <references count="1">
          <reference field="3" count="1">
            <x v="46"/>
          </reference>
        </references>
      </pivotArea>
    </format>
    <format dxfId="243">
      <pivotArea dataOnly="0" fieldPosition="0">
        <references count="1">
          <reference field="3" count="1">
            <x v="47"/>
          </reference>
        </references>
      </pivotArea>
    </format>
    <format dxfId="242">
      <pivotArea dataOnly="0" fieldPosition="0">
        <references count="1">
          <reference field="3" count="1">
            <x v="50"/>
          </reference>
        </references>
      </pivotArea>
    </format>
    <format dxfId="241">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Datos'!$AJ:$AJ, "&gt;=01/01/2026", 'Base de Datos'!$AJ:$AJ, "&lt;=31/01/2026")</calculatedColumnFormula>
    </tableColumn>
    <tableColumn id="15" xr3:uid="{7CE0CA18-BCAC-42F8-AA4D-D3AC1861C700}" name="Feb" dataDxfId="10">
      <calculatedColumnFormula>COUNTIFS('Base de Datos'!$F:$F, $C4, 'Base de Datos'!$H:$H, $E4, 'Base de Datos'!$U:$U, $F4, 'Base de Datos'!$AA:$AA, "Finalizada", 'Base de Datos'!$AJ:$AJ, "&gt;=01/02/2026", 'Base de Datos'!$AJ:$AJ, "&lt;=28/02/2026")</calculatedColumnFormula>
    </tableColumn>
    <tableColumn id="16" xr3:uid="{0CF42CC4-A137-4FA0-B13E-5E79FF5FF102}" name="Marzo" dataDxfId="9">
      <calculatedColumnFormula>COUNTIFS('Base de Datos'!$F:$F, $C4, 'Base de Datos'!$H:$H, $E4, 'Base de Datos'!$U:$U, $F4, 'Base de Datos'!$AA:$AA, "Finalizada", 'Base de Datos'!$AJ:$AJ, "&gt;=01/03/2026", 'Base de Datos'!$AJ:$AJ, "&lt;=31/03/2026")</calculatedColumnFormula>
    </tableColumn>
    <tableColumn id="17" xr3:uid="{7D3292FC-7A4D-4F1E-81C3-909EFA42F6AA}" name="Abr" dataDxfId="8">
      <calculatedColumnFormula>COUNTIFS('Base de Datos'!$F:$F, $C4, 'Base de Datos'!$H:$H, $E4, 'Base de Datos'!$U:$U, $F4, 'Base de Datos'!$AA:$AA, "Finalizada", 'Base de Datos'!$AJ:$AJ, "&gt;=01/04/2026", 'Base de Datos'!$AJ:$AJ, "&lt;=30/04/2026")</calculatedColumnFormula>
    </tableColumn>
    <tableColumn id="18" xr3:uid="{9535895F-E527-4B6B-A561-45A19BC56D09}" name="May" dataDxfId="7">
      <calculatedColumnFormula>COUNTIFS('Base de Datos'!$F:$F, $C4, 'Base de Datos'!$H:$H, $E4, 'Base de Datos'!$U:$U, $F4, 'Base de Datos'!$AA:$AA, "Finalizada", 'Base de Datos'!$AJ:$AJ, "&gt;=01/05/2026", 'Base de Datos'!$AJ:$AJ, "&lt;=31/05/2026")</calculatedColumnFormula>
    </tableColumn>
    <tableColumn id="19" xr3:uid="{9225AFBE-ED0D-4193-97B3-6DCB3872FDD5}" name="Jun" dataDxfId="6">
      <calculatedColumnFormula>COUNTIFS('Base de Datos'!$F:$F, $C4, 'Base de Datos'!$H:$H, $E4, 'Base de Datos'!$U:$U, $F4, 'Base de Datos'!$AA:$AA, "Finalizada", 'Base de Datos'!$AJ:$AJ, "&gt;=01/06/2026", 'Base de Datos'!$AJ:$AJ,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IDAD"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53A92338-5F14-429D-9749-FACD9B000F1F}" name="Fecha de cierre Auditoría"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648</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2">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638</v>
      </c>
      <c r="B3" s="46" t="s">
        <v>749</v>
      </c>
      <c r="C3" s="46" t="s">
        <v>643</v>
      </c>
      <c r="D3" s="46" t="s">
        <v>640</v>
      </c>
      <c r="E3" s="46" t="s">
        <v>641</v>
      </c>
      <c r="F3" s="46" t="s">
        <v>642</v>
      </c>
      <c r="G3" s="46" t="s">
        <v>767</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639</v>
      </c>
      <c r="B7" s="46">
        <v>67</v>
      </c>
      <c r="C7" s="46">
        <v>84</v>
      </c>
      <c r="D7" s="46">
        <v>11</v>
      </c>
      <c r="E7" s="46">
        <v>6</v>
      </c>
      <c r="F7" s="46">
        <v>67</v>
      </c>
      <c r="G7" s="46">
        <v>5992</v>
      </c>
    </row>
    <row r="8" spans="1:7">
      <c r="A8"/>
      <c r="B8"/>
      <c r="C8"/>
      <c r="D8"/>
      <c r="E8"/>
    </row>
    <row r="9" spans="1:7">
      <c r="A9" s="49" t="s">
        <v>638</v>
      </c>
      <c r="B9" s="46" t="s">
        <v>643</v>
      </c>
      <c r="C9" s="46" t="s">
        <v>640</v>
      </c>
      <c r="D9" s="46" t="s">
        <v>641</v>
      </c>
      <c r="E9" s="46" t="s">
        <v>642</v>
      </c>
    </row>
    <row r="10" spans="1:7">
      <c r="A10" s="197" t="s">
        <v>674</v>
      </c>
      <c r="B10" s="210">
        <v>15</v>
      </c>
      <c r="C10" s="210">
        <v>1</v>
      </c>
      <c r="D10" s="210">
        <v>1</v>
      </c>
      <c r="E10" s="210">
        <v>13</v>
      </c>
    </row>
    <row r="11" spans="1:7">
      <c r="A11" s="192" t="s">
        <v>693</v>
      </c>
      <c r="B11" s="209">
        <v>1</v>
      </c>
      <c r="C11" s="209">
        <v>1</v>
      </c>
      <c r="D11" s="209">
        <v>0</v>
      </c>
      <c r="E11" s="209">
        <v>0</v>
      </c>
    </row>
    <row r="12" spans="1:7">
      <c r="A12" s="192" t="s">
        <v>695</v>
      </c>
      <c r="B12" s="209">
        <v>1</v>
      </c>
      <c r="C12" s="209">
        <v>0</v>
      </c>
      <c r="D12" s="209">
        <v>0</v>
      </c>
      <c r="E12" s="209">
        <v>1</v>
      </c>
    </row>
    <row r="13" spans="1:7">
      <c r="A13" s="39" t="s">
        <v>676</v>
      </c>
      <c r="B13" s="46">
        <v>10</v>
      </c>
      <c r="C13" s="46">
        <v>0</v>
      </c>
      <c r="D13" s="46">
        <v>0</v>
      </c>
      <c r="E13" s="46">
        <v>10</v>
      </c>
    </row>
    <row r="14" spans="1:7">
      <c r="A14" s="39" t="s">
        <v>680</v>
      </c>
      <c r="B14" s="46">
        <v>2</v>
      </c>
      <c r="C14" s="46">
        <v>1</v>
      </c>
      <c r="D14" s="46">
        <v>0</v>
      </c>
      <c r="E14" s="46">
        <v>1</v>
      </c>
    </row>
    <row r="15" spans="1:7">
      <c r="A15" s="39" t="s">
        <v>684</v>
      </c>
      <c r="B15" s="46">
        <v>2</v>
      </c>
      <c r="C15" s="46">
        <v>0</v>
      </c>
      <c r="D15" s="46">
        <v>0</v>
      </c>
      <c r="E15" s="46">
        <v>2</v>
      </c>
    </row>
    <row r="16" spans="1:7">
      <c r="A16" s="39" t="s">
        <v>675</v>
      </c>
      <c r="B16" s="46">
        <v>4</v>
      </c>
      <c r="C16" s="46">
        <v>1</v>
      </c>
      <c r="D16" s="46">
        <v>0</v>
      </c>
      <c r="E16" s="46">
        <v>3</v>
      </c>
    </row>
    <row r="17" spans="1:5">
      <c r="A17" s="192" t="s">
        <v>694</v>
      </c>
      <c r="B17" s="209">
        <v>1</v>
      </c>
      <c r="C17" s="209">
        <v>1</v>
      </c>
      <c r="D17" s="209">
        <v>0</v>
      </c>
      <c r="E17" s="209">
        <v>0</v>
      </c>
    </row>
    <row r="18" spans="1:5">
      <c r="A18" s="192" t="s">
        <v>681</v>
      </c>
      <c r="B18" s="209">
        <v>1</v>
      </c>
      <c r="C18" s="209">
        <v>0</v>
      </c>
      <c r="D18" s="209">
        <v>0</v>
      </c>
      <c r="E18" s="209">
        <v>1</v>
      </c>
    </row>
    <row r="19" spans="1:5">
      <c r="A19" s="39" t="s">
        <v>685</v>
      </c>
      <c r="B19" s="46">
        <v>1</v>
      </c>
      <c r="C19" s="46">
        <v>0</v>
      </c>
      <c r="D19" s="46">
        <v>0</v>
      </c>
      <c r="E19" s="46">
        <v>1</v>
      </c>
    </row>
    <row r="20" spans="1:5">
      <c r="A20" s="39" t="s">
        <v>683</v>
      </c>
      <c r="B20" s="46">
        <v>2</v>
      </c>
      <c r="C20" s="46">
        <v>0</v>
      </c>
      <c r="D20" s="46">
        <v>0</v>
      </c>
      <c r="E20" s="46">
        <v>2</v>
      </c>
    </row>
    <row r="21" spans="1:5">
      <c r="A21" s="192" t="s">
        <v>697</v>
      </c>
      <c r="B21" s="209">
        <v>1</v>
      </c>
      <c r="C21" s="209">
        <v>0</v>
      </c>
      <c r="D21" s="209">
        <v>0</v>
      </c>
      <c r="E21" s="209">
        <v>1</v>
      </c>
    </row>
    <row r="22" spans="1:5">
      <c r="A22" s="192" t="s">
        <v>689</v>
      </c>
      <c r="B22" s="209">
        <v>1</v>
      </c>
      <c r="C22" s="209">
        <v>0</v>
      </c>
      <c r="D22" s="209">
        <v>0</v>
      </c>
      <c r="E22" s="209">
        <v>1</v>
      </c>
    </row>
    <row r="23" spans="1:5">
      <c r="A23" s="39" t="s">
        <v>679</v>
      </c>
      <c r="B23" s="46">
        <v>3</v>
      </c>
      <c r="C23" s="46">
        <v>2</v>
      </c>
      <c r="D23" s="46">
        <v>0</v>
      </c>
      <c r="E23" s="46">
        <v>1</v>
      </c>
    </row>
    <row r="24" spans="1:5">
      <c r="A24" s="192" t="s">
        <v>696</v>
      </c>
      <c r="B24" s="209">
        <v>3</v>
      </c>
      <c r="C24" s="209">
        <v>0</v>
      </c>
      <c r="D24" s="209">
        <v>3</v>
      </c>
      <c r="E24" s="209">
        <v>0</v>
      </c>
    </row>
    <row r="25" spans="1:5">
      <c r="A25" s="192" t="s">
        <v>698</v>
      </c>
      <c r="B25" s="209">
        <v>2</v>
      </c>
      <c r="C25" s="209">
        <v>0</v>
      </c>
      <c r="D25" s="209">
        <v>2</v>
      </c>
      <c r="E25" s="209">
        <v>0</v>
      </c>
    </row>
    <row r="26" spans="1:5">
      <c r="A26" s="192" t="s">
        <v>688</v>
      </c>
      <c r="B26" s="209">
        <v>1</v>
      </c>
      <c r="C26" s="209">
        <v>0</v>
      </c>
      <c r="D26" s="209">
        <v>0</v>
      </c>
      <c r="E26" s="209">
        <v>1</v>
      </c>
    </row>
    <row r="27" spans="1:5">
      <c r="A27" s="39" t="s">
        <v>682</v>
      </c>
      <c r="B27" s="46">
        <v>13</v>
      </c>
      <c r="C27" s="46">
        <v>0</v>
      </c>
      <c r="D27" s="46">
        <v>0</v>
      </c>
      <c r="E27" s="46">
        <v>13</v>
      </c>
    </row>
    <row r="28" spans="1:5">
      <c r="A28" s="192" t="s">
        <v>692</v>
      </c>
      <c r="B28" s="209">
        <v>2</v>
      </c>
      <c r="C28" s="209">
        <v>0</v>
      </c>
      <c r="D28" s="209">
        <v>0</v>
      </c>
      <c r="E28" s="209">
        <v>2</v>
      </c>
    </row>
    <row r="29" spans="1:5">
      <c r="A29" s="192" t="s">
        <v>687</v>
      </c>
      <c r="B29" s="209">
        <v>1</v>
      </c>
      <c r="C29" s="209">
        <v>0</v>
      </c>
      <c r="D29" s="209">
        <v>0</v>
      </c>
      <c r="E29" s="209">
        <v>1</v>
      </c>
    </row>
    <row r="30" spans="1:5">
      <c r="A30" s="39" t="s">
        <v>678</v>
      </c>
      <c r="B30" s="46">
        <v>2</v>
      </c>
      <c r="C30" s="46">
        <v>1</v>
      </c>
      <c r="D30" s="46">
        <v>0</v>
      </c>
      <c r="E30" s="46">
        <v>1</v>
      </c>
    </row>
    <row r="31" spans="1:5">
      <c r="A31" s="39" t="s">
        <v>677</v>
      </c>
      <c r="B31" s="46">
        <v>10</v>
      </c>
      <c r="C31" s="46">
        <v>3</v>
      </c>
      <c r="D31" s="46">
        <v>0</v>
      </c>
      <c r="E31" s="46">
        <v>7</v>
      </c>
    </row>
    <row r="32" spans="1:5">
      <c r="A32" s="192" t="s">
        <v>686</v>
      </c>
      <c r="B32" s="209">
        <v>1</v>
      </c>
      <c r="C32" s="209">
        <v>0</v>
      </c>
      <c r="D32" s="209">
        <v>0</v>
      </c>
      <c r="E32" s="209">
        <v>1</v>
      </c>
    </row>
    <row r="33" spans="1:5">
      <c r="A33" s="39" t="s">
        <v>690</v>
      </c>
      <c r="B33" s="46">
        <v>1</v>
      </c>
      <c r="C33" s="46">
        <v>0</v>
      </c>
      <c r="D33" s="46">
        <v>0</v>
      </c>
      <c r="E33" s="46">
        <v>1</v>
      </c>
    </row>
    <row r="34" spans="1:5">
      <c r="A34" s="39" t="s">
        <v>691</v>
      </c>
      <c r="B34" s="46">
        <v>3</v>
      </c>
      <c r="C34" s="46">
        <v>0</v>
      </c>
      <c r="D34" s="46">
        <v>0</v>
      </c>
      <c r="E34" s="46">
        <v>3</v>
      </c>
    </row>
    <row r="35" spans="1:5">
      <c r="A35" s="46" t="s">
        <v>639</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6" customWidth="1"/>
    <col min="2" max="2" width="2.44140625" style="171" customWidth="1"/>
    <col min="3" max="3" width="9.33203125" style="171" customWidth="1"/>
    <col min="4" max="4" width="6.21875" style="19" customWidth="1"/>
    <col min="5" max="5" width="8.77734375" style="19" customWidth="1"/>
    <col min="6" max="6" width="10.77734375" style="19" customWidth="1"/>
    <col min="7" max="7" width="9.77734375" style="19" customWidth="1"/>
    <col min="8" max="8" width="7.88671875" style="171" customWidth="1"/>
    <col min="9" max="9" width="9.21875" style="171" customWidth="1"/>
    <col min="10" max="10" width="5.33203125" style="171" customWidth="1"/>
    <col min="11" max="11" width="44.6640625" style="171" bestFit="1" customWidth="1"/>
    <col min="12" max="16384" width="11.5546875" style="171"/>
  </cols>
  <sheetData>
    <row r="1" spans="3:15" s="186" customFormat="1" ht="3" customHeight="1">
      <c r="D1" s="18"/>
      <c r="E1" s="18"/>
      <c r="F1" s="18"/>
      <c r="G1" s="18"/>
    </row>
    <row r="3" spans="3:15" ht="13.2">
      <c r="C3" s="181" t="s">
        <v>769</v>
      </c>
      <c r="K3" s="181" t="s">
        <v>770</v>
      </c>
    </row>
    <row r="5" spans="3:15" ht="27" customHeight="1">
      <c r="C5" s="189" t="s">
        <v>625</v>
      </c>
      <c r="D5" s="189" t="s">
        <v>766</v>
      </c>
      <c r="E5" s="189" t="s">
        <v>765</v>
      </c>
      <c r="F5" s="184" t="s">
        <v>751</v>
      </c>
      <c r="G5" s="184" t="s">
        <v>752</v>
      </c>
      <c r="H5" s="185" t="s">
        <v>753</v>
      </c>
      <c r="I5" s="185" t="s">
        <v>754</v>
      </c>
      <c r="K5" s="183" t="s">
        <v>750</v>
      </c>
      <c r="L5" s="184" t="s">
        <v>751</v>
      </c>
      <c r="M5" s="184" t="s">
        <v>752</v>
      </c>
      <c r="N5" s="185" t="s">
        <v>753</v>
      </c>
      <c r="O5" s="185" t="s">
        <v>754</v>
      </c>
    </row>
    <row r="6" spans="3:15">
      <c r="C6" s="188">
        <v>2023</v>
      </c>
      <c r="D6" s="188">
        <v>88</v>
      </c>
      <c r="E6" s="188">
        <v>19</v>
      </c>
      <c r="F6" s="188">
        <f>+GETPIVOTDATA("Suma de Total Planes de acción",'Calculos 2'!$A$3,"Vigencia",2023)</f>
        <v>24</v>
      </c>
      <c r="G6" s="188">
        <f>+GETPIVOTDATA("Suma de Abiertos",'Calculos 2'!$A$3,"Vigencia",2023)</f>
        <v>0</v>
      </c>
      <c r="H6" s="188">
        <f>+GETPIVOTDATA("Suma de Vencidos",'Calculos 2'!$A$3,"Vigencia",2023)</f>
        <v>0</v>
      </c>
      <c r="I6" s="188">
        <f>+GETPIVOTDATA("Suma de Finalizados",'Calculos 2'!$A$3,"Vigencia",2023)</f>
        <v>24</v>
      </c>
      <c r="K6" s="187" t="s">
        <v>755</v>
      </c>
      <c r="L6" s="188">
        <f>+GETPIVOTDATA("Suma de Total Planes de acción",'Calculos 2'!$A$9,"Responsable ","DIRECCIÓNDEGESTIÓNFINANCIERA")</f>
        <v>15</v>
      </c>
      <c r="M6" s="188">
        <f>+GETPIVOTDATA("Suma de Abiertos",'Calculos 2'!$A$9,"Responsable ","DIRECCIÓNDEGESTIÓNFINANCIERA")</f>
        <v>1</v>
      </c>
      <c r="N6" s="188">
        <f>+GETPIVOTDATA("Suma de Vencidos",'Calculos 2'!$A$9,"Responsable ","DIRECCIÓNDEGESTIÓNFINANCIERA")</f>
        <v>1</v>
      </c>
      <c r="O6" s="188">
        <f>+GETPIVOTDATA("Suma de Finalizados",'Calculos 2'!$A$9,"Responsable ","DIRECCIÓNDEGESTIÓNFINANCIERA")</f>
        <v>13</v>
      </c>
    </row>
    <row r="7" spans="3:15">
      <c r="C7" s="188">
        <v>2024</v>
      </c>
      <c r="D7" s="188">
        <v>90</v>
      </c>
      <c r="E7" s="188">
        <v>14</v>
      </c>
      <c r="F7" s="188">
        <f>+GETPIVOTDATA("Suma de Total Planes de acción",'Calculos 2'!$A$3,"Vigencia",2024)</f>
        <v>26</v>
      </c>
      <c r="G7" s="188">
        <f>+GETPIVOTDATA("Suma de Abiertos",'Calculos 2'!$A$3,"Vigencia",2024)+GETPIVOTDATA("Suma de Abiertos",'Calculos 2'!$A$3,"Vigencia",2024)</f>
        <v>0</v>
      </c>
      <c r="H7" s="188">
        <f>+GETPIVOTDATA("Suma de Vencidos",'Calculos 2'!$A$3,"Vigencia",2024)</f>
        <v>2</v>
      </c>
      <c r="I7" s="188">
        <f>+GETPIVOTDATA("Suma de Finalizados",'Calculos 2'!$A$3,"Vigencia",2024)</f>
        <v>24</v>
      </c>
      <c r="K7" s="187" t="s">
        <v>756</v>
      </c>
      <c r="L7" s="188">
        <f>+GETPIVOTDATA("Suma de Total Planes de acción",'Calculos 2'!$A$9,"Responsable ","DIRECCIÓNDEGESTIÓNHUMANA")</f>
        <v>10</v>
      </c>
      <c r="M7" s="188">
        <f>+GETPIVOTDATA("Suma de Abiertos",'Calculos 2'!$A$9,"Responsable ","DIRECCIÓNDEGESTIÓNHUMANA")</f>
        <v>0</v>
      </c>
      <c r="N7" s="188">
        <f>+GETPIVOTDATA("Suma de Vencidos",'Calculos 2'!$A$9,"Responsable ","DIRECCIÓNDEGESTIÓNHUMANA")</f>
        <v>0</v>
      </c>
      <c r="O7" s="188">
        <f>+GETPIVOTDATA("Suma de Finalizados",'Calculos 2'!$A$9,"Responsable ","DIRECCIÓNDEGESTIÓNHUMANA")</f>
        <v>10</v>
      </c>
    </row>
    <row r="8" spans="3:15">
      <c r="C8" s="188">
        <v>2025</v>
      </c>
      <c r="D8" s="188">
        <v>90</v>
      </c>
      <c r="E8" s="188">
        <v>21</v>
      </c>
      <c r="F8" s="188">
        <f>+GETPIVOTDATA("Suma de Total Planes de acción",'Calculos 2'!$A$3,"Vigencia",2025)</f>
        <v>34</v>
      </c>
      <c r="G8" s="188">
        <f>+GETPIVOTDATA("Suma de Abiertos",'Calculos 2'!$A$3,"Vigencia",2025)</f>
        <v>11</v>
      </c>
      <c r="H8" s="188">
        <f>+GETPIVOTDATA("Suma de Vencidos",'Calculos 2'!$A$3,"Vigencia",2025)</f>
        <v>4</v>
      </c>
      <c r="I8" s="188">
        <f>+GETPIVOTDATA("Suma de Finalizados",'Calculos 2'!$A$3,"Vigencia",2025)</f>
        <v>19</v>
      </c>
      <c r="K8" s="187" t="s">
        <v>757</v>
      </c>
      <c r="L8" s="188">
        <f>+GETPIVOTDATA("Suma de Total Planes de acción",'Calculos 2'!$A$9,"Responsable ","DIRECCIÓNDEINFRAESTRUCTURA")</f>
        <v>2</v>
      </c>
      <c r="M8" s="188">
        <f>+GETPIVOTDATA("Suma de Abiertos",'Calculos 2'!$A$9,"Responsable ","DIRECCIÓNDEINFRAESTRUCTURA")</f>
        <v>1</v>
      </c>
      <c r="N8" s="188">
        <f>+GETPIVOTDATA("Suma de Vencidos",'Calculos 2'!$A$9,"Responsable ","DIRECCIÓNDEINFRAESTRUCTURA")</f>
        <v>0</v>
      </c>
      <c r="O8" s="188">
        <f>+GETPIVOTDATA("Suma de Finalizados",'Calculos 2'!$A$9,"Responsable ","DIRECCIÓNDEINFRAESTRUCTURA")</f>
        <v>1</v>
      </c>
    </row>
    <row r="9" spans="3:15" ht="12">
      <c r="C9" s="211" t="s">
        <v>768</v>
      </c>
      <c r="D9" s="211"/>
      <c r="E9" s="211"/>
      <c r="F9" s="190">
        <f>SUM(F6:F8)</f>
        <v>84</v>
      </c>
      <c r="G9" s="190">
        <f>SUM(G6:G8)</f>
        <v>11</v>
      </c>
      <c r="H9" s="190">
        <f>SUM(H6:H8)</f>
        <v>6</v>
      </c>
      <c r="I9" s="190">
        <f>SUM(I6:I8)</f>
        <v>67</v>
      </c>
      <c r="K9" s="187" t="s">
        <v>758</v>
      </c>
      <c r="L9" s="188">
        <f>+GETPIVOTDATA("Suma de Total Planes de acción",'Calculos 2'!$A$9,"Responsable ","DIRECCIÓNDERECURSOSFÍSICOS")+GETPIVOTDATA("Suma de Total Planes de acción",'Calculos 2'!$A$9,"Responsable ","DIRECCIÓNDERECURSOSFÍSICOSYNEGOCIOS")</f>
        <v>6</v>
      </c>
      <c r="M9" s="188">
        <f>+GETPIVOTDATA("Suma de Abiertos",'Calculos 2'!$A$9,"Responsable ","DIRECCIÓNDERECURSOSFÍSICOS")+GETPIVOTDATA("Suma de Abiertos",'Calculos 2'!$A$9,"Responsable ","DIRECCIÓNDERECURSOSFÍSICOSYNEGOCIOS")</f>
        <v>1</v>
      </c>
      <c r="N9" s="188">
        <f>+GETPIVOTDATA("Suma de Vencidos",'Calculos 2'!$A$9,"Responsable ","DIRECCIÓNDERECURSOSFÍSICOS")+GETPIVOTDATA("Suma de Vencidos",'Calculos 2'!$A$9,"Responsable ","DIRECCIÓNDERECURSOSFÍSICOSYNEGOCIOS")</f>
        <v>0</v>
      </c>
      <c r="O9" s="188">
        <f>+GETPIVOTDATA("Suma de Finalizados",'Calculos 2'!$A$9,"Responsable ","DIRECCIÓNDERECURSOSFÍSICOS")+GETPIVOTDATA("Suma de Finalizados",'Calculos 2'!$A$9,"Responsable ","DIRECCIÓNDERECURSOSFÍSICOSYNEGOCIOS")</f>
        <v>5</v>
      </c>
    </row>
    <row r="10" spans="3:15">
      <c r="K10" s="187" t="s">
        <v>759</v>
      </c>
      <c r="L10" s="188">
        <f>+GETPIVOTDATA("Suma de Total Planes de acción",'Calculos 2'!$A$9,"Responsable ","DIRECCIÓNDESEGURIDADOPERACIONAL")</f>
        <v>1</v>
      </c>
      <c r="M10" s="188">
        <f>+GETPIVOTDATA("Suma de Abiertos",'Calculos 2'!$A$9,"Responsable ","DIRECCIÓNDESEGURIDADOPERACIONAL")</f>
        <v>0</v>
      </c>
      <c r="N10" s="188">
        <f>+GETPIVOTDATA("Suma de Vencidos",'Calculos 2'!$A$9,"Responsable ","DIRECCIÓNDESEGURIDADOPERACIONAL")</f>
        <v>0</v>
      </c>
      <c r="O10" s="188">
        <f>+GETPIVOTDATA("Suma de Finalizados",'Calculos 2'!$A$9,"Responsable ","DIRECCIÓNDESEGURIDADOPERACIONAL")</f>
        <v>1</v>
      </c>
    </row>
    <row r="11" spans="3:15">
      <c r="K11" s="187" t="s">
        <v>760</v>
      </c>
      <c r="L11" s="188">
        <f>+GETPIVOTDATA("Suma de Total Planes de acción",'Calculos 2'!$A$9,"Responsable ","DIRECCIÓNDESERVICIOALTRANSPORTADOR")</f>
        <v>2</v>
      </c>
      <c r="M11" s="188">
        <f>+GETPIVOTDATA("Suma de Abiertos",'Calculos 2'!$A$9,"Responsable ","DIRECCIÓNDESERVICIOALTRANSPORTADOR")</f>
        <v>0</v>
      </c>
      <c r="N11" s="188">
        <f>+GETPIVOTDATA("Suma de Vencidos",'Calculos 2'!$A$9,"Responsable ","DIRECCIÓNDESERVICIOALTRANSPORTADOR")</f>
        <v>0</v>
      </c>
      <c r="O11" s="188">
        <f>+GETPIVOTDATA("Suma de Finalizados",'Calculos 2'!$A$9,"Responsable ","DIRECCIÓNDESERVICIOALTRANSPORTADOR")</f>
        <v>2</v>
      </c>
    </row>
    <row r="12" spans="3:15">
      <c r="I12" s="19"/>
      <c r="J12" s="19"/>
      <c r="K12" s="187" t="s">
        <v>761</v>
      </c>
      <c r="L12" s="188">
        <f>+GETPIVOTDATA("Suma de Total Planes de acción",'Calculos 2'!$A$9,"Responsable ","SUBGERENCIACORPORATIVA")</f>
        <v>3</v>
      </c>
      <c r="M12" s="188">
        <f>+GETPIVOTDATA("Suma de Abiertos",'Calculos 2'!$A$9,"Responsable ","SUBGERENCIACORPORATIVA")</f>
        <v>2</v>
      </c>
      <c r="N12" s="188">
        <f>+GETPIVOTDATA("Suma de Vencidos",'Calculos 2'!$A$9,"Responsable ","SUBGERENCIACORPORATIVA")</f>
        <v>0</v>
      </c>
      <c r="O12" s="188">
        <f>+GETPIVOTDATA("Suma de Finalizados",'Calculos 2'!$A$9,"Responsable ","SUBGERENCIACORPORATIVA")</f>
        <v>1</v>
      </c>
    </row>
    <row r="13" spans="3:15">
      <c r="K13" s="187" t="s">
        <v>762</v>
      </c>
      <c r="L13" s="188">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8">
        <f>+GETPIVOTDATA("Suma de Abiertos",'Calculos 2'!$A$9,"Responsable ","SUBGERENCIADEPLANEACIÓNYPROYECTOS")+GETPIVOTDATA("Suma de Abiertos",'Calculos 2'!$A$9,"Responsable ","SUBGERENCIAPLANEACIÓNYPROYECTOS")+GETPIVOTDATA("Suma de Abiertos",'Calculos 2'!$A$9,"Responsable ","SUBGERENCIAPLANEACIÓNYPROYECTOS(ZPP)")</f>
        <v>0</v>
      </c>
      <c r="N13" s="188">
        <f>+GETPIVOTDATA("Suma de Vencidos",'Calculos 2'!$A$9,"Responsable ","SUBGERENCIADEPLANEACIÓNYPROYECTOS")+GETPIVOTDATA("Suma de Vencidos",'Calculos 2'!$A$9,"Responsable ","SUBGERENCIAPLANEACIÓNYPROYECTOS")+GETPIVOTDATA("Suma de Vencidos",'Calculos 2'!$A$9,"Responsable ","SUBGERENCIAPLANEACIÓNYPROYECTOS(ZPP)")</f>
        <v>0</v>
      </c>
      <c r="O13" s="188">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71"/>
      <c r="E14" s="171"/>
      <c r="F14" s="171"/>
      <c r="G14" s="171"/>
      <c r="K14" s="187" t="s">
        <v>763</v>
      </c>
      <c r="L14" s="188">
        <f>+GETPIVOTDATA("Suma de Total Planes de acción",'Calculos 2'!$A$9,"Responsable ","SUBGERENCIADESERVICIOSOPERACIONALESEINFRAESTRUCTURA")</f>
        <v>2</v>
      </c>
      <c r="M14" s="188">
        <f>+GETPIVOTDATA("Suma de Abiertos",'Calculos 2'!$A$9,"Responsable ","SUBGERENCIADESERVICIOSOPERACIONALESEINFRAESTRUCTURA")</f>
        <v>1</v>
      </c>
      <c r="N14" s="188">
        <f>+GETPIVOTDATA("Suma de Vencidos",'Calculos 2'!$A$9,"Responsable ","SUBGERENCIADESERVICIOSOPERACIONALESEINFRAESTRUCTURA")</f>
        <v>0</v>
      </c>
      <c r="O14" s="188">
        <f>+GETPIVOTDATA("Suma de Finalizados",'Calculos 2'!$A$9,"Responsable ","SUBGERENCIADESERVICIOSOPERACIONALESEINFRAESTRUCTURA")</f>
        <v>1</v>
      </c>
    </row>
    <row r="15" spans="3:15">
      <c r="D15" s="171"/>
      <c r="E15" s="171"/>
      <c r="F15" s="171"/>
      <c r="G15" s="171"/>
      <c r="K15" s="187" t="s">
        <v>764</v>
      </c>
      <c r="L15" s="188">
        <f>+GETPIVOTDATA("Suma de Total Planes de acción",'Calculos 2'!$A$9,"Responsable ","SUBGERENCIAJURÍDICA")</f>
        <v>10</v>
      </c>
      <c r="M15" s="188">
        <f>+GETPIVOTDATA("Suma de Abiertos",'Calculos 2'!$A$9,"Responsable ","SUBGERENCIAJURÍDICA")</f>
        <v>3</v>
      </c>
      <c r="N15" s="188">
        <f>+GETPIVOTDATA("Suma de Vencidos",'Calculos 2'!$A$9,"Responsable ","SUBGERENCIAJURÍDICA")</f>
        <v>0</v>
      </c>
      <c r="O15" s="188">
        <f>+GETPIVOTDATA("Suma de Finalizados",'Calculos 2'!$A$9,"Responsable ","SUBGERENCIAJURÍDICA")</f>
        <v>7</v>
      </c>
    </row>
    <row r="16" spans="3:15" ht="12">
      <c r="D16" s="171"/>
      <c r="E16" s="171"/>
      <c r="F16" s="171"/>
      <c r="G16" s="171"/>
      <c r="K16" s="190" t="s">
        <v>768</v>
      </c>
      <c r="L16" s="190">
        <f>SUM(L6:L15)</f>
        <v>68</v>
      </c>
      <c r="M16" s="190">
        <f>SUM(M6:M15)</f>
        <v>9</v>
      </c>
      <c r="N16" s="190">
        <f>SUM(N6:N15)</f>
        <v>1</v>
      </c>
      <c r="O16" s="190">
        <f>SUM(O6:O15)</f>
        <v>58</v>
      </c>
    </row>
    <row r="17" spans="4:15">
      <c r="D17" s="171"/>
      <c r="E17" s="171"/>
      <c r="F17" s="171"/>
      <c r="G17" s="171"/>
    </row>
    <row r="18" spans="4:15" ht="13.2">
      <c r="D18" s="171"/>
      <c r="E18" s="171"/>
      <c r="F18" s="171"/>
      <c r="G18" s="171"/>
      <c r="K18" s="181" t="s">
        <v>772</v>
      </c>
    </row>
    <row r="20" spans="4:15" ht="24">
      <c r="K20" s="183" t="s">
        <v>750</v>
      </c>
      <c r="L20" s="184" t="s">
        <v>751</v>
      </c>
      <c r="M20" s="184" t="s">
        <v>752</v>
      </c>
      <c r="N20" s="185" t="s">
        <v>753</v>
      </c>
      <c r="O20" s="185" t="s">
        <v>754</v>
      </c>
    </row>
    <row r="21" spans="4:15" ht="22.8">
      <c r="K21" s="193" t="s">
        <v>773</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93" t="s">
        <v>774</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93" t="s">
        <v>775</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93" t="s">
        <v>776</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93" t="s">
        <v>777</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93" t="s">
        <v>778</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93" t="s">
        <v>779</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93" t="s">
        <v>780</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93" t="s">
        <v>781</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93" t="s">
        <v>782</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93" t="s">
        <v>783</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93" t="s">
        <v>784</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90" t="s">
        <v>768</v>
      </c>
      <c r="L33" s="190">
        <f>SUM(L21:L32)</f>
        <v>16</v>
      </c>
      <c r="M33" s="190">
        <f>SUM(M21:M32)</f>
        <v>2</v>
      </c>
      <c r="N33" s="190">
        <f>SUM(N21:N32)</f>
        <v>5</v>
      </c>
      <c r="O33" s="190">
        <f>SUM(O21:O32)</f>
        <v>9</v>
      </c>
    </row>
    <row r="36" spans="11:19">
      <c r="K36" s="182" t="s">
        <v>786</v>
      </c>
      <c r="L36" s="30"/>
      <c r="M36" s="30"/>
      <c r="N36" s="30"/>
      <c r="O36" s="30"/>
      <c r="P36" s="30"/>
      <c r="Q36" s="30"/>
      <c r="S36" s="182"/>
    </row>
    <row r="37" spans="11:19">
      <c r="K37" s="182"/>
      <c r="L37" s="30"/>
      <c r="M37" s="30"/>
      <c r="N37" s="30"/>
      <c r="O37" s="30"/>
      <c r="P37" s="30"/>
      <c r="Q37" s="30"/>
      <c r="S37" s="182"/>
    </row>
    <row r="38" spans="11:19" ht="24">
      <c r="K38" s="212" t="s">
        <v>751</v>
      </c>
      <c r="L38" s="184" t="s">
        <v>751</v>
      </c>
      <c r="M38" s="184" t="s">
        <v>752</v>
      </c>
      <c r="N38" s="185" t="s">
        <v>753</v>
      </c>
      <c r="O38" s="185" t="s">
        <v>754</v>
      </c>
      <c r="P38" s="194"/>
      <c r="Q38" s="194" t="s">
        <v>785</v>
      </c>
      <c r="S38" s="182"/>
    </row>
    <row r="39" spans="11:19" ht="12">
      <c r="K39" s="213"/>
      <c r="L39" s="195">
        <f>+L16+L33</f>
        <v>84</v>
      </c>
      <c r="M39" s="195">
        <f>+M16+M33</f>
        <v>11</v>
      </c>
      <c r="N39" s="195">
        <f>+N16+N33</f>
        <v>6</v>
      </c>
      <c r="O39" s="195">
        <f>+O16+O33</f>
        <v>67</v>
      </c>
      <c r="P39" s="196"/>
      <c r="Q39" s="196"/>
      <c r="S39" s="182"/>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25</v>
      </c>
      <c r="I4" s="50" t="s">
        <v>633</v>
      </c>
      <c r="J4" s="50" t="s">
        <v>634</v>
      </c>
      <c r="K4" s="50" t="s">
        <v>635</v>
      </c>
      <c r="L4" s="53" t="s">
        <v>651</v>
      </c>
    </row>
    <row r="5" spans="1:20" ht="72">
      <c r="A5" s="169">
        <v>2025</v>
      </c>
      <c r="B5" s="20">
        <v>90</v>
      </c>
      <c r="C5" s="20" t="s">
        <v>31</v>
      </c>
      <c r="D5" s="170" t="s">
        <v>34</v>
      </c>
      <c r="E5" s="170" t="s">
        <v>36</v>
      </c>
      <c r="F5" s="170" t="s">
        <v>693</v>
      </c>
      <c r="G5" s="169" t="s">
        <v>40</v>
      </c>
      <c r="H5" s="168" t="s">
        <v>43</v>
      </c>
      <c r="I5" s="20">
        <v>0</v>
      </c>
      <c r="J5" s="20">
        <v>0</v>
      </c>
      <c r="K5" s="20">
        <v>0</v>
      </c>
      <c r="L5">
        <v>0</v>
      </c>
    </row>
    <row r="6" spans="1:20" ht="172.8">
      <c r="A6" s="169"/>
      <c r="B6" s="20"/>
      <c r="C6" s="20" t="s">
        <v>83</v>
      </c>
      <c r="D6" s="170" t="s">
        <v>84</v>
      </c>
      <c r="E6" s="170" t="s">
        <v>86</v>
      </c>
      <c r="F6" s="170" t="s">
        <v>694</v>
      </c>
      <c r="G6" s="169" t="s">
        <v>89</v>
      </c>
      <c r="H6" s="168" t="s">
        <v>43</v>
      </c>
      <c r="I6" s="20">
        <v>0</v>
      </c>
      <c r="J6" s="20">
        <v>0</v>
      </c>
      <c r="K6" s="20">
        <v>0</v>
      </c>
      <c r="L6">
        <v>0</v>
      </c>
    </row>
    <row r="7" spans="1:20" ht="216">
      <c r="A7" s="169"/>
      <c r="B7" s="20"/>
      <c r="C7" s="20" t="s">
        <v>91</v>
      </c>
      <c r="D7" s="170" t="s">
        <v>92</v>
      </c>
      <c r="E7" s="170" t="s">
        <v>102</v>
      </c>
      <c r="F7" s="170" t="s">
        <v>677</v>
      </c>
      <c r="G7" s="169" t="s">
        <v>89</v>
      </c>
      <c r="H7" s="168" t="s">
        <v>43</v>
      </c>
      <c r="I7" s="20">
        <v>0</v>
      </c>
      <c r="J7" s="20">
        <v>0</v>
      </c>
      <c r="K7" s="20">
        <v>0</v>
      </c>
      <c r="L7">
        <v>0</v>
      </c>
    </row>
    <row r="8" spans="1:20" ht="72">
      <c r="A8" s="169"/>
      <c r="B8" s="20"/>
      <c r="C8" s="20"/>
      <c r="D8" s="170"/>
      <c r="E8" s="170" t="s">
        <v>94</v>
      </c>
      <c r="F8" s="170" t="s">
        <v>675</v>
      </c>
      <c r="G8" s="169" t="s">
        <v>89</v>
      </c>
      <c r="H8" s="168" t="s">
        <v>43</v>
      </c>
      <c r="I8" s="20">
        <v>0</v>
      </c>
      <c r="J8" s="20">
        <v>0</v>
      </c>
      <c r="K8" s="20">
        <v>0</v>
      </c>
      <c r="L8">
        <v>0</v>
      </c>
    </row>
    <row r="9" spans="1:20" ht="72">
      <c r="A9" s="169"/>
      <c r="B9" s="20"/>
      <c r="C9" s="20"/>
      <c r="D9" s="170"/>
      <c r="E9" s="170" t="s">
        <v>98</v>
      </c>
      <c r="F9" s="170" t="s">
        <v>674</v>
      </c>
      <c r="G9" s="169" t="s">
        <v>89</v>
      </c>
      <c r="H9" s="168" t="s">
        <v>43</v>
      </c>
      <c r="I9" s="20">
        <v>0</v>
      </c>
      <c r="J9" s="20">
        <v>0</v>
      </c>
      <c r="K9" s="20">
        <v>0</v>
      </c>
      <c r="L9">
        <v>0</v>
      </c>
    </row>
    <row r="10" spans="1:20" ht="201.6">
      <c r="A10" s="169"/>
      <c r="B10" s="20"/>
      <c r="C10" s="20" t="s">
        <v>118</v>
      </c>
      <c r="D10" s="170" t="s">
        <v>119</v>
      </c>
      <c r="E10" s="170" t="s">
        <v>126</v>
      </c>
      <c r="F10" s="170" t="s">
        <v>677</v>
      </c>
      <c r="G10" s="169" t="s">
        <v>89</v>
      </c>
      <c r="H10" s="168" t="s">
        <v>43</v>
      </c>
      <c r="I10" s="20">
        <v>0</v>
      </c>
      <c r="J10" s="20">
        <v>0</v>
      </c>
      <c r="K10" s="20">
        <v>0</v>
      </c>
      <c r="L10">
        <v>0</v>
      </c>
    </row>
    <row r="11" spans="1:20" ht="144">
      <c r="A11" s="169"/>
      <c r="B11" s="20"/>
      <c r="C11" s="20" t="s">
        <v>182</v>
      </c>
      <c r="D11" s="170" t="s">
        <v>183</v>
      </c>
      <c r="E11" s="170" t="s">
        <v>185</v>
      </c>
      <c r="F11" s="170" t="s">
        <v>679</v>
      </c>
      <c r="G11" s="169" t="s">
        <v>89</v>
      </c>
      <c r="H11" s="168" t="s">
        <v>43</v>
      </c>
      <c r="I11" s="20">
        <v>0</v>
      </c>
      <c r="J11" s="20">
        <v>0</v>
      </c>
      <c r="K11" s="20">
        <v>0</v>
      </c>
      <c r="L11">
        <v>0</v>
      </c>
      <c r="T11" s="191" t="s">
        <v>771</v>
      </c>
    </row>
    <row r="12" spans="1:20" ht="57.6">
      <c r="A12" s="169"/>
      <c r="B12" s="20"/>
      <c r="C12" s="20"/>
      <c r="D12" s="170"/>
      <c r="E12" s="170" t="s">
        <v>189</v>
      </c>
      <c r="F12" s="170" t="s">
        <v>679</v>
      </c>
      <c r="G12" s="169" t="s">
        <v>89</v>
      </c>
      <c r="H12" s="168" t="s">
        <v>43</v>
      </c>
      <c r="I12" s="20">
        <v>0</v>
      </c>
      <c r="J12" s="20">
        <v>0</v>
      </c>
      <c r="K12" s="20">
        <v>0</v>
      </c>
      <c r="L12">
        <v>0</v>
      </c>
    </row>
    <row r="13" spans="1:20" ht="115.2">
      <c r="A13" s="169"/>
      <c r="B13" s="20"/>
      <c r="C13" s="20" t="s">
        <v>193</v>
      </c>
      <c r="D13" s="170" t="s">
        <v>194</v>
      </c>
      <c r="E13" s="170" t="s">
        <v>196</v>
      </c>
      <c r="F13" s="170" t="s">
        <v>680</v>
      </c>
      <c r="G13" s="169" t="s">
        <v>89</v>
      </c>
      <c r="H13" s="168" t="s">
        <v>43</v>
      </c>
      <c r="I13" s="20">
        <v>0</v>
      </c>
      <c r="J13" s="20">
        <v>0</v>
      </c>
      <c r="K13" s="20">
        <v>0</v>
      </c>
      <c r="L13">
        <v>0</v>
      </c>
    </row>
    <row r="14" spans="1:20" ht="100.8">
      <c r="A14" s="169"/>
      <c r="B14" s="20"/>
      <c r="C14" s="20" t="s">
        <v>200</v>
      </c>
      <c r="D14" s="170" t="s">
        <v>201</v>
      </c>
      <c r="E14" s="170" t="s">
        <v>203</v>
      </c>
      <c r="F14" s="170" t="s">
        <v>677</v>
      </c>
      <c r="G14" s="169" t="s">
        <v>89</v>
      </c>
      <c r="H14" s="168" t="s">
        <v>43</v>
      </c>
      <c r="I14" s="20">
        <v>0</v>
      </c>
      <c r="J14" s="20">
        <v>0</v>
      </c>
      <c r="K14" s="20">
        <v>0</v>
      </c>
      <c r="L14">
        <v>0</v>
      </c>
    </row>
    <row r="15" spans="1:20" ht="172.8">
      <c r="A15" s="169"/>
      <c r="B15" s="20"/>
      <c r="C15" s="20" t="s">
        <v>232</v>
      </c>
      <c r="D15" s="170" t="s">
        <v>233</v>
      </c>
      <c r="E15" s="170" t="s">
        <v>235</v>
      </c>
      <c r="F15" s="170" t="s">
        <v>678</v>
      </c>
      <c r="G15" s="169" t="s">
        <v>40</v>
      </c>
      <c r="H15" s="168" t="s">
        <v>43</v>
      </c>
      <c r="I15" s="20">
        <v>0</v>
      </c>
      <c r="J15" s="20">
        <v>0</v>
      </c>
      <c r="K15" s="20">
        <v>0</v>
      </c>
      <c r="L15">
        <v>0</v>
      </c>
    </row>
    <row r="16" spans="1:20">
      <c r="A16" s="20" t="s">
        <v>639</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204" customFormat="1">
      <c r="B2" s="203" t="s">
        <v>787</v>
      </c>
      <c r="C2" s="203" t="s">
        <v>766</v>
      </c>
      <c r="D2" s="203" t="s">
        <v>7</v>
      </c>
      <c r="E2" s="203" t="s">
        <v>13</v>
      </c>
      <c r="F2" s="203" t="s">
        <v>15</v>
      </c>
      <c r="G2" s="203" t="s">
        <v>19</v>
      </c>
      <c r="H2" s="203" t="s">
        <v>21</v>
      </c>
      <c r="I2" s="198" t="s">
        <v>790</v>
      </c>
    </row>
    <row r="3" spans="2:9" ht="61.2">
      <c r="B3" s="201">
        <v>2024</v>
      </c>
      <c r="C3" s="199">
        <v>90</v>
      </c>
      <c r="D3" s="199" t="s">
        <v>262</v>
      </c>
      <c r="E3" s="200" t="s">
        <v>263</v>
      </c>
      <c r="F3" s="200" t="s">
        <v>265</v>
      </c>
      <c r="G3" s="200" t="s">
        <v>698</v>
      </c>
      <c r="H3" s="201" t="s">
        <v>268</v>
      </c>
      <c r="I3" s="74" t="s">
        <v>270</v>
      </c>
    </row>
    <row r="4" spans="2:9" ht="61.2">
      <c r="B4" s="201">
        <v>2024</v>
      </c>
      <c r="C4" s="199">
        <v>90</v>
      </c>
      <c r="D4" s="199" t="s">
        <v>285</v>
      </c>
      <c r="E4" s="200" t="s">
        <v>286</v>
      </c>
      <c r="F4" s="200" t="s">
        <v>295</v>
      </c>
      <c r="G4" s="200" t="s">
        <v>698</v>
      </c>
      <c r="H4" s="201" t="s">
        <v>268</v>
      </c>
      <c r="I4" s="74" t="s">
        <v>293</v>
      </c>
    </row>
    <row r="5" spans="2:9" ht="72">
      <c r="B5" s="201">
        <v>2025</v>
      </c>
      <c r="C5" s="199">
        <v>90</v>
      </c>
      <c r="D5" s="199" t="s">
        <v>155</v>
      </c>
      <c r="E5" s="200" t="s">
        <v>156</v>
      </c>
      <c r="F5" s="200" t="s">
        <v>158</v>
      </c>
      <c r="G5" s="200" t="s">
        <v>696</v>
      </c>
      <c r="H5" s="202">
        <v>46142</v>
      </c>
      <c r="I5" s="99" t="s">
        <v>162</v>
      </c>
    </row>
    <row r="6" spans="2:9" ht="51">
      <c r="B6" s="201">
        <v>2025</v>
      </c>
      <c r="C6" s="199">
        <v>90</v>
      </c>
      <c r="D6" s="199" t="s">
        <v>163</v>
      </c>
      <c r="E6" s="200" t="s">
        <v>164</v>
      </c>
      <c r="F6" s="200" t="s">
        <v>158</v>
      </c>
      <c r="G6" s="200" t="s">
        <v>696</v>
      </c>
      <c r="H6" s="201" t="s">
        <v>161</v>
      </c>
      <c r="I6" s="67" t="s">
        <v>166</v>
      </c>
    </row>
    <row r="7" spans="2:9" ht="61.2">
      <c r="B7" s="201">
        <v>2025</v>
      </c>
      <c r="C7" s="199">
        <v>90</v>
      </c>
      <c r="D7" s="199" t="s">
        <v>167</v>
      </c>
      <c r="E7" s="200" t="s">
        <v>168</v>
      </c>
      <c r="F7" s="200" t="s">
        <v>158</v>
      </c>
      <c r="G7" s="200" t="s">
        <v>696</v>
      </c>
      <c r="H7" s="201" t="s">
        <v>161</v>
      </c>
      <c r="I7" s="67" t="s">
        <v>170</v>
      </c>
    </row>
    <row r="8" spans="2:9" ht="112.2">
      <c r="B8" s="201">
        <v>2025</v>
      </c>
      <c r="C8" s="199">
        <v>90</v>
      </c>
      <c r="D8" s="199" t="s">
        <v>171</v>
      </c>
      <c r="E8" s="200" t="s">
        <v>172</v>
      </c>
      <c r="F8" s="200" t="s">
        <v>174</v>
      </c>
      <c r="G8" s="200" t="s">
        <v>678</v>
      </c>
      <c r="H8" s="201" t="s">
        <v>80</v>
      </c>
      <c r="I8" s="99" t="s">
        <v>178</v>
      </c>
    </row>
    <row r="9" spans="2:9" ht="72">
      <c r="B9" s="201">
        <v>2025</v>
      </c>
      <c r="C9" s="199">
        <v>90</v>
      </c>
      <c r="D9" s="199" t="s">
        <v>207</v>
      </c>
      <c r="E9" s="200" t="s">
        <v>208</v>
      </c>
      <c r="F9" s="200" t="s">
        <v>214</v>
      </c>
      <c r="G9" s="200" t="s">
        <v>677</v>
      </c>
      <c r="H9" s="201" t="s">
        <v>124</v>
      </c>
      <c r="I9" s="99" t="s">
        <v>217</v>
      </c>
    </row>
    <row r="10" spans="2:9" ht="102">
      <c r="B10" s="201">
        <v>2025</v>
      </c>
      <c r="C10" s="199">
        <v>90</v>
      </c>
      <c r="D10" s="199" t="s">
        <v>218</v>
      </c>
      <c r="E10" s="200" t="s">
        <v>219</v>
      </c>
      <c r="F10" s="200" t="s">
        <v>221</v>
      </c>
      <c r="G10" s="200" t="s">
        <v>674</v>
      </c>
      <c r="H10" s="201" t="s">
        <v>161</v>
      </c>
      <c r="I10" s="67" t="s">
        <v>224</v>
      </c>
    </row>
    <row r="11" spans="2:9" ht="102">
      <c r="B11" s="201">
        <v>2025</v>
      </c>
      <c r="C11" s="199">
        <v>90</v>
      </c>
      <c r="D11" s="199" t="s">
        <v>218</v>
      </c>
      <c r="E11" s="200" t="s">
        <v>219</v>
      </c>
      <c r="F11" s="200" t="s">
        <v>225</v>
      </c>
      <c r="G11" s="200" t="s">
        <v>674</v>
      </c>
      <c r="H11" s="201" t="s">
        <v>161</v>
      </c>
      <c r="I11" s="99" t="s">
        <v>228</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8" t="s">
        <v>788</v>
      </c>
      <c r="C2" s="198" t="s">
        <v>789</v>
      </c>
      <c r="D2" s="198" t="s">
        <v>7</v>
      </c>
      <c r="E2" s="198" t="s">
        <v>13</v>
      </c>
      <c r="F2" s="198" t="s">
        <v>15</v>
      </c>
      <c r="G2" s="198" t="s">
        <v>19</v>
      </c>
      <c r="H2" s="198" t="s">
        <v>21</v>
      </c>
      <c r="I2" s="198" t="s">
        <v>790</v>
      </c>
    </row>
    <row r="3" spans="2:9" ht="61.2">
      <c r="B3" s="205">
        <v>2025</v>
      </c>
      <c r="C3" s="206">
        <v>90</v>
      </c>
      <c r="D3" s="199" t="s">
        <v>31</v>
      </c>
      <c r="E3" s="207" t="s">
        <v>34</v>
      </c>
      <c r="F3" s="200" t="s">
        <v>36</v>
      </c>
      <c r="G3" s="207" t="s">
        <v>693</v>
      </c>
      <c r="H3" s="201" t="s">
        <v>40</v>
      </c>
      <c r="I3" s="99" t="s">
        <v>44</v>
      </c>
    </row>
    <row r="4" spans="2:9" ht="122.4">
      <c r="B4" s="205">
        <v>2025</v>
      </c>
      <c r="C4" s="206">
        <v>90</v>
      </c>
      <c r="D4" s="199" t="s">
        <v>83</v>
      </c>
      <c r="E4" s="207" t="s">
        <v>84</v>
      </c>
      <c r="F4" s="200" t="s">
        <v>86</v>
      </c>
      <c r="G4" s="207" t="s">
        <v>694</v>
      </c>
      <c r="H4" s="201" t="s">
        <v>89</v>
      </c>
      <c r="I4" s="99" t="s">
        <v>90</v>
      </c>
    </row>
    <row r="5" spans="2:9" ht="163.19999999999999">
      <c r="B5" s="205">
        <v>2025</v>
      </c>
      <c r="C5" s="206">
        <v>90</v>
      </c>
      <c r="D5" s="199" t="s">
        <v>91</v>
      </c>
      <c r="E5" s="207" t="s">
        <v>92</v>
      </c>
      <c r="F5" s="200" t="s">
        <v>102</v>
      </c>
      <c r="G5" s="207" t="s">
        <v>677</v>
      </c>
      <c r="H5" s="201" t="s">
        <v>89</v>
      </c>
      <c r="I5" s="99" t="s">
        <v>97</v>
      </c>
    </row>
    <row r="6" spans="2:9" ht="163.19999999999999">
      <c r="B6" s="205">
        <v>2025</v>
      </c>
      <c r="C6" s="206">
        <v>90</v>
      </c>
      <c r="D6" s="199" t="s">
        <v>91</v>
      </c>
      <c r="E6" s="207" t="s">
        <v>92</v>
      </c>
      <c r="F6" s="200" t="s">
        <v>94</v>
      </c>
      <c r="G6" s="207" t="s">
        <v>675</v>
      </c>
      <c r="H6" s="201" t="s">
        <v>89</v>
      </c>
      <c r="I6" s="99" t="s">
        <v>101</v>
      </c>
    </row>
    <row r="7" spans="2:9" ht="163.19999999999999">
      <c r="B7" s="205">
        <v>2025</v>
      </c>
      <c r="C7" s="206">
        <v>90</v>
      </c>
      <c r="D7" s="199" t="s">
        <v>91</v>
      </c>
      <c r="E7" s="207" t="s">
        <v>92</v>
      </c>
      <c r="F7" s="200" t="s">
        <v>98</v>
      </c>
      <c r="G7" s="207" t="s">
        <v>674</v>
      </c>
      <c r="H7" s="201" t="s">
        <v>89</v>
      </c>
      <c r="I7" s="99" t="s">
        <v>105</v>
      </c>
    </row>
    <row r="8" spans="2:9" ht="153">
      <c r="B8" s="205">
        <v>2025</v>
      </c>
      <c r="C8" s="206">
        <v>90</v>
      </c>
      <c r="D8" s="199" t="s">
        <v>118</v>
      </c>
      <c r="E8" s="207" t="s">
        <v>119</v>
      </c>
      <c r="F8" s="200" t="s">
        <v>126</v>
      </c>
      <c r="G8" s="207" t="s">
        <v>677</v>
      </c>
      <c r="H8" s="201" t="s">
        <v>89</v>
      </c>
      <c r="I8" s="99" t="s">
        <v>129</v>
      </c>
    </row>
    <row r="9" spans="2:9" ht="102">
      <c r="B9" s="205">
        <v>2025</v>
      </c>
      <c r="C9" s="206">
        <v>90</v>
      </c>
      <c r="D9" s="199" t="s">
        <v>182</v>
      </c>
      <c r="E9" s="207" t="s">
        <v>183</v>
      </c>
      <c r="F9" s="200" t="s">
        <v>185</v>
      </c>
      <c r="G9" s="207" t="s">
        <v>679</v>
      </c>
      <c r="H9" s="201" t="s">
        <v>89</v>
      </c>
      <c r="I9" s="99" t="s">
        <v>188</v>
      </c>
    </row>
    <row r="10" spans="2:9" ht="102">
      <c r="B10" s="205">
        <v>2025</v>
      </c>
      <c r="C10" s="206">
        <v>90</v>
      </c>
      <c r="D10" s="199" t="s">
        <v>182</v>
      </c>
      <c r="E10" s="207" t="s">
        <v>183</v>
      </c>
      <c r="F10" s="200" t="s">
        <v>189</v>
      </c>
      <c r="G10" s="207" t="s">
        <v>679</v>
      </c>
      <c r="H10" s="201" t="s">
        <v>89</v>
      </c>
      <c r="I10" s="99" t="s">
        <v>192</v>
      </c>
    </row>
    <row r="11" spans="2:9" ht="91.8">
      <c r="B11" s="205">
        <v>2025</v>
      </c>
      <c r="C11" s="206">
        <v>90</v>
      </c>
      <c r="D11" s="199" t="s">
        <v>193</v>
      </c>
      <c r="E11" s="207" t="s">
        <v>194</v>
      </c>
      <c r="F11" s="200" t="s">
        <v>196</v>
      </c>
      <c r="G11" s="207" t="s">
        <v>680</v>
      </c>
      <c r="H11" s="201" t="s">
        <v>89</v>
      </c>
      <c r="I11" s="99" t="s">
        <v>199</v>
      </c>
    </row>
    <row r="12" spans="2:9" ht="81.599999999999994">
      <c r="B12" s="205">
        <v>2025</v>
      </c>
      <c r="C12" s="206">
        <v>90</v>
      </c>
      <c r="D12" s="199" t="s">
        <v>200</v>
      </c>
      <c r="E12" s="207" t="s">
        <v>201</v>
      </c>
      <c r="F12" s="200" t="s">
        <v>203</v>
      </c>
      <c r="G12" s="207" t="s">
        <v>677</v>
      </c>
      <c r="H12" s="201" t="s">
        <v>89</v>
      </c>
      <c r="I12" s="99" t="s">
        <v>206</v>
      </c>
    </row>
    <row r="13" spans="2:9" ht="132.6">
      <c r="B13" s="205">
        <v>2025</v>
      </c>
      <c r="C13" s="206">
        <v>90</v>
      </c>
      <c r="D13" s="199" t="s">
        <v>232</v>
      </c>
      <c r="E13" s="207" t="s">
        <v>233</v>
      </c>
      <c r="F13" s="200" t="s">
        <v>235</v>
      </c>
      <c r="G13" s="207" t="s">
        <v>678</v>
      </c>
      <c r="H13" s="201" t="s">
        <v>40</v>
      </c>
      <c r="I13" s="99" t="s">
        <v>238</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71"/>
    <col min="2" max="2" width="13.5546875" style="171" customWidth="1"/>
    <col min="3" max="3" width="15.21875" style="172" customWidth="1"/>
    <col min="4" max="4" width="13.88671875" style="172" customWidth="1"/>
    <col min="5" max="5" width="37.21875" style="172" customWidth="1"/>
    <col min="6" max="6" width="36.44140625" style="172" customWidth="1"/>
    <col min="7" max="7" width="33.21875" style="172" customWidth="1"/>
    <col min="8" max="8" width="16.21875" style="172" customWidth="1"/>
    <col min="9" max="16384" width="11.5546875" style="171"/>
  </cols>
  <sheetData>
    <row r="2" spans="2:8" ht="48">
      <c r="B2" s="173" t="s">
        <v>5</v>
      </c>
      <c r="C2" s="173" t="s">
        <v>6</v>
      </c>
      <c r="D2" s="173" t="s">
        <v>7</v>
      </c>
      <c r="E2" s="173" t="s">
        <v>13</v>
      </c>
      <c r="F2" s="173" t="s">
        <v>15</v>
      </c>
      <c r="G2" s="173" t="s">
        <v>19</v>
      </c>
      <c r="H2" s="173" t="s">
        <v>21</v>
      </c>
    </row>
    <row r="3" spans="2:8" ht="68.400000000000006">
      <c r="B3" s="174">
        <v>2024</v>
      </c>
      <c r="C3" s="174">
        <v>90</v>
      </c>
      <c r="D3" s="28" t="s">
        <v>262</v>
      </c>
      <c r="E3" s="175" t="s">
        <v>263</v>
      </c>
      <c r="F3" s="175" t="s">
        <v>265</v>
      </c>
      <c r="G3" s="176" t="s">
        <v>698</v>
      </c>
      <c r="H3" s="28" t="s">
        <v>268</v>
      </c>
    </row>
    <row r="4" spans="2:8" ht="68.400000000000006">
      <c r="B4" s="174">
        <v>2024</v>
      </c>
      <c r="C4" s="174">
        <v>90</v>
      </c>
      <c r="D4" s="28" t="s">
        <v>285</v>
      </c>
      <c r="E4" s="175" t="s">
        <v>286</v>
      </c>
      <c r="F4" s="175" t="s">
        <v>295</v>
      </c>
      <c r="G4" s="176" t="s">
        <v>698</v>
      </c>
      <c r="H4" s="28" t="s">
        <v>268</v>
      </c>
    </row>
    <row r="5" spans="2:8" ht="68.400000000000006">
      <c r="B5" s="174">
        <v>2025</v>
      </c>
      <c r="C5" s="174">
        <v>90</v>
      </c>
      <c r="D5" s="28" t="s">
        <v>155</v>
      </c>
      <c r="E5" s="175" t="s">
        <v>156</v>
      </c>
      <c r="F5" s="175" t="s">
        <v>158</v>
      </c>
      <c r="G5" s="176" t="s">
        <v>696</v>
      </c>
      <c r="H5" s="177">
        <v>46142</v>
      </c>
    </row>
    <row r="6" spans="2:8" ht="68.400000000000006">
      <c r="B6" s="174">
        <v>2025</v>
      </c>
      <c r="C6" s="174"/>
      <c r="D6" s="28" t="s">
        <v>163</v>
      </c>
      <c r="E6" s="175" t="s">
        <v>164</v>
      </c>
      <c r="F6" s="175" t="s">
        <v>158</v>
      </c>
      <c r="G6" s="176" t="s">
        <v>696</v>
      </c>
      <c r="H6" s="28" t="s">
        <v>161</v>
      </c>
    </row>
    <row r="7" spans="2:8" ht="68.400000000000006">
      <c r="B7" s="174">
        <v>2025</v>
      </c>
      <c r="C7" s="174"/>
      <c r="D7" s="28" t="s">
        <v>167</v>
      </c>
      <c r="E7" s="175" t="s">
        <v>168</v>
      </c>
      <c r="F7" s="175" t="s">
        <v>158</v>
      </c>
      <c r="G7" s="176" t="s">
        <v>696</v>
      </c>
      <c r="H7" s="28" t="s">
        <v>161</v>
      </c>
    </row>
    <row r="8" spans="2:8" ht="125.4">
      <c r="B8" s="174">
        <v>2025</v>
      </c>
      <c r="C8" s="174"/>
      <c r="D8" s="28" t="s">
        <v>171</v>
      </c>
      <c r="E8" s="175" t="s">
        <v>172</v>
      </c>
      <c r="F8" s="175" t="s">
        <v>174</v>
      </c>
      <c r="G8" s="176" t="s">
        <v>678</v>
      </c>
      <c r="H8" s="28" t="s">
        <v>80</v>
      </c>
    </row>
    <row r="9" spans="2:8" ht="91.2">
      <c r="B9" s="174">
        <v>2025</v>
      </c>
      <c r="C9" s="174"/>
      <c r="D9" s="28" t="s">
        <v>207</v>
      </c>
      <c r="E9" s="175" t="s">
        <v>208</v>
      </c>
      <c r="F9" s="175" t="s">
        <v>214</v>
      </c>
      <c r="G9" s="176" t="s">
        <v>677</v>
      </c>
      <c r="H9" s="28" t="s">
        <v>124</v>
      </c>
    </row>
    <row r="10" spans="2:8" ht="97.2" customHeight="1">
      <c r="B10" s="174">
        <v>2025</v>
      </c>
      <c r="C10" s="174"/>
      <c r="D10" s="28" t="s">
        <v>218</v>
      </c>
      <c r="E10" s="214" t="s">
        <v>219</v>
      </c>
      <c r="F10" s="175" t="s">
        <v>221</v>
      </c>
      <c r="G10" s="176" t="s">
        <v>674</v>
      </c>
      <c r="H10" s="28" t="s">
        <v>161</v>
      </c>
    </row>
    <row r="11" spans="2:8" ht="22.8">
      <c r="B11" s="174">
        <v>2025</v>
      </c>
      <c r="C11" s="174"/>
      <c r="D11" s="28" t="s">
        <v>218</v>
      </c>
      <c r="E11" s="214"/>
      <c r="F11" s="175" t="s">
        <v>225</v>
      </c>
      <c r="G11" s="176" t="s">
        <v>674</v>
      </c>
      <c r="H11" s="28" t="s">
        <v>161</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625</v>
      </c>
      <c r="D3" s="33" t="s">
        <v>626</v>
      </c>
      <c r="E3" s="33" t="s">
        <v>627</v>
      </c>
      <c r="F3" s="33" t="s">
        <v>637</v>
      </c>
      <c r="G3" s="34" t="s">
        <v>629</v>
      </c>
      <c r="H3" s="35" t="s">
        <v>628</v>
      </c>
      <c r="I3" s="35" t="s">
        <v>632</v>
      </c>
      <c r="J3" s="35" t="s">
        <v>630</v>
      </c>
      <c r="K3" s="35" t="s">
        <v>631</v>
      </c>
      <c r="L3" s="36" t="s">
        <v>633</v>
      </c>
      <c r="M3" s="36" t="s">
        <v>634</v>
      </c>
      <c r="N3" s="37" t="s">
        <v>635</v>
      </c>
      <c r="O3" s="36" t="s">
        <v>651</v>
      </c>
      <c r="P3" s="178" t="s">
        <v>742</v>
      </c>
      <c r="Q3" s="178" t="s">
        <v>743</v>
      </c>
      <c r="R3" s="178" t="s">
        <v>748</v>
      </c>
      <c r="S3" s="178" t="s">
        <v>744</v>
      </c>
      <c r="T3" s="178" t="s">
        <v>745</v>
      </c>
      <c r="U3" s="178" t="s">
        <v>746</v>
      </c>
    </row>
    <row r="4" spans="1:21">
      <c r="C4" s="4">
        <v>2025</v>
      </c>
      <c r="D4" s="4">
        <v>90</v>
      </c>
      <c r="E4" s="4" t="s">
        <v>31</v>
      </c>
      <c r="F4" s="5" t="s">
        <v>693</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1</v>
      </c>
      <c r="I4" s="29">
        <f>COUNTIFS('Base de Datos'!$F:$F,$C4,'Base de Datos'!$G:$G,$D4,'Base de Datos'!$H:$H,$E4,'Base de Datos'!$U:$U,$F4,'Base de Datos'!$AA:$AA,"Abierta")</f>
        <v>0</v>
      </c>
      <c r="J4" s="29">
        <f>COUNTIFS('Base de Datos'!$F:$F,$C4,'Base de Datos'!$G:$G,$D4,'Base de Datos'!$H:$H,$E4,'Base de Datos'!$U:$U,$F4,'Base de Datos'!$AA:$AA,"Vencida")</f>
        <v>1</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f>COUNTIFS('Base de Datos'!$F:$F, $C4, 'Base de Datos'!$H:$H, $E4, 'Base de Datos'!$U:$U, $F4, 'Base de Datos'!$AA:$AA, "Finalizada", 'Base de Datos'!$AJ:$AJ, "&gt;=01/01/2026", 'Base de Datos'!$AJ:$AJ, "&lt;=31/01/2026")</f>
        <v>0</v>
      </c>
      <c r="Q4" s="29">
        <f>COUNTIFS('Base de Datos'!$F:$F, $C4, 'Base de Datos'!$H:$H, $E4, 'Base de Datos'!$U:$U, $F4, 'Base de Datos'!$AA:$AA, "Finalizada", 'Base de Datos'!$AJ:$AJ, "&gt;=01/02/2026", 'Base de Datos'!$AJ:$AJ, "&lt;=28/02/2026")</f>
        <v>0</v>
      </c>
      <c r="R4" s="29">
        <f>COUNTIFS('Base de Datos'!$F:$F, $C4, 'Base de Datos'!$H:$H, $E4, 'Base de Datos'!$U:$U, $F4, 'Base de Datos'!$AA:$AA, "Finalizada", 'Base de Datos'!$AJ:$AJ, "&gt;=01/03/2026", 'Base de Datos'!$AJ:$AJ, "&lt;=31/03/2026")</f>
        <v>0</v>
      </c>
      <c r="S4" s="29">
        <f>COUNTIFS('Base de Datos'!$F:$F, $C4, 'Base de Datos'!$H:$H, $E4, 'Base de Datos'!$U:$U, $F4, 'Base de Datos'!$AA:$AA, "Finalizada", 'Base de Datos'!$AJ:$AJ, "&gt;=01/04/2026", 'Base de Datos'!$AJ:$AJ, "&lt;=30/04/2026")</f>
        <v>0</v>
      </c>
      <c r="T4" s="29">
        <f>COUNTIFS('Base de Datos'!$F:$F, $C4, 'Base de Datos'!$H:$H, $E4, 'Base de Datos'!$U:$U, $F4, 'Base de Datos'!$AA:$AA, "Finalizada", 'Base de Datos'!$AJ:$AJ, "&gt;=01/05/2026", 'Base de Datos'!$AJ:$AJ, "&lt;=31/05/2026")</f>
        <v>0</v>
      </c>
      <c r="U4" s="29">
        <f>COUNTIFS('Base de Datos'!$F:$F, $C4, 'Base de Datos'!$H:$H, $E4, 'Base de Datos'!$U:$U, $F4, 'Base de Datos'!$AA:$AA, "Finalizada", 'Base de Datos'!$AJ:$AJ, "&gt;=01/06/2026", 'Base de Datos'!$AJ:$AJ, "&lt;=30/06/2026")</f>
        <v>0</v>
      </c>
    </row>
    <row r="5" spans="1:21">
      <c r="C5" s="4">
        <v>2025</v>
      </c>
      <c r="D5" s="4">
        <v>90</v>
      </c>
      <c r="E5" s="4" t="s">
        <v>31</v>
      </c>
      <c r="F5" s="5" t="s">
        <v>674</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1</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1</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f>COUNTIFS('Base de Datos'!$F:$F, $C5, 'Base de Datos'!$H:$H, $E5, 'Base de Datos'!$U:$U, $F5, 'Base de Datos'!$AA:$AA, "Finalizada", 'Base de Datos'!$AJ:$AJ, "&gt;=01/01/2026", 'Base de Datos'!$AJ:$AJ, "&lt;=31/01/2026")</f>
        <v>0</v>
      </c>
      <c r="Q5" s="29">
        <f>COUNTIFS('Base de Datos'!$F:$F, $C5, 'Base de Datos'!$H:$H, $E5, 'Base de Datos'!$U:$U, $F5, 'Base de Datos'!$AA:$AA, "Finalizada", 'Base de Datos'!$AJ:$AJ, "&gt;=01/02/2026", 'Base de Datos'!$AJ:$AJ, "&lt;=28/02/2026")</f>
        <v>0</v>
      </c>
      <c r="R5" s="29">
        <f>COUNTIFS('Base de Datos'!$F:$F, $C5, 'Base de Datos'!$H:$H, $E5, 'Base de Datos'!$U:$U, $F5, 'Base de Datos'!$AA:$AA, "Finalizada", 'Base de Datos'!$AJ:$AJ, "&gt;=01/03/2026", 'Base de Datos'!$AJ:$AJ, "&lt;=31/03/2026")</f>
        <v>0</v>
      </c>
      <c r="S5" s="29">
        <f>COUNTIFS('Base de Datos'!$F:$F, $C5, 'Base de Datos'!$H:$H, $E5, 'Base de Datos'!$U:$U, $F5, 'Base de Datos'!$AA:$AA, "Finalizada", 'Base de Datos'!$AJ:$AJ, "&gt;=01/04/2026", 'Base de Datos'!$AJ:$AJ, "&lt;=30/04/2026")</f>
        <v>0</v>
      </c>
      <c r="T5" s="29">
        <f>COUNTIFS('Base de Datos'!$F:$F, $C5, 'Base de Datos'!$H:$H, $E5, 'Base de Datos'!$U:$U, $F5, 'Base de Datos'!$AA:$AA, "Finalizada", 'Base de Datos'!$AJ:$AJ, "&gt;=01/05/2026", 'Base de Datos'!$AJ:$AJ, "&lt;=31/05/2026")</f>
        <v>0</v>
      </c>
      <c r="U5" s="29">
        <f>COUNTIFS('Base de Datos'!$F:$F, $C5, 'Base de Datos'!$H:$H, $E5, 'Base de Datos'!$U:$U, $F5, 'Base de Datos'!$AA:$AA, "Finalizada", 'Base de Datos'!$AJ:$AJ, "&gt;=01/06/2026", 'Base de Datos'!$AJ:$AJ, "&lt;=30/06/2026")</f>
        <v>1</v>
      </c>
    </row>
    <row r="6" spans="1:21">
      <c r="C6" s="4">
        <v>2025</v>
      </c>
      <c r="D6" s="4">
        <v>90</v>
      </c>
      <c r="E6" s="4" t="s">
        <v>50</v>
      </c>
      <c r="F6" s="5" t="s">
        <v>675</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2</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2</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f>COUNTIFS('Base de Datos'!$F:$F, $C6, 'Base de Datos'!$H:$H, $E6, 'Base de Datos'!$U:$U, $F6, 'Base de Datos'!$AA:$AA, "Finalizada", 'Base de Datos'!$AJ:$AJ, "&gt;=01/01/2026", 'Base de Datos'!$AJ:$AJ, "&lt;=31/01/2026")</f>
        <v>0</v>
      </c>
      <c r="Q6" s="29">
        <f>COUNTIFS('Base de Datos'!$F:$F, $C6, 'Base de Datos'!$H:$H, $E6, 'Base de Datos'!$U:$U, $F6, 'Base de Datos'!$AA:$AA, "Finalizada", 'Base de Datos'!$AJ:$AJ, "&gt;=01/02/2026", 'Base de Datos'!$AJ:$AJ, "&lt;=28/02/2026")</f>
        <v>0</v>
      </c>
      <c r="R6" s="29">
        <f>COUNTIFS('Base de Datos'!$F:$F, $C6, 'Base de Datos'!$H:$H, $E6, 'Base de Datos'!$U:$U, $F6, 'Base de Datos'!$AA:$AA, "Finalizada", 'Base de Datos'!$AJ:$AJ, "&gt;=01/03/2026", 'Base de Datos'!$AJ:$AJ, "&lt;=31/03/2026")</f>
        <v>0</v>
      </c>
      <c r="S6" s="29">
        <f>COUNTIFS('Base de Datos'!$F:$F, $C6, 'Base de Datos'!$H:$H, $E6, 'Base de Datos'!$U:$U, $F6, 'Base de Datos'!$AA:$AA, "Finalizada", 'Base de Datos'!$AJ:$AJ, "&gt;=01/04/2026", 'Base de Datos'!$AJ:$AJ, "&lt;=30/04/2026")</f>
        <v>0</v>
      </c>
      <c r="T6" s="29">
        <f>COUNTIFS('Base de Datos'!$F:$F, $C6, 'Base de Datos'!$H:$H, $E6, 'Base de Datos'!$U:$U, $F6, 'Base de Datos'!$AA:$AA, "Finalizada", 'Base de Datos'!$AJ:$AJ, "&gt;=01/05/2026", 'Base de Datos'!$AJ:$AJ, "&lt;=31/05/2026")</f>
        <v>0</v>
      </c>
      <c r="U6" s="29">
        <f>COUNTIFS('Base de Datos'!$F:$F, $C6, 'Base de Datos'!$H:$H, $E6, 'Base de Datos'!$U:$U, $F6, 'Base de Datos'!$AA:$AA, "Finalizada", 'Base de Datos'!$AJ:$AJ, "&gt;=01/06/2026", 'Base de Datos'!$AJ:$AJ, "&lt;=30/06/2026")</f>
        <v>0</v>
      </c>
    </row>
    <row r="7" spans="1:21">
      <c r="C7" s="4">
        <v>2025</v>
      </c>
      <c r="D7" s="4">
        <v>90</v>
      </c>
      <c r="E7" s="4" t="s">
        <v>65</v>
      </c>
      <c r="F7" s="5" t="s">
        <v>676</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3</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3</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f>COUNTIFS('Base de Datos'!$F:$F, $C7, 'Base de Datos'!$H:$H, $E7, 'Base de Datos'!$U:$U, $F7, 'Base de Datos'!$AA:$AA, "Finalizada", 'Base de Datos'!$AJ:$AJ, "&gt;=01/01/2026", 'Base de Datos'!$AJ:$AJ, "&lt;=31/01/2026")</f>
        <v>0</v>
      </c>
      <c r="Q7" s="29">
        <f>COUNTIFS('Base de Datos'!$F:$F, $C7, 'Base de Datos'!$H:$H, $E7, 'Base de Datos'!$U:$U, $F7, 'Base de Datos'!$AA:$AA, "Finalizada", 'Base de Datos'!$AJ:$AJ, "&gt;=01/02/2026", 'Base de Datos'!$AJ:$AJ, "&lt;=28/02/2026")</f>
        <v>0</v>
      </c>
      <c r="R7" s="29">
        <f>COUNTIFS('Base de Datos'!$F:$F, $C7, 'Base de Datos'!$H:$H, $E7, 'Base de Datos'!$U:$U, $F7, 'Base de Datos'!$AA:$AA, "Finalizada", 'Base de Datos'!$AJ:$AJ, "&gt;=01/03/2026", 'Base de Datos'!$AJ:$AJ, "&lt;=31/03/2026")</f>
        <v>0</v>
      </c>
      <c r="S7" s="29">
        <f>COUNTIFS('Base de Datos'!$F:$F, $C7, 'Base de Datos'!$H:$H, $E7, 'Base de Datos'!$U:$U, $F7, 'Base de Datos'!$AA:$AA, "Finalizada", 'Base de Datos'!$AJ:$AJ, "&gt;=01/04/2026", 'Base de Datos'!$AJ:$AJ, "&lt;=30/04/2026")</f>
        <v>0</v>
      </c>
      <c r="T7" s="29">
        <f>COUNTIFS('Base de Datos'!$F:$F, $C7, 'Base de Datos'!$H:$H, $E7, 'Base de Datos'!$U:$U, $F7, 'Base de Datos'!$AA:$AA, "Finalizada", 'Base de Datos'!$AJ:$AJ, "&gt;=01/05/2026", 'Base de Datos'!$AJ:$AJ, "&lt;=31/05/2026")</f>
        <v>1</v>
      </c>
      <c r="U7" s="29">
        <f>COUNTIFS('Base de Datos'!$F:$F, $C7, 'Base de Datos'!$H:$H, $E7, 'Base de Datos'!$U:$U, $F7, 'Base de Datos'!$AA:$AA, "Finalizada", 'Base de Datos'!$AJ:$AJ, "&gt;=01/06/2026", 'Base de Datos'!$AJ:$AJ, "&lt;=30/06/2026")</f>
        <v>0</v>
      </c>
    </row>
    <row r="8" spans="1:21">
      <c r="C8" s="4">
        <v>2025</v>
      </c>
      <c r="D8" s="4">
        <v>90</v>
      </c>
      <c r="E8" s="4" t="s">
        <v>83</v>
      </c>
      <c r="F8" s="5" t="s">
        <v>694</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1</v>
      </c>
      <c r="I8" s="29">
        <f>COUNTIFS('Base de Datos'!$F:$F,$C8,'Base de Datos'!$G:$G,$D8,'Base de Datos'!$H:$H,$E8,'Base de Datos'!$U:$U,$F8,'Base de Datos'!$AA:$AA,"Abierta")</f>
        <v>1</v>
      </c>
      <c r="J8" s="29">
        <f>COUNTIFS('Base de Datos'!$F:$F,$C8,'Base de Datos'!$G:$G,$D8,'Base de Datos'!$H:$H,$E8,'Base de Datos'!$U:$U,$F8,'Base de Datos'!$AA:$AA,"Vencida")</f>
        <v>0</v>
      </c>
      <c r="K8" s="29">
        <f>COUNTIFS('Base de Datos'!$F:$F,$C8,'Base de Datos'!$G:$G,$D8,'Base de Datos'!$H:$H,$E8,'Base de Datos'!$U:$U,$F8,'Base de Datos'!$AA:$AA,"Finalizada")</f>
        <v>0</v>
      </c>
      <c r="L8" s="29">
        <f ca="1">COUNTIFS('Base de Datos'!$F:$F,$C8,'Base de Datos'!$G:$G,$D8,'Base de Datos'!$H:$H,$E8,'Base de Datos'!$U:$U,$F8,'Base de Datos'!$AA:$AA,"Abierta",'Base de Datos'!$AC:$AC,"&lt;=10",'Base de Datos'!$AC:$AC,"&gt;0")</f>
        <v>0</v>
      </c>
      <c r="M8" s="29">
        <f ca="1">COUNTIFS('Base de Datos'!$F:$F,$C8,'Base de Datos'!$G:$G,$D8,'Base de Datos'!$H:$H,$E8,'Base de Datos'!$U:$U,$F8,'Base de Datos'!$AA:$AA,"Abierta",'Base de Datos'!$AC:$AC,"&lt;=20",'Base de Datos'!$AC:$AC,"&gt;10")</f>
        <v>0</v>
      </c>
      <c r="N8" s="32">
        <f ca="1">COUNTIFS('Base de Datos'!$F:$F,$C8,'Base de Datos'!$G:$G,$D8,'Base de Datos'!$H:$H,$E8,'Base de Datos'!$U:$U,$F8,'Base de Datos'!$AA:$AA,"Abierta",'Base de Datos'!$AC:$AC,"&lt;=30",'Base de Datos'!$AC:$AC,"&gt;20")</f>
        <v>0</v>
      </c>
      <c r="O8" s="29">
        <f ca="1">COUNTIFS('Base de Datos'!$F:$F,$C8,'Base de Datos'!$G:$G,$D8,'Base de Datos'!$H:$H,$E8,'Base de Datos'!$U:$U,$F8,'Base de Datos'!$AA:$AA,"Abierta",'Base de Datos'!$AG:$AG,1)</f>
        <v>0</v>
      </c>
      <c r="P8" s="29">
        <f>COUNTIFS('Base de Datos'!$F:$F, $C8, 'Base de Datos'!$H:$H, $E8, 'Base de Datos'!$U:$U, $F8, 'Base de Datos'!$AA:$AA, "Finalizada", 'Base de Datos'!$AJ:$AJ, "&gt;=01/01/2026", 'Base de Datos'!$AJ:$AJ, "&lt;=31/01/2026")</f>
        <v>0</v>
      </c>
      <c r="Q8" s="29">
        <f>COUNTIFS('Base de Datos'!$F:$F, $C8, 'Base de Datos'!$H:$H, $E8, 'Base de Datos'!$U:$U, $F8, 'Base de Datos'!$AA:$AA, "Finalizada", 'Base de Datos'!$AJ:$AJ, "&gt;=01/02/2026", 'Base de Datos'!$AJ:$AJ, "&lt;=28/02/2026")</f>
        <v>0</v>
      </c>
      <c r="R8" s="29">
        <f>COUNTIFS('Base de Datos'!$F:$F, $C8, 'Base de Datos'!$H:$H, $E8, 'Base de Datos'!$U:$U, $F8, 'Base de Datos'!$AA:$AA, "Finalizada", 'Base de Datos'!$AJ:$AJ, "&gt;=01/03/2026", 'Base de Datos'!$AJ:$AJ, "&lt;=31/03/2026")</f>
        <v>0</v>
      </c>
      <c r="S8" s="29">
        <f>COUNTIFS('Base de Datos'!$F:$F, $C8, 'Base de Datos'!$H:$H, $E8, 'Base de Datos'!$U:$U, $F8, 'Base de Datos'!$AA:$AA, "Finalizada", 'Base de Datos'!$AJ:$AJ, "&gt;=01/04/2026", 'Base de Datos'!$AJ:$AJ, "&lt;=30/04/2026")</f>
        <v>0</v>
      </c>
      <c r="T8" s="29">
        <f>COUNTIFS('Base de Datos'!$F:$F, $C8, 'Base de Datos'!$H:$H, $E8, 'Base de Datos'!$U:$U, $F8, 'Base de Datos'!$AA:$AA, "Finalizada", 'Base de Datos'!$AJ:$AJ, "&gt;=01/05/2026", 'Base de Datos'!$AJ:$AJ, "&lt;=31/05/2026")</f>
        <v>0</v>
      </c>
      <c r="U8" s="29">
        <f>COUNTIFS('Base de Datos'!$F:$F, $C8, 'Base de Datos'!$H:$H, $E8, 'Base de Datos'!$U:$U, $F8, 'Base de Datos'!$AA:$AA, "Finalizada", 'Base de Datos'!$AJ:$AJ, "&gt;=01/06/2026", 'Base de Datos'!$AJ:$AJ, "&lt;=30/06/2026")</f>
        <v>0</v>
      </c>
    </row>
    <row r="9" spans="1:21">
      <c r="C9" s="4">
        <v>2025</v>
      </c>
      <c r="D9" s="4">
        <v>90</v>
      </c>
      <c r="E9" s="4" t="s">
        <v>91</v>
      </c>
      <c r="F9" s="5" t="s">
        <v>675</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1</v>
      </c>
      <c r="I9" s="29">
        <f>COUNTIFS('Base de Datos'!$F:$F,$C9,'Base de Datos'!$G:$G,$D9,'Base de Datos'!$H:$H,$E9,'Base de Datos'!$U:$U,$F9,'Base de Datos'!$AA:$AA,"Abierta")</f>
        <v>1</v>
      </c>
      <c r="J9" s="29">
        <f>COUNTIFS('Base de Datos'!$F:$F,$C9,'Base de Datos'!$G:$G,$D9,'Base de Datos'!$H:$H,$E9,'Base de Datos'!$U:$U,$F9,'Base de Datos'!$AA:$AA,"Vencida")</f>
        <v>0</v>
      </c>
      <c r="K9" s="29">
        <f>COUNTIFS('Base de Datos'!$F:$F,$C9,'Base de Datos'!$G:$G,$D9,'Base de Datos'!$H:$H,$E9,'Base de Datos'!$U:$U,$F9,'Base de Datos'!$AA:$AA,"Finalizada")</f>
        <v>0</v>
      </c>
      <c r="L9" s="29">
        <f ca="1">COUNTIFS('Base de Datos'!$F:$F,$C9,'Base de Datos'!$G:$G,$D9,'Base de Datos'!$H:$H,$E9,'Base de Datos'!$U:$U,$F9,'Base de Datos'!$AA:$AA,"Abierta",'Base de Datos'!$AC:$AC,"&lt;=10",'Base de Datos'!$AC:$AC,"&gt;0")</f>
        <v>0</v>
      </c>
      <c r="M9" s="29">
        <f ca="1">COUNTIFS('Base de Datos'!$F:$F,$C9,'Base de Datos'!$G:$G,$D9,'Base de Datos'!$H:$H,$E9,'Base de Datos'!$U:$U,$F9,'Base de Datos'!$AA:$AA,"Abierta",'Base de Datos'!$AC:$AC,"&lt;=20",'Base de Datos'!$AC:$AC,"&gt;10")</f>
        <v>0</v>
      </c>
      <c r="N9" s="32">
        <f ca="1">COUNTIFS('Base de Datos'!$F:$F,$C9,'Base de Datos'!$G:$G,$D9,'Base de Datos'!$H:$H,$E9,'Base de Datos'!$U:$U,$F9,'Base de Datos'!$AA:$AA,"Abierta",'Base de Datos'!$AC:$AC,"&lt;=30",'Base de Datos'!$AC:$AC,"&gt;20")</f>
        <v>0</v>
      </c>
      <c r="O9" s="29">
        <f ca="1">COUNTIFS('Base de Datos'!$F:$F,$C9,'Base de Datos'!$G:$G,$D9,'Base de Datos'!$H:$H,$E9,'Base de Datos'!$U:$U,$F9,'Base de Datos'!$AA:$AA,"Abierta",'Base de Datos'!$AG:$AG,1)</f>
        <v>0</v>
      </c>
      <c r="P9" s="29">
        <f>COUNTIFS('Base de Datos'!$F:$F, $C9, 'Base de Datos'!$H:$H, $E9, 'Base de Datos'!$U:$U, $F9, 'Base de Datos'!$AA:$AA, "Finalizada", 'Base de Datos'!$AJ:$AJ, "&gt;=01/01/2026", 'Base de Datos'!$AJ:$AJ, "&lt;=31/01/2026")</f>
        <v>0</v>
      </c>
      <c r="Q9" s="29">
        <f>COUNTIFS('Base de Datos'!$F:$F, $C9, 'Base de Datos'!$H:$H, $E9, 'Base de Datos'!$U:$U, $F9, 'Base de Datos'!$AA:$AA, "Finalizada", 'Base de Datos'!$AJ:$AJ, "&gt;=01/02/2026", 'Base de Datos'!$AJ:$AJ, "&lt;=28/02/2026")</f>
        <v>0</v>
      </c>
      <c r="R9" s="29">
        <f>COUNTIFS('Base de Datos'!$F:$F, $C9, 'Base de Datos'!$H:$H, $E9, 'Base de Datos'!$U:$U, $F9, 'Base de Datos'!$AA:$AA, "Finalizada", 'Base de Datos'!$AJ:$AJ, "&gt;=01/03/2026", 'Base de Datos'!$AJ:$AJ, "&lt;=31/03/2026")</f>
        <v>0</v>
      </c>
      <c r="S9" s="29">
        <f>COUNTIFS('Base de Datos'!$F:$F, $C9, 'Base de Datos'!$H:$H, $E9, 'Base de Datos'!$U:$U, $F9, 'Base de Datos'!$AA:$AA, "Finalizada", 'Base de Datos'!$AJ:$AJ, "&gt;=01/04/2026", 'Base de Datos'!$AJ:$AJ, "&lt;=30/04/2026")</f>
        <v>0</v>
      </c>
      <c r="T9" s="29">
        <f>COUNTIFS('Base de Datos'!$F:$F, $C9, 'Base de Datos'!$H:$H, $E9, 'Base de Datos'!$U:$U, $F9, 'Base de Datos'!$AA:$AA, "Finalizada", 'Base de Datos'!$AJ:$AJ, "&gt;=01/05/2026", 'Base de Datos'!$AJ:$AJ, "&lt;=31/05/2026")</f>
        <v>0</v>
      </c>
      <c r="U9" s="29">
        <f>COUNTIFS('Base de Datos'!$F:$F, $C9, 'Base de Datos'!$H:$H, $E9, 'Base de Datos'!$U:$U, $F9, 'Base de Datos'!$AA:$AA, "Finalizada", 'Base de Datos'!$AJ:$AJ, "&gt;=01/06/2026", 'Base de Datos'!$AJ:$AJ, "&lt;=30/06/2026")</f>
        <v>0</v>
      </c>
    </row>
    <row r="10" spans="1:21">
      <c r="C10" s="4">
        <v>2025</v>
      </c>
      <c r="D10" s="4">
        <v>90</v>
      </c>
      <c r="E10" s="4" t="s">
        <v>91</v>
      </c>
      <c r="F10" s="5" t="s">
        <v>674</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1</v>
      </c>
      <c r="I10" s="29">
        <f>COUNTIFS('Base de Datos'!$F:$F,$C10,'Base de Datos'!$G:$G,$D10,'Base de Datos'!$H:$H,$E10,'Base de Datos'!$U:$U,$F10,'Base de Datos'!$AA:$AA,"Abierta")</f>
        <v>1</v>
      </c>
      <c r="J10" s="29">
        <f>COUNTIFS('Base de Datos'!$F:$F,$C10,'Base de Datos'!$G:$G,$D10,'Base de Datos'!$H:$H,$E10,'Base de Datos'!$U:$U,$F10,'Base de Datos'!$AA:$AA,"Vencida")</f>
        <v>0</v>
      </c>
      <c r="K10" s="29">
        <f>COUNTIFS('Base de Datos'!$F:$F,$C10,'Base de Datos'!$G:$G,$D10,'Base de Datos'!$H:$H,$E10,'Base de Datos'!$U:$U,$F10,'Base de Datos'!$AA:$AA,"Finalizada")</f>
        <v>0</v>
      </c>
      <c r="L10" s="29">
        <f ca="1">COUNTIFS('Base de Datos'!$F:$F,$C10,'Base de Datos'!$G:$G,$D10,'Base de Datos'!$H:$H,$E10,'Base de Datos'!$U:$U,$F10,'Base de Datos'!$AA:$AA,"Abierta",'Base de Datos'!$AC:$AC,"&lt;=10",'Base de Datos'!$AC:$AC,"&gt;0")</f>
        <v>0</v>
      </c>
      <c r="M10" s="29">
        <f ca="1">COUNTIFS('Base de Datos'!$F:$F,$C10,'Base de Datos'!$G:$G,$D10,'Base de Datos'!$H:$H,$E10,'Base de Datos'!$U:$U,$F10,'Base de Datos'!$AA:$AA,"Abierta",'Base de Datos'!$AC:$AC,"&lt;=20",'Base de Datos'!$AC:$AC,"&gt;10")</f>
        <v>0</v>
      </c>
      <c r="N10" s="32">
        <f ca="1">COUNTIFS('Base de Datos'!$F:$F,$C10,'Base de Datos'!$G:$G,$D10,'Base de Datos'!$H:$H,$E10,'Base de Datos'!$U:$U,$F10,'Base de Datos'!$AA:$AA,"Abierta",'Base de Datos'!$AC:$AC,"&lt;=30",'Base de Datos'!$AC:$AC,"&gt;20")</f>
        <v>0</v>
      </c>
      <c r="O10" s="29">
        <f ca="1">COUNTIFS('Base de Datos'!$F:$F,$C10,'Base de Datos'!$G:$G,$D10,'Base de Datos'!$H:$H,$E10,'Base de Datos'!$U:$U,$F10,'Base de Datos'!$AA:$AA,"Abierta",'Base de Datos'!$AG:$AG,1)</f>
        <v>0</v>
      </c>
      <c r="P10" s="29">
        <f>COUNTIFS('Base de Datos'!$F:$F, $C10, 'Base de Datos'!$H:$H, $E10, 'Base de Datos'!$U:$U, $F10, 'Base de Datos'!$AA:$AA, "Finalizada", 'Base de Datos'!$AJ:$AJ, "&gt;=01/01/2026", 'Base de Datos'!$AJ:$AJ, "&lt;=31/01/2026")</f>
        <v>0</v>
      </c>
      <c r="Q10" s="29">
        <f>COUNTIFS('Base de Datos'!$F:$F, $C10, 'Base de Datos'!$H:$H, $E10, 'Base de Datos'!$U:$U, $F10, 'Base de Datos'!$AA:$AA, "Finalizada", 'Base de Datos'!$AJ:$AJ, "&gt;=01/02/2026", 'Base de Datos'!$AJ:$AJ, "&lt;=28/02/2026")</f>
        <v>0</v>
      </c>
      <c r="R10" s="29">
        <f>COUNTIFS('Base de Datos'!$F:$F, $C10, 'Base de Datos'!$H:$H, $E10, 'Base de Datos'!$U:$U, $F10, 'Base de Datos'!$AA:$AA, "Finalizada", 'Base de Datos'!$AJ:$AJ, "&gt;=01/03/2026", 'Base de Datos'!$AJ:$AJ, "&lt;=31/03/2026")</f>
        <v>0</v>
      </c>
      <c r="S10" s="29">
        <f>COUNTIFS('Base de Datos'!$F:$F, $C10, 'Base de Datos'!$H:$H, $E10, 'Base de Datos'!$U:$U, $F10, 'Base de Datos'!$AA:$AA, "Finalizada", 'Base de Datos'!$AJ:$AJ, "&gt;=01/04/2026", 'Base de Datos'!$AJ:$AJ, "&lt;=30/04/2026")</f>
        <v>0</v>
      </c>
      <c r="T10" s="29">
        <f>COUNTIFS('Base de Datos'!$F:$F, $C10, 'Base de Datos'!$H:$H, $E10, 'Base de Datos'!$U:$U, $F10, 'Base de Datos'!$AA:$AA, "Finalizada", 'Base de Datos'!$AJ:$AJ, "&gt;=01/05/2026", 'Base de Datos'!$AJ:$AJ, "&lt;=31/05/2026")</f>
        <v>0</v>
      </c>
      <c r="U10" s="29">
        <f>COUNTIFS('Base de Datos'!$F:$F, $C10, 'Base de Datos'!$H:$H, $E10, 'Base de Datos'!$U:$U, $F10, 'Base de Datos'!$AA:$AA, "Finalizada", 'Base de Datos'!$AJ:$AJ, "&gt;=01/06/2026", 'Base de Datos'!$AJ:$AJ, "&lt;=30/06/2026")</f>
        <v>0</v>
      </c>
    </row>
    <row r="11" spans="1:21">
      <c r="C11" s="4">
        <v>2025</v>
      </c>
      <c r="D11" s="4">
        <v>90</v>
      </c>
      <c r="E11" s="4" t="s">
        <v>91</v>
      </c>
      <c r="F11" s="5" t="s">
        <v>677</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1</v>
      </c>
      <c r="I11" s="29">
        <f>COUNTIFS('Base de Datos'!$F:$F,$C11,'Base de Datos'!$G:$G,$D11,'Base de Datos'!$H:$H,$E11,'Base de Datos'!$U:$U,$F11,'Base de Datos'!$AA:$AA,"Abierta")</f>
        <v>1</v>
      </c>
      <c r="J11" s="29">
        <f>COUNTIFS('Base de Datos'!$F:$F,$C11,'Base de Datos'!$G:$G,$D11,'Base de Datos'!$H:$H,$E11,'Base de Datos'!$U:$U,$F11,'Base de Datos'!$AA:$AA,"Vencida")</f>
        <v>0</v>
      </c>
      <c r="K11" s="29">
        <f>COUNTIFS('Base de Datos'!$F:$F,$C11,'Base de Datos'!$G:$G,$D11,'Base de Datos'!$H:$H,$E11,'Base de Datos'!$U:$U,$F11,'Base de Datos'!$AA:$AA,"Finalizada")</f>
        <v>0</v>
      </c>
      <c r="L11" s="29">
        <f ca="1">COUNTIFS('Base de Datos'!$F:$F,$C11,'Base de Datos'!$G:$G,$D11,'Base de Datos'!$H:$H,$E11,'Base de Datos'!$U:$U,$F11,'Base de Datos'!$AA:$AA,"Abierta",'Base de Datos'!$AC:$AC,"&lt;=10",'Base de Datos'!$AC:$AC,"&gt;0")</f>
        <v>0</v>
      </c>
      <c r="M11" s="29">
        <f ca="1">COUNTIFS('Base de Datos'!$F:$F,$C11,'Base de Datos'!$G:$G,$D11,'Base de Datos'!$H:$H,$E11,'Base de Datos'!$U:$U,$F11,'Base de Datos'!$AA:$AA,"Abierta",'Base de Datos'!$AC:$AC,"&lt;=20",'Base de Datos'!$AC:$AC,"&gt;10")</f>
        <v>0</v>
      </c>
      <c r="N11" s="32">
        <f ca="1">COUNTIFS('Base de Datos'!$F:$F,$C11,'Base de Datos'!$G:$G,$D11,'Base de Datos'!$H:$H,$E11,'Base de Datos'!$U:$U,$F11,'Base de Datos'!$AA:$AA,"Abierta",'Base de Datos'!$AC:$AC,"&lt;=30",'Base de Datos'!$AC:$AC,"&gt;20")</f>
        <v>0</v>
      </c>
      <c r="O11" s="29">
        <f ca="1">COUNTIFS('Base de Datos'!$F:$F,$C11,'Base de Datos'!$G:$G,$D11,'Base de Datos'!$H:$H,$E11,'Base de Datos'!$U:$U,$F11,'Base de Datos'!$AA:$AA,"Abierta",'Base de Datos'!$AG:$AG,1)</f>
        <v>0</v>
      </c>
      <c r="P11" s="29">
        <f>COUNTIFS('Base de Datos'!$F:$F, $C11, 'Base de Datos'!$H:$H, $E11, 'Base de Datos'!$U:$U, $F11, 'Base de Datos'!$AA:$AA, "Finalizada", 'Base de Datos'!$AJ:$AJ, "&gt;=01/01/2026", 'Base de Datos'!$AJ:$AJ, "&lt;=31/01/2026")</f>
        <v>0</v>
      </c>
      <c r="Q11" s="29">
        <f>COUNTIFS('Base de Datos'!$F:$F, $C11, 'Base de Datos'!$H:$H, $E11, 'Base de Datos'!$U:$U, $F11, 'Base de Datos'!$AA:$AA, "Finalizada", 'Base de Datos'!$AJ:$AJ, "&gt;=01/02/2026", 'Base de Datos'!$AJ:$AJ, "&lt;=28/02/2026")</f>
        <v>0</v>
      </c>
      <c r="R11" s="29">
        <f>COUNTIFS('Base de Datos'!$F:$F, $C11, 'Base de Datos'!$H:$H, $E11, 'Base de Datos'!$U:$U, $F11, 'Base de Datos'!$AA:$AA, "Finalizada", 'Base de Datos'!$AJ:$AJ, "&gt;=01/03/2026", 'Base de Datos'!$AJ:$AJ, "&lt;=31/03/2026")</f>
        <v>0</v>
      </c>
      <c r="S11" s="29">
        <f>COUNTIFS('Base de Datos'!$F:$F, $C11, 'Base de Datos'!$H:$H, $E11, 'Base de Datos'!$U:$U, $F11, 'Base de Datos'!$AA:$AA, "Finalizada", 'Base de Datos'!$AJ:$AJ, "&gt;=01/04/2026", 'Base de Datos'!$AJ:$AJ, "&lt;=30/04/2026")</f>
        <v>0</v>
      </c>
      <c r="T11" s="29">
        <f>COUNTIFS('Base de Datos'!$F:$F, $C11, 'Base de Datos'!$H:$H, $E11, 'Base de Datos'!$U:$U, $F11, 'Base de Datos'!$AA:$AA, "Finalizada", 'Base de Datos'!$AJ:$AJ, "&gt;=01/05/2026", 'Base de Datos'!$AJ:$AJ, "&lt;=31/05/2026")</f>
        <v>0</v>
      </c>
      <c r="U11" s="29">
        <f>COUNTIFS('Base de Datos'!$F:$F, $C11, 'Base de Datos'!$H:$H, $E11, 'Base de Datos'!$U:$U, $F11, 'Base de Datos'!$AA:$AA, "Finalizada", 'Base de Datos'!$AJ:$AJ, "&gt;=01/06/2026", 'Base de Datos'!$AJ:$AJ, "&lt;=30/06/2026")</f>
        <v>0</v>
      </c>
    </row>
    <row r="12" spans="1:21">
      <c r="C12" s="4">
        <v>2025</v>
      </c>
      <c r="D12" s="4">
        <v>90</v>
      </c>
      <c r="E12" s="4" t="s">
        <v>106</v>
      </c>
      <c r="F12" s="5" t="s">
        <v>675</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1</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1</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f>COUNTIFS('Base de Datos'!$F:$F, $C12, 'Base de Datos'!$H:$H, $E12, 'Base de Datos'!$U:$U, $F12, 'Base de Datos'!$AA:$AA, "Finalizada", 'Base de Datos'!$AJ:$AJ, "&gt;=01/01/2026", 'Base de Datos'!$AJ:$AJ, "&lt;=31/01/2026")</f>
        <v>0</v>
      </c>
      <c r="Q12" s="29">
        <f>COUNTIFS('Base de Datos'!$F:$F, $C12, 'Base de Datos'!$H:$H, $E12, 'Base de Datos'!$U:$U, $F12, 'Base de Datos'!$AA:$AA, "Finalizada", 'Base de Datos'!$AJ:$AJ, "&gt;=01/02/2026", 'Base de Datos'!$AJ:$AJ, "&lt;=28/02/2026")</f>
        <v>1</v>
      </c>
      <c r="R12" s="29">
        <f>COUNTIFS('Base de Datos'!$F:$F, $C12, 'Base de Datos'!$H:$H, $E12, 'Base de Datos'!$U:$U, $F12, 'Base de Datos'!$AA:$AA, "Finalizada", 'Base de Datos'!$AJ:$AJ, "&gt;=01/03/2026", 'Base de Datos'!$AJ:$AJ, "&lt;=31/03/2026")</f>
        <v>0</v>
      </c>
      <c r="S12" s="29">
        <f>COUNTIFS('Base de Datos'!$F:$F, $C12, 'Base de Datos'!$H:$H, $E12, 'Base de Datos'!$U:$U, $F12, 'Base de Datos'!$AA:$AA, "Finalizada", 'Base de Datos'!$AJ:$AJ, "&gt;=01/04/2026", 'Base de Datos'!$AJ:$AJ, "&lt;=30/04/2026")</f>
        <v>0</v>
      </c>
      <c r="T12" s="29">
        <f>COUNTIFS('Base de Datos'!$F:$F, $C12, 'Base de Datos'!$H:$H, $E12, 'Base de Datos'!$U:$U, $F12, 'Base de Datos'!$AA:$AA, "Finalizada", 'Base de Datos'!$AJ:$AJ, "&gt;=01/05/2026", 'Base de Datos'!$AJ:$AJ, "&lt;=31/05/2026")</f>
        <v>0</v>
      </c>
      <c r="U12" s="29">
        <f>COUNTIFS('Base de Datos'!$F:$F, $C12, 'Base de Datos'!$H:$H, $E12, 'Base de Datos'!$U:$U, $F12, 'Base de Datos'!$AA:$AA, "Finalizada", 'Base de Datos'!$AJ:$AJ, "&gt;=01/06/2026", 'Base de Datos'!$AJ:$AJ, "&lt;=30/06/2026")</f>
        <v>0</v>
      </c>
    </row>
    <row r="13" spans="1:21">
      <c r="C13" s="4">
        <v>2025</v>
      </c>
      <c r="D13" s="4">
        <v>90</v>
      </c>
      <c r="E13" s="4" t="s">
        <v>106</v>
      </c>
      <c r="F13" s="5" t="s">
        <v>674</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1</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1</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f>COUNTIFS('Base de Datos'!$F:$F, $C13, 'Base de Datos'!$H:$H, $E13, 'Base de Datos'!$U:$U, $F13, 'Base de Datos'!$AA:$AA, "Finalizada", 'Base de Datos'!$AJ:$AJ, "&gt;=01/01/2026", 'Base de Datos'!$AJ:$AJ, "&lt;=31/01/2026")</f>
        <v>0</v>
      </c>
      <c r="Q13" s="29">
        <f>COUNTIFS('Base de Datos'!$F:$F, $C13, 'Base de Datos'!$H:$H, $E13, 'Base de Datos'!$U:$U, $F13, 'Base de Datos'!$AA:$AA, "Finalizada", 'Base de Datos'!$AJ:$AJ, "&gt;=01/02/2026", 'Base de Datos'!$AJ:$AJ, "&lt;=28/02/2026")</f>
        <v>1</v>
      </c>
      <c r="R13" s="29">
        <f>COUNTIFS('Base de Datos'!$F:$F, $C13, 'Base de Datos'!$H:$H, $E13, 'Base de Datos'!$U:$U, $F13, 'Base de Datos'!$AA:$AA, "Finalizada", 'Base de Datos'!$AJ:$AJ, "&gt;=01/03/2026", 'Base de Datos'!$AJ:$AJ, "&lt;=31/03/2026")</f>
        <v>0</v>
      </c>
      <c r="S13" s="29">
        <f>COUNTIFS('Base de Datos'!$F:$F, $C13, 'Base de Datos'!$H:$H, $E13, 'Base de Datos'!$U:$U, $F13, 'Base de Datos'!$AA:$AA, "Finalizada", 'Base de Datos'!$AJ:$AJ, "&gt;=01/04/2026", 'Base de Datos'!$AJ:$AJ, "&lt;=30/04/2026")</f>
        <v>0</v>
      </c>
      <c r="T13" s="29">
        <f>COUNTIFS('Base de Datos'!$F:$F, $C13, 'Base de Datos'!$H:$H, $E13, 'Base de Datos'!$U:$U, $F13, 'Base de Datos'!$AA:$AA, "Finalizada", 'Base de Datos'!$AJ:$AJ, "&gt;=01/05/2026", 'Base de Datos'!$AJ:$AJ, "&lt;=31/05/2026")</f>
        <v>0</v>
      </c>
      <c r="U13" s="29">
        <f>COUNTIFS('Base de Datos'!$F:$F, $C13, 'Base de Datos'!$H:$H, $E13, 'Base de Datos'!$U:$U, $F13, 'Base de Datos'!$AA:$AA, "Finalizada", 'Base de Datos'!$AJ:$AJ, "&gt;=01/06/2026", 'Base de Datos'!$AJ:$AJ, "&lt;=30/06/2026")</f>
        <v>0</v>
      </c>
    </row>
    <row r="14" spans="1:21">
      <c r="C14" s="4">
        <v>2025</v>
      </c>
      <c r="D14" s="4">
        <v>90</v>
      </c>
      <c r="E14" s="4" t="s">
        <v>118</v>
      </c>
      <c r="F14" s="5" t="s">
        <v>674</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1</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1</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f>COUNTIFS('Base de Datos'!$F:$F, $C14, 'Base de Datos'!$H:$H, $E14, 'Base de Datos'!$U:$U, $F14, 'Base de Datos'!$AA:$AA, "Finalizada", 'Base de Datos'!$AJ:$AJ, "&gt;=01/01/2026", 'Base de Datos'!$AJ:$AJ, "&lt;=31/01/2026")</f>
        <v>0</v>
      </c>
      <c r="Q14" s="29">
        <f>COUNTIFS('Base de Datos'!$F:$F, $C14, 'Base de Datos'!$H:$H, $E14, 'Base de Datos'!$U:$U, $F14, 'Base de Datos'!$AA:$AA, "Finalizada", 'Base de Datos'!$AJ:$AJ, "&gt;=01/02/2026", 'Base de Datos'!$AJ:$AJ, "&lt;=28/02/2026")</f>
        <v>0</v>
      </c>
      <c r="R14" s="29">
        <f>COUNTIFS('Base de Datos'!$F:$F, $C14, 'Base de Datos'!$H:$H, $E14, 'Base de Datos'!$U:$U, $F14, 'Base de Datos'!$AA:$AA, "Finalizada", 'Base de Datos'!$AJ:$AJ, "&gt;=01/03/2026", 'Base de Datos'!$AJ:$AJ, "&lt;=31/03/2026")</f>
        <v>0</v>
      </c>
      <c r="S14" s="29">
        <f>COUNTIFS('Base de Datos'!$F:$F, $C14, 'Base de Datos'!$H:$H, $E14, 'Base de Datos'!$U:$U, $F14, 'Base de Datos'!$AA:$AA, "Finalizada", 'Base de Datos'!$AJ:$AJ, "&gt;=01/04/2026", 'Base de Datos'!$AJ:$AJ, "&lt;=30/04/2026")</f>
        <v>0</v>
      </c>
      <c r="T14" s="29">
        <f>COUNTIFS('Base de Datos'!$F:$F, $C14, 'Base de Datos'!$H:$H, $E14, 'Base de Datos'!$U:$U, $F14, 'Base de Datos'!$AA:$AA, "Finalizada", 'Base de Datos'!$AJ:$AJ, "&gt;=01/05/2026", 'Base de Datos'!$AJ:$AJ, "&lt;=31/05/2026")</f>
        <v>0</v>
      </c>
      <c r="U14" s="29">
        <f>COUNTIFS('Base de Datos'!$F:$F, $C14, 'Base de Datos'!$H:$H, $E14, 'Base de Datos'!$U:$U, $F14, 'Base de Datos'!$AA:$AA, "Finalizada", 'Base de Datos'!$AJ:$AJ, "&gt;=01/06/2026", 'Base de Datos'!$AJ:$AJ, "&lt;=30/06/2026")</f>
        <v>1</v>
      </c>
    </row>
    <row r="15" spans="1:21">
      <c r="C15" s="4">
        <v>2025</v>
      </c>
      <c r="D15" s="4">
        <v>90</v>
      </c>
      <c r="E15" s="4" t="s">
        <v>118</v>
      </c>
      <c r="F15" s="5" t="s">
        <v>677</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1</v>
      </c>
      <c r="I15" s="29">
        <f>COUNTIFS('Base de Datos'!$F:$F,$C15,'Base de Datos'!$G:$G,$D15,'Base de Datos'!$H:$H,$E15,'Base de Datos'!$U:$U,$F15,'Base de Datos'!$AA:$AA,"Abierta")</f>
        <v>1</v>
      </c>
      <c r="J15" s="29">
        <f>COUNTIFS('Base de Datos'!$F:$F,$C15,'Base de Datos'!$G:$G,$D15,'Base de Datos'!$H:$H,$E15,'Base de Datos'!$U:$U,$F15,'Base de Datos'!$AA:$AA,"Vencida")</f>
        <v>0</v>
      </c>
      <c r="K15" s="29">
        <f>COUNTIFS('Base de Datos'!$F:$F,$C15,'Base de Datos'!$G:$G,$D15,'Base de Datos'!$H:$H,$E15,'Base de Datos'!$U:$U,$F15,'Base de Datos'!$AA:$AA,"Finalizada")</f>
        <v>0</v>
      </c>
      <c r="L15" s="29">
        <f ca="1">COUNTIFS('Base de Datos'!$F:$F,$C15,'Base de Datos'!$G:$G,$D15,'Base de Datos'!$H:$H,$E15,'Base de Datos'!$U:$U,$F15,'Base de Datos'!$AA:$AA,"Abierta",'Base de Datos'!$AC:$AC,"&lt;=10",'Base de Datos'!$AC:$AC,"&gt;0")</f>
        <v>0</v>
      </c>
      <c r="M15" s="29">
        <f ca="1">COUNTIFS('Base de Datos'!$F:$F,$C15,'Base de Datos'!$G:$G,$D15,'Base de Datos'!$H:$H,$E15,'Base de Datos'!$U:$U,$F15,'Base de Datos'!$AA:$AA,"Abierta",'Base de Datos'!$AC:$AC,"&lt;=20",'Base de Datos'!$AC:$AC,"&gt;10")</f>
        <v>0</v>
      </c>
      <c r="N15" s="32">
        <f ca="1">COUNTIFS('Base de Datos'!$F:$F,$C15,'Base de Datos'!$G:$G,$D15,'Base de Datos'!$H:$H,$E15,'Base de Datos'!$U:$U,$F15,'Base de Datos'!$AA:$AA,"Abierta",'Base de Datos'!$AC:$AC,"&lt;=30",'Base de Datos'!$AC:$AC,"&gt;20")</f>
        <v>0</v>
      </c>
      <c r="O15" s="29">
        <f ca="1">COUNTIFS('Base de Datos'!$F:$F,$C15,'Base de Datos'!$G:$G,$D15,'Base de Datos'!$H:$H,$E15,'Base de Datos'!$U:$U,$F15,'Base de Datos'!$AA:$AA,"Abierta",'Base de Datos'!$AG:$AG,1)</f>
        <v>0</v>
      </c>
      <c r="P15" s="29">
        <f>COUNTIFS('Base de Datos'!$F:$F, $C15, 'Base de Datos'!$H:$H, $E15, 'Base de Datos'!$U:$U, $F15, 'Base de Datos'!$AA:$AA, "Finalizada", 'Base de Datos'!$AJ:$AJ, "&gt;=01/01/2026", 'Base de Datos'!$AJ:$AJ, "&lt;=31/01/2026")</f>
        <v>0</v>
      </c>
      <c r="Q15" s="29">
        <f>COUNTIFS('Base de Datos'!$F:$F, $C15, 'Base de Datos'!$H:$H, $E15, 'Base de Datos'!$U:$U, $F15, 'Base de Datos'!$AA:$AA, "Finalizada", 'Base de Datos'!$AJ:$AJ, "&gt;=01/02/2026", 'Base de Datos'!$AJ:$AJ, "&lt;=28/02/2026")</f>
        <v>0</v>
      </c>
      <c r="R15" s="29">
        <f>COUNTIFS('Base de Datos'!$F:$F, $C15, 'Base de Datos'!$H:$H, $E15, 'Base de Datos'!$U:$U, $F15, 'Base de Datos'!$AA:$AA, "Finalizada", 'Base de Datos'!$AJ:$AJ, "&gt;=01/03/2026", 'Base de Datos'!$AJ:$AJ, "&lt;=31/03/2026")</f>
        <v>0</v>
      </c>
      <c r="S15" s="29">
        <f>COUNTIFS('Base de Datos'!$F:$F, $C15, 'Base de Datos'!$H:$H, $E15, 'Base de Datos'!$U:$U, $F15, 'Base de Datos'!$AA:$AA, "Finalizada", 'Base de Datos'!$AJ:$AJ, "&gt;=01/04/2026", 'Base de Datos'!$AJ:$AJ, "&lt;=30/04/2026")</f>
        <v>0</v>
      </c>
      <c r="T15" s="29">
        <f>COUNTIFS('Base de Datos'!$F:$F, $C15, 'Base de Datos'!$H:$H, $E15, 'Base de Datos'!$U:$U, $F15, 'Base de Datos'!$AA:$AA, "Finalizada", 'Base de Datos'!$AJ:$AJ, "&gt;=01/05/2026", 'Base de Datos'!$AJ:$AJ, "&lt;=31/05/2026")</f>
        <v>0</v>
      </c>
      <c r="U15" s="29">
        <f>COUNTIFS('Base de Datos'!$F:$F, $C15, 'Base de Datos'!$H:$H, $E15, 'Base de Datos'!$U:$U, $F15, 'Base de Datos'!$AA:$AA, "Finalizada", 'Base de Datos'!$AJ:$AJ, "&gt;=01/06/2026", 'Base de Datos'!$AJ:$AJ, "&lt;=30/06/2026")</f>
        <v>0</v>
      </c>
    </row>
    <row r="16" spans="1:21">
      <c r="C16" s="4">
        <v>2025</v>
      </c>
      <c r="D16" s="4">
        <v>90</v>
      </c>
      <c r="E16" s="4" t="s">
        <v>130</v>
      </c>
      <c r="F16" s="5" t="s">
        <v>695</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1</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1</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f>COUNTIFS('Base de Datos'!$F:$F, $C16, 'Base de Datos'!$H:$H, $E16, 'Base de Datos'!$U:$U, $F16, 'Base de Datos'!$AA:$AA, "Finalizada", 'Base de Datos'!$AJ:$AJ, "&gt;=01/01/2026", 'Base de Datos'!$AJ:$AJ, "&lt;=31/01/2026")</f>
        <v>0</v>
      </c>
      <c r="Q16" s="29">
        <f>COUNTIFS('Base de Datos'!$F:$F, $C16, 'Base de Datos'!$H:$H, $E16, 'Base de Datos'!$U:$U, $F16, 'Base de Datos'!$AA:$AA, "Finalizada", 'Base de Datos'!$AJ:$AJ, "&gt;=01/02/2026", 'Base de Datos'!$AJ:$AJ, "&lt;=28/02/2026")</f>
        <v>0</v>
      </c>
      <c r="R16" s="29">
        <f>COUNTIFS('Base de Datos'!$F:$F, $C16, 'Base de Datos'!$H:$H, $E16, 'Base de Datos'!$U:$U, $F16, 'Base de Datos'!$AA:$AA, "Finalizada", 'Base de Datos'!$AJ:$AJ, "&gt;=01/03/2026", 'Base de Datos'!$AJ:$AJ, "&lt;=31/03/2026")</f>
        <v>0</v>
      </c>
      <c r="S16" s="29">
        <f>COUNTIFS('Base de Datos'!$F:$F, $C16, 'Base de Datos'!$H:$H, $E16, 'Base de Datos'!$U:$U, $F16, 'Base de Datos'!$AA:$AA, "Finalizada", 'Base de Datos'!$AJ:$AJ, "&gt;=01/04/2026", 'Base de Datos'!$AJ:$AJ, "&lt;=30/04/2026")</f>
        <v>0</v>
      </c>
      <c r="T16" s="29">
        <f>COUNTIFS('Base de Datos'!$F:$F, $C16, 'Base de Datos'!$H:$H, $E16, 'Base de Datos'!$U:$U, $F16, 'Base de Datos'!$AA:$AA, "Finalizada", 'Base de Datos'!$AJ:$AJ, "&gt;=01/05/2026", 'Base de Datos'!$AJ:$AJ, "&lt;=31/05/2026")</f>
        <v>0</v>
      </c>
      <c r="U16" s="29">
        <f>COUNTIFS('Base de Datos'!$F:$F, $C16, 'Base de Datos'!$H:$H, $E16, 'Base de Datos'!$U:$U, $F16, 'Base de Datos'!$AA:$AA, "Finalizada", 'Base de Datos'!$AJ:$AJ, "&gt;=01/06/2026", 'Base de Datos'!$AJ:$AJ, "&lt;=30/06/2026")</f>
        <v>1</v>
      </c>
    </row>
    <row r="17" spans="3:24">
      <c r="C17" s="4">
        <v>2025</v>
      </c>
      <c r="D17" s="4">
        <v>90</v>
      </c>
      <c r="E17" s="4" t="s">
        <v>137</v>
      </c>
      <c r="F17" s="5" t="s">
        <v>674</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1</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1</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f>COUNTIFS('Base de Datos'!$F:$F, $C17, 'Base de Datos'!$H:$H, $E17, 'Base de Datos'!$U:$U, $F17, 'Base de Datos'!$AA:$AA, "Finalizada", 'Base de Datos'!$AJ:$AJ, "&gt;=01/01/2026", 'Base de Datos'!$AJ:$AJ, "&lt;=31/01/2026")</f>
        <v>0</v>
      </c>
      <c r="Q17" s="29">
        <f>COUNTIFS('Base de Datos'!$F:$F, $C17, 'Base de Datos'!$H:$H, $E17, 'Base de Datos'!$U:$U, $F17, 'Base de Datos'!$AA:$AA, "Finalizada", 'Base de Datos'!$AJ:$AJ, "&gt;=01/02/2026", 'Base de Datos'!$AJ:$AJ, "&lt;=28/02/2026")</f>
        <v>0</v>
      </c>
      <c r="R17" s="29">
        <f>COUNTIFS('Base de Datos'!$F:$F, $C17, 'Base de Datos'!$H:$H, $E17, 'Base de Datos'!$U:$U, $F17, 'Base de Datos'!$AA:$AA, "Finalizada", 'Base de Datos'!$AJ:$AJ, "&gt;=01/03/2026", 'Base de Datos'!$AJ:$AJ, "&lt;=31/03/2026")</f>
        <v>0</v>
      </c>
      <c r="S17" s="29">
        <f>COUNTIFS('Base de Datos'!$F:$F, $C17, 'Base de Datos'!$H:$H, $E17, 'Base de Datos'!$U:$U, $F17, 'Base de Datos'!$AA:$AA, "Finalizada", 'Base de Datos'!$AJ:$AJ, "&gt;=01/04/2026", 'Base de Datos'!$AJ:$AJ, "&lt;=30/04/2026")</f>
        <v>0</v>
      </c>
      <c r="T17" s="29">
        <f>COUNTIFS('Base de Datos'!$F:$F, $C17, 'Base de Datos'!$H:$H, $E17, 'Base de Datos'!$U:$U, $F17, 'Base de Datos'!$AA:$AA, "Finalizada", 'Base de Datos'!$AJ:$AJ, "&gt;=01/05/2026", 'Base de Datos'!$AJ:$AJ, "&lt;=31/05/2026")</f>
        <v>0</v>
      </c>
      <c r="U17" s="29">
        <f>COUNTIFS('Base de Datos'!$F:$F, $C17, 'Base de Datos'!$H:$H, $E17, 'Base de Datos'!$U:$U, $F17, 'Base de Datos'!$AA:$AA, "Finalizada", 'Base de Datos'!$AJ:$AJ, "&gt;=01/06/2026", 'Base de Datos'!$AJ:$AJ, "&lt;=30/06/2026")</f>
        <v>1</v>
      </c>
    </row>
    <row r="18" spans="3:24">
      <c r="C18" s="4">
        <v>2025</v>
      </c>
      <c r="D18" s="4">
        <v>90</v>
      </c>
      <c r="E18" s="4" t="s">
        <v>144</v>
      </c>
      <c r="F18" s="5" t="s">
        <v>674</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1</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1</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f>COUNTIFS('Base de Datos'!$F:$F, $C18, 'Base de Datos'!$H:$H, $E18, 'Base de Datos'!$U:$U, $F18, 'Base de Datos'!$AA:$AA, "Finalizada", 'Base de Datos'!$AJ:$AJ, "&gt;=01/01/2026", 'Base de Datos'!$AJ:$AJ, "&lt;=31/01/2026")</f>
        <v>0</v>
      </c>
      <c r="Q18" s="29">
        <f>COUNTIFS('Base de Datos'!$F:$F, $C18, 'Base de Datos'!$H:$H, $E18, 'Base de Datos'!$U:$U, $F18, 'Base de Datos'!$AA:$AA, "Finalizada", 'Base de Datos'!$AJ:$AJ, "&gt;=01/02/2026", 'Base de Datos'!$AJ:$AJ, "&lt;=28/02/2026")</f>
        <v>0</v>
      </c>
      <c r="R18" s="29">
        <f>COUNTIFS('Base de Datos'!$F:$F, $C18, 'Base de Datos'!$H:$H, $E18, 'Base de Datos'!$U:$U, $F18, 'Base de Datos'!$AA:$AA, "Finalizada", 'Base de Datos'!$AJ:$AJ, "&gt;=01/03/2026", 'Base de Datos'!$AJ:$AJ, "&lt;=31/03/2026")</f>
        <v>0</v>
      </c>
      <c r="S18" s="29">
        <f>COUNTIFS('Base de Datos'!$F:$F, $C18, 'Base de Datos'!$H:$H, $E18, 'Base de Datos'!$U:$U, $F18, 'Base de Datos'!$AA:$AA, "Finalizada", 'Base de Datos'!$AJ:$AJ, "&gt;=01/04/2026", 'Base de Datos'!$AJ:$AJ, "&lt;=30/04/2026")</f>
        <v>0</v>
      </c>
      <c r="T18" s="29">
        <f>COUNTIFS('Base de Datos'!$F:$F, $C18, 'Base de Datos'!$H:$H, $E18, 'Base de Datos'!$U:$U, $F18, 'Base de Datos'!$AA:$AA, "Finalizada", 'Base de Datos'!$AJ:$AJ, "&gt;=01/05/2026", 'Base de Datos'!$AJ:$AJ, "&lt;=31/05/2026")</f>
        <v>1</v>
      </c>
      <c r="U18" s="29">
        <f>COUNTIFS('Base de Datos'!$F:$F, $C18, 'Base de Datos'!$H:$H, $E18, 'Base de Datos'!$U:$U, $F18, 'Base de Datos'!$AA:$AA, "Finalizada", 'Base de Datos'!$AJ:$AJ, "&gt;=01/06/2026", 'Base de Datos'!$AJ:$AJ, "&lt;=30/06/2026")</f>
        <v>0</v>
      </c>
    </row>
    <row r="19" spans="3:24">
      <c r="C19" s="4">
        <v>2025</v>
      </c>
      <c r="D19" s="4">
        <v>90</v>
      </c>
      <c r="E19" s="4" t="s">
        <v>151</v>
      </c>
      <c r="F19" s="5" t="s">
        <v>674</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1</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1</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f>COUNTIFS('Base de Datos'!$F:$F, $C19, 'Base de Datos'!$H:$H, $E19, 'Base de Datos'!$U:$U, $F19, 'Base de Datos'!$AA:$AA, "Finalizada", 'Base de Datos'!$AJ:$AJ, "&gt;=01/01/2026", 'Base de Datos'!$AJ:$AJ, "&lt;=31/01/2026")</f>
        <v>0</v>
      </c>
      <c r="Q19" s="29">
        <f>COUNTIFS('Base de Datos'!$F:$F, $C19, 'Base de Datos'!$H:$H, $E19, 'Base de Datos'!$U:$U, $F19, 'Base de Datos'!$AA:$AA, "Finalizada", 'Base de Datos'!$AJ:$AJ, "&gt;=01/02/2026", 'Base de Datos'!$AJ:$AJ, "&lt;=28/02/2026")</f>
        <v>0</v>
      </c>
      <c r="R19" s="29">
        <f>COUNTIFS('Base de Datos'!$F:$F, $C19, 'Base de Datos'!$H:$H, $E19, 'Base de Datos'!$U:$U, $F19, 'Base de Datos'!$AA:$AA, "Finalizada", 'Base de Datos'!$AJ:$AJ, "&gt;=01/03/2026", 'Base de Datos'!$AJ:$AJ, "&lt;=31/03/2026")</f>
        <v>0</v>
      </c>
      <c r="S19" s="29">
        <f>COUNTIFS('Base de Datos'!$F:$F, $C19, 'Base de Datos'!$H:$H, $E19, 'Base de Datos'!$U:$U, $F19, 'Base de Datos'!$AA:$AA, "Finalizada", 'Base de Datos'!$AJ:$AJ, "&gt;=01/04/2026", 'Base de Datos'!$AJ:$AJ, "&lt;=30/04/2026")</f>
        <v>0</v>
      </c>
      <c r="T19" s="29">
        <f>COUNTIFS('Base de Datos'!$F:$F, $C19, 'Base de Datos'!$H:$H, $E19, 'Base de Datos'!$U:$U, $F19, 'Base de Datos'!$AA:$AA, "Finalizada", 'Base de Datos'!$AJ:$AJ, "&gt;=01/05/2026", 'Base de Datos'!$AJ:$AJ, "&lt;=31/05/2026")</f>
        <v>0</v>
      </c>
      <c r="U19" s="29">
        <f>COUNTIFS('Base de Datos'!$F:$F, $C19, 'Base de Datos'!$H:$H, $E19, 'Base de Datos'!$U:$U, $F19, 'Base de Datos'!$AA:$AA, "Finalizada", 'Base de Datos'!$AJ:$AJ, "&gt;=01/06/2026", 'Base de Datos'!$AJ:$AJ, "&lt;=30/06/2026")</f>
        <v>1</v>
      </c>
    </row>
    <row r="20" spans="3:24">
      <c r="C20" s="4">
        <v>2025</v>
      </c>
      <c r="D20" s="4">
        <v>90</v>
      </c>
      <c r="E20" s="4" t="s">
        <v>155</v>
      </c>
      <c r="F20" s="5" t="s">
        <v>696</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1</v>
      </c>
      <c r="I20" s="29">
        <f>COUNTIFS('Base de Datos'!$F:$F,$C20,'Base de Datos'!$G:$G,$D20,'Base de Datos'!$H:$H,$E20,'Base de Datos'!$U:$U,$F20,'Base de Datos'!$AA:$AA,"Abierta")</f>
        <v>0</v>
      </c>
      <c r="J20" s="29">
        <f>COUNTIFS('Base de Datos'!$F:$F,$C20,'Base de Datos'!$G:$G,$D20,'Base de Datos'!$H:$H,$E20,'Base de Datos'!$U:$U,$F20,'Base de Datos'!$AA:$AA,"Vencida")</f>
        <v>1</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f>COUNTIFS('Base de Datos'!$F:$F, $C20, 'Base de Datos'!$H:$H, $E20, 'Base de Datos'!$U:$U, $F20, 'Base de Datos'!$AA:$AA, "Finalizada", 'Base de Datos'!$AJ:$AJ, "&gt;=01/01/2026", 'Base de Datos'!$AJ:$AJ, "&lt;=31/01/2026")</f>
        <v>0</v>
      </c>
      <c r="Q20" s="29">
        <f>COUNTIFS('Base de Datos'!$F:$F, $C20, 'Base de Datos'!$H:$H, $E20, 'Base de Datos'!$U:$U, $F20, 'Base de Datos'!$AA:$AA, "Finalizada", 'Base de Datos'!$AJ:$AJ, "&gt;=01/02/2026", 'Base de Datos'!$AJ:$AJ, "&lt;=28/02/2026")</f>
        <v>0</v>
      </c>
      <c r="R20" s="29">
        <f>COUNTIFS('Base de Datos'!$F:$F, $C20, 'Base de Datos'!$H:$H, $E20, 'Base de Datos'!$U:$U, $F20, 'Base de Datos'!$AA:$AA, "Finalizada", 'Base de Datos'!$AJ:$AJ, "&gt;=01/03/2026", 'Base de Datos'!$AJ:$AJ, "&lt;=31/03/2026")</f>
        <v>0</v>
      </c>
      <c r="S20" s="29">
        <f>COUNTIFS('Base de Datos'!$F:$F, $C20, 'Base de Datos'!$H:$H, $E20, 'Base de Datos'!$U:$U, $F20, 'Base de Datos'!$AA:$AA, "Finalizada", 'Base de Datos'!$AJ:$AJ, "&gt;=01/04/2026", 'Base de Datos'!$AJ:$AJ, "&lt;=30/04/2026")</f>
        <v>0</v>
      </c>
      <c r="T20" s="29">
        <f>COUNTIFS('Base de Datos'!$F:$F, $C20, 'Base de Datos'!$H:$H, $E20, 'Base de Datos'!$U:$U, $F20, 'Base de Datos'!$AA:$AA, "Finalizada", 'Base de Datos'!$AJ:$AJ, "&gt;=01/05/2026", 'Base de Datos'!$AJ:$AJ, "&lt;=31/05/2026")</f>
        <v>0</v>
      </c>
      <c r="U20" s="29">
        <f>COUNTIFS('Base de Datos'!$F:$F, $C20, 'Base de Datos'!$H:$H, $E20, 'Base de Datos'!$U:$U, $F20, 'Base de Datos'!$AA:$AA, "Finalizada", 'Base de Datos'!$AJ:$AJ, "&gt;=01/06/2026", 'Base de Datos'!$AJ:$AJ, "&lt;=30/06/2026")</f>
        <v>0</v>
      </c>
    </row>
    <row r="21" spans="3:24">
      <c r="C21" s="4">
        <v>2025</v>
      </c>
      <c r="D21" s="4">
        <v>90</v>
      </c>
      <c r="E21" s="4" t="s">
        <v>163</v>
      </c>
      <c r="F21" s="5" t="s">
        <v>696</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1</v>
      </c>
      <c r="I21" s="29">
        <f>COUNTIFS('Base de Datos'!$F:$F,$C21,'Base de Datos'!$G:$G,$D21,'Base de Datos'!$H:$H,$E21,'Base de Datos'!$U:$U,$F21,'Base de Datos'!$AA:$AA,"Abierta")</f>
        <v>0</v>
      </c>
      <c r="J21" s="29">
        <f>COUNTIFS('Base de Datos'!$F:$F,$C21,'Base de Datos'!$G:$G,$D21,'Base de Datos'!$H:$H,$E21,'Base de Datos'!$U:$U,$F21,'Base de Datos'!$AA:$AA,"Vencida")</f>
        <v>1</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f>COUNTIFS('Base de Datos'!$F:$F, $C21, 'Base de Datos'!$H:$H, $E21, 'Base de Datos'!$U:$U, $F21, 'Base de Datos'!$AA:$AA, "Finalizada", 'Base de Datos'!$AJ:$AJ, "&gt;=01/01/2026", 'Base de Datos'!$AJ:$AJ, "&lt;=31/01/2026")</f>
        <v>0</v>
      </c>
      <c r="Q21" s="29">
        <f>COUNTIFS('Base de Datos'!$F:$F, $C21, 'Base de Datos'!$H:$H, $E21, 'Base de Datos'!$U:$U, $F21, 'Base de Datos'!$AA:$AA, "Finalizada", 'Base de Datos'!$AJ:$AJ, "&gt;=01/02/2026", 'Base de Datos'!$AJ:$AJ, "&lt;=28/02/2026")</f>
        <v>0</v>
      </c>
      <c r="R21" s="29">
        <f>COUNTIFS('Base de Datos'!$F:$F, $C21, 'Base de Datos'!$H:$H, $E21, 'Base de Datos'!$U:$U, $F21, 'Base de Datos'!$AA:$AA, "Finalizada", 'Base de Datos'!$AJ:$AJ, "&gt;=01/03/2026", 'Base de Datos'!$AJ:$AJ, "&lt;=31/03/2026")</f>
        <v>0</v>
      </c>
      <c r="S21" s="29">
        <f>COUNTIFS('Base de Datos'!$F:$F, $C21, 'Base de Datos'!$H:$H, $E21, 'Base de Datos'!$U:$U, $F21, 'Base de Datos'!$AA:$AA, "Finalizada", 'Base de Datos'!$AJ:$AJ, "&gt;=01/04/2026", 'Base de Datos'!$AJ:$AJ, "&lt;=30/04/2026")</f>
        <v>0</v>
      </c>
      <c r="T21" s="29">
        <f>COUNTIFS('Base de Datos'!$F:$F, $C21, 'Base de Datos'!$H:$H, $E21, 'Base de Datos'!$U:$U, $F21, 'Base de Datos'!$AA:$AA, "Finalizada", 'Base de Datos'!$AJ:$AJ, "&gt;=01/05/2026", 'Base de Datos'!$AJ:$AJ, "&lt;=31/05/2026")</f>
        <v>0</v>
      </c>
      <c r="U21" s="29">
        <f>COUNTIFS('Base de Datos'!$F:$F, $C21, 'Base de Datos'!$H:$H, $E21, 'Base de Datos'!$U:$U, $F21, 'Base de Datos'!$AA:$AA, "Finalizada", 'Base de Datos'!$AJ:$AJ, "&gt;=01/06/2026", 'Base de Datos'!$AJ:$AJ, "&lt;=30/06/2026")</f>
        <v>0</v>
      </c>
    </row>
    <row r="22" spans="3:24">
      <c r="C22" s="4">
        <v>2025</v>
      </c>
      <c r="D22" s="4">
        <v>90</v>
      </c>
      <c r="E22" s="4" t="s">
        <v>167</v>
      </c>
      <c r="F22" s="5" t="s">
        <v>696</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1</v>
      </c>
      <c r="I22" s="29">
        <f>COUNTIFS('Base de Datos'!$F:$F,$C22,'Base de Datos'!$G:$G,$D22,'Base de Datos'!$H:$H,$E22,'Base de Datos'!$U:$U,$F22,'Base de Datos'!$AA:$AA,"Abierta")</f>
        <v>0</v>
      </c>
      <c r="J22" s="29">
        <f>COUNTIFS('Base de Datos'!$F:$F,$C22,'Base de Datos'!$G:$G,$D22,'Base de Datos'!$H:$H,$E22,'Base de Datos'!$U:$U,$F22,'Base de Datos'!$AA:$AA,"Vencida")</f>
        <v>1</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f>COUNTIFS('Base de Datos'!$F:$F, $C22, 'Base de Datos'!$H:$H, $E22, 'Base de Datos'!$U:$U, $F22, 'Base de Datos'!$AA:$AA, "Finalizada", 'Base de Datos'!$AJ:$AJ, "&gt;=01/01/2026", 'Base de Datos'!$AJ:$AJ, "&lt;=31/01/2026")</f>
        <v>0</v>
      </c>
      <c r="Q22" s="29">
        <f>COUNTIFS('Base de Datos'!$F:$F, $C22, 'Base de Datos'!$H:$H, $E22, 'Base de Datos'!$U:$U, $F22, 'Base de Datos'!$AA:$AA, "Finalizada", 'Base de Datos'!$AJ:$AJ, "&gt;=01/02/2026", 'Base de Datos'!$AJ:$AJ, "&lt;=28/02/2026")</f>
        <v>0</v>
      </c>
      <c r="R22" s="29">
        <f>COUNTIFS('Base de Datos'!$F:$F, $C22, 'Base de Datos'!$H:$H, $E22, 'Base de Datos'!$U:$U, $F22, 'Base de Datos'!$AA:$AA, "Finalizada", 'Base de Datos'!$AJ:$AJ, "&gt;=01/03/2026", 'Base de Datos'!$AJ:$AJ, "&lt;=31/03/2026")</f>
        <v>0</v>
      </c>
      <c r="S22" s="29">
        <f>COUNTIFS('Base de Datos'!$F:$F, $C22, 'Base de Datos'!$H:$H, $E22, 'Base de Datos'!$U:$U, $F22, 'Base de Datos'!$AA:$AA, "Finalizada", 'Base de Datos'!$AJ:$AJ, "&gt;=01/04/2026", 'Base de Datos'!$AJ:$AJ, "&lt;=30/04/2026")</f>
        <v>0</v>
      </c>
      <c r="T22" s="29">
        <f>COUNTIFS('Base de Datos'!$F:$F, $C22, 'Base de Datos'!$H:$H, $E22, 'Base de Datos'!$U:$U, $F22, 'Base de Datos'!$AA:$AA, "Finalizada", 'Base de Datos'!$AJ:$AJ, "&gt;=01/05/2026", 'Base de Datos'!$AJ:$AJ, "&lt;=31/05/2026")</f>
        <v>0</v>
      </c>
      <c r="U22" s="29">
        <f>COUNTIFS('Base de Datos'!$F:$F, $C22, 'Base de Datos'!$H:$H, $E22, 'Base de Datos'!$U:$U, $F22, 'Base de Datos'!$AA:$AA, "Finalizada", 'Base de Datos'!$AJ:$AJ, "&gt;=01/06/2026", 'Base de Datos'!$AJ:$AJ, "&lt;=30/06/2026")</f>
        <v>0</v>
      </c>
    </row>
    <row r="23" spans="3:24">
      <c r="C23" s="4">
        <v>2025</v>
      </c>
      <c r="D23" s="4">
        <v>90</v>
      </c>
      <c r="E23" s="4" t="s">
        <v>171</v>
      </c>
      <c r="F23" s="5" t="s">
        <v>678</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1</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1</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f>COUNTIFS('Base de Datos'!$F:$F, $C23, 'Base de Datos'!$H:$H, $E23, 'Base de Datos'!$U:$U, $F23, 'Base de Datos'!$AA:$AA, "Finalizada", 'Base de Datos'!$AJ:$AJ, "&gt;=01/01/2026", 'Base de Datos'!$AJ:$AJ, "&lt;=31/01/2026")</f>
        <v>0</v>
      </c>
      <c r="Q23" s="29">
        <f>COUNTIFS('Base de Datos'!$F:$F, $C23, 'Base de Datos'!$H:$H, $E23, 'Base de Datos'!$U:$U, $F23, 'Base de Datos'!$AA:$AA, "Finalizada", 'Base de Datos'!$AJ:$AJ, "&gt;=01/02/2026", 'Base de Datos'!$AJ:$AJ, "&lt;=28/02/2026")</f>
        <v>0</v>
      </c>
      <c r="R23" s="29">
        <f>COUNTIFS('Base de Datos'!$F:$F, $C23, 'Base de Datos'!$H:$H, $E23, 'Base de Datos'!$U:$U, $F23, 'Base de Datos'!$AA:$AA, "Finalizada", 'Base de Datos'!$AJ:$AJ, "&gt;=01/03/2026", 'Base de Datos'!$AJ:$AJ, "&lt;=31/03/2026")</f>
        <v>0</v>
      </c>
      <c r="S23" s="29">
        <f>COUNTIFS('Base de Datos'!$F:$F, $C23, 'Base de Datos'!$H:$H, $E23, 'Base de Datos'!$U:$U, $F23, 'Base de Datos'!$AA:$AA, "Finalizada", 'Base de Datos'!$AJ:$AJ, "&gt;=01/04/2026", 'Base de Datos'!$AJ:$AJ, "&lt;=30/04/2026")</f>
        <v>0</v>
      </c>
      <c r="T23" s="29">
        <f>COUNTIFS('Base de Datos'!$F:$F, $C23, 'Base de Datos'!$H:$H, $E23, 'Base de Datos'!$U:$U, $F23, 'Base de Datos'!$AA:$AA, "Finalizada", 'Base de Datos'!$AJ:$AJ, "&gt;=01/05/2026", 'Base de Datos'!$AJ:$AJ, "&lt;=31/05/2026")</f>
        <v>0</v>
      </c>
      <c r="U23" s="29">
        <f>COUNTIFS('Base de Datos'!$F:$F, $C23, 'Base de Datos'!$H:$H, $E23, 'Base de Datos'!$U:$U, $F23, 'Base de Datos'!$AA:$AA, "Finalizada", 'Base de Datos'!$AJ:$AJ, "&gt;=01/06/2026", 'Base de Datos'!$AJ:$AJ, "&lt;=30/06/2026")</f>
        <v>0</v>
      </c>
    </row>
    <row r="24" spans="3:24" ht="20.399999999999999">
      <c r="C24" s="4">
        <v>2025</v>
      </c>
      <c r="D24" s="4">
        <v>90</v>
      </c>
      <c r="E24" s="4" t="s">
        <v>171</v>
      </c>
      <c r="F24" s="5" t="s">
        <v>697</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1</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1</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f>COUNTIFS('Base de Datos'!$F:$F, $C24, 'Base de Datos'!$H:$H, $E24, 'Base de Datos'!$U:$U, $F24, 'Base de Datos'!$AA:$AA, "Finalizada", 'Base de Datos'!$AJ:$AJ, "&gt;=01/01/2026", 'Base de Datos'!$AJ:$AJ, "&lt;=31/01/2026")</f>
        <v>0</v>
      </c>
      <c r="Q24" s="29">
        <f>COUNTIFS('Base de Datos'!$F:$F, $C24, 'Base de Datos'!$H:$H, $E24, 'Base de Datos'!$U:$U, $F24, 'Base de Datos'!$AA:$AA, "Finalizada", 'Base de Datos'!$AJ:$AJ, "&gt;=01/02/2026", 'Base de Datos'!$AJ:$AJ, "&lt;=28/02/2026")</f>
        <v>0</v>
      </c>
      <c r="R24" s="29">
        <f>COUNTIFS('Base de Datos'!$F:$F, $C24, 'Base de Datos'!$H:$H, $E24, 'Base de Datos'!$U:$U, $F24, 'Base de Datos'!$AA:$AA, "Finalizada", 'Base de Datos'!$AJ:$AJ, "&gt;=01/03/2026", 'Base de Datos'!$AJ:$AJ, "&lt;=31/03/2026")</f>
        <v>0</v>
      </c>
      <c r="S24" s="29">
        <f>COUNTIFS('Base de Datos'!$F:$F, $C24, 'Base de Datos'!$H:$H, $E24, 'Base de Datos'!$U:$U, $F24, 'Base de Datos'!$AA:$AA, "Finalizada", 'Base de Datos'!$AJ:$AJ, "&gt;=01/04/2026", 'Base de Datos'!$AJ:$AJ, "&lt;=30/04/2026")</f>
        <v>0</v>
      </c>
      <c r="T24" s="29">
        <f>COUNTIFS('Base de Datos'!$F:$F, $C24, 'Base de Datos'!$H:$H, $E24, 'Base de Datos'!$U:$U, $F24, 'Base de Datos'!$AA:$AA, "Finalizada", 'Base de Datos'!$AJ:$AJ, "&gt;=01/05/2026", 'Base de Datos'!$AJ:$AJ, "&lt;=31/05/2026")</f>
        <v>1</v>
      </c>
      <c r="U24" s="29">
        <f>COUNTIFS('Base de Datos'!$F:$F, $C24, 'Base de Datos'!$H:$H, $E24, 'Base de Datos'!$U:$U, $F24, 'Base de Datos'!$AA:$AA, "Finalizada", 'Base de Datos'!$AJ:$AJ, "&gt;=01/06/2026", 'Base de Datos'!$AJ:$AJ, "&lt;=30/06/2026")</f>
        <v>0</v>
      </c>
    </row>
    <row r="25" spans="3:24" ht="14.4">
      <c r="C25" s="4">
        <v>2025</v>
      </c>
      <c r="D25" s="4">
        <v>90</v>
      </c>
      <c r="E25" s="4" t="s">
        <v>182</v>
      </c>
      <c r="F25" s="5" t="s">
        <v>679</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2</v>
      </c>
      <c r="I25" s="29">
        <f>COUNTIFS('Base de Datos'!$F:$F,$C25,'Base de Datos'!$G:$G,$D25,'Base de Datos'!$H:$H,$E25,'Base de Datos'!$U:$U,$F25,'Base de Datos'!$AA:$AA,"Abierta")</f>
        <v>2</v>
      </c>
      <c r="J25" s="29">
        <f>COUNTIFS('Base de Datos'!$F:$F,$C25,'Base de Datos'!$G:$G,$D25,'Base de Datos'!$H:$H,$E25,'Base de Datos'!$U:$U,$F25,'Base de Datos'!$AA:$AA,"Vencida")</f>
        <v>0</v>
      </c>
      <c r="K25" s="29">
        <f>COUNTIFS('Base de Datos'!$F:$F,$C25,'Base de Datos'!$G:$G,$D25,'Base de Datos'!$H:$H,$E25,'Base de Datos'!$U:$U,$F25,'Base de Datos'!$AA:$AA,"Finalizada")</f>
        <v>0</v>
      </c>
      <c r="L25" s="29">
        <f ca="1">COUNTIFS('Base de Datos'!$F:$F,$C25,'Base de Datos'!$G:$G,$D25,'Base de Datos'!$H:$H,$E25,'Base de Datos'!$U:$U,$F25,'Base de Datos'!$AA:$AA,"Abierta",'Base de Datos'!$AC:$AC,"&lt;=10",'Base de Datos'!$AC:$AC,"&gt;0")</f>
        <v>0</v>
      </c>
      <c r="M25" s="29">
        <f ca="1">COUNTIFS('Base de Datos'!$F:$F,$C25,'Base de Datos'!$G:$G,$D25,'Base de Datos'!$H:$H,$E25,'Base de Datos'!$U:$U,$F25,'Base de Datos'!$AA:$AA,"Abierta",'Base de Datos'!$AC:$AC,"&lt;=20",'Base de Datos'!$AC:$AC,"&gt;10")</f>
        <v>0</v>
      </c>
      <c r="N25" s="32">
        <f ca="1">COUNTIFS('Base de Datos'!$F:$F,$C25,'Base de Datos'!$G:$G,$D25,'Base de Datos'!$H:$H,$E25,'Base de Datos'!$U:$U,$F25,'Base de Datos'!$AA:$AA,"Abierta",'Base de Datos'!$AC:$AC,"&lt;=30",'Base de Datos'!$AC:$AC,"&gt;20")</f>
        <v>0</v>
      </c>
      <c r="O25" s="29">
        <f ca="1">COUNTIFS('Base de Datos'!$F:$F,$C25,'Base de Datos'!$G:$G,$D25,'Base de Datos'!$H:$H,$E25,'Base de Datos'!$U:$U,$F25,'Base de Datos'!$AA:$AA,"Abierta",'Base de Datos'!$AG:$AG,1)</f>
        <v>0</v>
      </c>
      <c r="P25" s="29">
        <f>COUNTIFS('Base de Datos'!$F:$F, $C25, 'Base de Datos'!$H:$H, $E25, 'Base de Datos'!$U:$U, $F25, 'Base de Datos'!$AA:$AA, "Finalizada", 'Base de Datos'!$AJ:$AJ, "&gt;=01/01/2026", 'Base de Datos'!$AJ:$AJ, "&lt;=31/01/2026")</f>
        <v>0</v>
      </c>
      <c r="Q25" s="29">
        <f>COUNTIFS('Base de Datos'!$F:$F, $C25, 'Base de Datos'!$H:$H, $E25, 'Base de Datos'!$U:$U, $F25, 'Base de Datos'!$AA:$AA, "Finalizada", 'Base de Datos'!$AJ:$AJ, "&gt;=01/02/2026", 'Base de Datos'!$AJ:$AJ, "&lt;=28/02/2026")</f>
        <v>0</v>
      </c>
      <c r="R25" s="29">
        <f>COUNTIFS('Base de Datos'!$F:$F, $C25, 'Base de Datos'!$H:$H, $E25, 'Base de Datos'!$U:$U, $F25, 'Base de Datos'!$AA:$AA, "Finalizada", 'Base de Datos'!$AJ:$AJ, "&gt;=01/03/2026", 'Base de Datos'!$AJ:$AJ, "&lt;=31/03/2026")</f>
        <v>0</v>
      </c>
      <c r="S25" s="29">
        <f>COUNTIFS('Base de Datos'!$F:$F, $C25, 'Base de Datos'!$H:$H, $E25, 'Base de Datos'!$U:$U, $F25, 'Base de Datos'!$AA:$AA, "Finalizada", 'Base de Datos'!$AJ:$AJ, "&gt;=01/04/2026", 'Base de Datos'!$AJ:$AJ, "&lt;=30/04/2026")</f>
        <v>0</v>
      </c>
      <c r="T25" s="29">
        <f>COUNTIFS('Base de Datos'!$F:$F, $C25, 'Base de Datos'!$H:$H, $E25, 'Base de Datos'!$U:$U, $F25, 'Base de Datos'!$AA:$AA, "Finalizada", 'Base de Datos'!$AJ:$AJ, "&gt;=01/05/2026", 'Base de Datos'!$AJ:$AJ, "&lt;=31/05/2026")</f>
        <v>0</v>
      </c>
      <c r="U25" s="29">
        <f>COUNTIFS('Base de Datos'!$F:$F, $C25, 'Base de Datos'!$H:$H, $E25, 'Base de Datos'!$U:$U, $F25, 'Base de Datos'!$AA:$AA, "Finalizada", 'Base de Datos'!$AJ:$AJ, "&gt;=01/06/2026", 'Base de Datos'!$AJ:$AJ, "&lt;=30/06/2026")</f>
        <v>0</v>
      </c>
      <c r="X25" s="180" t="e">
        <f>COUNTIFS('[1]Base de datos'!$A:$A, $A27, '[1]Base de datos'!$B:$B, $B27, '[1]Base de datos'!$G:$G, $C27, '[1]Base de datos'!$S:$S, "&gt;=01/06/2026", '[1]Base de datos'!$S:$S, "&lt;=30/06/2026")</f>
        <v>#VALUE!</v>
      </c>
    </row>
    <row r="26" spans="3:24">
      <c r="C26" s="4">
        <v>2025</v>
      </c>
      <c r="D26" s="4">
        <v>90</v>
      </c>
      <c r="E26" s="4" t="s">
        <v>193</v>
      </c>
      <c r="F26" s="5" t="s">
        <v>680</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1</v>
      </c>
      <c r="I26" s="29">
        <f>COUNTIFS('Base de Datos'!$F:$F,$C26,'Base de Datos'!$G:$G,$D26,'Base de Datos'!$H:$H,$E26,'Base de Datos'!$U:$U,$F26,'Base de Datos'!$AA:$AA,"Abierta")</f>
        <v>1</v>
      </c>
      <c r="J26" s="29">
        <f>COUNTIFS('Base de Datos'!$F:$F,$C26,'Base de Datos'!$G:$G,$D26,'Base de Datos'!$H:$H,$E26,'Base de Datos'!$U:$U,$F26,'Base de Datos'!$AA:$AA,"Vencida")</f>
        <v>0</v>
      </c>
      <c r="K26" s="29">
        <f>COUNTIFS('Base de Datos'!$F:$F,$C26,'Base de Datos'!$G:$G,$D26,'Base de Datos'!$H:$H,$E26,'Base de Datos'!$U:$U,$F26,'Base de Datos'!$AA:$AA,"Finalizada")</f>
        <v>0</v>
      </c>
      <c r="L26" s="29">
        <f ca="1">COUNTIFS('Base de Datos'!$F:$F,$C26,'Base de Datos'!$G:$G,$D26,'Base de Datos'!$H:$H,$E26,'Base de Datos'!$U:$U,$F26,'Base de Datos'!$AA:$AA,"Abierta",'Base de Datos'!$AC:$AC,"&lt;=10",'Base de Datos'!$AC:$AC,"&gt;0")</f>
        <v>0</v>
      </c>
      <c r="M26" s="29">
        <f ca="1">COUNTIFS('Base de Datos'!$F:$F,$C26,'Base de Datos'!$G:$G,$D26,'Base de Datos'!$H:$H,$E26,'Base de Datos'!$U:$U,$F26,'Base de Datos'!$AA:$AA,"Abierta",'Base de Datos'!$AC:$AC,"&lt;=20",'Base de Datos'!$AC:$AC,"&gt;10")</f>
        <v>0</v>
      </c>
      <c r="N26" s="32">
        <f ca="1">COUNTIFS('Base de Datos'!$F:$F,$C26,'Base de Datos'!$G:$G,$D26,'Base de Datos'!$H:$H,$E26,'Base de Datos'!$U:$U,$F26,'Base de Datos'!$AA:$AA,"Abierta",'Base de Datos'!$AC:$AC,"&lt;=30",'Base de Datos'!$AC:$AC,"&gt;20")</f>
        <v>0</v>
      </c>
      <c r="O26" s="29">
        <f ca="1">COUNTIFS('Base de Datos'!$F:$F,$C26,'Base de Datos'!$G:$G,$D26,'Base de Datos'!$H:$H,$E26,'Base de Datos'!$U:$U,$F26,'Base de Datos'!$AA:$AA,"Abierta",'Base de Datos'!$AG:$AG,1)</f>
        <v>0</v>
      </c>
      <c r="P26" s="29">
        <f>COUNTIFS('Base de Datos'!$F:$F, $C26, 'Base de Datos'!$H:$H, $E26, 'Base de Datos'!$U:$U, $F26, 'Base de Datos'!$AA:$AA, "Finalizada", 'Base de Datos'!$AJ:$AJ, "&gt;=01/01/2026", 'Base de Datos'!$AJ:$AJ, "&lt;=31/01/2026")</f>
        <v>0</v>
      </c>
      <c r="Q26" s="29">
        <f>COUNTIFS('Base de Datos'!$F:$F, $C26, 'Base de Datos'!$H:$H, $E26, 'Base de Datos'!$U:$U, $F26, 'Base de Datos'!$AA:$AA, "Finalizada", 'Base de Datos'!$AJ:$AJ, "&gt;=01/02/2026", 'Base de Datos'!$AJ:$AJ, "&lt;=28/02/2026")</f>
        <v>0</v>
      </c>
      <c r="R26" s="29">
        <f>COUNTIFS('Base de Datos'!$F:$F, $C26, 'Base de Datos'!$H:$H, $E26, 'Base de Datos'!$U:$U, $F26, 'Base de Datos'!$AA:$AA, "Finalizada", 'Base de Datos'!$AJ:$AJ, "&gt;=01/03/2026", 'Base de Datos'!$AJ:$AJ, "&lt;=31/03/2026")</f>
        <v>0</v>
      </c>
      <c r="S26" s="29">
        <f>COUNTIFS('Base de Datos'!$F:$F, $C26, 'Base de Datos'!$H:$H, $E26, 'Base de Datos'!$U:$U, $F26, 'Base de Datos'!$AA:$AA, "Finalizada", 'Base de Datos'!$AJ:$AJ, "&gt;=01/04/2026", 'Base de Datos'!$AJ:$AJ, "&lt;=30/04/2026")</f>
        <v>0</v>
      </c>
      <c r="T26" s="29">
        <f>COUNTIFS('Base de Datos'!$F:$F, $C26, 'Base de Datos'!$H:$H, $E26, 'Base de Datos'!$U:$U, $F26, 'Base de Datos'!$AA:$AA, "Finalizada", 'Base de Datos'!$AJ:$AJ, "&gt;=01/05/2026", 'Base de Datos'!$AJ:$AJ, "&lt;=31/05/2026")</f>
        <v>0</v>
      </c>
      <c r="U26" s="29">
        <f>COUNTIFS('Base de Datos'!$F:$F, $C26, 'Base de Datos'!$H:$H, $E26, 'Base de Datos'!$U:$U, $F26, 'Base de Datos'!$AA:$AA, "Finalizada", 'Base de Datos'!$AJ:$AJ, "&gt;=01/06/2026", 'Base de Datos'!$AJ:$AJ, "&lt;=30/06/2026")</f>
        <v>0</v>
      </c>
    </row>
    <row r="27" spans="3:24">
      <c r="C27" s="4">
        <v>2025</v>
      </c>
      <c r="D27" s="4">
        <v>90</v>
      </c>
      <c r="E27" s="4" t="s">
        <v>200</v>
      </c>
      <c r="F27" s="5" t="s">
        <v>677</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1</v>
      </c>
      <c r="I27" s="29">
        <f>COUNTIFS('Base de Datos'!$F:$F,$C27,'Base de Datos'!$G:$G,$D27,'Base de Datos'!$H:$H,$E27,'Base de Datos'!$U:$U,$F27,'Base de Datos'!$AA:$AA,"Abierta")</f>
        <v>1</v>
      </c>
      <c r="J27" s="29">
        <f>COUNTIFS('Base de Datos'!$F:$F,$C27,'Base de Datos'!$G:$G,$D27,'Base de Datos'!$H:$H,$E27,'Base de Datos'!$U:$U,$F27,'Base de Datos'!$AA:$AA,"Vencida")</f>
        <v>0</v>
      </c>
      <c r="K27" s="29">
        <f>COUNTIFS('Base de Datos'!$F:$F,$C27,'Base de Datos'!$G:$G,$D27,'Base de Datos'!$H:$H,$E27,'Base de Datos'!$U:$U,$F27,'Base de Datos'!$AA:$AA,"Finalizada")</f>
        <v>0</v>
      </c>
      <c r="L27" s="29">
        <f ca="1">COUNTIFS('Base de Datos'!$F:$F,$C27,'Base de Datos'!$G:$G,$D27,'Base de Datos'!$H:$H,$E27,'Base de Datos'!$U:$U,$F27,'Base de Datos'!$AA:$AA,"Abierta",'Base de Datos'!$AC:$AC,"&lt;=10",'Base de Datos'!$AC:$AC,"&gt;0")</f>
        <v>0</v>
      </c>
      <c r="M27" s="29">
        <f ca="1">COUNTIFS('Base de Datos'!$F:$F,$C27,'Base de Datos'!$G:$G,$D27,'Base de Datos'!$H:$H,$E27,'Base de Datos'!$U:$U,$F27,'Base de Datos'!$AA:$AA,"Abierta",'Base de Datos'!$AC:$AC,"&lt;=20",'Base de Datos'!$AC:$AC,"&gt;10")</f>
        <v>0</v>
      </c>
      <c r="N27" s="32">
        <f ca="1">COUNTIFS('Base de Datos'!$F:$F,$C27,'Base de Datos'!$G:$G,$D27,'Base de Datos'!$H:$H,$E27,'Base de Datos'!$U:$U,$F27,'Base de Datos'!$AA:$AA,"Abierta",'Base de Datos'!$AC:$AC,"&lt;=30",'Base de Datos'!$AC:$AC,"&gt;20")</f>
        <v>0</v>
      </c>
      <c r="O27" s="29">
        <f ca="1">COUNTIFS('Base de Datos'!$F:$F,$C27,'Base de Datos'!$G:$G,$D27,'Base de Datos'!$H:$H,$E27,'Base de Datos'!$U:$U,$F27,'Base de Datos'!$AA:$AA,"Abierta",'Base de Datos'!$AG:$AG,1)</f>
        <v>0</v>
      </c>
      <c r="P27" s="29">
        <f>COUNTIFS('Base de Datos'!$F:$F, $C27, 'Base de Datos'!$H:$H, $E27, 'Base de Datos'!$U:$U, $F27, 'Base de Datos'!$AA:$AA, "Finalizada", 'Base de Datos'!$AJ:$AJ, "&gt;=01/01/2026", 'Base de Datos'!$AJ:$AJ, "&lt;=31/01/2026")</f>
        <v>0</v>
      </c>
      <c r="Q27" s="29">
        <f>COUNTIFS('Base de Datos'!$F:$F, $C27, 'Base de Datos'!$H:$H, $E27, 'Base de Datos'!$U:$U, $F27, 'Base de Datos'!$AA:$AA, "Finalizada", 'Base de Datos'!$AJ:$AJ, "&gt;=01/02/2026", 'Base de Datos'!$AJ:$AJ, "&lt;=28/02/2026")</f>
        <v>0</v>
      </c>
      <c r="R27" s="29">
        <f>COUNTIFS('Base de Datos'!$F:$F, $C27, 'Base de Datos'!$H:$H, $E27, 'Base de Datos'!$U:$U, $F27, 'Base de Datos'!$AA:$AA, "Finalizada", 'Base de Datos'!$AJ:$AJ, "&gt;=01/03/2026", 'Base de Datos'!$AJ:$AJ, "&lt;=31/03/2026")</f>
        <v>0</v>
      </c>
      <c r="S27" s="29">
        <f>COUNTIFS('Base de Datos'!$F:$F, $C27, 'Base de Datos'!$H:$H, $E27, 'Base de Datos'!$U:$U, $F27, 'Base de Datos'!$AA:$AA, "Finalizada", 'Base de Datos'!$AJ:$AJ, "&gt;=01/04/2026", 'Base de Datos'!$AJ:$AJ, "&lt;=30/04/2026")</f>
        <v>0</v>
      </c>
      <c r="T27" s="29">
        <f>COUNTIFS('Base de Datos'!$F:$F, $C27, 'Base de Datos'!$H:$H, $E27, 'Base de Datos'!$U:$U, $F27, 'Base de Datos'!$AA:$AA, "Finalizada", 'Base de Datos'!$AJ:$AJ, "&gt;=01/05/2026", 'Base de Datos'!$AJ:$AJ, "&lt;=31/05/2026")</f>
        <v>0</v>
      </c>
      <c r="U27" s="29">
        <f>COUNTIFS('Base de Datos'!$F:$F, $C27, 'Base de Datos'!$H:$H, $E27, 'Base de Datos'!$U:$U, $F27, 'Base de Datos'!$AA:$AA, "Finalizada", 'Base de Datos'!$AJ:$AJ, "&gt;=01/06/2026", 'Base de Datos'!$AJ:$AJ, "&lt;=30/06/2026")</f>
        <v>0</v>
      </c>
    </row>
    <row r="28" spans="3:24">
      <c r="C28" s="4">
        <v>2025</v>
      </c>
      <c r="D28" s="4">
        <v>90</v>
      </c>
      <c r="E28" s="4" t="s">
        <v>207</v>
      </c>
      <c r="F28" s="5" t="s">
        <v>680</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1</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1</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f>COUNTIFS('Base de Datos'!$F:$F, $C28, 'Base de Datos'!$H:$H, $E28, 'Base de Datos'!$U:$U, $F28, 'Base de Datos'!$AA:$AA, "Finalizada", 'Base de Datos'!$AJ:$AJ, "&gt;=01/01/2026", 'Base de Datos'!$AJ:$AJ, "&lt;=31/01/2026")</f>
        <v>0</v>
      </c>
      <c r="Q28" s="29">
        <f>COUNTIFS('Base de Datos'!$F:$F, $C28, 'Base de Datos'!$H:$H, $E28, 'Base de Datos'!$U:$U, $F28, 'Base de Datos'!$AA:$AA, "Finalizada", 'Base de Datos'!$AJ:$AJ, "&gt;=01/02/2026", 'Base de Datos'!$AJ:$AJ, "&lt;=28/02/2026")</f>
        <v>0</v>
      </c>
      <c r="R28" s="29">
        <f>COUNTIFS('Base de Datos'!$F:$F, $C28, 'Base de Datos'!$H:$H, $E28, 'Base de Datos'!$U:$U, $F28, 'Base de Datos'!$AA:$AA, "Finalizada", 'Base de Datos'!$AJ:$AJ, "&gt;=01/03/2026", 'Base de Datos'!$AJ:$AJ, "&lt;=31/03/2026")</f>
        <v>0</v>
      </c>
      <c r="S28" s="29">
        <f>COUNTIFS('Base de Datos'!$F:$F, $C28, 'Base de Datos'!$H:$H, $E28, 'Base de Datos'!$U:$U, $F28, 'Base de Datos'!$AA:$AA, "Finalizada", 'Base de Datos'!$AJ:$AJ, "&gt;=01/04/2026", 'Base de Datos'!$AJ:$AJ, "&lt;=30/04/2026")</f>
        <v>0</v>
      </c>
      <c r="T28" s="29">
        <f>COUNTIFS('Base de Datos'!$F:$F, $C28, 'Base de Datos'!$H:$H, $E28, 'Base de Datos'!$U:$U, $F28, 'Base de Datos'!$AA:$AA, "Finalizada", 'Base de Datos'!$AJ:$AJ, "&gt;=01/05/2026", 'Base de Datos'!$AJ:$AJ, "&lt;=31/05/2026")</f>
        <v>1</v>
      </c>
      <c r="U28" s="29">
        <f>COUNTIFS('Base de Datos'!$F:$F, $C28, 'Base de Datos'!$H:$H, $E28, 'Base de Datos'!$U:$U, $F28, 'Base de Datos'!$AA:$AA, "Finalizada", 'Base de Datos'!$AJ:$AJ, "&gt;=01/06/2026", 'Base de Datos'!$AJ:$AJ, "&lt;=30/06/2026")</f>
        <v>0</v>
      </c>
    </row>
    <row r="29" spans="3:24">
      <c r="C29" s="4">
        <v>2025</v>
      </c>
      <c r="D29" s="4">
        <v>90</v>
      </c>
      <c r="E29" s="4" t="s">
        <v>207</v>
      </c>
      <c r="F29" s="5" t="s">
        <v>677</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1</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1</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f>COUNTIFS('Base de Datos'!$F:$F, $C29, 'Base de Datos'!$H:$H, $E29, 'Base de Datos'!$U:$U, $F29, 'Base de Datos'!$AA:$AA, "Finalizada", 'Base de Datos'!$AJ:$AJ, "&gt;=01/01/2026", 'Base de Datos'!$AJ:$AJ, "&lt;=31/01/2026")</f>
        <v>0</v>
      </c>
      <c r="Q29" s="29">
        <f>COUNTIFS('Base de Datos'!$F:$F, $C29, 'Base de Datos'!$H:$H, $E29, 'Base de Datos'!$U:$U, $F29, 'Base de Datos'!$AA:$AA, "Finalizada", 'Base de Datos'!$AJ:$AJ, "&gt;=01/02/2026", 'Base de Datos'!$AJ:$AJ, "&lt;=28/02/2026")</f>
        <v>0</v>
      </c>
      <c r="R29" s="29">
        <f>COUNTIFS('Base de Datos'!$F:$F, $C29, 'Base de Datos'!$H:$H, $E29, 'Base de Datos'!$U:$U, $F29, 'Base de Datos'!$AA:$AA, "Finalizada", 'Base de Datos'!$AJ:$AJ, "&gt;=01/03/2026", 'Base de Datos'!$AJ:$AJ, "&lt;=31/03/2026")</f>
        <v>0</v>
      </c>
      <c r="S29" s="29">
        <f>COUNTIFS('Base de Datos'!$F:$F, $C29, 'Base de Datos'!$H:$H, $E29, 'Base de Datos'!$U:$U, $F29, 'Base de Datos'!$AA:$AA, "Finalizada", 'Base de Datos'!$AJ:$AJ, "&gt;=01/04/2026", 'Base de Datos'!$AJ:$AJ, "&lt;=30/04/2026")</f>
        <v>0</v>
      </c>
      <c r="T29" s="29">
        <f>COUNTIFS('Base de Datos'!$F:$F, $C29, 'Base de Datos'!$H:$H, $E29, 'Base de Datos'!$U:$U, $F29, 'Base de Datos'!$AA:$AA, "Finalizada", 'Base de Datos'!$AJ:$AJ, "&gt;=01/05/2026", 'Base de Datos'!$AJ:$AJ, "&lt;=31/05/2026")</f>
        <v>0</v>
      </c>
      <c r="U29" s="29">
        <f>COUNTIFS('Base de Datos'!$F:$F, $C29, 'Base de Datos'!$H:$H, $E29, 'Base de Datos'!$U:$U, $F29, 'Base de Datos'!$AA:$AA, "Finalizada", 'Base de Datos'!$AJ:$AJ, "&gt;=01/06/2026", 'Base de Datos'!$AJ:$AJ, "&lt;=30/06/2026")</f>
        <v>0</v>
      </c>
    </row>
    <row r="30" spans="3:24">
      <c r="C30" s="4">
        <v>2025</v>
      </c>
      <c r="D30" s="4">
        <v>90</v>
      </c>
      <c r="E30" s="4" t="s">
        <v>218</v>
      </c>
      <c r="F30" s="5" t="s">
        <v>674</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2</v>
      </c>
      <c r="I30" s="29">
        <f>COUNTIFS('Base de Datos'!$F:$F,$C30,'Base de Datos'!$G:$G,$D30,'Base de Datos'!$H:$H,$E30,'Base de Datos'!$U:$U,$F30,'Base de Datos'!$AA:$AA,"Abierta")</f>
        <v>0</v>
      </c>
      <c r="J30" s="29">
        <f>COUNTIFS('Base de Datos'!$F:$F,$C30,'Base de Datos'!$G:$G,$D30,'Base de Datos'!$H:$H,$E30,'Base de Datos'!$U:$U,$F30,'Base de Datos'!$AA:$AA,"Vencida")</f>
        <v>1</v>
      </c>
      <c r="K30" s="29">
        <f>COUNTIFS('Base de Datos'!$F:$F,$C30,'Base de Datos'!$G:$G,$D30,'Base de Datos'!$H:$H,$E30,'Base de Datos'!$U:$U,$F30,'Base de Datos'!$AA:$AA,"Finalizada")</f>
        <v>1</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f>COUNTIFS('Base de Datos'!$F:$F, $C30, 'Base de Datos'!$H:$H, $E30, 'Base de Datos'!$U:$U, $F30, 'Base de Datos'!$AA:$AA, "Finalizada", 'Base de Datos'!$AJ:$AJ, "&gt;=01/01/2026", 'Base de Datos'!$AJ:$AJ, "&lt;=31/01/2026")</f>
        <v>0</v>
      </c>
      <c r="Q30" s="29">
        <f>COUNTIFS('Base de Datos'!$F:$F, $C30, 'Base de Datos'!$H:$H, $E30, 'Base de Datos'!$U:$U, $F30, 'Base de Datos'!$AA:$AA, "Finalizada", 'Base de Datos'!$AJ:$AJ, "&gt;=01/02/2026", 'Base de Datos'!$AJ:$AJ, "&lt;=28/02/2026")</f>
        <v>0</v>
      </c>
      <c r="R30" s="29">
        <f>COUNTIFS('Base de Datos'!$F:$F, $C30, 'Base de Datos'!$H:$H, $E30, 'Base de Datos'!$U:$U, $F30, 'Base de Datos'!$AA:$AA, "Finalizada", 'Base de Datos'!$AJ:$AJ, "&gt;=01/03/2026", 'Base de Datos'!$AJ:$AJ, "&lt;=31/03/2026")</f>
        <v>0</v>
      </c>
      <c r="S30" s="29">
        <f>COUNTIFS('Base de Datos'!$F:$F, $C30, 'Base de Datos'!$H:$H, $E30, 'Base de Datos'!$U:$U, $F30, 'Base de Datos'!$AA:$AA, "Finalizada", 'Base de Datos'!$AJ:$AJ, "&gt;=01/04/2026", 'Base de Datos'!$AJ:$AJ, "&lt;=30/04/2026")</f>
        <v>0</v>
      </c>
      <c r="T30" s="29">
        <f>COUNTIFS('Base de Datos'!$F:$F, $C30, 'Base de Datos'!$H:$H, $E30, 'Base de Datos'!$U:$U, $F30, 'Base de Datos'!$AA:$AA, "Finalizada", 'Base de Datos'!$AJ:$AJ, "&gt;=01/05/2026", 'Base de Datos'!$AJ:$AJ, "&lt;=31/05/2026")</f>
        <v>0</v>
      </c>
      <c r="U30" s="29">
        <f>COUNTIFS('Base de Datos'!$F:$F, $C30, 'Base de Datos'!$H:$H, $E30, 'Base de Datos'!$U:$U, $F30, 'Base de Datos'!$AA:$AA, "Finalizada", 'Base de Datos'!$AJ:$AJ, "&gt;=01/06/2026", 'Base de Datos'!$AJ:$AJ, "&lt;=30/06/2026")</f>
        <v>0</v>
      </c>
    </row>
    <row r="31" spans="3:24">
      <c r="C31" s="4">
        <v>2025</v>
      </c>
      <c r="D31" s="4">
        <v>90</v>
      </c>
      <c r="E31" s="4" t="s">
        <v>218</v>
      </c>
      <c r="F31" s="5" t="s">
        <v>676</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1</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1</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f>COUNTIFS('Base de Datos'!$F:$F, $C31, 'Base de Datos'!$H:$H, $E31, 'Base de Datos'!$U:$U, $F31, 'Base de Datos'!$AA:$AA, "Finalizada", 'Base de Datos'!$AJ:$AJ, "&gt;=01/01/2026", 'Base de Datos'!$AJ:$AJ, "&lt;=31/01/2026")</f>
        <v>0</v>
      </c>
      <c r="Q31" s="29">
        <f>COUNTIFS('Base de Datos'!$F:$F, $C31, 'Base de Datos'!$H:$H, $E31, 'Base de Datos'!$U:$U, $F31, 'Base de Datos'!$AA:$AA, "Finalizada", 'Base de Datos'!$AJ:$AJ, "&gt;=01/02/2026", 'Base de Datos'!$AJ:$AJ, "&lt;=28/02/2026")</f>
        <v>0</v>
      </c>
      <c r="R31" s="29">
        <f>COUNTIFS('Base de Datos'!$F:$F, $C31, 'Base de Datos'!$H:$H, $E31, 'Base de Datos'!$U:$U, $F31, 'Base de Datos'!$AA:$AA, "Finalizada", 'Base de Datos'!$AJ:$AJ, "&gt;=01/03/2026", 'Base de Datos'!$AJ:$AJ, "&lt;=31/03/2026")</f>
        <v>1</v>
      </c>
      <c r="S31" s="29">
        <f>COUNTIFS('Base de Datos'!$F:$F, $C31, 'Base de Datos'!$H:$H, $E31, 'Base de Datos'!$U:$U, $F31, 'Base de Datos'!$AA:$AA, "Finalizada", 'Base de Datos'!$AJ:$AJ, "&gt;=01/04/2026", 'Base de Datos'!$AJ:$AJ, "&lt;=30/04/2026")</f>
        <v>0</v>
      </c>
      <c r="T31" s="29">
        <f>COUNTIFS('Base de Datos'!$F:$F, $C31, 'Base de Datos'!$H:$H, $E31, 'Base de Datos'!$U:$U, $F31, 'Base de Datos'!$AA:$AA, "Finalizada", 'Base de Datos'!$AJ:$AJ, "&gt;=01/05/2026", 'Base de Datos'!$AJ:$AJ, "&lt;=31/05/2026")</f>
        <v>0</v>
      </c>
      <c r="U31" s="29">
        <f>COUNTIFS('Base de Datos'!$F:$F, $C31, 'Base de Datos'!$H:$H, $E31, 'Base de Datos'!$U:$U, $F31, 'Base de Datos'!$AA:$AA, "Finalizada", 'Base de Datos'!$AJ:$AJ, "&gt;=01/06/2026", 'Base de Datos'!$AJ:$AJ, "&lt;=30/06/2026")</f>
        <v>0</v>
      </c>
    </row>
    <row r="32" spans="3:24">
      <c r="C32" s="4">
        <v>2025</v>
      </c>
      <c r="D32" s="4">
        <v>90</v>
      </c>
      <c r="E32" s="4" t="s">
        <v>232</v>
      </c>
      <c r="F32" s="5" t="s">
        <v>678</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1</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1</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f>COUNTIFS('Base de Datos'!$F:$F, $C32, 'Base de Datos'!$H:$H, $E32, 'Base de Datos'!$U:$U, $F32, 'Base de Datos'!$AA:$AA, "Finalizada", 'Base de Datos'!$AJ:$AJ, "&gt;=01/01/2026", 'Base de Datos'!$AJ:$AJ, "&lt;=31/01/2026")</f>
        <v>0</v>
      </c>
      <c r="Q32" s="29">
        <f>COUNTIFS('Base de Datos'!$F:$F, $C32, 'Base de Datos'!$H:$H, $E32, 'Base de Datos'!$U:$U, $F32, 'Base de Datos'!$AA:$AA, "Finalizada", 'Base de Datos'!$AJ:$AJ, "&gt;=01/02/2026", 'Base de Datos'!$AJ:$AJ, "&lt;=28/02/2026")</f>
        <v>0</v>
      </c>
      <c r="R32" s="29">
        <f>COUNTIFS('Base de Datos'!$F:$F, $C32, 'Base de Datos'!$H:$H, $E32, 'Base de Datos'!$U:$U, $F32, 'Base de Datos'!$AA:$AA, "Finalizada", 'Base de Datos'!$AJ:$AJ, "&gt;=01/03/2026", 'Base de Datos'!$AJ:$AJ, "&lt;=31/03/2026")</f>
        <v>0</v>
      </c>
      <c r="S32" s="29">
        <f>COUNTIFS('Base de Datos'!$F:$F, $C32, 'Base de Datos'!$H:$H, $E32, 'Base de Datos'!$U:$U, $F32, 'Base de Datos'!$AA:$AA, "Finalizada", 'Base de Datos'!$AJ:$AJ, "&gt;=01/04/2026", 'Base de Datos'!$AJ:$AJ, "&lt;=30/04/2026")</f>
        <v>0</v>
      </c>
      <c r="T32" s="29">
        <f>COUNTIFS('Base de Datos'!$F:$F, $C32, 'Base de Datos'!$H:$H, $E32, 'Base de Datos'!$U:$U, $F32, 'Base de Datos'!$AA:$AA, "Finalizada", 'Base de Datos'!$AJ:$AJ, "&gt;=01/05/2026", 'Base de Datos'!$AJ:$AJ, "&lt;=31/05/2026")</f>
        <v>0</v>
      </c>
      <c r="U32" s="29">
        <f>COUNTIFS('Base de Datos'!$F:$F, $C32, 'Base de Datos'!$H:$H, $E32, 'Base de Datos'!$U:$U, $F32, 'Base de Datos'!$AA:$AA, "Finalizada", 'Base de Datos'!$AJ:$AJ, "&gt;=01/06/2026", 'Base de Datos'!$AJ:$AJ, "&lt;=30/06/2026")</f>
        <v>0</v>
      </c>
    </row>
    <row r="33" spans="3:21">
      <c r="C33" s="4">
        <v>2024</v>
      </c>
      <c r="D33" s="4">
        <v>90</v>
      </c>
      <c r="E33" s="4" t="s">
        <v>240</v>
      </c>
      <c r="F33" s="5" t="s">
        <v>674</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1</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1</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f>COUNTIFS('Base de Datos'!$F:$F, $C33, 'Base de Datos'!$H:$H, $E33, 'Base de Datos'!$U:$U, $F33, 'Base de Datos'!$AA:$AA, "Finalizada", 'Base de Datos'!$AJ:$AJ, "&gt;=01/01/2026", 'Base de Datos'!$AJ:$AJ, "&lt;=31/01/2026")</f>
        <v>0</v>
      </c>
      <c r="Q33" s="29">
        <f>COUNTIFS('Base de Datos'!$F:$F, $C33, 'Base de Datos'!$H:$H, $E33, 'Base de Datos'!$U:$U, $F33, 'Base de Datos'!$AA:$AA, "Finalizada", 'Base de Datos'!$AJ:$AJ, "&gt;=01/02/2026", 'Base de Datos'!$AJ:$AJ, "&lt;=28/02/2026")</f>
        <v>0</v>
      </c>
      <c r="R33" s="29">
        <f>COUNTIFS('Base de Datos'!$F:$F, $C33, 'Base de Datos'!$H:$H, $E33, 'Base de Datos'!$U:$U, $F33, 'Base de Datos'!$AA:$AA, "Finalizada", 'Base de Datos'!$AJ:$AJ, "&gt;=01/03/2026", 'Base de Datos'!$AJ:$AJ, "&lt;=31/03/2026")</f>
        <v>0</v>
      </c>
      <c r="S33" s="29">
        <f>COUNTIFS('Base de Datos'!$F:$F, $C33, 'Base de Datos'!$H:$H, $E33, 'Base de Datos'!$U:$U, $F33, 'Base de Datos'!$AA:$AA, "Finalizada", 'Base de Datos'!$AJ:$AJ, "&gt;=01/04/2026", 'Base de Datos'!$AJ:$AJ, "&lt;=30/04/2026")</f>
        <v>0</v>
      </c>
      <c r="T33" s="29">
        <f>COUNTIFS('Base de Datos'!$F:$F, $C33, 'Base de Datos'!$H:$H, $E33, 'Base de Datos'!$U:$U, $F33, 'Base de Datos'!$AA:$AA, "Finalizada", 'Base de Datos'!$AJ:$AJ, "&gt;=01/05/2026", 'Base de Datos'!$AJ:$AJ, "&lt;=31/05/2026")</f>
        <v>0</v>
      </c>
      <c r="U33" s="29">
        <f>COUNTIFS('Base de Datos'!$F:$F, $C33, 'Base de Datos'!$H:$H, $E33, 'Base de Datos'!$U:$U, $F33, 'Base de Datos'!$AA:$AA, "Finalizada", 'Base de Datos'!$AJ:$AJ, "&gt;=01/06/2026", 'Base de Datos'!$AJ:$AJ, "&lt;=30/06/2026")</f>
        <v>0</v>
      </c>
    </row>
    <row r="34" spans="3:21" ht="20.399999999999999">
      <c r="C34" s="4">
        <v>2024</v>
      </c>
      <c r="D34" s="4">
        <v>90</v>
      </c>
      <c r="E34" s="4" t="s">
        <v>240</v>
      </c>
      <c r="F34" s="5" t="s">
        <v>681</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1</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1</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f>COUNTIFS('Base de Datos'!$F:$F, $C34, 'Base de Datos'!$H:$H, $E34, 'Base de Datos'!$U:$U, $F34, 'Base de Datos'!$AA:$AA, "Finalizada", 'Base de Datos'!$AJ:$AJ, "&gt;=01/01/2026", 'Base de Datos'!$AJ:$AJ, "&lt;=31/01/2026")</f>
        <v>0</v>
      </c>
      <c r="Q34" s="29">
        <f>COUNTIFS('Base de Datos'!$F:$F, $C34, 'Base de Datos'!$H:$H, $E34, 'Base de Datos'!$U:$U, $F34, 'Base de Datos'!$AA:$AA, "Finalizada", 'Base de Datos'!$AJ:$AJ, "&gt;=01/02/2026", 'Base de Datos'!$AJ:$AJ, "&lt;=28/02/2026")</f>
        <v>0</v>
      </c>
      <c r="R34" s="29">
        <f>COUNTIFS('Base de Datos'!$F:$F, $C34, 'Base de Datos'!$H:$H, $E34, 'Base de Datos'!$U:$U, $F34, 'Base de Datos'!$AA:$AA, "Finalizada", 'Base de Datos'!$AJ:$AJ, "&gt;=01/03/2026", 'Base de Datos'!$AJ:$AJ, "&lt;=31/03/2026")</f>
        <v>0</v>
      </c>
      <c r="S34" s="29">
        <f>COUNTIFS('Base de Datos'!$F:$F, $C34, 'Base de Datos'!$H:$H, $E34, 'Base de Datos'!$U:$U, $F34, 'Base de Datos'!$AA:$AA, "Finalizada", 'Base de Datos'!$AJ:$AJ, "&gt;=01/04/2026", 'Base de Datos'!$AJ:$AJ, "&lt;=30/04/2026")</f>
        <v>0</v>
      </c>
      <c r="T34" s="29">
        <f>COUNTIFS('Base de Datos'!$F:$F, $C34, 'Base de Datos'!$H:$H, $E34, 'Base de Datos'!$U:$U, $F34, 'Base de Datos'!$AA:$AA, "Finalizada", 'Base de Datos'!$AJ:$AJ, "&gt;=01/05/2026", 'Base de Datos'!$AJ:$AJ, "&lt;=31/05/2026")</f>
        <v>0</v>
      </c>
      <c r="U34" s="29">
        <f>COUNTIFS('Base de Datos'!$F:$F, $C34, 'Base de Datos'!$H:$H, $E34, 'Base de Datos'!$U:$U, $F34, 'Base de Datos'!$AA:$AA, "Finalizada", 'Base de Datos'!$AJ:$AJ, "&gt;=01/06/2026", 'Base de Datos'!$AJ:$AJ, "&lt;=30/06/2026")</f>
        <v>0</v>
      </c>
    </row>
    <row r="35" spans="3:21">
      <c r="C35" s="4">
        <v>2024</v>
      </c>
      <c r="D35" s="4">
        <v>90</v>
      </c>
      <c r="E35" s="4" t="s">
        <v>240</v>
      </c>
      <c r="F35" s="5" t="s">
        <v>679</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1</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1</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f>COUNTIFS('Base de Datos'!$F:$F, $C35, 'Base de Datos'!$H:$H, $E35, 'Base de Datos'!$U:$U, $F35, 'Base de Datos'!$AA:$AA, "Finalizada", 'Base de Datos'!$AJ:$AJ, "&gt;=01/01/2026", 'Base de Datos'!$AJ:$AJ, "&lt;=31/01/2026")</f>
        <v>0</v>
      </c>
      <c r="Q35" s="29">
        <f>COUNTIFS('Base de Datos'!$F:$F, $C35, 'Base de Datos'!$H:$H, $E35, 'Base de Datos'!$U:$U, $F35, 'Base de Datos'!$AA:$AA, "Finalizada", 'Base de Datos'!$AJ:$AJ, "&gt;=01/02/2026", 'Base de Datos'!$AJ:$AJ, "&lt;=28/02/2026")</f>
        <v>0</v>
      </c>
      <c r="R35" s="29">
        <f>COUNTIFS('Base de Datos'!$F:$F, $C35, 'Base de Datos'!$H:$H, $E35, 'Base de Datos'!$U:$U, $F35, 'Base de Datos'!$AA:$AA, "Finalizada", 'Base de Datos'!$AJ:$AJ, "&gt;=01/03/2026", 'Base de Datos'!$AJ:$AJ, "&lt;=31/03/2026")</f>
        <v>0</v>
      </c>
      <c r="S35" s="29">
        <f>COUNTIFS('Base de Datos'!$F:$F, $C35, 'Base de Datos'!$H:$H, $E35, 'Base de Datos'!$U:$U, $F35, 'Base de Datos'!$AA:$AA, "Finalizada", 'Base de Datos'!$AJ:$AJ, "&gt;=01/04/2026", 'Base de Datos'!$AJ:$AJ, "&lt;=30/04/2026")</f>
        <v>0</v>
      </c>
      <c r="T35" s="29">
        <f>COUNTIFS('Base de Datos'!$F:$F, $C35, 'Base de Datos'!$H:$H, $E35, 'Base de Datos'!$U:$U, $F35, 'Base de Datos'!$AA:$AA, "Finalizada", 'Base de Datos'!$AJ:$AJ, "&gt;=01/05/2026", 'Base de Datos'!$AJ:$AJ, "&lt;=31/05/2026")</f>
        <v>0</v>
      </c>
      <c r="U35" s="29">
        <f>COUNTIFS('Base de Datos'!$F:$F, $C35, 'Base de Datos'!$H:$H, $E35, 'Base de Datos'!$U:$U, $F35, 'Base de Datos'!$AA:$AA, "Finalizada", 'Base de Datos'!$AJ:$AJ, "&gt;=01/06/2026", 'Base de Datos'!$AJ:$AJ, "&lt;=30/06/2026")</f>
        <v>0</v>
      </c>
    </row>
    <row r="36" spans="3:21">
      <c r="C36" s="4">
        <v>2024</v>
      </c>
      <c r="D36" s="4">
        <v>90</v>
      </c>
      <c r="E36" s="4" t="s">
        <v>262</v>
      </c>
      <c r="F36" s="5" t="s">
        <v>698</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1</v>
      </c>
      <c r="I36" s="29">
        <f>COUNTIFS('Base de Datos'!$F:$F,$C36,'Base de Datos'!$G:$G,$D36,'Base de Datos'!$H:$H,$E36,'Base de Datos'!$U:$U,$F36,'Base de Datos'!$AA:$AA,"Abierta")</f>
        <v>0</v>
      </c>
      <c r="J36" s="29">
        <f>COUNTIFS('Base de Datos'!$F:$F,$C36,'Base de Datos'!$G:$G,$D36,'Base de Datos'!$H:$H,$E36,'Base de Datos'!$U:$U,$F36,'Base de Datos'!$AA:$AA,"Vencida")</f>
        <v>1</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f>COUNTIFS('Base de Datos'!$F:$F, $C36, 'Base de Datos'!$H:$H, $E36, 'Base de Datos'!$U:$U, $F36, 'Base de Datos'!$AA:$AA, "Finalizada", 'Base de Datos'!$AJ:$AJ, "&gt;=01/01/2026", 'Base de Datos'!$AJ:$AJ, "&lt;=31/01/2026")</f>
        <v>0</v>
      </c>
      <c r="Q36" s="29">
        <f>COUNTIFS('Base de Datos'!$F:$F, $C36, 'Base de Datos'!$H:$H, $E36, 'Base de Datos'!$U:$U, $F36, 'Base de Datos'!$AA:$AA, "Finalizada", 'Base de Datos'!$AJ:$AJ, "&gt;=01/02/2026", 'Base de Datos'!$AJ:$AJ, "&lt;=28/02/2026")</f>
        <v>0</v>
      </c>
      <c r="R36" s="29">
        <f>COUNTIFS('Base de Datos'!$F:$F, $C36, 'Base de Datos'!$H:$H, $E36, 'Base de Datos'!$U:$U, $F36, 'Base de Datos'!$AA:$AA, "Finalizada", 'Base de Datos'!$AJ:$AJ, "&gt;=01/03/2026", 'Base de Datos'!$AJ:$AJ, "&lt;=31/03/2026")</f>
        <v>0</v>
      </c>
      <c r="S36" s="29">
        <f>COUNTIFS('Base de Datos'!$F:$F, $C36, 'Base de Datos'!$H:$H, $E36, 'Base de Datos'!$U:$U, $F36, 'Base de Datos'!$AA:$AA, "Finalizada", 'Base de Datos'!$AJ:$AJ, "&gt;=01/04/2026", 'Base de Datos'!$AJ:$AJ, "&lt;=30/04/2026")</f>
        <v>0</v>
      </c>
      <c r="T36" s="29">
        <f>COUNTIFS('Base de Datos'!$F:$F, $C36, 'Base de Datos'!$H:$H, $E36, 'Base de Datos'!$U:$U, $F36, 'Base de Datos'!$AA:$AA, "Finalizada", 'Base de Datos'!$AJ:$AJ, "&gt;=01/05/2026", 'Base de Datos'!$AJ:$AJ, "&lt;=31/05/2026")</f>
        <v>0</v>
      </c>
      <c r="U36" s="29">
        <f>COUNTIFS('Base de Datos'!$F:$F, $C36, 'Base de Datos'!$H:$H, $E36, 'Base de Datos'!$U:$U, $F36, 'Base de Datos'!$AA:$AA, "Finalizada", 'Base de Datos'!$AJ:$AJ, "&gt;=01/06/2026", 'Base de Datos'!$AJ:$AJ, "&lt;=30/06/2026")</f>
        <v>0</v>
      </c>
    </row>
    <row r="37" spans="3:21">
      <c r="C37" s="4">
        <v>2024</v>
      </c>
      <c r="D37" s="4">
        <v>90</v>
      </c>
      <c r="E37" s="4" t="s">
        <v>262</v>
      </c>
      <c r="F37" s="5" t="s">
        <v>682</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1</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1</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f>COUNTIFS('Base de Datos'!$F:$F, $C37, 'Base de Datos'!$H:$H, $E37, 'Base de Datos'!$U:$U, $F37, 'Base de Datos'!$AA:$AA, "Finalizada", 'Base de Datos'!$AJ:$AJ, "&gt;=01/01/2026", 'Base de Datos'!$AJ:$AJ, "&lt;=31/01/2026")</f>
        <v>0</v>
      </c>
      <c r="Q37" s="29">
        <f>COUNTIFS('Base de Datos'!$F:$F, $C37, 'Base de Datos'!$H:$H, $E37, 'Base de Datos'!$U:$U, $F37, 'Base de Datos'!$AA:$AA, "Finalizada", 'Base de Datos'!$AJ:$AJ, "&gt;=01/02/2026", 'Base de Datos'!$AJ:$AJ, "&lt;=28/02/2026")</f>
        <v>0</v>
      </c>
      <c r="R37" s="29">
        <f>COUNTIFS('Base de Datos'!$F:$F, $C37, 'Base de Datos'!$H:$H, $E37, 'Base de Datos'!$U:$U, $F37, 'Base de Datos'!$AA:$AA, "Finalizada", 'Base de Datos'!$AJ:$AJ, "&gt;=01/03/2026", 'Base de Datos'!$AJ:$AJ, "&lt;=31/03/2026")</f>
        <v>0</v>
      </c>
      <c r="S37" s="29">
        <f>COUNTIFS('Base de Datos'!$F:$F, $C37, 'Base de Datos'!$H:$H, $E37, 'Base de Datos'!$U:$U, $F37, 'Base de Datos'!$AA:$AA, "Finalizada", 'Base de Datos'!$AJ:$AJ, "&gt;=01/04/2026", 'Base de Datos'!$AJ:$AJ, "&lt;=30/04/2026")</f>
        <v>0</v>
      </c>
      <c r="T37" s="29">
        <f>COUNTIFS('Base de Datos'!$F:$F, $C37, 'Base de Datos'!$H:$H, $E37, 'Base de Datos'!$U:$U, $F37, 'Base de Datos'!$AA:$AA, "Finalizada", 'Base de Datos'!$AJ:$AJ, "&gt;=01/05/2026", 'Base de Datos'!$AJ:$AJ, "&lt;=31/05/2026")</f>
        <v>0</v>
      </c>
      <c r="U37" s="29">
        <f>COUNTIFS('Base de Datos'!$F:$F, $C37, 'Base de Datos'!$H:$H, $E37, 'Base de Datos'!$U:$U, $F37, 'Base de Datos'!$AA:$AA, "Finalizada", 'Base de Datos'!$AJ:$AJ, "&gt;=01/06/2026", 'Base de Datos'!$AJ:$AJ, "&lt;=30/06/2026")</f>
        <v>0</v>
      </c>
    </row>
    <row r="38" spans="3:21">
      <c r="C38" s="4">
        <v>2024</v>
      </c>
      <c r="D38" s="4">
        <v>90</v>
      </c>
      <c r="E38" s="4" t="s">
        <v>262</v>
      </c>
      <c r="F38" s="5" t="s">
        <v>676</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1</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1</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f>COUNTIFS('Base de Datos'!$F:$F, $C38, 'Base de Datos'!$H:$H, $E38, 'Base de Datos'!$U:$U, $F38, 'Base de Datos'!$AA:$AA, "Finalizada", 'Base de Datos'!$AJ:$AJ, "&gt;=01/01/2026", 'Base de Datos'!$AJ:$AJ, "&lt;=31/01/2026")</f>
        <v>0</v>
      </c>
      <c r="Q38" s="29">
        <f>COUNTIFS('Base de Datos'!$F:$F, $C38, 'Base de Datos'!$H:$H, $E38, 'Base de Datos'!$U:$U, $F38, 'Base de Datos'!$AA:$AA, "Finalizada", 'Base de Datos'!$AJ:$AJ, "&gt;=01/02/2026", 'Base de Datos'!$AJ:$AJ, "&lt;=28/02/2026")</f>
        <v>0</v>
      </c>
      <c r="R38" s="29">
        <f>COUNTIFS('Base de Datos'!$F:$F, $C38, 'Base de Datos'!$H:$H, $E38, 'Base de Datos'!$U:$U, $F38, 'Base de Datos'!$AA:$AA, "Finalizada", 'Base de Datos'!$AJ:$AJ, "&gt;=01/03/2026", 'Base de Datos'!$AJ:$AJ, "&lt;=31/03/2026")</f>
        <v>0</v>
      </c>
      <c r="S38" s="29">
        <f>COUNTIFS('Base de Datos'!$F:$F, $C38, 'Base de Datos'!$H:$H, $E38, 'Base de Datos'!$U:$U, $F38, 'Base de Datos'!$AA:$AA, "Finalizada", 'Base de Datos'!$AJ:$AJ, "&gt;=01/04/2026", 'Base de Datos'!$AJ:$AJ, "&lt;=30/04/2026")</f>
        <v>0</v>
      </c>
      <c r="T38" s="29">
        <f>COUNTIFS('Base de Datos'!$F:$F, $C38, 'Base de Datos'!$H:$H, $E38, 'Base de Datos'!$U:$U, $F38, 'Base de Datos'!$AA:$AA, "Finalizada", 'Base de Datos'!$AJ:$AJ, "&gt;=01/05/2026", 'Base de Datos'!$AJ:$AJ, "&lt;=31/05/2026")</f>
        <v>0</v>
      </c>
      <c r="U38" s="29">
        <f>COUNTIFS('Base de Datos'!$F:$F, $C38, 'Base de Datos'!$H:$H, $E38, 'Base de Datos'!$U:$U, $F38, 'Base de Datos'!$AA:$AA, "Finalizada", 'Base de Datos'!$AJ:$AJ, "&gt;=01/06/2026", 'Base de Datos'!$AJ:$AJ, "&lt;=30/06/2026")</f>
        <v>0</v>
      </c>
    </row>
    <row r="39" spans="3:21">
      <c r="C39" s="4">
        <v>2024</v>
      </c>
      <c r="D39" s="4">
        <v>90</v>
      </c>
      <c r="E39" s="4" t="s">
        <v>285</v>
      </c>
      <c r="F39" s="5" t="s">
        <v>674</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1</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1</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f>COUNTIFS('Base de Datos'!$F:$F, $C39, 'Base de Datos'!$H:$H, $E39, 'Base de Datos'!$U:$U, $F39, 'Base de Datos'!$AA:$AA, "Finalizada", 'Base de Datos'!$AJ:$AJ, "&gt;=01/01/2026", 'Base de Datos'!$AJ:$AJ, "&lt;=31/01/2026")</f>
        <v>0</v>
      </c>
      <c r="Q39" s="29">
        <f>COUNTIFS('Base de Datos'!$F:$F, $C39, 'Base de Datos'!$H:$H, $E39, 'Base de Datos'!$U:$U, $F39, 'Base de Datos'!$AA:$AA, "Finalizada", 'Base de Datos'!$AJ:$AJ, "&gt;=01/02/2026", 'Base de Datos'!$AJ:$AJ, "&lt;=28/02/2026")</f>
        <v>0</v>
      </c>
      <c r="R39" s="29">
        <f>COUNTIFS('Base de Datos'!$F:$F, $C39, 'Base de Datos'!$H:$H, $E39, 'Base de Datos'!$U:$U, $F39, 'Base de Datos'!$AA:$AA, "Finalizada", 'Base de Datos'!$AJ:$AJ, "&gt;=01/03/2026", 'Base de Datos'!$AJ:$AJ, "&lt;=31/03/2026")</f>
        <v>0</v>
      </c>
      <c r="S39" s="29">
        <f>COUNTIFS('Base de Datos'!$F:$F, $C39, 'Base de Datos'!$H:$H, $E39, 'Base de Datos'!$U:$U, $F39, 'Base de Datos'!$AA:$AA, "Finalizada", 'Base de Datos'!$AJ:$AJ, "&gt;=01/04/2026", 'Base de Datos'!$AJ:$AJ, "&lt;=30/04/2026")</f>
        <v>0</v>
      </c>
      <c r="T39" s="29">
        <f>COUNTIFS('Base de Datos'!$F:$F, $C39, 'Base de Datos'!$H:$H, $E39, 'Base de Datos'!$U:$U, $F39, 'Base de Datos'!$AA:$AA, "Finalizada", 'Base de Datos'!$AJ:$AJ, "&gt;=01/05/2026", 'Base de Datos'!$AJ:$AJ, "&lt;=31/05/2026")</f>
        <v>0</v>
      </c>
      <c r="U39" s="29">
        <f>COUNTIFS('Base de Datos'!$F:$F, $C39, 'Base de Datos'!$H:$H, $E39, 'Base de Datos'!$U:$U, $F39, 'Base de Datos'!$AA:$AA, "Finalizada", 'Base de Datos'!$AJ:$AJ, "&gt;=01/06/2026", 'Base de Datos'!$AJ:$AJ, "&lt;=30/06/2026")</f>
        <v>0</v>
      </c>
    </row>
    <row r="40" spans="3:21">
      <c r="C40" s="4">
        <v>2024</v>
      </c>
      <c r="D40" s="4">
        <v>90</v>
      </c>
      <c r="E40" s="4" t="s">
        <v>285</v>
      </c>
      <c r="F40" s="5" t="s">
        <v>698</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1</v>
      </c>
      <c r="I40" s="29">
        <f>COUNTIFS('Base de Datos'!$F:$F,$C40,'Base de Datos'!$G:$G,$D40,'Base de Datos'!$H:$H,$E40,'Base de Datos'!$U:$U,$F40,'Base de Datos'!$AA:$AA,"Abierta")</f>
        <v>0</v>
      </c>
      <c r="J40" s="29">
        <f>COUNTIFS('Base de Datos'!$F:$F,$C40,'Base de Datos'!$G:$G,$D40,'Base de Datos'!$H:$H,$E40,'Base de Datos'!$U:$U,$F40,'Base de Datos'!$AA:$AA,"Vencida")</f>
        <v>1</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f>COUNTIFS('Base de Datos'!$F:$F, $C40, 'Base de Datos'!$H:$H, $E40, 'Base de Datos'!$U:$U, $F40, 'Base de Datos'!$AA:$AA, "Finalizada", 'Base de Datos'!$AJ:$AJ, "&gt;=01/01/2026", 'Base de Datos'!$AJ:$AJ, "&lt;=31/01/2026")</f>
        <v>0</v>
      </c>
      <c r="Q40" s="29">
        <f>COUNTIFS('Base de Datos'!$F:$F, $C40, 'Base de Datos'!$H:$H, $E40, 'Base de Datos'!$U:$U, $F40, 'Base de Datos'!$AA:$AA, "Finalizada", 'Base de Datos'!$AJ:$AJ, "&gt;=01/02/2026", 'Base de Datos'!$AJ:$AJ, "&lt;=28/02/2026")</f>
        <v>0</v>
      </c>
      <c r="R40" s="29">
        <f>COUNTIFS('Base de Datos'!$F:$F, $C40, 'Base de Datos'!$H:$H, $E40, 'Base de Datos'!$U:$U, $F40, 'Base de Datos'!$AA:$AA, "Finalizada", 'Base de Datos'!$AJ:$AJ, "&gt;=01/03/2026", 'Base de Datos'!$AJ:$AJ, "&lt;=31/03/2026")</f>
        <v>0</v>
      </c>
      <c r="S40" s="29">
        <f>COUNTIFS('Base de Datos'!$F:$F, $C40, 'Base de Datos'!$H:$H, $E40, 'Base de Datos'!$U:$U, $F40, 'Base de Datos'!$AA:$AA, "Finalizada", 'Base de Datos'!$AJ:$AJ, "&gt;=01/04/2026", 'Base de Datos'!$AJ:$AJ, "&lt;=30/04/2026")</f>
        <v>0</v>
      </c>
      <c r="T40" s="29">
        <f>COUNTIFS('Base de Datos'!$F:$F, $C40, 'Base de Datos'!$H:$H, $E40, 'Base de Datos'!$U:$U, $F40, 'Base de Datos'!$AA:$AA, "Finalizada", 'Base de Datos'!$AJ:$AJ, "&gt;=01/05/2026", 'Base de Datos'!$AJ:$AJ, "&lt;=31/05/2026")</f>
        <v>0</v>
      </c>
      <c r="U40" s="29">
        <f>COUNTIFS('Base de Datos'!$F:$F, $C40, 'Base de Datos'!$H:$H, $E40, 'Base de Datos'!$U:$U, $F40, 'Base de Datos'!$AA:$AA, "Finalizada", 'Base de Datos'!$AJ:$AJ, "&gt;=01/06/2026", 'Base de Datos'!$AJ:$AJ, "&lt;=30/06/2026")</f>
        <v>0</v>
      </c>
    </row>
    <row r="41" spans="3:21">
      <c r="C41" s="4">
        <v>2024</v>
      </c>
      <c r="D41" s="4">
        <v>90</v>
      </c>
      <c r="E41" s="4" t="s">
        <v>297</v>
      </c>
      <c r="F41" s="5" t="s">
        <v>683</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2</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2</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f>COUNTIFS('Base de Datos'!$F:$F, $C41, 'Base de Datos'!$H:$H, $E41, 'Base de Datos'!$U:$U, $F41, 'Base de Datos'!$AA:$AA, "Finalizada", 'Base de Datos'!$AJ:$AJ, "&gt;=01/01/2026", 'Base de Datos'!$AJ:$AJ, "&lt;=31/01/2026")</f>
        <v>0</v>
      </c>
      <c r="Q41" s="29">
        <f>COUNTIFS('Base de Datos'!$F:$F, $C41, 'Base de Datos'!$H:$H, $E41, 'Base de Datos'!$U:$U, $F41, 'Base de Datos'!$AA:$AA, "Finalizada", 'Base de Datos'!$AJ:$AJ, "&gt;=01/02/2026", 'Base de Datos'!$AJ:$AJ, "&lt;=28/02/2026")</f>
        <v>0</v>
      </c>
      <c r="R41" s="29">
        <f>COUNTIFS('Base de Datos'!$F:$F, $C41, 'Base de Datos'!$H:$H, $E41, 'Base de Datos'!$U:$U, $F41, 'Base de Datos'!$AA:$AA, "Finalizada", 'Base de Datos'!$AJ:$AJ, "&gt;=01/03/2026", 'Base de Datos'!$AJ:$AJ, "&lt;=31/03/2026")</f>
        <v>0</v>
      </c>
      <c r="S41" s="29">
        <f>COUNTIFS('Base de Datos'!$F:$F, $C41, 'Base de Datos'!$H:$H, $E41, 'Base de Datos'!$U:$U, $F41, 'Base de Datos'!$AA:$AA, "Finalizada", 'Base de Datos'!$AJ:$AJ, "&gt;=01/04/2026", 'Base de Datos'!$AJ:$AJ, "&lt;=30/04/2026")</f>
        <v>0</v>
      </c>
      <c r="T41" s="29">
        <f>COUNTIFS('Base de Datos'!$F:$F, $C41, 'Base de Datos'!$H:$H, $E41, 'Base de Datos'!$U:$U, $F41, 'Base de Datos'!$AA:$AA, "Finalizada", 'Base de Datos'!$AJ:$AJ, "&gt;=01/05/2026", 'Base de Datos'!$AJ:$AJ, "&lt;=31/05/2026")</f>
        <v>0</v>
      </c>
      <c r="U41" s="29">
        <f>COUNTIFS('Base de Datos'!$F:$F, $C41, 'Base de Datos'!$H:$H, $E41, 'Base de Datos'!$U:$U, $F41, 'Base de Datos'!$AA:$AA, "Finalizada", 'Base de Datos'!$AJ:$AJ, "&gt;=01/06/2026", 'Base de Datos'!$AJ:$AJ, "&lt;=30/06/2026")</f>
        <v>0</v>
      </c>
    </row>
    <row r="42" spans="3:21">
      <c r="C42" s="4">
        <v>2024</v>
      </c>
      <c r="D42" s="4">
        <v>90</v>
      </c>
      <c r="E42" s="4" t="s">
        <v>311</v>
      </c>
      <c r="F42" s="5" t="s">
        <v>682</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3</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3</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f>COUNTIFS('Base de Datos'!$F:$F, $C42, 'Base de Datos'!$H:$H, $E42, 'Base de Datos'!$U:$U, $F42, 'Base de Datos'!$AA:$AA, "Finalizada", 'Base de Datos'!$AJ:$AJ, "&gt;=01/01/2026", 'Base de Datos'!$AJ:$AJ, "&lt;=31/01/2026")</f>
        <v>0</v>
      </c>
      <c r="Q42" s="29">
        <f>COUNTIFS('Base de Datos'!$F:$F, $C42, 'Base de Datos'!$H:$H, $E42, 'Base de Datos'!$U:$U, $F42, 'Base de Datos'!$AA:$AA, "Finalizada", 'Base de Datos'!$AJ:$AJ, "&gt;=01/02/2026", 'Base de Datos'!$AJ:$AJ, "&lt;=28/02/2026")</f>
        <v>0</v>
      </c>
      <c r="R42" s="29">
        <f>COUNTIFS('Base de Datos'!$F:$F, $C42, 'Base de Datos'!$H:$H, $E42, 'Base de Datos'!$U:$U, $F42, 'Base de Datos'!$AA:$AA, "Finalizada", 'Base de Datos'!$AJ:$AJ, "&gt;=01/03/2026", 'Base de Datos'!$AJ:$AJ, "&lt;=31/03/2026")</f>
        <v>0</v>
      </c>
      <c r="S42" s="29">
        <f>COUNTIFS('Base de Datos'!$F:$F, $C42, 'Base de Datos'!$H:$H, $E42, 'Base de Datos'!$U:$U, $F42, 'Base de Datos'!$AA:$AA, "Finalizada", 'Base de Datos'!$AJ:$AJ, "&gt;=01/04/2026", 'Base de Datos'!$AJ:$AJ, "&lt;=30/04/2026")</f>
        <v>0</v>
      </c>
      <c r="T42" s="29">
        <f>COUNTIFS('Base de Datos'!$F:$F, $C42, 'Base de Datos'!$H:$H, $E42, 'Base de Datos'!$U:$U, $F42, 'Base de Datos'!$AA:$AA, "Finalizada", 'Base de Datos'!$AJ:$AJ, "&gt;=01/05/2026", 'Base de Datos'!$AJ:$AJ, "&lt;=31/05/2026")</f>
        <v>0</v>
      </c>
      <c r="U42" s="29">
        <f>COUNTIFS('Base de Datos'!$F:$F, $C42, 'Base de Datos'!$H:$H, $E42, 'Base de Datos'!$U:$U, $F42, 'Base de Datos'!$AA:$AA, "Finalizada", 'Base de Datos'!$AJ:$AJ, "&gt;=01/06/2026", 'Base de Datos'!$AJ:$AJ, "&lt;=30/06/2026")</f>
        <v>0</v>
      </c>
    </row>
    <row r="43" spans="3:21">
      <c r="C43" s="4">
        <v>2024</v>
      </c>
      <c r="D43" s="4">
        <v>90</v>
      </c>
      <c r="E43" s="4" t="s">
        <v>171</v>
      </c>
      <c r="F43" s="5" t="s">
        <v>684</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2</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2</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f>COUNTIFS('Base de Datos'!$F:$F, $C43, 'Base de Datos'!$H:$H, $E43, 'Base de Datos'!$U:$U, $F43, 'Base de Datos'!$AA:$AA, "Finalizada", 'Base de Datos'!$AJ:$AJ, "&gt;=01/01/2026", 'Base de Datos'!$AJ:$AJ, "&lt;=31/01/2026")</f>
        <v>0</v>
      </c>
      <c r="Q43" s="29">
        <f>COUNTIFS('Base de Datos'!$F:$F, $C43, 'Base de Datos'!$H:$H, $E43, 'Base de Datos'!$U:$U, $F43, 'Base de Datos'!$AA:$AA, "Finalizada", 'Base de Datos'!$AJ:$AJ, "&gt;=01/02/2026", 'Base de Datos'!$AJ:$AJ, "&lt;=28/02/2026")</f>
        <v>0</v>
      </c>
      <c r="R43" s="29">
        <f>COUNTIFS('Base de Datos'!$F:$F, $C43, 'Base de Datos'!$H:$H, $E43, 'Base de Datos'!$U:$U, $F43, 'Base de Datos'!$AA:$AA, "Finalizada", 'Base de Datos'!$AJ:$AJ, "&gt;=01/03/2026", 'Base de Datos'!$AJ:$AJ, "&lt;=31/03/2026")</f>
        <v>0</v>
      </c>
      <c r="S43" s="29">
        <f>COUNTIFS('Base de Datos'!$F:$F, $C43, 'Base de Datos'!$H:$H, $E43, 'Base de Datos'!$U:$U, $F43, 'Base de Datos'!$AA:$AA, "Finalizada", 'Base de Datos'!$AJ:$AJ, "&gt;=01/04/2026", 'Base de Datos'!$AJ:$AJ, "&lt;=30/04/2026")</f>
        <v>0</v>
      </c>
      <c r="T43" s="29">
        <f>COUNTIFS('Base de Datos'!$F:$F, $C43, 'Base de Datos'!$H:$H, $E43, 'Base de Datos'!$U:$U, $F43, 'Base de Datos'!$AA:$AA, "Finalizada", 'Base de Datos'!$AJ:$AJ, "&gt;=01/05/2026", 'Base de Datos'!$AJ:$AJ, "&lt;=31/05/2026")</f>
        <v>0</v>
      </c>
      <c r="U43" s="29">
        <f>COUNTIFS('Base de Datos'!$F:$F, $C43, 'Base de Datos'!$H:$H, $E43, 'Base de Datos'!$U:$U, $F43, 'Base de Datos'!$AA:$AA, "Finalizada", 'Base de Datos'!$AJ:$AJ, "&gt;=01/06/2026", 'Base de Datos'!$AJ:$AJ, "&lt;=30/06/2026")</f>
        <v>0</v>
      </c>
    </row>
    <row r="44" spans="3:21">
      <c r="C44" s="4">
        <v>2024</v>
      </c>
      <c r="D44" s="4">
        <v>90</v>
      </c>
      <c r="E44" s="4" t="s">
        <v>182</v>
      </c>
      <c r="F44" s="5" t="s">
        <v>685</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1</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1</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f>COUNTIFS('Base de Datos'!$F:$F, $C44, 'Base de Datos'!$H:$H, $E44, 'Base de Datos'!$U:$U, $F44, 'Base de Datos'!$AA:$AA, "Finalizada", 'Base de Datos'!$AJ:$AJ, "&gt;=01/01/2026", 'Base de Datos'!$AJ:$AJ, "&lt;=31/01/2026")</f>
        <v>0</v>
      </c>
      <c r="Q44" s="29">
        <f>COUNTIFS('Base de Datos'!$F:$F, $C44, 'Base de Datos'!$H:$H, $E44, 'Base de Datos'!$U:$U, $F44, 'Base de Datos'!$AA:$AA, "Finalizada", 'Base de Datos'!$AJ:$AJ, "&gt;=01/02/2026", 'Base de Datos'!$AJ:$AJ, "&lt;=28/02/2026")</f>
        <v>0</v>
      </c>
      <c r="R44" s="29">
        <f>COUNTIFS('Base de Datos'!$F:$F, $C44, 'Base de Datos'!$H:$H, $E44, 'Base de Datos'!$U:$U, $F44, 'Base de Datos'!$AA:$AA, "Finalizada", 'Base de Datos'!$AJ:$AJ, "&gt;=01/03/2026", 'Base de Datos'!$AJ:$AJ, "&lt;=31/03/2026")</f>
        <v>0</v>
      </c>
      <c r="S44" s="29">
        <f>COUNTIFS('Base de Datos'!$F:$F, $C44, 'Base de Datos'!$H:$H, $E44, 'Base de Datos'!$U:$U, $F44, 'Base de Datos'!$AA:$AA, "Finalizada", 'Base de Datos'!$AJ:$AJ, "&gt;=01/04/2026", 'Base de Datos'!$AJ:$AJ, "&lt;=30/04/2026")</f>
        <v>0</v>
      </c>
      <c r="T44" s="29">
        <f>COUNTIFS('Base de Datos'!$F:$F, $C44, 'Base de Datos'!$H:$H, $E44, 'Base de Datos'!$U:$U, $F44, 'Base de Datos'!$AA:$AA, "Finalizada", 'Base de Datos'!$AJ:$AJ, "&gt;=01/05/2026", 'Base de Datos'!$AJ:$AJ, "&lt;=31/05/2026")</f>
        <v>0</v>
      </c>
      <c r="U44" s="29">
        <f>COUNTIFS('Base de Datos'!$F:$F, $C44, 'Base de Datos'!$H:$H, $E44, 'Base de Datos'!$U:$U, $F44, 'Base de Datos'!$AA:$AA, "Finalizada", 'Base de Datos'!$AJ:$AJ, "&gt;=01/06/2026", 'Base de Datos'!$AJ:$AJ, "&lt;=30/06/2026")</f>
        <v>0</v>
      </c>
    </row>
    <row r="45" spans="3:21">
      <c r="C45" s="4">
        <v>2024</v>
      </c>
      <c r="D45" s="4">
        <v>90</v>
      </c>
      <c r="E45" s="4" t="s">
        <v>193</v>
      </c>
      <c r="F45" s="5" t="s">
        <v>682</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3</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3</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f>COUNTIFS('Base de Datos'!$F:$F, $C45, 'Base de Datos'!$H:$H, $E45, 'Base de Datos'!$U:$U, $F45, 'Base de Datos'!$AA:$AA, "Finalizada", 'Base de Datos'!$AJ:$AJ, "&gt;=01/01/2026", 'Base de Datos'!$AJ:$AJ, "&lt;=31/01/2026")</f>
        <v>0</v>
      </c>
      <c r="Q45" s="29">
        <f>COUNTIFS('Base de Datos'!$F:$F, $C45, 'Base de Datos'!$H:$H, $E45, 'Base de Datos'!$U:$U, $F45, 'Base de Datos'!$AA:$AA, "Finalizada", 'Base de Datos'!$AJ:$AJ, "&gt;=01/02/2026", 'Base de Datos'!$AJ:$AJ, "&lt;=28/02/2026")</f>
        <v>0</v>
      </c>
      <c r="R45" s="29">
        <f>COUNTIFS('Base de Datos'!$F:$F, $C45, 'Base de Datos'!$H:$H, $E45, 'Base de Datos'!$U:$U, $F45, 'Base de Datos'!$AA:$AA, "Finalizada", 'Base de Datos'!$AJ:$AJ, "&gt;=01/03/2026", 'Base de Datos'!$AJ:$AJ, "&lt;=31/03/2026")</f>
        <v>0</v>
      </c>
      <c r="S45" s="29">
        <f>COUNTIFS('Base de Datos'!$F:$F, $C45, 'Base de Datos'!$H:$H, $E45, 'Base de Datos'!$U:$U, $F45, 'Base de Datos'!$AA:$AA, "Finalizada", 'Base de Datos'!$AJ:$AJ, "&gt;=01/04/2026", 'Base de Datos'!$AJ:$AJ, "&lt;=30/04/2026")</f>
        <v>0</v>
      </c>
      <c r="T45" s="29">
        <f>COUNTIFS('Base de Datos'!$F:$F, $C45, 'Base de Datos'!$H:$H, $E45, 'Base de Datos'!$U:$U, $F45, 'Base de Datos'!$AA:$AA, "Finalizada", 'Base de Datos'!$AJ:$AJ, "&gt;=01/05/2026", 'Base de Datos'!$AJ:$AJ, "&lt;=31/05/2026")</f>
        <v>0</v>
      </c>
      <c r="U45" s="29">
        <f>COUNTIFS('Base de Datos'!$F:$F, $C45, 'Base de Datos'!$H:$H, $E45, 'Base de Datos'!$U:$U, $F45, 'Base de Datos'!$AA:$AA, "Finalizada", 'Base de Datos'!$AJ:$AJ, "&gt;=01/06/2026", 'Base de Datos'!$AJ:$AJ, "&lt;=30/06/2026")</f>
        <v>0</v>
      </c>
    </row>
    <row r="46" spans="3:21">
      <c r="C46" s="4">
        <v>2024</v>
      </c>
      <c r="D46" s="4">
        <v>90</v>
      </c>
      <c r="E46" s="4" t="s">
        <v>200</v>
      </c>
      <c r="F46" s="5" t="s">
        <v>682</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1</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1</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f>COUNTIFS('Base de Datos'!$F:$F, $C46, 'Base de Datos'!$H:$H, $E46, 'Base de Datos'!$U:$U, $F46, 'Base de Datos'!$AA:$AA, "Finalizada", 'Base de Datos'!$AJ:$AJ, "&gt;=01/01/2026", 'Base de Datos'!$AJ:$AJ, "&lt;=31/01/2026")</f>
        <v>0</v>
      </c>
      <c r="Q46" s="29">
        <f>COUNTIFS('Base de Datos'!$F:$F, $C46, 'Base de Datos'!$H:$H, $E46, 'Base de Datos'!$U:$U, $F46, 'Base de Datos'!$AA:$AA, "Finalizada", 'Base de Datos'!$AJ:$AJ, "&gt;=01/02/2026", 'Base de Datos'!$AJ:$AJ, "&lt;=28/02/2026")</f>
        <v>0</v>
      </c>
      <c r="R46" s="29">
        <f>COUNTIFS('Base de Datos'!$F:$F, $C46, 'Base de Datos'!$H:$H, $E46, 'Base de Datos'!$U:$U, $F46, 'Base de Datos'!$AA:$AA, "Finalizada", 'Base de Datos'!$AJ:$AJ, "&gt;=01/03/2026", 'Base de Datos'!$AJ:$AJ, "&lt;=31/03/2026")</f>
        <v>0</v>
      </c>
      <c r="S46" s="29">
        <f>COUNTIFS('Base de Datos'!$F:$F, $C46, 'Base de Datos'!$H:$H, $E46, 'Base de Datos'!$U:$U, $F46, 'Base de Datos'!$AA:$AA, "Finalizada", 'Base de Datos'!$AJ:$AJ, "&gt;=01/04/2026", 'Base de Datos'!$AJ:$AJ, "&lt;=30/04/2026")</f>
        <v>0</v>
      </c>
      <c r="T46" s="29">
        <f>COUNTIFS('Base de Datos'!$F:$F, $C46, 'Base de Datos'!$H:$H, $E46, 'Base de Datos'!$U:$U, $F46, 'Base de Datos'!$AA:$AA, "Finalizada", 'Base de Datos'!$AJ:$AJ, "&gt;=01/05/2026", 'Base de Datos'!$AJ:$AJ, "&lt;=31/05/2026")</f>
        <v>0</v>
      </c>
      <c r="U46" s="29">
        <f>COUNTIFS('Base de Datos'!$F:$F, $C46, 'Base de Datos'!$H:$H, $E46, 'Base de Datos'!$U:$U, $F46, 'Base de Datos'!$AA:$AA, "Finalizada", 'Base de Datos'!$AJ:$AJ, "&gt;=01/06/2026", 'Base de Datos'!$AJ:$AJ, "&lt;=30/06/2026")</f>
        <v>0</v>
      </c>
    </row>
    <row r="47" spans="3:21">
      <c r="C47" s="4">
        <v>2024</v>
      </c>
      <c r="D47" s="4">
        <v>90</v>
      </c>
      <c r="E47" s="4" t="s">
        <v>207</v>
      </c>
      <c r="F47" s="5" t="s">
        <v>682</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1</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1</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f>COUNTIFS('Base de Datos'!$F:$F, $C47, 'Base de Datos'!$H:$H, $E47, 'Base de Datos'!$U:$U, $F47, 'Base de Datos'!$AA:$AA, "Finalizada", 'Base de Datos'!$AJ:$AJ, "&gt;=01/01/2026", 'Base de Datos'!$AJ:$AJ, "&lt;=31/01/2026")</f>
        <v>0</v>
      </c>
      <c r="Q47" s="29">
        <f>COUNTIFS('Base de Datos'!$F:$F, $C47, 'Base de Datos'!$H:$H, $E47, 'Base de Datos'!$U:$U, $F47, 'Base de Datos'!$AA:$AA, "Finalizada", 'Base de Datos'!$AJ:$AJ, "&gt;=01/02/2026", 'Base de Datos'!$AJ:$AJ, "&lt;=28/02/2026")</f>
        <v>0</v>
      </c>
      <c r="R47" s="29">
        <f>COUNTIFS('Base de Datos'!$F:$F, $C47, 'Base de Datos'!$H:$H, $E47, 'Base de Datos'!$U:$U, $F47, 'Base de Datos'!$AA:$AA, "Finalizada", 'Base de Datos'!$AJ:$AJ, "&gt;=01/03/2026", 'Base de Datos'!$AJ:$AJ, "&lt;=31/03/2026")</f>
        <v>0</v>
      </c>
      <c r="S47" s="29">
        <f>COUNTIFS('Base de Datos'!$F:$F, $C47, 'Base de Datos'!$H:$H, $E47, 'Base de Datos'!$U:$U, $F47, 'Base de Datos'!$AA:$AA, "Finalizada", 'Base de Datos'!$AJ:$AJ, "&gt;=01/04/2026", 'Base de Datos'!$AJ:$AJ, "&lt;=30/04/2026")</f>
        <v>0</v>
      </c>
      <c r="T47" s="29">
        <f>COUNTIFS('Base de Datos'!$F:$F, $C47, 'Base de Datos'!$H:$H, $E47, 'Base de Datos'!$U:$U, $F47, 'Base de Datos'!$AA:$AA, "Finalizada", 'Base de Datos'!$AJ:$AJ, "&gt;=01/05/2026", 'Base de Datos'!$AJ:$AJ, "&lt;=31/05/2026")</f>
        <v>0</v>
      </c>
      <c r="U47" s="29">
        <f>COUNTIFS('Base de Datos'!$F:$F, $C47, 'Base de Datos'!$H:$H, $E47, 'Base de Datos'!$U:$U, $F47, 'Base de Datos'!$AA:$AA, "Finalizada", 'Base de Datos'!$AJ:$AJ, "&gt;=01/06/2026", 'Base de Datos'!$AJ:$AJ, "&lt;=30/06/2026")</f>
        <v>0</v>
      </c>
    </row>
    <row r="48" spans="3:21">
      <c r="C48" s="4">
        <v>2024</v>
      </c>
      <c r="D48" s="4">
        <v>90</v>
      </c>
      <c r="E48" s="4" t="s">
        <v>218</v>
      </c>
      <c r="F48" s="5" t="s">
        <v>686</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1</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1</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f>COUNTIFS('Base de Datos'!$F:$F, $C48, 'Base de Datos'!$H:$H, $E48, 'Base de Datos'!$U:$U, $F48, 'Base de Datos'!$AA:$AA, "Finalizada", 'Base de Datos'!$AJ:$AJ, "&gt;=01/01/2026", 'Base de Datos'!$AJ:$AJ, "&lt;=31/01/2026")</f>
        <v>0</v>
      </c>
      <c r="Q48" s="29">
        <f>COUNTIFS('Base de Datos'!$F:$F, $C48, 'Base de Datos'!$H:$H, $E48, 'Base de Datos'!$U:$U, $F48, 'Base de Datos'!$AA:$AA, "Finalizada", 'Base de Datos'!$AJ:$AJ, "&gt;=01/02/2026", 'Base de Datos'!$AJ:$AJ, "&lt;=28/02/2026")</f>
        <v>0</v>
      </c>
      <c r="R48" s="29">
        <f>COUNTIFS('Base de Datos'!$F:$F, $C48, 'Base de Datos'!$H:$H, $E48, 'Base de Datos'!$U:$U, $F48, 'Base de Datos'!$AA:$AA, "Finalizada", 'Base de Datos'!$AJ:$AJ, "&gt;=01/03/2026", 'Base de Datos'!$AJ:$AJ, "&lt;=31/03/2026")</f>
        <v>0</v>
      </c>
      <c r="S48" s="29">
        <f>COUNTIFS('Base de Datos'!$F:$F, $C48, 'Base de Datos'!$H:$H, $E48, 'Base de Datos'!$U:$U, $F48, 'Base de Datos'!$AA:$AA, "Finalizada", 'Base de Datos'!$AJ:$AJ, "&gt;=01/04/2026", 'Base de Datos'!$AJ:$AJ, "&lt;=30/04/2026")</f>
        <v>0</v>
      </c>
      <c r="T48" s="29">
        <f>COUNTIFS('Base de Datos'!$F:$F, $C48, 'Base de Datos'!$H:$H, $E48, 'Base de Datos'!$U:$U, $F48, 'Base de Datos'!$AA:$AA, "Finalizada", 'Base de Datos'!$AJ:$AJ, "&gt;=01/05/2026", 'Base de Datos'!$AJ:$AJ, "&lt;=31/05/2026")</f>
        <v>0</v>
      </c>
      <c r="U48" s="29">
        <f>COUNTIFS('Base de Datos'!$F:$F, $C48, 'Base de Datos'!$H:$H, $E48, 'Base de Datos'!$U:$U, $F48, 'Base de Datos'!$AA:$AA, "Finalizada", 'Base de Datos'!$AJ:$AJ, "&gt;=01/06/2026", 'Base de Datos'!$AJ:$AJ, "&lt;=30/06/2026")</f>
        <v>0</v>
      </c>
    </row>
    <row r="49" spans="3:21">
      <c r="C49" s="4">
        <v>2024</v>
      </c>
      <c r="D49" s="4">
        <v>90</v>
      </c>
      <c r="E49" s="4" t="s">
        <v>380</v>
      </c>
      <c r="F49" s="5" t="s">
        <v>682</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1</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1</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f>COUNTIFS('Base de Datos'!$F:$F, $C49, 'Base de Datos'!$H:$H, $E49, 'Base de Datos'!$U:$U, $F49, 'Base de Datos'!$AA:$AA, "Finalizada", 'Base de Datos'!$AJ:$AJ, "&gt;=01/01/2026", 'Base de Datos'!$AJ:$AJ, "&lt;=31/01/2026")</f>
        <v>0</v>
      </c>
      <c r="Q49" s="29">
        <f>COUNTIFS('Base de Datos'!$F:$F, $C49, 'Base de Datos'!$H:$H, $E49, 'Base de Datos'!$U:$U, $F49, 'Base de Datos'!$AA:$AA, "Finalizada", 'Base de Datos'!$AJ:$AJ, "&gt;=01/02/2026", 'Base de Datos'!$AJ:$AJ, "&lt;=28/02/2026")</f>
        <v>0</v>
      </c>
      <c r="R49" s="29">
        <f>COUNTIFS('Base de Datos'!$F:$F, $C49, 'Base de Datos'!$H:$H, $E49, 'Base de Datos'!$U:$U, $F49, 'Base de Datos'!$AA:$AA, "Finalizada", 'Base de Datos'!$AJ:$AJ, "&gt;=01/03/2026", 'Base de Datos'!$AJ:$AJ, "&lt;=31/03/2026")</f>
        <v>0</v>
      </c>
      <c r="S49" s="29">
        <f>COUNTIFS('Base de Datos'!$F:$F, $C49, 'Base de Datos'!$H:$H, $E49, 'Base de Datos'!$U:$U, $F49, 'Base de Datos'!$AA:$AA, "Finalizada", 'Base de Datos'!$AJ:$AJ, "&gt;=01/04/2026", 'Base de Datos'!$AJ:$AJ, "&lt;=30/04/2026")</f>
        <v>0</v>
      </c>
      <c r="T49" s="29">
        <f>COUNTIFS('Base de Datos'!$F:$F, $C49, 'Base de Datos'!$H:$H, $E49, 'Base de Datos'!$U:$U, $F49, 'Base de Datos'!$AA:$AA, "Finalizada", 'Base de Datos'!$AJ:$AJ, "&gt;=01/05/2026", 'Base de Datos'!$AJ:$AJ, "&lt;=31/05/2026")</f>
        <v>0</v>
      </c>
      <c r="U49" s="29">
        <f>COUNTIFS('Base de Datos'!$F:$F, $C49, 'Base de Datos'!$H:$H, $E49, 'Base de Datos'!$U:$U, $F49, 'Base de Datos'!$AA:$AA, "Finalizada", 'Base de Datos'!$AJ:$AJ, "&gt;=01/06/2026", 'Base de Datos'!$AJ:$AJ, "&lt;=30/06/2026")</f>
        <v>0</v>
      </c>
    </row>
    <row r="50" spans="3:21">
      <c r="C50" s="4">
        <v>2024</v>
      </c>
      <c r="D50" s="4">
        <v>90</v>
      </c>
      <c r="E50" s="4" t="s">
        <v>388</v>
      </c>
      <c r="F50" s="5" t="s">
        <v>682</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2</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2</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f>COUNTIFS('Base de Datos'!$F:$F, $C50, 'Base de Datos'!$H:$H, $E50, 'Base de Datos'!$U:$U, $F50, 'Base de Datos'!$AA:$AA, "Finalizada", 'Base de Datos'!$AJ:$AJ, "&gt;=01/01/2026", 'Base de Datos'!$AJ:$AJ, "&lt;=31/01/2026")</f>
        <v>0</v>
      </c>
      <c r="Q50" s="29">
        <f>COUNTIFS('Base de Datos'!$F:$F, $C50, 'Base de Datos'!$H:$H, $E50, 'Base de Datos'!$U:$U, $F50, 'Base de Datos'!$AA:$AA, "Finalizada", 'Base de Datos'!$AJ:$AJ, "&gt;=01/02/2026", 'Base de Datos'!$AJ:$AJ, "&lt;=28/02/2026")</f>
        <v>0</v>
      </c>
      <c r="R50" s="29">
        <f>COUNTIFS('Base de Datos'!$F:$F, $C50, 'Base de Datos'!$H:$H, $E50, 'Base de Datos'!$U:$U, $F50, 'Base de Datos'!$AA:$AA, "Finalizada", 'Base de Datos'!$AJ:$AJ, "&gt;=01/03/2026", 'Base de Datos'!$AJ:$AJ, "&lt;=31/03/2026")</f>
        <v>0</v>
      </c>
      <c r="S50" s="29">
        <f>COUNTIFS('Base de Datos'!$F:$F, $C50, 'Base de Datos'!$H:$H, $E50, 'Base de Datos'!$U:$U, $F50, 'Base de Datos'!$AA:$AA, "Finalizada", 'Base de Datos'!$AJ:$AJ, "&gt;=01/04/2026", 'Base de Datos'!$AJ:$AJ, "&lt;=30/04/2026")</f>
        <v>0</v>
      </c>
      <c r="T50" s="29">
        <f>COUNTIFS('Base de Datos'!$F:$F, $C50, 'Base de Datos'!$H:$H, $E50, 'Base de Datos'!$U:$U, $F50, 'Base de Datos'!$AA:$AA, "Finalizada", 'Base de Datos'!$AJ:$AJ, "&gt;=01/05/2026", 'Base de Datos'!$AJ:$AJ, "&lt;=31/05/2026")</f>
        <v>0</v>
      </c>
      <c r="U50" s="29">
        <f>COUNTIFS('Base de Datos'!$F:$F, $C50, 'Base de Datos'!$H:$H, $E50, 'Base de Datos'!$U:$U, $F50, 'Base de Datos'!$AA:$AA, "Finalizada", 'Base de Datos'!$AJ:$AJ, "&gt;=01/06/2026", 'Base de Datos'!$AJ:$AJ, "&lt;=30/06/2026")</f>
        <v>0</v>
      </c>
    </row>
    <row r="51" spans="3:21" ht="20.399999999999999">
      <c r="C51" s="4">
        <v>2024</v>
      </c>
      <c r="D51" s="4">
        <v>90</v>
      </c>
      <c r="E51" s="4" t="s">
        <v>399</v>
      </c>
      <c r="F51" s="5" t="s">
        <v>687</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1</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1</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f>COUNTIFS('Base de Datos'!$F:$F, $C51, 'Base de Datos'!$H:$H, $E51, 'Base de Datos'!$U:$U, $F51, 'Base de Datos'!$AA:$AA, "Finalizada", 'Base de Datos'!$AJ:$AJ, "&gt;=01/01/2026", 'Base de Datos'!$AJ:$AJ, "&lt;=31/01/2026")</f>
        <v>0</v>
      </c>
      <c r="Q51" s="29">
        <f>COUNTIFS('Base de Datos'!$F:$F, $C51, 'Base de Datos'!$H:$H, $E51, 'Base de Datos'!$U:$U, $F51, 'Base de Datos'!$AA:$AA, "Finalizada", 'Base de Datos'!$AJ:$AJ, "&gt;=01/02/2026", 'Base de Datos'!$AJ:$AJ, "&lt;=28/02/2026")</f>
        <v>0</v>
      </c>
      <c r="R51" s="29">
        <f>COUNTIFS('Base de Datos'!$F:$F, $C51, 'Base de Datos'!$H:$H, $E51, 'Base de Datos'!$U:$U, $F51, 'Base de Datos'!$AA:$AA, "Finalizada", 'Base de Datos'!$AJ:$AJ, "&gt;=01/03/2026", 'Base de Datos'!$AJ:$AJ, "&lt;=31/03/2026")</f>
        <v>0</v>
      </c>
      <c r="S51" s="29">
        <f>COUNTIFS('Base de Datos'!$F:$F, $C51, 'Base de Datos'!$H:$H, $E51, 'Base de Datos'!$U:$U, $F51, 'Base de Datos'!$AA:$AA, "Finalizada", 'Base de Datos'!$AJ:$AJ, "&gt;=01/04/2026", 'Base de Datos'!$AJ:$AJ, "&lt;=30/04/2026")</f>
        <v>0</v>
      </c>
      <c r="T51" s="29">
        <f>COUNTIFS('Base de Datos'!$F:$F, $C51, 'Base de Datos'!$H:$H, $E51, 'Base de Datos'!$U:$U, $F51, 'Base de Datos'!$AA:$AA, "Finalizada", 'Base de Datos'!$AJ:$AJ, "&gt;=01/05/2026", 'Base de Datos'!$AJ:$AJ, "&lt;=31/05/2026")</f>
        <v>0</v>
      </c>
      <c r="U51" s="29">
        <f>COUNTIFS('Base de Datos'!$F:$F, $C51, 'Base de Datos'!$H:$H, $E51, 'Base de Datos'!$U:$U, $F51, 'Base de Datos'!$AA:$AA, "Finalizada", 'Base de Datos'!$AJ:$AJ, "&gt;=01/06/2026", 'Base de Datos'!$AJ:$AJ, "&lt;=30/06/2026")</f>
        <v>0</v>
      </c>
    </row>
    <row r="52" spans="3:21">
      <c r="C52" s="4">
        <v>2023</v>
      </c>
      <c r="D52" s="4">
        <v>88</v>
      </c>
      <c r="E52" s="4" t="s">
        <v>450</v>
      </c>
      <c r="F52" s="5" t="s">
        <v>682</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1</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1</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f>COUNTIFS('Base de Datos'!$F:$F, $C52, 'Base de Datos'!$H:$H, $E52, 'Base de Datos'!$U:$U, $F52, 'Base de Datos'!$AA:$AA, "Finalizada", 'Base de Datos'!$AJ:$AJ, "&gt;=01/01/2026", 'Base de Datos'!$AJ:$AJ, "&lt;=31/01/2026")</f>
        <v>0</v>
      </c>
      <c r="Q52" s="29">
        <f>COUNTIFS('Base de Datos'!$F:$F, $C52, 'Base de Datos'!$H:$H, $E52, 'Base de Datos'!$U:$U, $F52, 'Base de Datos'!$AA:$AA, "Finalizada", 'Base de Datos'!$AJ:$AJ, "&gt;=01/02/2026", 'Base de Datos'!$AJ:$AJ, "&lt;=28/02/2026")</f>
        <v>0</v>
      </c>
      <c r="R52" s="29">
        <f>COUNTIFS('Base de Datos'!$F:$F, $C52, 'Base de Datos'!$H:$H, $E52, 'Base de Datos'!$U:$U, $F52, 'Base de Datos'!$AA:$AA, "Finalizada", 'Base de Datos'!$AJ:$AJ, "&gt;=01/03/2026", 'Base de Datos'!$AJ:$AJ, "&lt;=31/03/2026")</f>
        <v>0</v>
      </c>
      <c r="S52" s="29">
        <f>COUNTIFS('Base de Datos'!$F:$F, $C52, 'Base de Datos'!$H:$H, $E52, 'Base de Datos'!$U:$U, $F52, 'Base de Datos'!$AA:$AA, "Finalizada", 'Base de Datos'!$AJ:$AJ, "&gt;=01/04/2026", 'Base de Datos'!$AJ:$AJ, "&lt;=30/04/2026")</f>
        <v>0</v>
      </c>
      <c r="T52" s="29">
        <f>COUNTIFS('Base de Datos'!$F:$F, $C52, 'Base de Datos'!$H:$H, $E52, 'Base de Datos'!$U:$U, $F52, 'Base de Datos'!$AA:$AA, "Finalizada", 'Base de Datos'!$AJ:$AJ, "&gt;=01/05/2026", 'Base de Datos'!$AJ:$AJ, "&lt;=31/05/2026")</f>
        <v>0</v>
      </c>
      <c r="U52" s="29">
        <f>COUNTIFS('Base de Datos'!$F:$F, $C52, 'Base de Datos'!$H:$H, $E52, 'Base de Datos'!$U:$U, $F52, 'Base de Datos'!$AA:$AA, "Finalizada", 'Base de Datos'!$AJ:$AJ, "&gt;=01/06/2026", 'Base de Datos'!$AJ:$AJ, "&lt;=30/06/2026")</f>
        <v>0</v>
      </c>
    </row>
    <row r="53" spans="3:21" ht="20.399999999999999">
      <c r="C53" s="4">
        <v>2023</v>
      </c>
      <c r="D53" s="4">
        <v>88</v>
      </c>
      <c r="E53" s="4" t="s">
        <v>460</v>
      </c>
      <c r="F53" s="5" t="s">
        <v>688</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1</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1</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f>COUNTIFS('Base de Datos'!$F:$F, $C53, 'Base de Datos'!$H:$H, $E53, 'Base de Datos'!$U:$U, $F53, 'Base de Datos'!$AA:$AA, "Finalizada", 'Base de Datos'!$AJ:$AJ, "&gt;=01/01/2026", 'Base de Datos'!$AJ:$AJ, "&lt;=31/01/2026")</f>
        <v>0</v>
      </c>
      <c r="Q53" s="29">
        <f>COUNTIFS('Base de Datos'!$F:$F, $C53, 'Base de Datos'!$H:$H, $E53, 'Base de Datos'!$U:$U, $F53, 'Base de Datos'!$AA:$AA, "Finalizada", 'Base de Datos'!$AJ:$AJ, "&gt;=01/02/2026", 'Base de Datos'!$AJ:$AJ, "&lt;=28/02/2026")</f>
        <v>0</v>
      </c>
      <c r="R53" s="29">
        <f>COUNTIFS('Base de Datos'!$F:$F, $C53, 'Base de Datos'!$H:$H, $E53, 'Base de Datos'!$U:$U, $F53, 'Base de Datos'!$AA:$AA, "Finalizada", 'Base de Datos'!$AJ:$AJ, "&gt;=01/03/2026", 'Base de Datos'!$AJ:$AJ, "&lt;=31/03/2026")</f>
        <v>0</v>
      </c>
      <c r="S53" s="29">
        <f>COUNTIFS('Base de Datos'!$F:$F, $C53, 'Base de Datos'!$H:$H, $E53, 'Base de Datos'!$U:$U, $F53, 'Base de Datos'!$AA:$AA, "Finalizada", 'Base de Datos'!$AJ:$AJ, "&gt;=01/04/2026", 'Base de Datos'!$AJ:$AJ, "&lt;=30/04/2026")</f>
        <v>0</v>
      </c>
      <c r="T53" s="29">
        <f>COUNTIFS('Base de Datos'!$F:$F, $C53, 'Base de Datos'!$H:$H, $E53, 'Base de Datos'!$U:$U, $F53, 'Base de Datos'!$AA:$AA, "Finalizada", 'Base de Datos'!$AJ:$AJ, "&gt;=01/05/2026", 'Base de Datos'!$AJ:$AJ, "&lt;=31/05/2026")</f>
        <v>0</v>
      </c>
      <c r="U53" s="29">
        <f>COUNTIFS('Base de Datos'!$F:$F, $C53, 'Base de Datos'!$H:$H, $E53, 'Base de Datos'!$U:$U, $F53, 'Base de Datos'!$AA:$AA, "Finalizada", 'Base de Datos'!$AJ:$AJ, "&gt;=01/06/2026", 'Base de Datos'!$AJ:$AJ, "&lt;=30/06/2026")</f>
        <v>0</v>
      </c>
    </row>
    <row r="54" spans="3:21">
      <c r="C54" s="4">
        <v>2023</v>
      </c>
      <c r="D54" s="4">
        <v>88</v>
      </c>
      <c r="E54" s="4" t="s">
        <v>470</v>
      </c>
      <c r="F54" s="5" t="s">
        <v>689</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1</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1</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f>COUNTIFS('Base de Datos'!$F:$F, $C54, 'Base de Datos'!$H:$H, $E54, 'Base de Datos'!$U:$U, $F54, 'Base de Datos'!$AA:$AA, "Finalizada", 'Base de Datos'!$AJ:$AJ, "&gt;=01/01/2026", 'Base de Datos'!$AJ:$AJ, "&lt;=31/01/2026")</f>
        <v>0</v>
      </c>
      <c r="Q54" s="29">
        <f>COUNTIFS('Base de Datos'!$F:$F, $C54, 'Base de Datos'!$H:$H, $E54, 'Base de Datos'!$U:$U, $F54, 'Base de Datos'!$AA:$AA, "Finalizada", 'Base de Datos'!$AJ:$AJ, "&gt;=01/02/2026", 'Base de Datos'!$AJ:$AJ, "&lt;=28/02/2026")</f>
        <v>0</v>
      </c>
      <c r="R54" s="29">
        <f>COUNTIFS('Base de Datos'!$F:$F, $C54, 'Base de Datos'!$H:$H, $E54, 'Base de Datos'!$U:$U, $F54, 'Base de Datos'!$AA:$AA, "Finalizada", 'Base de Datos'!$AJ:$AJ, "&gt;=01/03/2026", 'Base de Datos'!$AJ:$AJ, "&lt;=31/03/2026")</f>
        <v>0</v>
      </c>
      <c r="S54" s="29">
        <f>COUNTIFS('Base de Datos'!$F:$F, $C54, 'Base de Datos'!$H:$H, $E54, 'Base de Datos'!$U:$U, $F54, 'Base de Datos'!$AA:$AA, "Finalizada", 'Base de Datos'!$AJ:$AJ, "&gt;=01/04/2026", 'Base de Datos'!$AJ:$AJ, "&lt;=30/04/2026")</f>
        <v>0</v>
      </c>
      <c r="T54" s="29">
        <f>COUNTIFS('Base de Datos'!$F:$F, $C54, 'Base de Datos'!$H:$H, $E54, 'Base de Datos'!$U:$U, $F54, 'Base de Datos'!$AA:$AA, "Finalizada", 'Base de Datos'!$AJ:$AJ, "&gt;=01/05/2026", 'Base de Datos'!$AJ:$AJ, "&lt;=31/05/2026")</f>
        <v>0</v>
      </c>
      <c r="U54" s="29">
        <f>COUNTIFS('Base de Datos'!$F:$F, $C54, 'Base de Datos'!$H:$H, $E54, 'Base de Datos'!$U:$U, $F54, 'Base de Datos'!$AA:$AA, "Finalizada", 'Base de Datos'!$AJ:$AJ, "&gt;=01/06/2026", 'Base de Datos'!$AJ:$AJ, "&lt;=30/06/2026")</f>
        <v>0</v>
      </c>
    </row>
    <row r="55" spans="3:21">
      <c r="C55" s="4">
        <v>2023</v>
      </c>
      <c r="D55" s="4">
        <v>88</v>
      </c>
      <c r="E55" s="4" t="s">
        <v>65</v>
      </c>
      <c r="F55" s="5" t="s">
        <v>674</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1</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1</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f>COUNTIFS('Base de Datos'!$F:$F, $C55, 'Base de Datos'!$H:$H, $E55, 'Base de Datos'!$U:$U, $F55, 'Base de Datos'!$AA:$AA, "Finalizada", 'Base de Datos'!$AJ:$AJ, "&gt;=01/01/2026", 'Base de Datos'!$AJ:$AJ, "&lt;=31/01/2026")</f>
        <v>0</v>
      </c>
      <c r="Q55" s="29">
        <f>COUNTIFS('Base de Datos'!$F:$F, $C55, 'Base de Datos'!$H:$H, $E55, 'Base de Datos'!$U:$U, $F55, 'Base de Datos'!$AA:$AA, "Finalizada", 'Base de Datos'!$AJ:$AJ, "&gt;=01/02/2026", 'Base de Datos'!$AJ:$AJ, "&lt;=28/02/2026")</f>
        <v>0</v>
      </c>
      <c r="R55" s="29">
        <f>COUNTIFS('Base de Datos'!$F:$F, $C55, 'Base de Datos'!$H:$H, $E55, 'Base de Datos'!$U:$U, $F55, 'Base de Datos'!$AA:$AA, "Finalizada", 'Base de Datos'!$AJ:$AJ, "&gt;=01/03/2026", 'Base de Datos'!$AJ:$AJ, "&lt;=31/03/2026")</f>
        <v>0</v>
      </c>
      <c r="S55" s="29">
        <f>COUNTIFS('Base de Datos'!$F:$F, $C55, 'Base de Datos'!$H:$H, $E55, 'Base de Datos'!$U:$U, $F55, 'Base de Datos'!$AA:$AA, "Finalizada", 'Base de Datos'!$AJ:$AJ, "&gt;=01/04/2026", 'Base de Datos'!$AJ:$AJ, "&lt;=30/04/2026")</f>
        <v>0</v>
      </c>
      <c r="T55" s="29">
        <f>COUNTIFS('Base de Datos'!$F:$F, $C55, 'Base de Datos'!$H:$H, $E55, 'Base de Datos'!$U:$U, $F55, 'Base de Datos'!$AA:$AA, "Finalizada", 'Base de Datos'!$AJ:$AJ, "&gt;=01/05/2026", 'Base de Datos'!$AJ:$AJ, "&lt;=31/05/2026")</f>
        <v>0</v>
      </c>
      <c r="U55" s="29">
        <f>COUNTIFS('Base de Datos'!$F:$F, $C55, 'Base de Datos'!$H:$H, $E55, 'Base de Datos'!$U:$U, $F55, 'Base de Datos'!$AA:$AA, "Finalizada", 'Base de Datos'!$AJ:$AJ, "&gt;=01/06/2026", 'Base de Datos'!$AJ:$AJ, "&lt;=30/06/2026")</f>
        <v>0</v>
      </c>
    </row>
    <row r="56" spans="3:21">
      <c r="C56" s="4">
        <v>2023</v>
      </c>
      <c r="D56" s="4">
        <v>88</v>
      </c>
      <c r="E56" s="4" t="s">
        <v>83</v>
      </c>
      <c r="F56" s="5" t="s">
        <v>674</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1</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1</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f>COUNTIFS('Base de Datos'!$F:$F, $C56, 'Base de Datos'!$H:$H, $E56, 'Base de Datos'!$U:$U, $F56, 'Base de Datos'!$AA:$AA, "Finalizada", 'Base de Datos'!$AJ:$AJ, "&gt;=01/01/2026", 'Base de Datos'!$AJ:$AJ, "&lt;=31/01/2026")</f>
        <v>0</v>
      </c>
      <c r="Q56" s="29">
        <f>COUNTIFS('Base de Datos'!$F:$F, $C56, 'Base de Datos'!$H:$H, $E56, 'Base de Datos'!$U:$U, $F56, 'Base de Datos'!$AA:$AA, "Finalizada", 'Base de Datos'!$AJ:$AJ, "&gt;=01/02/2026", 'Base de Datos'!$AJ:$AJ, "&lt;=28/02/2026")</f>
        <v>0</v>
      </c>
      <c r="R56" s="29">
        <f>COUNTIFS('Base de Datos'!$F:$F, $C56, 'Base de Datos'!$H:$H, $E56, 'Base de Datos'!$U:$U, $F56, 'Base de Datos'!$AA:$AA, "Finalizada", 'Base de Datos'!$AJ:$AJ, "&gt;=01/03/2026", 'Base de Datos'!$AJ:$AJ, "&lt;=31/03/2026")</f>
        <v>0</v>
      </c>
      <c r="S56" s="29">
        <f>COUNTIFS('Base de Datos'!$F:$F, $C56, 'Base de Datos'!$H:$H, $E56, 'Base de Datos'!$U:$U, $F56, 'Base de Datos'!$AA:$AA, "Finalizada", 'Base de Datos'!$AJ:$AJ, "&gt;=01/04/2026", 'Base de Datos'!$AJ:$AJ, "&lt;=30/04/2026")</f>
        <v>0</v>
      </c>
      <c r="T56" s="29">
        <f>COUNTIFS('Base de Datos'!$F:$F, $C56, 'Base de Datos'!$H:$H, $E56, 'Base de Datos'!$U:$U, $F56, 'Base de Datos'!$AA:$AA, "Finalizada", 'Base de Datos'!$AJ:$AJ, "&gt;=01/05/2026", 'Base de Datos'!$AJ:$AJ, "&lt;=31/05/2026")</f>
        <v>0</v>
      </c>
      <c r="U56" s="29">
        <f>COUNTIFS('Base de Datos'!$F:$F, $C56, 'Base de Datos'!$H:$H, $E56, 'Base de Datos'!$U:$U, $F56, 'Base de Datos'!$AA:$AA, "Finalizada", 'Base de Datos'!$AJ:$AJ, "&gt;=01/06/2026", 'Base de Datos'!$AJ:$AJ, "&lt;=30/06/2026")</f>
        <v>0</v>
      </c>
    </row>
    <row r="57" spans="3:21">
      <c r="C57" s="4">
        <v>2023</v>
      </c>
      <c r="D57" s="4">
        <v>88</v>
      </c>
      <c r="E57" s="4" t="s">
        <v>91</v>
      </c>
      <c r="F57" s="5" t="s">
        <v>674</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1</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1</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f>COUNTIFS('Base de Datos'!$F:$F, $C57, 'Base de Datos'!$H:$H, $E57, 'Base de Datos'!$U:$U, $F57, 'Base de Datos'!$AA:$AA, "Finalizada", 'Base de Datos'!$AJ:$AJ, "&gt;=01/01/2026", 'Base de Datos'!$AJ:$AJ, "&lt;=31/01/2026")</f>
        <v>0</v>
      </c>
      <c r="Q57" s="29">
        <f>COUNTIFS('Base de Datos'!$F:$F, $C57, 'Base de Datos'!$H:$H, $E57, 'Base de Datos'!$U:$U, $F57, 'Base de Datos'!$AA:$AA, "Finalizada", 'Base de Datos'!$AJ:$AJ, "&gt;=01/02/2026", 'Base de Datos'!$AJ:$AJ, "&lt;=28/02/2026")</f>
        <v>0</v>
      </c>
      <c r="R57" s="29">
        <f>COUNTIFS('Base de Datos'!$F:$F, $C57, 'Base de Datos'!$H:$H, $E57, 'Base de Datos'!$U:$U, $F57, 'Base de Datos'!$AA:$AA, "Finalizada", 'Base de Datos'!$AJ:$AJ, "&gt;=01/03/2026", 'Base de Datos'!$AJ:$AJ, "&lt;=31/03/2026")</f>
        <v>0</v>
      </c>
      <c r="S57" s="29">
        <f>COUNTIFS('Base de Datos'!$F:$F, $C57, 'Base de Datos'!$H:$H, $E57, 'Base de Datos'!$U:$U, $F57, 'Base de Datos'!$AA:$AA, "Finalizada", 'Base de Datos'!$AJ:$AJ, "&gt;=01/04/2026", 'Base de Datos'!$AJ:$AJ, "&lt;=30/04/2026")</f>
        <v>0</v>
      </c>
      <c r="T57" s="29">
        <f>COUNTIFS('Base de Datos'!$F:$F, $C57, 'Base de Datos'!$H:$H, $E57, 'Base de Datos'!$U:$U, $F57, 'Base de Datos'!$AA:$AA, "Finalizada", 'Base de Datos'!$AJ:$AJ, "&gt;=01/05/2026", 'Base de Datos'!$AJ:$AJ, "&lt;=31/05/2026")</f>
        <v>0</v>
      </c>
      <c r="U57" s="29">
        <f>COUNTIFS('Base de Datos'!$F:$F, $C57, 'Base de Datos'!$H:$H, $E57, 'Base de Datos'!$U:$U, $F57, 'Base de Datos'!$AA:$AA, "Finalizada", 'Base de Datos'!$AJ:$AJ, "&gt;=01/06/2026", 'Base de Datos'!$AJ:$AJ, "&lt;=30/06/2026")</f>
        <v>0</v>
      </c>
    </row>
    <row r="58" spans="3:21" ht="14.4">
      <c r="C58" s="4">
        <v>2023</v>
      </c>
      <c r="D58" s="4">
        <v>88</v>
      </c>
      <c r="E58" s="4" t="s">
        <v>106</v>
      </c>
      <c r="F58" s="5" t="s">
        <v>674</v>
      </c>
      <c r="G58" s="102">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1</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1</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f>COUNTIFS('Base de Datos'!$F:$F, $C58, 'Base de Datos'!$H:$H, $E58, 'Base de Datos'!$U:$U, $F58, 'Base de Datos'!$AA:$AA, "Finalizada", 'Base de Datos'!$AJ:$AJ, "&gt;=01/01/2026", 'Base de Datos'!$AJ:$AJ, "&lt;=31/01/2026")</f>
        <v>0</v>
      </c>
      <c r="Q58" s="29">
        <f>COUNTIFS('Base de Datos'!$F:$F, $C58, 'Base de Datos'!$H:$H, $E58, 'Base de Datos'!$U:$U, $F58, 'Base de Datos'!$AA:$AA, "Finalizada", 'Base de Datos'!$AJ:$AJ, "&gt;=01/02/2026", 'Base de Datos'!$AJ:$AJ, "&lt;=28/02/2026")</f>
        <v>0</v>
      </c>
      <c r="R58" s="29">
        <f>COUNTIFS('Base de Datos'!$F:$F, $C58, 'Base de Datos'!$H:$H, $E58, 'Base de Datos'!$U:$U, $F58, 'Base de Datos'!$AA:$AA, "Finalizada", 'Base de Datos'!$AJ:$AJ, "&gt;=01/03/2026", 'Base de Datos'!$AJ:$AJ, "&lt;=31/03/2026")</f>
        <v>0</v>
      </c>
      <c r="S58" s="29">
        <f>COUNTIFS('Base de Datos'!$F:$F, $C58, 'Base de Datos'!$H:$H, $E58, 'Base de Datos'!$U:$U, $F58, 'Base de Datos'!$AA:$AA, "Finalizada", 'Base de Datos'!$AJ:$AJ, "&gt;=01/04/2026", 'Base de Datos'!$AJ:$AJ, "&lt;=30/04/2026")</f>
        <v>0</v>
      </c>
      <c r="T58" s="29">
        <f>COUNTIFS('Base de Datos'!$F:$F, $C58, 'Base de Datos'!$H:$H, $E58, 'Base de Datos'!$U:$U, $F58, 'Base de Datos'!$AA:$AA, "Finalizada", 'Base de Datos'!$AJ:$AJ, "&gt;=01/05/2026", 'Base de Datos'!$AJ:$AJ, "&lt;=31/05/2026")</f>
        <v>0</v>
      </c>
      <c r="U58" s="29">
        <f>COUNTIFS('Base de Datos'!$F:$F, $C58, 'Base de Datos'!$H:$H, $E58, 'Base de Datos'!$U:$U, $F58, 'Base de Datos'!$AA:$AA, "Finalizada", 'Base de Datos'!$AJ:$AJ, "&gt;=01/06/2026", 'Base de Datos'!$AJ:$AJ, "&lt;=30/06/2026")</f>
        <v>0</v>
      </c>
    </row>
    <row r="59" spans="3:21">
      <c r="C59" s="4">
        <v>2023</v>
      </c>
      <c r="D59" s="4">
        <v>88</v>
      </c>
      <c r="E59" s="4" t="s">
        <v>508</v>
      </c>
      <c r="F59" s="5" t="s">
        <v>690</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1</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1</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f>COUNTIFS('Base de Datos'!$F:$F, $C59, 'Base de Datos'!$H:$H, $E59, 'Base de Datos'!$U:$U, $F59, 'Base de Datos'!$AA:$AA, "Finalizada", 'Base de Datos'!$AJ:$AJ, "&gt;=01/01/2026", 'Base de Datos'!$AJ:$AJ, "&lt;=31/01/2026")</f>
        <v>0</v>
      </c>
      <c r="Q59" s="29">
        <f>COUNTIFS('Base de Datos'!$F:$F, $C59, 'Base de Datos'!$H:$H, $E59, 'Base de Datos'!$U:$U, $F59, 'Base de Datos'!$AA:$AA, "Finalizada", 'Base de Datos'!$AJ:$AJ, "&gt;=01/02/2026", 'Base de Datos'!$AJ:$AJ, "&lt;=28/02/2026")</f>
        <v>0</v>
      </c>
      <c r="R59" s="29">
        <f>COUNTIFS('Base de Datos'!$F:$F, $C59, 'Base de Datos'!$H:$H, $E59, 'Base de Datos'!$U:$U, $F59, 'Base de Datos'!$AA:$AA, "Finalizada", 'Base de Datos'!$AJ:$AJ, "&gt;=01/03/2026", 'Base de Datos'!$AJ:$AJ, "&lt;=31/03/2026")</f>
        <v>0</v>
      </c>
      <c r="S59" s="29">
        <f>COUNTIFS('Base de Datos'!$F:$F, $C59, 'Base de Datos'!$H:$H, $E59, 'Base de Datos'!$U:$U, $F59, 'Base de Datos'!$AA:$AA, "Finalizada", 'Base de Datos'!$AJ:$AJ, "&gt;=01/04/2026", 'Base de Datos'!$AJ:$AJ, "&lt;=30/04/2026")</f>
        <v>0</v>
      </c>
      <c r="T59" s="29">
        <f>COUNTIFS('Base de Datos'!$F:$F, $C59, 'Base de Datos'!$H:$H, $E59, 'Base de Datos'!$U:$U, $F59, 'Base de Datos'!$AA:$AA, "Finalizada", 'Base de Datos'!$AJ:$AJ, "&gt;=01/05/2026", 'Base de Datos'!$AJ:$AJ, "&lt;=31/05/2026")</f>
        <v>0</v>
      </c>
      <c r="U59" s="29">
        <f>COUNTIFS('Base de Datos'!$F:$F, $C59, 'Base de Datos'!$H:$H, $E59, 'Base de Datos'!$U:$U, $F59, 'Base de Datos'!$AA:$AA, "Finalizada", 'Base de Datos'!$AJ:$AJ, "&gt;=01/06/2026", 'Base de Datos'!$AJ:$AJ, "&lt;=30/06/2026")</f>
        <v>0</v>
      </c>
    </row>
    <row r="60" spans="3:21">
      <c r="C60" s="4">
        <v>2023</v>
      </c>
      <c r="D60" s="4">
        <v>88</v>
      </c>
      <c r="E60" s="4" t="s">
        <v>171</v>
      </c>
      <c r="F60" s="5" t="s">
        <v>691</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1</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1</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f>COUNTIFS('Base de Datos'!$F:$F, $C60, 'Base de Datos'!$H:$H, $E60, 'Base de Datos'!$U:$U, $F60, 'Base de Datos'!$AA:$AA, "Finalizada", 'Base de Datos'!$AJ:$AJ, "&gt;=01/01/2026", 'Base de Datos'!$AJ:$AJ, "&lt;=31/01/2026")</f>
        <v>0</v>
      </c>
      <c r="Q60" s="29">
        <f>COUNTIFS('Base de Datos'!$F:$F, $C60, 'Base de Datos'!$H:$H, $E60, 'Base de Datos'!$U:$U, $F60, 'Base de Datos'!$AA:$AA, "Finalizada", 'Base de Datos'!$AJ:$AJ, "&gt;=01/02/2026", 'Base de Datos'!$AJ:$AJ, "&lt;=28/02/2026")</f>
        <v>0</v>
      </c>
      <c r="R60" s="29">
        <f>COUNTIFS('Base de Datos'!$F:$F, $C60, 'Base de Datos'!$H:$H, $E60, 'Base de Datos'!$U:$U, $F60, 'Base de Datos'!$AA:$AA, "Finalizada", 'Base de Datos'!$AJ:$AJ, "&gt;=01/03/2026", 'Base de Datos'!$AJ:$AJ, "&lt;=31/03/2026")</f>
        <v>0</v>
      </c>
      <c r="S60" s="29">
        <f>COUNTIFS('Base de Datos'!$F:$F, $C60, 'Base de Datos'!$H:$H, $E60, 'Base de Datos'!$U:$U, $F60, 'Base de Datos'!$AA:$AA, "Finalizada", 'Base de Datos'!$AJ:$AJ, "&gt;=01/04/2026", 'Base de Datos'!$AJ:$AJ, "&lt;=30/04/2026")</f>
        <v>0</v>
      </c>
      <c r="T60" s="29">
        <f>COUNTIFS('Base de Datos'!$F:$F, $C60, 'Base de Datos'!$H:$H, $E60, 'Base de Datos'!$U:$U, $F60, 'Base de Datos'!$AA:$AA, "Finalizada", 'Base de Datos'!$AJ:$AJ, "&gt;=01/05/2026", 'Base de Datos'!$AJ:$AJ, "&lt;=31/05/2026")</f>
        <v>0</v>
      </c>
      <c r="U60" s="29">
        <f>COUNTIFS('Base de Datos'!$F:$F, $C60, 'Base de Datos'!$H:$H, $E60, 'Base de Datos'!$U:$U, $F60, 'Base de Datos'!$AA:$AA, "Finalizada", 'Base de Datos'!$AJ:$AJ, "&gt;=01/06/2026", 'Base de Datos'!$AJ:$AJ, "&lt;=30/06/2026")</f>
        <v>0</v>
      </c>
    </row>
    <row r="61" spans="3:21">
      <c r="C61" s="4">
        <v>2023</v>
      </c>
      <c r="D61" s="4">
        <v>88</v>
      </c>
      <c r="E61" s="4" t="s">
        <v>182</v>
      </c>
      <c r="F61" s="5" t="s">
        <v>691</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1</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1</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f>COUNTIFS('Base de Datos'!$F:$F, $C61, 'Base de Datos'!$H:$H, $E61, 'Base de Datos'!$U:$U, $F61, 'Base de Datos'!$AA:$AA, "Finalizada", 'Base de Datos'!$AJ:$AJ, "&gt;=01/01/2026", 'Base de Datos'!$AJ:$AJ, "&lt;=31/01/2026")</f>
        <v>0</v>
      </c>
      <c r="Q61" s="29">
        <f>COUNTIFS('Base de Datos'!$F:$F, $C61, 'Base de Datos'!$H:$H, $E61, 'Base de Datos'!$U:$U, $F61, 'Base de Datos'!$AA:$AA, "Finalizada", 'Base de Datos'!$AJ:$AJ, "&gt;=01/02/2026", 'Base de Datos'!$AJ:$AJ, "&lt;=28/02/2026")</f>
        <v>0</v>
      </c>
      <c r="R61" s="29">
        <f>COUNTIFS('Base de Datos'!$F:$F, $C61, 'Base de Datos'!$H:$H, $E61, 'Base de Datos'!$U:$U, $F61, 'Base de Datos'!$AA:$AA, "Finalizada", 'Base de Datos'!$AJ:$AJ, "&gt;=01/03/2026", 'Base de Datos'!$AJ:$AJ, "&lt;=31/03/2026")</f>
        <v>0</v>
      </c>
      <c r="S61" s="29">
        <f>COUNTIFS('Base de Datos'!$F:$F, $C61, 'Base de Datos'!$H:$H, $E61, 'Base de Datos'!$U:$U, $F61, 'Base de Datos'!$AA:$AA, "Finalizada", 'Base de Datos'!$AJ:$AJ, "&gt;=01/04/2026", 'Base de Datos'!$AJ:$AJ, "&lt;=30/04/2026")</f>
        <v>0</v>
      </c>
      <c r="T61" s="29">
        <f>COUNTIFS('Base de Datos'!$F:$F, $C61, 'Base de Datos'!$H:$H, $E61, 'Base de Datos'!$U:$U, $F61, 'Base de Datos'!$AA:$AA, "Finalizada", 'Base de Datos'!$AJ:$AJ, "&gt;=01/05/2026", 'Base de Datos'!$AJ:$AJ, "&lt;=31/05/2026")</f>
        <v>0</v>
      </c>
      <c r="U61" s="29">
        <f>COUNTIFS('Base de Datos'!$F:$F, $C61, 'Base de Datos'!$H:$H, $E61, 'Base de Datos'!$U:$U, $F61, 'Base de Datos'!$AA:$AA, "Finalizada", 'Base de Datos'!$AJ:$AJ, "&gt;=01/06/2026", 'Base de Datos'!$AJ:$AJ, "&lt;=30/06/2026")</f>
        <v>0</v>
      </c>
    </row>
    <row r="62" spans="3:21">
      <c r="C62" s="4">
        <v>2023</v>
      </c>
      <c r="D62" s="4">
        <v>88</v>
      </c>
      <c r="E62" s="4" t="s">
        <v>532</v>
      </c>
      <c r="F62" s="5" t="s">
        <v>691</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1</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1</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f>COUNTIFS('Base de Datos'!$F:$F, $C62, 'Base de Datos'!$H:$H, $E62, 'Base de Datos'!$U:$U, $F62, 'Base de Datos'!$AA:$AA, "Finalizada", 'Base de Datos'!$AJ:$AJ, "&gt;=01/01/2026", 'Base de Datos'!$AJ:$AJ, "&lt;=31/01/2026")</f>
        <v>0</v>
      </c>
      <c r="Q62" s="29">
        <f>COUNTIFS('Base de Datos'!$F:$F, $C62, 'Base de Datos'!$H:$H, $E62, 'Base de Datos'!$U:$U, $F62, 'Base de Datos'!$AA:$AA, "Finalizada", 'Base de Datos'!$AJ:$AJ, "&gt;=01/02/2026", 'Base de Datos'!$AJ:$AJ, "&lt;=28/02/2026")</f>
        <v>0</v>
      </c>
      <c r="R62" s="29">
        <f>COUNTIFS('Base de Datos'!$F:$F, $C62, 'Base de Datos'!$H:$H, $E62, 'Base de Datos'!$U:$U, $F62, 'Base de Datos'!$AA:$AA, "Finalizada", 'Base de Datos'!$AJ:$AJ, "&gt;=01/03/2026", 'Base de Datos'!$AJ:$AJ, "&lt;=31/03/2026")</f>
        <v>0</v>
      </c>
      <c r="S62" s="29">
        <f>COUNTIFS('Base de Datos'!$F:$F, $C62, 'Base de Datos'!$H:$H, $E62, 'Base de Datos'!$U:$U, $F62, 'Base de Datos'!$AA:$AA, "Finalizada", 'Base de Datos'!$AJ:$AJ, "&gt;=01/04/2026", 'Base de Datos'!$AJ:$AJ, "&lt;=30/04/2026")</f>
        <v>0</v>
      </c>
      <c r="T62" s="29">
        <f>COUNTIFS('Base de Datos'!$F:$F, $C62, 'Base de Datos'!$H:$H, $E62, 'Base de Datos'!$U:$U, $F62, 'Base de Datos'!$AA:$AA, "Finalizada", 'Base de Datos'!$AJ:$AJ, "&gt;=01/05/2026", 'Base de Datos'!$AJ:$AJ, "&lt;=31/05/2026")</f>
        <v>0</v>
      </c>
      <c r="U62" s="29">
        <f>COUNTIFS('Base de Datos'!$F:$F, $C62, 'Base de Datos'!$H:$H, $E62, 'Base de Datos'!$U:$U, $F62, 'Base de Datos'!$AA:$AA, "Finalizada", 'Base de Datos'!$AJ:$AJ, "&gt;=01/06/2026", 'Base de Datos'!$AJ:$AJ, "&lt;=30/06/2026")</f>
        <v>0</v>
      </c>
    </row>
    <row r="63" spans="3:21">
      <c r="C63" s="4">
        <v>2023</v>
      </c>
      <c r="D63" s="4">
        <v>88</v>
      </c>
      <c r="E63" s="4" t="s">
        <v>193</v>
      </c>
      <c r="F63" s="5" t="s">
        <v>676</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1</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1</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f>COUNTIFS('Base de Datos'!$F:$F, $C63, 'Base de Datos'!$H:$H, $E63, 'Base de Datos'!$U:$U, $F63, 'Base de Datos'!$AA:$AA, "Finalizada", 'Base de Datos'!$AJ:$AJ, "&gt;=01/01/2026", 'Base de Datos'!$AJ:$AJ, "&lt;=31/01/2026")</f>
        <v>0</v>
      </c>
      <c r="Q63" s="29">
        <f>COUNTIFS('Base de Datos'!$F:$F, $C63, 'Base de Datos'!$H:$H, $E63, 'Base de Datos'!$U:$U, $F63, 'Base de Datos'!$AA:$AA, "Finalizada", 'Base de Datos'!$AJ:$AJ, "&gt;=01/02/2026", 'Base de Datos'!$AJ:$AJ, "&lt;=28/02/2026")</f>
        <v>0</v>
      </c>
      <c r="R63" s="29">
        <f>COUNTIFS('Base de Datos'!$F:$F, $C63, 'Base de Datos'!$H:$H, $E63, 'Base de Datos'!$U:$U, $F63, 'Base de Datos'!$AA:$AA, "Finalizada", 'Base de Datos'!$AJ:$AJ, "&gt;=01/03/2026", 'Base de Datos'!$AJ:$AJ, "&lt;=31/03/2026")</f>
        <v>0</v>
      </c>
      <c r="S63" s="29">
        <f>COUNTIFS('Base de Datos'!$F:$F, $C63, 'Base de Datos'!$H:$H, $E63, 'Base de Datos'!$U:$U, $F63, 'Base de Datos'!$AA:$AA, "Finalizada", 'Base de Datos'!$AJ:$AJ, "&gt;=01/04/2026", 'Base de Datos'!$AJ:$AJ, "&lt;=30/04/2026")</f>
        <v>0</v>
      </c>
      <c r="T63" s="29">
        <f>COUNTIFS('Base de Datos'!$F:$F, $C63, 'Base de Datos'!$H:$H, $E63, 'Base de Datos'!$U:$U, $F63, 'Base de Datos'!$AA:$AA, "Finalizada", 'Base de Datos'!$AJ:$AJ, "&gt;=01/05/2026", 'Base de Datos'!$AJ:$AJ, "&lt;=31/05/2026")</f>
        <v>0</v>
      </c>
      <c r="U63" s="29">
        <f>COUNTIFS('Base de Datos'!$F:$F, $C63, 'Base de Datos'!$H:$H, $E63, 'Base de Datos'!$U:$U, $F63, 'Base de Datos'!$AA:$AA, "Finalizada", 'Base de Datos'!$AJ:$AJ, "&gt;=01/06/2026", 'Base de Datos'!$AJ:$AJ, "&lt;=30/06/2026")</f>
        <v>0</v>
      </c>
    </row>
    <row r="64" spans="3:21">
      <c r="C64" s="4">
        <v>2023</v>
      </c>
      <c r="D64" s="4">
        <v>88</v>
      </c>
      <c r="E64" s="4" t="s">
        <v>218</v>
      </c>
      <c r="F64" s="5" t="s">
        <v>676</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1</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1</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f>COUNTIFS('Base de Datos'!$F:$F, $C64, 'Base de Datos'!$H:$H, $E64, 'Base de Datos'!$U:$U, $F64, 'Base de Datos'!$AA:$AA, "Finalizada", 'Base de Datos'!$AJ:$AJ, "&gt;=01/01/2026", 'Base de Datos'!$AJ:$AJ, "&lt;=31/01/2026")</f>
        <v>0</v>
      </c>
      <c r="Q64" s="29">
        <f>COUNTIFS('Base de Datos'!$F:$F, $C64, 'Base de Datos'!$H:$H, $E64, 'Base de Datos'!$U:$U, $F64, 'Base de Datos'!$AA:$AA, "Finalizada", 'Base de Datos'!$AJ:$AJ, "&gt;=01/02/2026", 'Base de Datos'!$AJ:$AJ, "&lt;=28/02/2026")</f>
        <v>0</v>
      </c>
      <c r="R64" s="29">
        <f>COUNTIFS('Base de Datos'!$F:$F, $C64, 'Base de Datos'!$H:$H, $E64, 'Base de Datos'!$U:$U, $F64, 'Base de Datos'!$AA:$AA, "Finalizada", 'Base de Datos'!$AJ:$AJ, "&gt;=01/03/2026", 'Base de Datos'!$AJ:$AJ, "&lt;=31/03/2026")</f>
        <v>0</v>
      </c>
      <c r="S64" s="29">
        <f>COUNTIFS('Base de Datos'!$F:$F, $C64, 'Base de Datos'!$H:$H, $E64, 'Base de Datos'!$U:$U, $F64, 'Base de Datos'!$AA:$AA, "Finalizada", 'Base de Datos'!$AJ:$AJ, "&gt;=01/04/2026", 'Base de Datos'!$AJ:$AJ, "&lt;=30/04/2026")</f>
        <v>0</v>
      </c>
      <c r="T64" s="29">
        <f>COUNTIFS('Base de Datos'!$F:$F, $C64, 'Base de Datos'!$H:$H, $E64, 'Base de Datos'!$U:$U, $F64, 'Base de Datos'!$AA:$AA, "Finalizada", 'Base de Datos'!$AJ:$AJ, "&gt;=01/05/2026", 'Base de Datos'!$AJ:$AJ, "&lt;=31/05/2026")</f>
        <v>0</v>
      </c>
      <c r="U64" s="29">
        <f>COUNTIFS('Base de Datos'!$F:$F, $C64, 'Base de Datos'!$H:$H, $E64, 'Base de Datos'!$U:$U, $F64, 'Base de Datos'!$AA:$AA, "Finalizada", 'Base de Datos'!$AJ:$AJ, "&gt;=01/06/2026", 'Base de Datos'!$AJ:$AJ, "&lt;=30/06/2026")</f>
        <v>0</v>
      </c>
    </row>
    <row r="65" spans="3:21">
      <c r="C65" s="4">
        <v>2023</v>
      </c>
      <c r="D65" s="4">
        <v>88</v>
      </c>
      <c r="E65" s="4" t="s">
        <v>554</v>
      </c>
      <c r="F65" s="5" t="s">
        <v>692</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2</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2</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f>COUNTIFS('Base de Datos'!$F:$F, $C65, 'Base de Datos'!$H:$H, $E65, 'Base de Datos'!$U:$U, $F65, 'Base de Datos'!$AA:$AA, "Finalizada", 'Base de Datos'!$AJ:$AJ, "&gt;=01/01/2026", 'Base de Datos'!$AJ:$AJ, "&lt;=31/01/2026")</f>
        <v>0</v>
      </c>
      <c r="Q65" s="29">
        <f>COUNTIFS('Base de Datos'!$F:$F, $C65, 'Base de Datos'!$H:$H, $E65, 'Base de Datos'!$U:$U, $F65, 'Base de Datos'!$AA:$AA, "Finalizada", 'Base de Datos'!$AJ:$AJ, "&gt;=01/02/2026", 'Base de Datos'!$AJ:$AJ, "&lt;=28/02/2026")</f>
        <v>0</v>
      </c>
      <c r="R65" s="29">
        <f>COUNTIFS('Base de Datos'!$F:$F, $C65, 'Base de Datos'!$H:$H, $E65, 'Base de Datos'!$U:$U, $F65, 'Base de Datos'!$AA:$AA, "Finalizada", 'Base de Datos'!$AJ:$AJ, "&gt;=01/03/2026", 'Base de Datos'!$AJ:$AJ, "&lt;=31/03/2026")</f>
        <v>0</v>
      </c>
      <c r="S65" s="29">
        <f>COUNTIFS('Base de Datos'!$F:$F, $C65, 'Base de Datos'!$H:$H, $E65, 'Base de Datos'!$U:$U, $F65, 'Base de Datos'!$AA:$AA, "Finalizada", 'Base de Datos'!$AJ:$AJ, "&gt;=01/04/2026", 'Base de Datos'!$AJ:$AJ, "&lt;=30/04/2026")</f>
        <v>0</v>
      </c>
      <c r="T65" s="29">
        <f>COUNTIFS('Base de Datos'!$F:$F, $C65, 'Base de Datos'!$H:$H, $E65, 'Base de Datos'!$U:$U, $F65, 'Base de Datos'!$AA:$AA, "Finalizada", 'Base de Datos'!$AJ:$AJ, "&gt;=01/05/2026", 'Base de Datos'!$AJ:$AJ, "&lt;=31/05/2026")</f>
        <v>0</v>
      </c>
      <c r="U65" s="29">
        <f>COUNTIFS('Base de Datos'!$F:$F, $C65, 'Base de Datos'!$H:$H, $E65, 'Base de Datos'!$U:$U, $F65, 'Base de Datos'!$AA:$AA, "Finalizada", 'Base de Datos'!$AJ:$AJ, "&gt;=01/06/2026", 'Base de Datos'!$AJ:$AJ, "&lt;=30/06/2026")</f>
        <v>0</v>
      </c>
    </row>
    <row r="66" spans="3:21">
      <c r="C66" s="4">
        <v>2023</v>
      </c>
      <c r="D66" s="4">
        <v>88</v>
      </c>
      <c r="E66" s="4" t="s">
        <v>567</v>
      </c>
      <c r="F66" s="5" t="s">
        <v>676</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2</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2</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f>COUNTIFS('Base de Datos'!$F:$F, $C66, 'Base de Datos'!$H:$H, $E66, 'Base de Datos'!$U:$U, $F66, 'Base de Datos'!$AA:$AA, "Finalizada", 'Base de Datos'!$AJ:$AJ, "&gt;=01/01/2026", 'Base de Datos'!$AJ:$AJ, "&lt;=31/01/2026")</f>
        <v>0</v>
      </c>
      <c r="Q66" s="29">
        <f>COUNTIFS('Base de Datos'!$F:$F, $C66, 'Base de Datos'!$H:$H, $E66, 'Base de Datos'!$U:$U, $F66, 'Base de Datos'!$AA:$AA, "Finalizada", 'Base de Datos'!$AJ:$AJ, "&gt;=01/02/2026", 'Base de Datos'!$AJ:$AJ, "&lt;=28/02/2026")</f>
        <v>0</v>
      </c>
      <c r="R66" s="29">
        <f>COUNTIFS('Base de Datos'!$F:$F, $C66, 'Base de Datos'!$H:$H, $E66, 'Base de Datos'!$U:$U, $F66, 'Base de Datos'!$AA:$AA, "Finalizada", 'Base de Datos'!$AJ:$AJ, "&gt;=01/03/2026", 'Base de Datos'!$AJ:$AJ, "&lt;=31/03/2026")</f>
        <v>0</v>
      </c>
      <c r="S66" s="29">
        <f>COUNTIFS('Base de Datos'!$F:$F, $C66, 'Base de Datos'!$H:$H, $E66, 'Base de Datos'!$U:$U, $F66, 'Base de Datos'!$AA:$AA, "Finalizada", 'Base de Datos'!$AJ:$AJ, "&gt;=01/04/2026", 'Base de Datos'!$AJ:$AJ, "&lt;=30/04/2026")</f>
        <v>0</v>
      </c>
      <c r="T66" s="29">
        <f>COUNTIFS('Base de Datos'!$F:$F, $C66, 'Base de Datos'!$H:$H, $E66, 'Base de Datos'!$U:$U, $F66, 'Base de Datos'!$AA:$AA, "Finalizada", 'Base de Datos'!$AJ:$AJ, "&gt;=01/05/2026", 'Base de Datos'!$AJ:$AJ, "&lt;=31/05/2026")</f>
        <v>0</v>
      </c>
      <c r="U66" s="29">
        <f>COUNTIFS('Base de Datos'!$F:$F, $C66, 'Base de Datos'!$H:$H, $E66, 'Base de Datos'!$U:$U, $F66, 'Base de Datos'!$AA:$AA, "Finalizada", 'Base de Datos'!$AJ:$AJ, "&gt;=01/06/2026", 'Base de Datos'!$AJ:$AJ, "&lt;=30/06/2026")</f>
        <v>0</v>
      </c>
    </row>
    <row r="67" spans="3:21">
      <c r="C67" s="4">
        <v>2023</v>
      </c>
      <c r="D67" s="4">
        <v>88</v>
      </c>
      <c r="E67" s="4" t="s">
        <v>580</v>
      </c>
      <c r="F67" s="5" t="s">
        <v>676</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1</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1</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f>COUNTIFS('Base de Datos'!$F:$F, $C67, 'Base de Datos'!$H:$H, $E67, 'Base de Datos'!$U:$U, $F67, 'Base de Datos'!$AA:$AA, "Finalizada", 'Base de Datos'!$AJ:$AJ, "&gt;=01/01/2026", 'Base de Datos'!$AJ:$AJ, "&lt;=31/01/2026")</f>
        <v>0</v>
      </c>
      <c r="Q67" s="29">
        <f>COUNTIFS('Base de Datos'!$F:$F, $C67, 'Base de Datos'!$H:$H, $E67, 'Base de Datos'!$U:$U, $F67, 'Base de Datos'!$AA:$AA, "Finalizada", 'Base de Datos'!$AJ:$AJ, "&gt;=01/02/2026", 'Base de Datos'!$AJ:$AJ, "&lt;=28/02/2026")</f>
        <v>0</v>
      </c>
      <c r="R67" s="29">
        <f>COUNTIFS('Base de Datos'!$F:$F, $C67, 'Base de Datos'!$H:$H, $E67, 'Base de Datos'!$U:$U, $F67, 'Base de Datos'!$AA:$AA, "Finalizada", 'Base de Datos'!$AJ:$AJ, "&gt;=01/03/2026", 'Base de Datos'!$AJ:$AJ, "&lt;=31/03/2026")</f>
        <v>0</v>
      </c>
      <c r="S67" s="29">
        <f>COUNTIFS('Base de Datos'!$F:$F, $C67, 'Base de Datos'!$H:$H, $E67, 'Base de Datos'!$U:$U, $F67, 'Base de Datos'!$AA:$AA, "Finalizada", 'Base de Datos'!$AJ:$AJ, "&gt;=01/04/2026", 'Base de Datos'!$AJ:$AJ, "&lt;=30/04/2026")</f>
        <v>0</v>
      </c>
      <c r="T67" s="29">
        <f>COUNTIFS('Base de Datos'!$F:$F, $C67, 'Base de Datos'!$H:$H, $E67, 'Base de Datos'!$U:$U, $F67, 'Base de Datos'!$AA:$AA, "Finalizada", 'Base de Datos'!$AJ:$AJ, "&gt;=01/05/2026", 'Base de Datos'!$AJ:$AJ, "&lt;=31/05/2026")</f>
        <v>0</v>
      </c>
      <c r="U67" s="29">
        <f>COUNTIFS('Base de Datos'!$F:$F, $C67, 'Base de Datos'!$H:$H, $E67, 'Base de Datos'!$U:$U, $F67, 'Base de Datos'!$AA:$AA, "Finalizada", 'Base de Datos'!$AJ:$AJ, "&gt;=01/06/2026", 'Base de Datos'!$AJ:$AJ, "&lt;=30/06/2026")</f>
        <v>0</v>
      </c>
    </row>
    <row r="68" spans="3:21">
      <c r="C68" s="4">
        <v>2023</v>
      </c>
      <c r="D68" s="4">
        <v>88</v>
      </c>
      <c r="E68" s="4" t="s">
        <v>380</v>
      </c>
      <c r="F68" s="5" t="s">
        <v>677</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2</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2</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f>COUNTIFS('Base de Datos'!$F:$F, $C68, 'Base de Datos'!$H:$H, $E68, 'Base de Datos'!$U:$U, $F68, 'Base de Datos'!$AA:$AA, "Finalizada", 'Base de Datos'!$AJ:$AJ, "&gt;=01/01/2026", 'Base de Datos'!$AJ:$AJ, "&lt;=31/01/2026")</f>
        <v>0</v>
      </c>
      <c r="Q68" s="29">
        <f>COUNTIFS('Base de Datos'!$F:$F, $C68, 'Base de Datos'!$H:$H, $E68, 'Base de Datos'!$U:$U, $F68, 'Base de Datos'!$AA:$AA, "Finalizada", 'Base de Datos'!$AJ:$AJ, "&gt;=01/02/2026", 'Base de Datos'!$AJ:$AJ, "&lt;=28/02/2026")</f>
        <v>0</v>
      </c>
      <c r="R68" s="29">
        <f>COUNTIFS('Base de Datos'!$F:$F, $C68, 'Base de Datos'!$H:$H, $E68, 'Base de Datos'!$U:$U, $F68, 'Base de Datos'!$AA:$AA, "Finalizada", 'Base de Datos'!$AJ:$AJ, "&gt;=01/03/2026", 'Base de Datos'!$AJ:$AJ, "&lt;=31/03/2026")</f>
        <v>0</v>
      </c>
      <c r="S68" s="29">
        <f>COUNTIFS('Base de Datos'!$F:$F, $C68, 'Base de Datos'!$H:$H, $E68, 'Base de Datos'!$U:$U, $F68, 'Base de Datos'!$AA:$AA, "Finalizada", 'Base de Datos'!$AJ:$AJ, "&gt;=01/04/2026", 'Base de Datos'!$AJ:$AJ, "&lt;=30/04/2026")</f>
        <v>0</v>
      </c>
      <c r="T68" s="29">
        <f>COUNTIFS('Base de Datos'!$F:$F, $C68, 'Base de Datos'!$H:$H, $E68, 'Base de Datos'!$U:$U, $F68, 'Base de Datos'!$AA:$AA, "Finalizada", 'Base de Datos'!$AJ:$AJ, "&gt;=01/05/2026", 'Base de Datos'!$AJ:$AJ, "&lt;=31/05/2026")</f>
        <v>0</v>
      </c>
      <c r="U68" s="29">
        <f>COUNTIFS('Base de Datos'!$F:$F, $C68, 'Base de Datos'!$H:$H, $E68, 'Base de Datos'!$U:$U, $F68, 'Base de Datos'!$AA:$AA, "Finalizada", 'Base de Datos'!$AJ:$AJ, "&gt;=01/06/2026", 'Base de Datos'!$AJ:$AJ, "&lt;=30/06/2026")</f>
        <v>0</v>
      </c>
    </row>
    <row r="69" spans="3:21">
      <c r="C69" s="4">
        <v>2023</v>
      </c>
      <c r="D69" s="4">
        <v>88</v>
      </c>
      <c r="E69" s="4" t="s">
        <v>601</v>
      </c>
      <c r="F69" s="5" t="s">
        <v>677</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2</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2</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f>COUNTIFS('Base de Datos'!$F:$F, $C69, 'Base de Datos'!$H:$H, $E69, 'Base de Datos'!$U:$U, $F69, 'Base de Datos'!$AA:$AA, "Finalizada", 'Base de Datos'!$AJ:$AJ, "&gt;=01/01/2026", 'Base de Datos'!$AJ:$AJ, "&lt;=31/01/2026")</f>
        <v>0</v>
      </c>
      <c r="Q69" s="29">
        <f>COUNTIFS('Base de Datos'!$F:$F, $C69, 'Base de Datos'!$H:$H, $E69, 'Base de Datos'!$U:$U, $F69, 'Base de Datos'!$AA:$AA, "Finalizada", 'Base de Datos'!$AJ:$AJ, "&gt;=01/02/2026", 'Base de Datos'!$AJ:$AJ, "&lt;=28/02/2026")</f>
        <v>0</v>
      </c>
      <c r="R69" s="29">
        <f>COUNTIFS('Base de Datos'!$F:$F, $C69, 'Base de Datos'!$H:$H, $E69, 'Base de Datos'!$U:$U, $F69, 'Base de Datos'!$AA:$AA, "Finalizada", 'Base de Datos'!$AJ:$AJ, "&gt;=01/03/2026", 'Base de Datos'!$AJ:$AJ, "&lt;=31/03/2026")</f>
        <v>0</v>
      </c>
      <c r="S69" s="29">
        <f>COUNTIFS('Base de Datos'!$F:$F, $C69, 'Base de Datos'!$H:$H, $E69, 'Base de Datos'!$U:$U, $F69, 'Base de Datos'!$AA:$AA, "Finalizada", 'Base de Datos'!$AJ:$AJ, "&gt;=01/04/2026", 'Base de Datos'!$AJ:$AJ, "&lt;=30/04/2026")</f>
        <v>0</v>
      </c>
      <c r="T69" s="29">
        <f>COUNTIFS('Base de Datos'!$F:$F, $C69, 'Base de Datos'!$H:$H, $E69, 'Base de Datos'!$U:$U, $F69, 'Base de Datos'!$AA:$AA, "Finalizada", 'Base de Datos'!$AJ:$AJ, "&gt;=01/05/2026", 'Base de Datos'!$AJ:$AJ, "&lt;=31/05/2026")</f>
        <v>0</v>
      </c>
      <c r="U69" s="29">
        <f>COUNTIFS('Base de Datos'!$F:$F, $C69, 'Base de Datos'!$H:$H, $E69, 'Base de Datos'!$U:$U, $F69, 'Base de Datos'!$AA:$AA, "Finalizada", 'Base de Datos'!$AJ:$AJ, "&gt;=01/06/2026", 'Base de Datos'!$AJ:$AJ, "&lt;=30/06/2026")</f>
        <v>0</v>
      </c>
    </row>
    <row r="70" spans="3:21">
      <c r="C70" s="4">
        <v>2023</v>
      </c>
      <c r="D70" s="4">
        <v>88</v>
      </c>
      <c r="E70" s="4" t="s">
        <v>615</v>
      </c>
      <c r="F70" s="5" t="s">
        <v>677</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2</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2</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3">
        <f>COUNTIFS('Base de Datos'!$F:$F,$C70,'Base de Datos'!$G:$G,$D70,'Base de Datos'!$H:$H,$E70,'Base de Datos'!$U:$U,$F70,'Base de Datos'!$AA:$AA,"Abierta",'Base de Datos'!$AG:$AG,1)</f>
        <v>0</v>
      </c>
      <c r="P70" s="29">
        <f>COUNTIFS('Base de Datos'!$F:$F, $C70, 'Base de Datos'!$H:$H, $E70, 'Base de Datos'!$U:$U, $F70, 'Base de Datos'!$AA:$AA, "Finalizada", 'Base de Datos'!$AJ:$AJ, "&gt;=01/01/2026", 'Base de Datos'!$AJ:$AJ, "&lt;=31/01/2026")</f>
        <v>0</v>
      </c>
      <c r="Q70" s="29">
        <f>COUNTIFS('Base de Datos'!$F:$F, $C70, 'Base de Datos'!$H:$H, $E70, 'Base de Datos'!$U:$U, $F70, 'Base de Datos'!$AA:$AA, "Finalizada", 'Base de Datos'!$AJ:$AJ, "&gt;=01/02/2026", 'Base de Datos'!$AJ:$AJ, "&lt;=28/02/2026")</f>
        <v>0</v>
      </c>
      <c r="R70" s="29">
        <f>COUNTIFS('Base de Datos'!$F:$F, $C70, 'Base de Datos'!$H:$H, $E70, 'Base de Datos'!$U:$U, $F70, 'Base de Datos'!$AA:$AA, "Finalizada", 'Base de Datos'!$AJ:$AJ, "&gt;=01/03/2026", 'Base de Datos'!$AJ:$AJ, "&lt;=31/03/2026")</f>
        <v>0</v>
      </c>
      <c r="S70" s="29">
        <f>COUNTIFS('Base de Datos'!$F:$F, $C70, 'Base de Datos'!$H:$H, $E70, 'Base de Datos'!$U:$U, $F70, 'Base de Datos'!$AA:$AA, "Finalizada", 'Base de Datos'!$AJ:$AJ, "&gt;=01/04/2026", 'Base de Datos'!$AJ:$AJ, "&lt;=30/04/2026")</f>
        <v>0</v>
      </c>
      <c r="T70" s="29">
        <f>COUNTIFS('Base de Datos'!$F:$F, $C70, 'Base de Datos'!$H:$H, $E70, 'Base de Datos'!$U:$U, $F70, 'Base de Datos'!$AA:$AA, "Finalizada", 'Base de Datos'!$AJ:$AJ, "&gt;=01/05/2026", 'Base de Datos'!$AJ:$AJ, "&lt;=31/05/2026")</f>
        <v>0</v>
      </c>
      <c r="U70" s="29">
        <f>COUNTIFS('Base de Datos'!$F:$F, $C70, 'Base de Datos'!$H:$H, $E70, 'Base de Datos'!$U:$U, $F70, 'Base de Datos'!$AA:$AA, "Finalizada", 'Base de Datos'!$AJ:$AJ, "&gt;=01/06/2026", 'Base de Datos'!$AJ:$AJ, "&lt;=30/06/2026")</f>
        <v>0</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638</v>
      </c>
      <c r="B12" s="46" t="s">
        <v>643</v>
      </c>
    </row>
    <row r="13" spans="1:7">
      <c r="A13" s="39">
        <v>2023</v>
      </c>
      <c r="B13" s="46">
        <v>24</v>
      </c>
      <c r="F13" s="38" t="s">
        <v>644</v>
      </c>
    </row>
    <row r="14" spans="1:7">
      <c r="A14" s="39">
        <v>2024</v>
      </c>
      <c r="B14" s="46">
        <v>26</v>
      </c>
      <c r="F14" s="39" t="s">
        <v>640</v>
      </c>
      <c r="G14">
        <v>11</v>
      </c>
    </row>
    <row r="15" spans="1:7">
      <c r="A15" s="39">
        <v>2025</v>
      </c>
      <c r="B15" s="46">
        <v>34</v>
      </c>
      <c r="F15" s="39" t="s">
        <v>641</v>
      </c>
      <c r="G15">
        <v>6</v>
      </c>
    </row>
    <row r="16" spans="1:7">
      <c r="A16" s="39" t="s">
        <v>639</v>
      </c>
      <c r="B16" s="46">
        <v>84</v>
      </c>
      <c r="F16" s="39" t="s">
        <v>642</v>
      </c>
      <c r="G16">
        <v>67</v>
      </c>
    </row>
    <row r="19" spans="1:3">
      <c r="A19" s="38" t="s">
        <v>644</v>
      </c>
    </row>
    <row r="20" spans="1:3">
      <c r="A20" s="39" t="s">
        <v>652</v>
      </c>
      <c r="B20" s="46">
        <v>0</v>
      </c>
      <c r="C20">
        <f>GETPIVOTDATA("Suma de Alerta 5",$A$19)</f>
        <v>0</v>
      </c>
    </row>
    <row r="21" spans="1:3">
      <c r="A21" s="39" t="s">
        <v>645</v>
      </c>
      <c r="B21" s="46">
        <v>0</v>
      </c>
      <c r="C21">
        <f>GETPIVOTDATA("Suma de Alerta 10",$A$19)</f>
        <v>0</v>
      </c>
    </row>
    <row r="22" spans="1:3">
      <c r="A22" s="39" t="s">
        <v>646</v>
      </c>
      <c r="B22" s="46">
        <v>0</v>
      </c>
      <c r="C22">
        <f>GETPIVOTDATA("Suma de Alerta 20",$A$19)</f>
        <v>0</v>
      </c>
    </row>
    <row r="23" spans="1:3">
      <c r="A23" s="39" t="s">
        <v>647</v>
      </c>
      <c r="B23" s="46">
        <v>0</v>
      </c>
      <c r="C23">
        <f>GETPIVOTDATA("Suma de Alerta 30",$A$19)</f>
        <v>0</v>
      </c>
    </row>
    <row r="26" spans="1:3">
      <c r="A26" s="38" t="s">
        <v>644</v>
      </c>
    </row>
    <row r="27" spans="1:3">
      <c r="A27" s="39" t="s">
        <v>643</v>
      </c>
      <c r="B27" s="46">
        <v>84</v>
      </c>
      <c r="C27">
        <f>GETPIVOTDATA("Suma de Total Planes de acción",$A$26)</f>
        <v>84</v>
      </c>
    </row>
    <row r="28" spans="1:3">
      <c r="A28" s="39" t="s">
        <v>649</v>
      </c>
      <c r="B28" s="46">
        <v>54</v>
      </c>
      <c r="C28">
        <f>GETPIVOTDATA("Suma de Total hallazgos",$A$26)</f>
        <v>54</v>
      </c>
    </row>
    <row r="29" spans="1:3">
      <c r="A29" s="39" t="s">
        <v>640</v>
      </c>
      <c r="B29" s="46">
        <v>11</v>
      </c>
      <c r="C29">
        <f>GETPIVOTDATA("Suma de Abiertos",$A$26)</f>
        <v>11</v>
      </c>
    </row>
    <row r="30" spans="1:3">
      <c r="A30" s="39" t="s">
        <v>641</v>
      </c>
      <c r="B30" s="46">
        <v>6</v>
      </c>
      <c r="C30">
        <f>GETPIVOTDATA("Suma de Vencidos",$A$26)</f>
        <v>6</v>
      </c>
    </row>
    <row r="31" spans="1:3">
      <c r="A31" s="39" t="s">
        <v>642</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638</v>
      </c>
      <c r="B3" t="s">
        <v>669</v>
      </c>
    </row>
    <row r="4" spans="1:2">
      <c r="A4" s="39" t="s">
        <v>43</v>
      </c>
      <c r="B4">
        <v>11</v>
      </c>
    </row>
    <row r="5" spans="1:2">
      <c r="A5" s="39" t="s">
        <v>57</v>
      </c>
      <c r="B5">
        <v>67</v>
      </c>
    </row>
    <row r="6" spans="1:2">
      <c r="A6" s="39" t="s">
        <v>177</v>
      </c>
      <c r="B6">
        <v>6</v>
      </c>
    </row>
    <row r="7" spans="1:2">
      <c r="A7" s="39" t="s">
        <v>639</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opLeftCell="U28" zoomScale="80" zoomScaleNormal="80" workbookViewId="0">
      <selection activeCell="AB31" sqref="AB31"/>
    </sheetView>
  </sheetViews>
  <sheetFormatPr baseColWidth="10" defaultRowHeight="12"/>
  <cols>
    <col min="1" max="1" width="8.33203125" style="60" customWidth="1"/>
    <col min="2" max="2" width="38.6640625" style="60" customWidth="1"/>
    <col min="3" max="3" width="16.109375" style="60" customWidth="1"/>
    <col min="4" max="4" width="26.44140625" style="60" customWidth="1"/>
    <col min="5" max="5" width="19.5546875" style="60" customWidth="1"/>
    <col min="6" max="6" width="37.77734375" style="60" customWidth="1"/>
    <col min="7" max="7" width="48.21875" style="60" customWidth="1"/>
    <col min="8" max="8" width="17.109375" style="60" customWidth="1"/>
    <col min="9" max="9" width="18.6640625" style="60" customWidth="1"/>
    <col min="10" max="10" width="17" style="60" hidden="1" customWidth="1"/>
    <col min="11" max="14" width="11.5546875" style="60" hidden="1" customWidth="1"/>
    <col min="15" max="15" width="34.33203125" style="60" bestFit="1" customWidth="1"/>
    <col min="16" max="16" width="30" style="60" bestFit="1" customWidth="1"/>
    <col min="17" max="17" width="36.44140625" style="60" customWidth="1"/>
    <col min="18" max="20" width="11.5546875" style="60" hidden="1" customWidth="1"/>
    <col min="21" max="21" width="47.109375" style="60" customWidth="1"/>
    <col min="22" max="22" width="19.21875" style="144" customWidth="1"/>
    <col min="23" max="23" width="26.21875" style="144" customWidth="1"/>
    <col min="24" max="24" width="20.109375" style="60" customWidth="1"/>
    <col min="25" max="25" width="20.33203125" style="60" customWidth="1"/>
    <col min="26" max="26" width="39.109375" style="136" customWidth="1"/>
    <col min="27" max="27" width="16.77734375" style="60" customWidth="1"/>
    <col min="28" max="28" width="38.5546875" style="60" bestFit="1" customWidth="1"/>
    <col min="29" max="29" width="17.109375" style="60" bestFit="1" customWidth="1"/>
    <col min="30" max="32" width="14.33203125" style="69" bestFit="1" customWidth="1"/>
    <col min="33" max="33" width="13.33203125" style="60" bestFit="1" customWidth="1"/>
    <col min="34" max="34" width="42.77734375" style="95" bestFit="1" customWidth="1"/>
    <col min="35" max="35" width="26.109375" style="60" bestFit="1" customWidth="1"/>
    <col min="36" max="36" width="40.5546875" style="60" customWidth="1"/>
    <col min="37" max="16384" width="11.5546875" style="60"/>
  </cols>
  <sheetData>
    <row r="1" spans="1:36" ht="34.200000000000003">
      <c r="A1" s="54" t="s">
        <v>0</v>
      </c>
      <c r="B1" s="55" t="s">
        <v>1</v>
      </c>
      <c r="C1" s="55" t="s">
        <v>2</v>
      </c>
      <c r="D1" s="55" t="s">
        <v>3</v>
      </c>
      <c r="E1" s="55" t="s">
        <v>4</v>
      </c>
      <c r="F1" s="56" t="s">
        <v>5</v>
      </c>
      <c r="G1" s="56" t="s">
        <v>6</v>
      </c>
      <c r="H1" s="56" t="s">
        <v>7</v>
      </c>
      <c r="I1" s="57" t="s">
        <v>8</v>
      </c>
      <c r="J1" s="57" t="s">
        <v>9</v>
      </c>
      <c r="K1" s="54" t="s">
        <v>650</v>
      </c>
      <c r="L1" s="55" t="s">
        <v>10</v>
      </c>
      <c r="M1" s="55" t="s">
        <v>11</v>
      </c>
      <c r="N1" s="55" t="s">
        <v>12</v>
      </c>
      <c r="O1" s="56" t="s">
        <v>13</v>
      </c>
      <c r="P1" s="55" t="s">
        <v>14</v>
      </c>
      <c r="Q1" s="56" t="s">
        <v>15</v>
      </c>
      <c r="R1" s="55" t="s">
        <v>16</v>
      </c>
      <c r="S1" s="55" t="s">
        <v>17</v>
      </c>
      <c r="T1" s="55" t="s">
        <v>18</v>
      </c>
      <c r="U1" s="56" t="s">
        <v>19</v>
      </c>
      <c r="V1" s="55" t="s">
        <v>20</v>
      </c>
      <c r="W1" s="55" t="s">
        <v>21</v>
      </c>
      <c r="X1" s="55" t="s">
        <v>22</v>
      </c>
      <c r="Y1" s="57" t="s">
        <v>23</v>
      </c>
      <c r="Z1" s="131" t="s">
        <v>24</v>
      </c>
      <c r="AA1" s="58" t="s">
        <v>25</v>
      </c>
      <c r="AB1" s="58" t="s">
        <v>26</v>
      </c>
      <c r="AC1" s="59" t="s">
        <v>636</v>
      </c>
      <c r="AD1" s="59" t="s">
        <v>633</v>
      </c>
      <c r="AE1" s="59" t="s">
        <v>634</v>
      </c>
      <c r="AF1" s="59" t="s">
        <v>635</v>
      </c>
      <c r="AG1" s="59" t="s">
        <v>651</v>
      </c>
      <c r="AH1" s="59" t="s">
        <v>653</v>
      </c>
      <c r="AI1" s="59" t="s">
        <v>671</v>
      </c>
      <c r="AJ1" s="59" t="s">
        <v>747</v>
      </c>
    </row>
    <row r="2" spans="1:36" ht="79.8">
      <c r="A2" s="61">
        <v>117</v>
      </c>
      <c r="B2" s="62" t="s">
        <v>27</v>
      </c>
      <c r="C2" s="62" t="s">
        <v>28</v>
      </c>
      <c r="D2" s="62" t="s">
        <v>29</v>
      </c>
      <c r="E2" s="62" t="s">
        <v>30</v>
      </c>
      <c r="F2" s="62">
        <v>2025</v>
      </c>
      <c r="G2" s="62">
        <v>90</v>
      </c>
      <c r="H2" s="62" t="s">
        <v>31</v>
      </c>
      <c r="I2" s="62">
        <v>1</v>
      </c>
      <c r="J2" s="63" t="s">
        <v>32</v>
      </c>
      <c r="K2" s="64"/>
      <c r="L2" s="62" t="s">
        <v>33</v>
      </c>
      <c r="M2" s="65"/>
      <c r="N2" s="65"/>
      <c r="O2" s="62" t="s">
        <v>34</v>
      </c>
      <c r="P2" s="62" t="s">
        <v>35</v>
      </c>
      <c r="Q2" s="62" t="s">
        <v>36</v>
      </c>
      <c r="R2" s="62" t="s">
        <v>37</v>
      </c>
      <c r="S2" s="62" t="s">
        <v>38</v>
      </c>
      <c r="T2" s="62">
        <v>100</v>
      </c>
      <c r="U2" s="62" t="s">
        <v>693</v>
      </c>
      <c r="V2" s="140" t="s">
        <v>39</v>
      </c>
      <c r="W2" s="140" t="s">
        <v>40</v>
      </c>
      <c r="X2" s="62" t="s">
        <v>41</v>
      </c>
      <c r="Y2" s="62" t="s">
        <v>42</v>
      </c>
      <c r="Z2" s="101"/>
      <c r="AA2" s="130" t="s">
        <v>177</v>
      </c>
      <c r="AB2" s="99" t="s">
        <v>44</v>
      </c>
      <c r="AC2" s="68" t="str">
        <f t="shared" ref="AC2:AC33" ca="1" si="0">IF(AA2="Abierta", DATE(LEFT(W2,4), MID(W2,6,2), RIGHT(W2,2)) - TODAY(), "")</f>
        <v/>
      </c>
      <c r="AD2" s="69">
        <f t="shared" ref="AD2:AD33" ca="1" si="1">IF(AND($AA2="Abierta", $AC2&lt;=10, $AC2&gt;0), 1, 0)</f>
        <v>0</v>
      </c>
      <c r="AE2" s="69">
        <f t="shared" ref="AE2:AE33" ca="1" si="2">IF(AND($AA2="Abierta", $AC2&lt;=20, $AC2&gt;10), 1, 0)</f>
        <v>0</v>
      </c>
      <c r="AF2" s="69">
        <f t="shared" ref="AF2:AF65" ca="1" si="3">IF(AND($AA2="Abierta", $AC2&lt;=30, $AC2&gt;20), 1, 0)</f>
        <v>0</v>
      </c>
      <c r="AG2" s="69">
        <f t="shared" ref="AG2:AG65" ca="1" si="4">IF(AND($AA2="Abierta", $AC2&lt;=5, $AC2&gt;0), 1, 0)</f>
        <v>0</v>
      </c>
      <c r="AH2" s="96" t="s">
        <v>656</v>
      </c>
      <c r="AI2" s="69"/>
      <c r="AJ2" s="100"/>
    </row>
    <row r="3" spans="1:36" ht="125.4">
      <c r="A3" s="61">
        <v>118</v>
      </c>
      <c r="B3" s="62" t="s">
        <v>27</v>
      </c>
      <c r="C3" s="62" t="s">
        <v>28</v>
      </c>
      <c r="D3" s="62" t="s">
        <v>29</v>
      </c>
      <c r="E3" s="62">
        <v>311</v>
      </c>
      <c r="F3" s="62">
        <v>2025</v>
      </c>
      <c r="G3" s="62">
        <v>90</v>
      </c>
      <c r="H3" s="62" t="s">
        <v>31</v>
      </c>
      <c r="I3" s="62">
        <v>2</v>
      </c>
      <c r="J3" s="63" t="s">
        <v>32</v>
      </c>
      <c r="K3" s="64"/>
      <c r="L3" s="62" t="s">
        <v>33</v>
      </c>
      <c r="M3" s="62"/>
      <c r="N3" s="62"/>
      <c r="O3" s="62" t="s">
        <v>34</v>
      </c>
      <c r="P3" s="62" t="s">
        <v>35</v>
      </c>
      <c r="Q3" s="62" t="s">
        <v>45</v>
      </c>
      <c r="R3" s="62" t="s">
        <v>46</v>
      </c>
      <c r="S3" s="62" t="s">
        <v>47</v>
      </c>
      <c r="T3" s="62">
        <v>100</v>
      </c>
      <c r="U3" s="62" t="s">
        <v>674</v>
      </c>
      <c r="V3" s="140" t="s">
        <v>39</v>
      </c>
      <c r="W3" s="140" t="s">
        <v>48</v>
      </c>
      <c r="X3" s="62" t="s">
        <v>41</v>
      </c>
      <c r="Y3" s="62" t="s">
        <v>42</v>
      </c>
      <c r="Z3" s="128" t="s">
        <v>737</v>
      </c>
      <c r="AA3" s="137" t="s">
        <v>57</v>
      </c>
      <c r="AB3" s="67" t="s">
        <v>49</v>
      </c>
      <c r="AC3" s="68" t="str">
        <f t="shared" ca="1" si="0"/>
        <v/>
      </c>
      <c r="AD3" s="69">
        <f t="shared" ca="1" si="1"/>
        <v>0</v>
      </c>
      <c r="AE3" s="69">
        <f t="shared" ca="1" si="2"/>
        <v>0</v>
      </c>
      <c r="AF3" s="69">
        <f t="shared" ca="1" si="3"/>
        <v>0</v>
      </c>
      <c r="AG3" s="69">
        <f t="shared" ca="1" si="4"/>
        <v>0</v>
      </c>
      <c r="AH3" s="96" t="s">
        <v>654</v>
      </c>
      <c r="AI3" s="69"/>
      <c r="AJ3" s="100">
        <v>46178</v>
      </c>
    </row>
    <row r="4" spans="1:36" ht="125.4">
      <c r="A4" s="61">
        <v>123</v>
      </c>
      <c r="B4" s="62" t="s">
        <v>27</v>
      </c>
      <c r="C4" s="62" t="s">
        <v>28</v>
      </c>
      <c r="D4" s="62" t="s">
        <v>29</v>
      </c>
      <c r="E4" s="62" t="s">
        <v>30</v>
      </c>
      <c r="F4" s="62">
        <v>2025</v>
      </c>
      <c r="G4" s="62">
        <v>90</v>
      </c>
      <c r="H4" s="62" t="s">
        <v>50</v>
      </c>
      <c r="I4" s="62">
        <v>1</v>
      </c>
      <c r="J4" s="63" t="s">
        <v>32</v>
      </c>
      <c r="K4" s="64"/>
      <c r="L4" s="62" t="s">
        <v>33</v>
      </c>
      <c r="M4" s="62"/>
      <c r="N4" s="62"/>
      <c r="O4" s="62" t="s">
        <v>51</v>
      </c>
      <c r="P4" s="62" t="s">
        <v>52</v>
      </c>
      <c r="Q4" s="62" t="s">
        <v>53</v>
      </c>
      <c r="R4" s="62" t="s">
        <v>54</v>
      </c>
      <c r="S4" s="62" t="s">
        <v>55</v>
      </c>
      <c r="T4" s="62">
        <v>100</v>
      </c>
      <c r="U4" s="62" t="s">
        <v>675</v>
      </c>
      <c r="V4" s="140" t="s">
        <v>39</v>
      </c>
      <c r="W4" s="141">
        <v>45991</v>
      </c>
      <c r="X4" s="62" t="s">
        <v>41</v>
      </c>
      <c r="Y4" s="62" t="s">
        <v>42</v>
      </c>
      <c r="Z4" s="132" t="s">
        <v>56</v>
      </c>
      <c r="AA4" s="66" t="s">
        <v>57</v>
      </c>
      <c r="AB4" s="67" t="s">
        <v>58</v>
      </c>
      <c r="AC4" s="68" t="str">
        <f t="shared" ca="1" si="0"/>
        <v/>
      </c>
      <c r="AD4" s="69">
        <f t="shared" ca="1" si="1"/>
        <v>0</v>
      </c>
      <c r="AE4" s="69">
        <f t="shared" ca="1" si="2"/>
        <v>0</v>
      </c>
      <c r="AF4" s="69">
        <f t="shared" ca="1" si="3"/>
        <v>0</v>
      </c>
      <c r="AG4" s="69">
        <f t="shared" ca="1" si="4"/>
        <v>0</v>
      </c>
      <c r="AH4" s="93" t="s">
        <v>655</v>
      </c>
      <c r="AI4" s="69"/>
      <c r="AJ4" s="69"/>
    </row>
    <row r="5" spans="1:36" ht="125.4">
      <c r="A5" s="61">
        <v>124</v>
      </c>
      <c r="B5" s="62" t="s">
        <v>27</v>
      </c>
      <c r="C5" s="62" t="s">
        <v>28</v>
      </c>
      <c r="D5" s="62" t="s">
        <v>29</v>
      </c>
      <c r="E5" s="62" t="s">
        <v>30</v>
      </c>
      <c r="F5" s="62">
        <v>2025</v>
      </c>
      <c r="G5" s="62">
        <v>90</v>
      </c>
      <c r="H5" s="62" t="s">
        <v>50</v>
      </c>
      <c r="I5" s="62">
        <v>2</v>
      </c>
      <c r="J5" s="63" t="s">
        <v>32</v>
      </c>
      <c r="K5" s="64"/>
      <c r="L5" s="62" t="s">
        <v>33</v>
      </c>
      <c r="M5" s="62"/>
      <c r="N5" s="62"/>
      <c r="O5" s="62" t="s">
        <v>51</v>
      </c>
      <c r="P5" s="62" t="s">
        <v>52</v>
      </c>
      <c r="Q5" s="62" t="s">
        <v>59</v>
      </c>
      <c r="R5" s="62" t="s">
        <v>60</v>
      </c>
      <c r="S5" s="62" t="s">
        <v>61</v>
      </c>
      <c r="T5" s="62">
        <v>100</v>
      </c>
      <c r="U5" s="62" t="s">
        <v>675</v>
      </c>
      <c r="V5" s="140" t="s">
        <v>39</v>
      </c>
      <c r="W5" s="140" t="s">
        <v>62</v>
      </c>
      <c r="X5" s="62" t="s">
        <v>41</v>
      </c>
      <c r="Y5" s="62" t="s">
        <v>42</v>
      </c>
      <c r="Z5" s="132" t="s">
        <v>63</v>
      </c>
      <c r="AA5" s="66" t="s">
        <v>57</v>
      </c>
      <c r="AB5" s="67" t="s">
        <v>64</v>
      </c>
      <c r="AC5" s="68" t="str">
        <f t="shared" ca="1" si="0"/>
        <v/>
      </c>
      <c r="AD5" s="69">
        <f t="shared" ca="1" si="1"/>
        <v>0</v>
      </c>
      <c r="AE5" s="69">
        <f t="shared" ca="1" si="2"/>
        <v>0</v>
      </c>
      <c r="AF5" s="69">
        <f t="shared" ca="1" si="3"/>
        <v>0</v>
      </c>
      <c r="AG5" s="69">
        <f t="shared" ca="1" si="4"/>
        <v>0</v>
      </c>
      <c r="AH5" s="94"/>
      <c r="AI5" s="69"/>
      <c r="AJ5" s="69"/>
    </row>
    <row r="6" spans="1:36" ht="136.80000000000001">
      <c r="A6" s="61">
        <v>189</v>
      </c>
      <c r="B6" s="62" t="s">
        <v>27</v>
      </c>
      <c r="C6" s="62" t="s">
        <v>28</v>
      </c>
      <c r="D6" s="62" t="s">
        <v>29</v>
      </c>
      <c r="E6" s="62" t="s">
        <v>30</v>
      </c>
      <c r="F6" s="62">
        <v>2025</v>
      </c>
      <c r="G6" s="62">
        <v>90</v>
      </c>
      <c r="H6" s="62" t="s">
        <v>65</v>
      </c>
      <c r="I6" s="62">
        <v>1</v>
      </c>
      <c r="J6" s="63" t="s">
        <v>32</v>
      </c>
      <c r="K6" s="64"/>
      <c r="L6" s="62" t="s">
        <v>33</v>
      </c>
      <c r="M6" s="62"/>
      <c r="N6" s="62"/>
      <c r="O6" s="62" t="s">
        <v>66</v>
      </c>
      <c r="P6" s="62" t="s">
        <v>67</v>
      </c>
      <c r="Q6" s="62" t="s">
        <v>68</v>
      </c>
      <c r="R6" s="62" t="s">
        <v>69</v>
      </c>
      <c r="S6" s="62" t="s">
        <v>70</v>
      </c>
      <c r="T6" s="62">
        <v>100</v>
      </c>
      <c r="U6" s="62" t="s">
        <v>676</v>
      </c>
      <c r="V6" s="140" t="s">
        <v>39</v>
      </c>
      <c r="W6" s="140" t="s">
        <v>71</v>
      </c>
      <c r="X6" s="62" t="s">
        <v>41</v>
      </c>
      <c r="Y6" s="62" t="s">
        <v>42</v>
      </c>
      <c r="Z6" s="132" t="s">
        <v>740</v>
      </c>
      <c r="AA6" s="66" t="s">
        <v>57</v>
      </c>
      <c r="AB6" s="99" t="s">
        <v>72</v>
      </c>
      <c r="AC6" s="68" t="str">
        <f t="shared" ca="1" si="0"/>
        <v/>
      </c>
      <c r="AD6" s="69">
        <f t="shared" ca="1" si="1"/>
        <v>0</v>
      </c>
      <c r="AE6" s="69">
        <f t="shared" ca="1" si="2"/>
        <v>0</v>
      </c>
      <c r="AF6" s="69">
        <f t="shared" ca="1" si="3"/>
        <v>0</v>
      </c>
      <c r="AG6" s="69">
        <f t="shared" ca="1" si="4"/>
        <v>0</v>
      </c>
      <c r="AH6" s="96" t="s">
        <v>658</v>
      </c>
      <c r="AI6" s="69"/>
      <c r="AJ6" s="100">
        <v>46172</v>
      </c>
    </row>
    <row r="7" spans="1:36" ht="136.80000000000001">
      <c r="A7" s="61">
        <v>190</v>
      </c>
      <c r="B7" s="62" t="s">
        <v>27</v>
      </c>
      <c r="C7" s="62" t="s">
        <v>28</v>
      </c>
      <c r="D7" s="62" t="s">
        <v>29</v>
      </c>
      <c r="E7" s="62" t="s">
        <v>30</v>
      </c>
      <c r="F7" s="62">
        <v>2025</v>
      </c>
      <c r="G7" s="62">
        <v>90</v>
      </c>
      <c r="H7" s="62" t="s">
        <v>65</v>
      </c>
      <c r="I7" s="62">
        <v>2</v>
      </c>
      <c r="J7" s="63" t="s">
        <v>32</v>
      </c>
      <c r="K7" s="64"/>
      <c r="L7" s="62" t="s">
        <v>33</v>
      </c>
      <c r="M7" s="62"/>
      <c r="N7" s="62"/>
      <c r="O7" s="62" t="s">
        <v>66</v>
      </c>
      <c r="P7" s="62" t="s">
        <v>67</v>
      </c>
      <c r="Q7" s="62" t="s">
        <v>73</v>
      </c>
      <c r="R7" s="62" t="s">
        <v>74</v>
      </c>
      <c r="S7" s="62" t="s">
        <v>75</v>
      </c>
      <c r="T7" s="62">
        <v>100</v>
      </c>
      <c r="U7" s="62" t="s">
        <v>676</v>
      </c>
      <c r="V7" s="140" t="s">
        <v>39</v>
      </c>
      <c r="W7" s="140" t="s">
        <v>62</v>
      </c>
      <c r="X7" s="62" t="s">
        <v>41</v>
      </c>
      <c r="Y7" s="62" t="s">
        <v>42</v>
      </c>
      <c r="Z7" s="132" t="s">
        <v>76</v>
      </c>
      <c r="AA7" s="66" t="s">
        <v>57</v>
      </c>
      <c r="AB7" s="67" t="s">
        <v>72</v>
      </c>
      <c r="AC7" s="68" t="str">
        <f t="shared" ca="1" si="0"/>
        <v/>
      </c>
      <c r="AD7" s="69">
        <f t="shared" ca="1" si="1"/>
        <v>0</v>
      </c>
      <c r="AE7" s="69">
        <f t="shared" ca="1" si="2"/>
        <v>0</v>
      </c>
      <c r="AF7" s="69">
        <f t="shared" ca="1" si="3"/>
        <v>0</v>
      </c>
      <c r="AG7" s="69">
        <f t="shared" ca="1" si="4"/>
        <v>0</v>
      </c>
      <c r="AH7" s="93" t="s">
        <v>658</v>
      </c>
      <c r="AI7" s="69"/>
      <c r="AJ7" s="69"/>
    </row>
    <row r="8" spans="1:36" ht="136.80000000000001">
      <c r="A8" s="61">
        <v>191</v>
      </c>
      <c r="B8" s="62" t="s">
        <v>27</v>
      </c>
      <c r="C8" s="62" t="s">
        <v>28</v>
      </c>
      <c r="D8" s="62" t="s">
        <v>29</v>
      </c>
      <c r="E8" s="62" t="s">
        <v>30</v>
      </c>
      <c r="F8" s="62">
        <v>2025</v>
      </c>
      <c r="G8" s="62">
        <v>90</v>
      </c>
      <c r="H8" s="62" t="s">
        <v>65</v>
      </c>
      <c r="I8" s="62">
        <v>3</v>
      </c>
      <c r="J8" s="63" t="s">
        <v>32</v>
      </c>
      <c r="K8" s="64"/>
      <c r="L8" s="62" t="s">
        <v>33</v>
      </c>
      <c r="M8" s="62"/>
      <c r="N8" s="62"/>
      <c r="O8" s="62" t="s">
        <v>66</v>
      </c>
      <c r="P8" s="62" t="s">
        <v>67</v>
      </c>
      <c r="Q8" s="62" t="s">
        <v>77</v>
      </c>
      <c r="R8" s="62" t="s">
        <v>78</v>
      </c>
      <c r="S8" s="62" t="s">
        <v>79</v>
      </c>
      <c r="T8" s="62">
        <v>100</v>
      </c>
      <c r="U8" s="62" t="s">
        <v>676</v>
      </c>
      <c r="V8" s="140" t="s">
        <v>39</v>
      </c>
      <c r="W8" s="140" t="s">
        <v>80</v>
      </c>
      <c r="X8" s="62" t="s">
        <v>41</v>
      </c>
      <c r="Y8" s="62" t="s">
        <v>42</v>
      </c>
      <c r="Z8" s="132" t="s">
        <v>81</v>
      </c>
      <c r="AA8" s="66" t="s">
        <v>57</v>
      </c>
      <c r="AB8" s="67" t="s">
        <v>82</v>
      </c>
      <c r="AC8" s="68" t="str">
        <f t="shared" ca="1" si="0"/>
        <v/>
      </c>
      <c r="AD8" s="69">
        <f t="shared" ca="1" si="1"/>
        <v>0</v>
      </c>
      <c r="AE8" s="69">
        <f t="shared" ca="1" si="2"/>
        <v>0</v>
      </c>
      <c r="AF8" s="69">
        <f t="shared" ca="1" si="3"/>
        <v>0</v>
      </c>
      <c r="AG8" s="69">
        <f t="shared" ca="1" si="4"/>
        <v>0</v>
      </c>
      <c r="AH8" s="93" t="s">
        <v>658</v>
      </c>
      <c r="AI8" s="69"/>
      <c r="AJ8" s="69"/>
    </row>
    <row r="9" spans="1:36" ht="136.80000000000001">
      <c r="A9" s="61">
        <v>193</v>
      </c>
      <c r="B9" s="62" t="s">
        <v>27</v>
      </c>
      <c r="C9" s="62" t="s">
        <v>28</v>
      </c>
      <c r="D9" s="62" t="s">
        <v>29</v>
      </c>
      <c r="E9" s="62" t="s">
        <v>30</v>
      </c>
      <c r="F9" s="62">
        <v>2025</v>
      </c>
      <c r="G9" s="62">
        <v>90</v>
      </c>
      <c r="H9" s="62" t="s">
        <v>83</v>
      </c>
      <c r="I9" s="62">
        <v>1</v>
      </c>
      <c r="J9" s="63" t="s">
        <v>32</v>
      </c>
      <c r="K9" s="64"/>
      <c r="L9" s="62" t="s">
        <v>33</v>
      </c>
      <c r="M9" s="62"/>
      <c r="N9" s="62"/>
      <c r="O9" s="62" t="s">
        <v>84</v>
      </c>
      <c r="P9" s="62" t="s">
        <v>85</v>
      </c>
      <c r="Q9" s="62" t="s">
        <v>86</v>
      </c>
      <c r="R9" s="62" t="s">
        <v>87</v>
      </c>
      <c r="S9" s="62" t="s">
        <v>88</v>
      </c>
      <c r="T9" s="62">
        <v>100</v>
      </c>
      <c r="U9" s="62" t="s">
        <v>694</v>
      </c>
      <c r="V9" s="140" t="s">
        <v>39</v>
      </c>
      <c r="W9" s="140" t="s">
        <v>89</v>
      </c>
      <c r="X9" s="62" t="s">
        <v>41</v>
      </c>
      <c r="Y9" s="62" t="s">
        <v>42</v>
      </c>
      <c r="Z9" s="132"/>
      <c r="AA9" s="66" t="s">
        <v>43</v>
      </c>
      <c r="AB9" s="99" t="s">
        <v>90</v>
      </c>
      <c r="AC9" s="68">
        <f t="shared" ca="1" si="0"/>
        <v>45</v>
      </c>
      <c r="AD9" s="69">
        <f t="shared" ca="1" si="1"/>
        <v>0</v>
      </c>
      <c r="AE9" s="69">
        <f t="shared" ca="1" si="2"/>
        <v>0</v>
      </c>
      <c r="AF9" s="69">
        <f t="shared" ca="1" si="3"/>
        <v>0</v>
      </c>
      <c r="AG9" s="69">
        <f t="shared" ca="1" si="4"/>
        <v>0</v>
      </c>
      <c r="AH9" s="96" t="s">
        <v>661</v>
      </c>
      <c r="AI9" s="69"/>
      <c r="AJ9" s="69"/>
    </row>
    <row r="10" spans="1:36" ht="171">
      <c r="A10" s="61">
        <v>196</v>
      </c>
      <c r="B10" s="62" t="s">
        <v>27</v>
      </c>
      <c r="C10" s="62" t="s">
        <v>28</v>
      </c>
      <c r="D10" s="62" t="s">
        <v>29</v>
      </c>
      <c r="E10" s="62" t="s">
        <v>30</v>
      </c>
      <c r="F10" s="62">
        <v>2025</v>
      </c>
      <c r="G10" s="62">
        <v>90</v>
      </c>
      <c r="H10" s="62" t="s">
        <v>91</v>
      </c>
      <c r="I10" s="62">
        <v>1</v>
      </c>
      <c r="J10" s="63" t="s">
        <v>32</v>
      </c>
      <c r="K10" s="64"/>
      <c r="L10" s="62" t="s">
        <v>33</v>
      </c>
      <c r="M10" s="62"/>
      <c r="N10" s="62"/>
      <c r="O10" s="62" t="s">
        <v>92</v>
      </c>
      <c r="P10" s="62" t="s">
        <v>93</v>
      </c>
      <c r="Q10" s="62" t="s">
        <v>94</v>
      </c>
      <c r="R10" s="62" t="s">
        <v>95</v>
      </c>
      <c r="S10" s="62" t="s">
        <v>96</v>
      </c>
      <c r="T10" s="62">
        <v>100</v>
      </c>
      <c r="U10" s="62" t="s">
        <v>675</v>
      </c>
      <c r="V10" s="140" t="s">
        <v>39</v>
      </c>
      <c r="W10" s="140" t="s">
        <v>89</v>
      </c>
      <c r="X10" s="62" t="s">
        <v>41</v>
      </c>
      <c r="Y10" s="62" t="s">
        <v>42</v>
      </c>
      <c r="Z10" s="132"/>
      <c r="AA10" s="66" t="s">
        <v>43</v>
      </c>
      <c r="AB10" s="99" t="s">
        <v>97</v>
      </c>
      <c r="AC10" s="68">
        <f t="shared" ca="1" si="0"/>
        <v>45</v>
      </c>
      <c r="AD10" s="69">
        <f t="shared" ca="1" si="1"/>
        <v>0</v>
      </c>
      <c r="AE10" s="69">
        <f t="shared" ca="1" si="2"/>
        <v>0</v>
      </c>
      <c r="AF10" s="69">
        <f t="shared" ca="1" si="3"/>
        <v>0</v>
      </c>
      <c r="AG10" s="69">
        <f t="shared" ca="1" si="4"/>
        <v>0</v>
      </c>
      <c r="AH10" s="96" t="s">
        <v>660</v>
      </c>
      <c r="AI10" s="69"/>
      <c r="AJ10" s="69"/>
    </row>
    <row r="11" spans="1:36" ht="171">
      <c r="A11" s="61">
        <v>197</v>
      </c>
      <c r="B11" s="62" t="s">
        <v>27</v>
      </c>
      <c r="C11" s="62" t="s">
        <v>28</v>
      </c>
      <c r="D11" s="62" t="s">
        <v>29</v>
      </c>
      <c r="E11" s="62" t="s">
        <v>30</v>
      </c>
      <c r="F11" s="62">
        <v>2025</v>
      </c>
      <c r="G11" s="62">
        <v>90</v>
      </c>
      <c r="H11" s="62" t="s">
        <v>91</v>
      </c>
      <c r="I11" s="62">
        <v>2</v>
      </c>
      <c r="J11" s="63" t="s">
        <v>32</v>
      </c>
      <c r="K11" s="64"/>
      <c r="L11" s="62" t="s">
        <v>33</v>
      </c>
      <c r="M11" s="62"/>
      <c r="N11" s="62"/>
      <c r="O11" s="62" t="s">
        <v>92</v>
      </c>
      <c r="P11" s="62" t="s">
        <v>93</v>
      </c>
      <c r="Q11" s="98" t="s">
        <v>98</v>
      </c>
      <c r="R11" s="62" t="s">
        <v>99</v>
      </c>
      <c r="S11" s="62" t="s">
        <v>100</v>
      </c>
      <c r="T11" s="62">
        <v>100</v>
      </c>
      <c r="U11" s="62" t="s">
        <v>674</v>
      </c>
      <c r="V11" s="140" t="s">
        <v>39</v>
      </c>
      <c r="W11" s="140" t="s">
        <v>89</v>
      </c>
      <c r="X11" s="62" t="s">
        <v>41</v>
      </c>
      <c r="Y11" s="62" t="s">
        <v>42</v>
      </c>
      <c r="Z11" s="132"/>
      <c r="AA11" s="66" t="s">
        <v>43</v>
      </c>
      <c r="AB11" s="99" t="s">
        <v>101</v>
      </c>
      <c r="AC11" s="68">
        <f t="shared" ca="1" si="0"/>
        <v>45</v>
      </c>
      <c r="AD11" s="69">
        <f t="shared" ca="1" si="1"/>
        <v>0</v>
      </c>
      <c r="AE11" s="69">
        <f t="shared" ca="1" si="2"/>
        <v>0</v>
      </c>
      <c r="AF11" s="69">
        <f t="shared" ca="1" si="3"/>
        <v>0</v>
      </c>
      <c r="AG11" s="69">
        <f t="shared" ca="1" si="4"/>
        <v>0</v>
      </c>
      <c r="AH11" s="96" t="s">
        <v>654</v>
      </c>
      <c r="AI11" s="69"/>
      <c r="AJ11" s="69"/>
    </row>
    <row r="12" spans="1:36" ht="171">
      <c r="A12" s="61">
        <v>198</v>
      </c>
      <c r="B12" s="62" t="s">
        <v>27</v>
      </c>
      <c r="C12" s="62" t="s">
        <v>28</v>
      </c>
      <c r="D12" s="62" t="s">
        <v>29</v>
      </c>
      <c r="E12" s="62" t="s">
        <v>30</v>
      </c>
      <c r="F12" s="62">
        <v>2025</v>
      </c>
      <c r="G12" s="62">
        <v>90</v>
      </c>
      <c r="H12" s="62" t="s">
        <v>91</v>
      </c>
      <c r="I12" s="62">
        <v>3</v>
      </c>
      <c r="J12" s="63" t="s">
        <v>32</v>
      </c>
      <c r="K12" s="64"/>
      <c r="L12" s="62" t="s">
        <v>33</v>
      </c>
      <c r="M12" s="62"/>
      <c r="N12" s="62"/>
      <c r="O12" s="62" t="s">
        <v>92</v>
      </c>
      <c r="P12" s="62" t="s">
        <v>93</v>
      </c>
      <c r="Q12" s="62" t="s">
        <v>102</v>
      </c>
      <c r="R12" s="62" t="s">
        <v>103</v>
      </c>
      <c r="S12" s="62" t="s">
        <v>104</v>
      </c>
      <c r="T12" s="62">
        <v>100</v>
      </c>
      <c r="U12" s="62" t="s">
        <v>677</v>
      </c>
      <c r="V12" s="140" t="s">
        <v>39</v>
      </c>
      <c r="W12" s="140" t="s">
        <v>89</v>
      </c>
      <c r="X12" s="62" t="s">
        <v>41</v>
      </c>
      <c r="Y12" s="62" t="s">
        <v>42</v>
      </c>
      <c r="Z12" s="132"/>
      <c r="AA12" s="66" t="s">
        <v>43</v>
      </c>
      <c r="AB12" s="99" t="s">
        <v>105</v>
      </c>
      <c r="AC12" s="68">
        <f t="shared" ca="1" si="0"/>
        <v>45</v>
      </c>
      <c r="AD12" s="69">
        <f t="shared" ca="1" si="1"/>
        <v>0</v>
      </c>
      <c r="AE12" s="69">
        <f t="shared" ca="1" si="2"/>
        <v>0</v>
      </c>
      <c r="AF12" s="69">
        <f t="shared" ca="1" si="3"/>
        <v>0</v>
      </c>
      <c r="AG12" s="69">
        <f t="shared" ca="1" si="4"/>
        <v>0</v>
      </c>
      <c r="AH12" s="96" t="s">
        <v>668</v>
      </c>
      <c r="AI12" s="69"/>
      <c r="AJ12" s="69"/>
    </row>
    <row r="13" spans="1:36" ht="91.2">
      <c r="A13" s="61">
        <v>199</v>
      </c>
      <c r="B13" s="62" t="s">
        <v>27</v>
      </c>
      <c r="C13" s="62" t="s">
        <v>28</v>
      </c>
      <c r="D13" s="62" t="s">
        <v>29</v>
      </c>
      <c r="E13" s="62" t="s">
        <v>30</v>
      </c>
      <c r="F13" s="62">
        <v>2025</v>
      </c>
      <c r="G13" s="62">
        <v>90</v>
      </c>
      <c r="H13" s="62" t="s">
        <v>106</v>
      </c>
      <c r="I13" s="62">
        <v>1</v>
      </c>
      <c r="J13" s="63" t="s">
        <v>32</v>
      </c>
      <c r="K13" s="64"/>
      <c r="L13" s="62" t="s">
        <v>33</v>
      </c>
      <c r="M13" s="62"/>
      <c r="N13" s="62"/>
      <c r="O13" s="62" t="s">
        <v>107</v>
      </c>
      <c r="P13" s="62" t="s">
        <v>108</v>
      </c>
      <c r="Q13" s="62" t="s">
        <v>109</v>
      </c>
      <c r="R13" s="62" t="s">
        <v>110</v>
      </c>
      <c r="S13" s="62" t="s">
        <v>111</v>
      </c>
      <c r="T13" s="62">
        <v>100</v>
      </c>
      <c r="U13" s="62" t="s">
        <v>675</v>
      </c>
      <c r="V13" s="140" t="s">
        <v>39</v>
      </c>
      <c r="W13" s="140" t="s">
        <v>112</v>
      </c>
      <c r="X13" s="62" t="s">
        <v>41</v>
      </c>
      <c r="Y13" s="62" t="s">
        <v>42</v>
      </c>
      <c r="Z13" s="132" t="s">
        <v>670</v>
      </c>
      <c r="AA13" s="66" t="s">
        <v>57</v>
      </c>
      <c r="AB13" s="99" t="s">
        <v>113</v>
      </c>
      <c r="AC13" s="68" t="str">
        <f t="shared" ca="1" si="0"/>
        <v/>
      </c>
      <c r="AD13" s="69">
        <f t="shared" ca="1" si="1"/>
        <v>0</v>
      </c>
      <c r="AE13" s="69">
        <f t="shared" ca="1" si="2"/>
        <v>0</v>
      </c>
      <c r="AF13" s="69">
        <f t="shared" ca="1" si="3"/>
        <v>0</v>
      </c>
      <c r="AG13" s="69">
        <f t="shared" ca="1" si="4"/>
        <v>0</v>
      </c>
      <c r="AH13" s="96" t="s">
        <v>660</v>
      </c>
      <c r="AI13" s="100">
        <v>46100</v>
      </c>
      <c r="AJ13" s="179">
        <v>46068</v>
      </c>
    </row>
    <row r="14" spans="1:36" ht="125.4">
      <c r="A14" s="61">
        <v>200</v>
      </c>
      <c r="B14" s="62" t="s">
        <v>27</v>
      </c>
      <c r="C14" s="62" t="s">
        <v>28</v>
      </c>
      <c r="D14" s="62" t="s">
        <v>29</v>
      </c>
      <c r="E14" s="62" t="s">
        <v>30</v>
      </c>
      <c r="F14" s="62">
        <v>2025</v>
      </c>
      <c r="G14" s="62">
        <v>90</v>
      </c>
      <c r="H14" s="62" t="s">
        <v>106</v>
      </c>
      <c r="I14" s="62">
        <v>2</v>
      </c>
      <c r="J14" s="63" t="s">
        <v>32</v>
      </c>
      <c r="K14" s="64"/>
      <c r="L14" s="62" t="s">
        <v>33</v>
      </c>
      <c r="M14" s="62"/>
      <c r="N14" s="62"/>
      <c r="O14" s="62" t="s">
        <v>107</v>
      </c>
      <c r="P14" s="62" t="s">
        <v>108</v>
      </c>
      <c r="Q14" s="98" t="s">
        <v>114</v>
      </c>
      <c r="R14" s="62" t="s">
        <v>115</v>
      </c>
      <c r="S14" s="62" t="s">
        <v>116</v>
      </c>
      <c r="T14" s="62">
        <v>100</v>
      </c>
      <c r="U14" s="62" t="s">
        <v>674</v>
      </c>
      <c r="V14" s="140" t="s">
        <v>39</v>
      </c>
      <c r="W14" s="140" t="s">
        <v>112</v>
      </c>
      <c r="X14" s="62" t="s">
        <v>41</v>
      </c>
      <c r="Y14" s="62" t="s">
        <v>42</v>
      </c>
      <c r="Z14" s="132" t="s">
        <v>672</v>
      </c>
      <c r="AA14" s="66" t="s">
        <v>57</v>
      </c>
      <c r="AB14" s="99" t="s">
        <v>117</v>
      </c>
      <c r="AC14" s="68" t="str">
        <f t="shared" ca="1" si="0"/>
        <v/>
      </c>
      <c r="AD14" s="69">
        <f t="shared" ca="1" si="1"/>
        <v>0</v>
      </c>
      <c r="AE14" s="69">
        <f t="shared" ca="1" si="2"/>
        <v>0</v>
      </c>
      <c r="AF14" s="69">
        <f t="shared" ca="1" si="3"/>
        <v>0</v>
      </c>
      <c r="AG14" s="69">
        <f t="shared" ca="1" si="4"/>
        <v>0</v>
      </c>
      <c r="AH14" s="96" t="s">
        <v>654</v>
      </c>
      <c r="AI14" s="100">
        <v>46064</v>
      </c>
      <c r="AJ14" s="100">
        <v>46068</v>
      </c>
    </row>
    <row r="15" spans="1:36" ht="159.6">
      <c r="A15" s="61">
        <v>213</v>
      </c>
      <c r="B15" s="62" t="s">
        <v>27</v>
      </c>
      <c r="C15" s="62" t="s">
        <v>28</v>
      </c>
      <c r="D15" s="62" t="s">
        <v>29</v>
      </c>
      <c r="E15" s="62" t="s">
        <v>30</v>
      </c>
      <c r="F15" s="62">
        <v>2025</v>
      </c>
      <c r="G15" s="62">
        <v>90</v>
      </c>
      <c r="H15" s="62" t="s">
        <v>118</v>
      </c>
      <c r="I15" s="62">
        <v>1</v>
      </c>
      <c r="J15" s="63" t="s">
        <v>32</v>
      </c>
      <c r="K15" s="64"/>
      <c r="L15" s="62" t="s">
        <v>33</v>
      </c>
      <c r="M15" s="62"/>
      <c r="N15" s="62"/>
      <c r="O15" s="62" t="s">
        <v>119</v>
      </c>
      <c r="P15" s="62" t="s">
        <v>120</v>
      </c>
      <c r="Q15" s="98" t="s">
        <v>121</v>
      </c>
      <c r="R15" s="62" t="s">
        <v>122</v>
      </c>
      <c r="S15" s="62" t="s">
        <v>123</v>
      </c>
      <c r="T15" s="62">
        <v>100</v>
      </c>
      <c r="U15" s="62" t="s">
        <v>674</v>
      </c>
      <c r="V15" s="140" t="s">
        <v>39</v>
      </c>
      <c r="W15" s="140" t="s">
        <v>124</v>
      </c>
      <c r="X15" s="62" t="s">
        <v>41</v>
      </c>
      <c r="Y15" s="62" t="s">
        <v>42</v>
      </c>
      <c r="Z15" s="132" t="s">
        <v>738</v>
      </c>
      <c r="AA15" s="66" t="s">
        <v>57</v>
      </c>
      <c r="AB15" s="99" t="s">
        <v>129</v>
      </c>
      <c r="AC15" s="68" t="str">
        <f t="shared" ca="1" si="0"/>
        <v/>
      </c>
      <c r="AD15" s="69">
        <f t="shared" ca="1" si="1"/>
        <v>0</v>
      </c>
      <c r="AE15" s="69">
        <f t="shared" ca="1" si="2"/>
        <v>0</v>
      </c>
      <c r="AF15" s="69">
        <f t="shared" ca="1" si="3"/>
        <v>0</v>
      </c>
      <c r="AG15" s="69">
        <f t="shared" ca="1" si="4"/>
        <v>0</v>
      </c>
      <c r="AH15" s="96" t="s">
        <v>654</v>
      </c>
      <c r="AI15" s="69"/>
      <c r="AJ15" s="100">
        <v>46178</v>
      </c>
    </row>
    <row r="16" spans="1:36" ht="159.6">
      <c r="A16" s="61">
        <v>214</v>
      </c>
      <c r="B16" s="62" t="s">
        <v>27</v>
      </c>
      <c r="C16" s="62" t="s">
        <v>28</v>
      </c>
      <c r="D16" s="62" t="s">
        <v>29</v>
      </c>
      <c r="E16" s="62" t="s">
        <v>30</v>
      </c>
      <c r="F16" s="62">
        <v>2025</v>
      </c>
      <c r="G16" s="62">
        <v>90</v>
      </c>
      <c r="H16" s="62" t="s">
        <v>118</v>
      </c>
      <c r="I16" s="62">
        <v>2</v>
      </c>
      <c r="J16" s="63" t="s">
        <v>32</v>
      </c>
      <c r="K16" s="64"/>
      <c r="L16" s="62" t="s">
        <v>33</v>
      </c>
      <c r="M16" s="62"/>
      <c r="N16" s="62"/>
      <c r="O16" s="62" t="s">
        <v>119</v>
      </c>
      <c r="P16" s="62" t="s">
        <v>120</v>
      </c>
      <c r="Q16" s="62" t="s">
        <v>126</v>
      </c>
      <c r="R16" s="62" t="s">
        <v>127</v>
      </c>
      <c r="S16" s="62" t="s">
        <v>128</v>
      </c>
      <c r="T16" s="62">
        <v>100</v>
      </c>
      <c r="U16" s="62" t="s">
        <v>677</v>
      </c>
      <c r="V16" s="140" t="s">
        <v>39</v>
      </c>
      <c r="W16" s="140" t="s">
        <v>89</v>
      </c>
      <c r="X16" s="62" t="s">
        <v>41</v>
      </c>
      <c r="Y16" s="62" t="s">
        <v>42</v>
      </c>
      <c r="Z16" s="132"/>
      <c r="AA16" s="66" t="s">
        <v>43</v>
      </c>
      <c r="AB16" s="99" t="s">
        <v>129</v>
      </c>
      <c r="AC16" s="68">
        <f t="shared" ca="1" si="0"/>
        <v>45</v>
      </c>
      <c r="AD16" s="69">
        <f t="shared" ca="1" si="1"/>
        <v>0</v>
      </c>
      <c r="AE16" s="69">
        <f t="shared" ca="1" si="2"/>
        <v>0</v>
      </c>
      <c r="AF16" s="69">
        <f t="shared" ca="1" si="3"/>
        <v>0</v>
      </c>
      <c r="AG16" s="69">
        <f t="shared" ca="1" si="4"/>
        <v>0</v>
      </c>
      <c r="AH16" s="96" t="s">
        <v>668</v>
      </c>
      <c r="AI16" s="69"/>
      <c r="AJ16" s="69"/>
    </row>
    <row r="17" spans="1:36" ht="182.4">
      <c r="A17" s="61">
        <v>215</v>
      </c>
      <c r="B17" s="62" t="s">
        <v>27</v>
      </c>
      <c r="C17" s="62" t="s">
        <v>28</v>
      </c>
      <c r="D17" s="62" t="s">
        <v>29</v>
      </c>
      <c r="E17" s="62" t="s">
        <v>30</v>
      </c>
      <c r="F17" s="62">
        <v>2025</v>
      </c>
      <c r="G17" s="62">
        <v>90</v>
      </c>
      <c r="H17" s="62" t="s">
        <v>130</v>
      </c>
      <c r="I17" s="62">
        <v>1</v>
      </c>
      <c r="J17" s="63" t="s">
        <v>32</v>
      </c>
      <c r="K17" s="64"/>
      <c r="L17" s="62" t="s">
        <v>33</v>
      </c>
      <c r="M17" s="62"/>
      <c r="N17" s="62"/>
      <c r="O17" s="62" t="s">
        <v>131</v>
      </c>
      <c r="P17" s="62" t="s">
        <v>132</v>
      </c>
      <c r="Q17" s="62" t="s">
        <v>133</v>
      </c>
      <c r="R17" s="62" t="s">
        <v>134</v>
      </c>
      <c r="S17" s="62" t="s">
        <v>135</v>
      </c>
      <c r="T17" s="62">
        <v>100</v>
      </c>
      <c r="U17" s="62" t="s">
        <v>695</v>
      </c>
      <c r="V17" s="140" t="s">
        <v>39</v>
      </c>
      <c r="W17" s="140" t="s">
        <v>112</v>
      </c>
      <c r="X17" s="62" t="s">
        <v>41</v>
      </c>
      <c r="Y17" s="62" t="s">
        <v>42</v>
      </c>
      <c r="Z17" s="132" t="s">
        <v>737</v>
      </c>
      <c r="AA17" s="137" t="s">
        <v>57</v>
      </c>
      <c r="AB17" s="99" t="s">
        <v>136</v>
      </c>
      <c r="AC17" s="68" t="str">
        <f t="shared" ca="1" si="0"/>
        <v/>
      </c>
      <c r="AD17" s="69">
        <f t="shared" ca="1" si="1"/>
        <v>0</v>
      </c>
      <c r="AE17" s="69">
        <f t="shared" ca="1" si="2"/>
        <v>0</v>
      </c>
      <c r="AF17" s="69">
        <f t="shared" ca="1" si="3"/>
        <v>0</v>
      </c>
      <c r="AG17" s="69">
        <f t="shared" ca="1" si="4"/>
        <v>0</v>
      </c>
      <c r="AH17" s="96" t="s">
        <v>657</v>
      </c>
      <c r="AI17" s="69"/>
      <c r="AJ17" s="100">
        <v>46178</v>
      </c>
    </row>
    <row r="18" spans="1:36" ht="68.400000000000006">
      <c r="A18" s="61">
        <v>221</v>
      </c>
      <c r="B18" s="62" t="s">
        <v>27</v>
      </c>
      <c r="C18" s="62" t="s">
        <v>28</v>
      </c>
      <c r="D18" s="62" t="s">
        <v>29</v>
      </c>
      <c r="E18" s="62" t="s">
        <v>30</v>
      </c>
      <c r="F18" s="62">
        <v>2025</v>
      </c>
      <c r="G18" s="62">
        <v>90</v>
      </c>
      <c r="H18" s="62" t="s">
        <v>137</v>
      </c>
      <c r="I18" s="62">
        <v>1</v>
      </c>
      <c r="J18" s="63" t="s">
        <v>32</v>
      </c>
      <c r="K18" s="64"/>
      <c r="L18" s="62" t="s">
        <v>33</v>
      </c>
      <c r="M18" s="62"/>
      <c r="N18" s="62"/>
      <c r="O18" s="62" t="s">
        <v>138</v>
      </c>
      <c r="P18" s="62" t="s">
        <v>139</v>
      </c>
      <c r="Q18" s="98" t="s">
        <v>140</v>
      </c>
      <c r="R18" s="62" t="s">
        <v>141</v>
      </c>
      <c r="S18" s="62" t="s">
        <v>142</v>
      </c>
      <c r="T18" s="62">
        <v>100</v>
      </c>
      <c r="U18" s="62" t="s">
        <v>674</v>
      </c>
      <c r="V18" s="140" t="s">
        <v>39</v>
      </c>
      <c r="W18" s="140" t="s">
        <v>112</v>
      </c>
      <c r="X18" s="62" t="s">
        <v>41</v>
      </c>
      <c r="Y18" s="62" t="s">
        <v>42</v>
      </c>
      <c r="Z18" s="132" t="s">
        <v>737</v>
      </c>
      <c r="AA18" s="66" t="s">
        <v>57</v>
      </c>
      <c r="AB18" s="67" t="s">
        <v>143</v>
      </c>
      <c r="AC18" s="68" t="str">
        <f t="shared" ca="1" si="0"/>
        <v/>
      </c>
      <c r="AD18" s="69">
        <f t="shared" ca="1" si="1"/>
        <v>0</v>
      </c>
      <c r="AE18" s="69">
        <f t="shared" ca="1" si="2"/>
        <v>0</v>
      </c>
      <c r="AF18" s="69">
        <f t="shared" ca="1" si="3"/>
        <v>0</v>
      </c>
      <c r="AG18" s="69">
        <f t="shared" ca="1" si="4"/>
        <v>0</v>
      </c>
      <c r="AH18" s="96" t="s">
        <v>654</v>
      </c>
      <c r="AI18" s="69"/>
      <c r="AJ18" s="100">
        <v>46178</v>
      </c>
    </row>
    <row r="19" spans="1:36" ht="114">
      <c r="A19" s="61">
        <v>222</v>
      </c>
      <c r="B19" s="62" t="s">
        <v>27</v>
      </c>
      <c r="C19" s="62" t="s">
        <v>28</v>
      </c>
      <c r="D19" s="62" t="s">
        <v>29</v>
      </c>
      <c r="E19" s="62" t="s">
        <v>30</v>
      </c>
      <c r="F19" s="62">
        <v>2025</v>
      </c>
      <c r="G19" s="62">
        <v>90</v>
      </c>
      <c r="H19" s="62" t="s">
        <v>144</v>
      </c>
      <c r="I19" s="62">
        <v>1</v>
      </c>
      <c r="J19" s="63" t="s">
        <v>32</v>
      </c>
      <c r="K19" s="64"/>
      <c r="L19" s="62" t="s">
        <v>33</v>
      </c>
      <c r="M19" s="62"/>
      <c r="N19" s="62"/>
      <c r="O19" s="62" t="s">
        <v>145</v>
      </c>
      <c r="P19" s="62" t="s">
        <v>146</v>
      </c>
      <c r="Q19" s="98" t="s">
        <v>147</v>
      </c>
      <c r="R19" s="62" t="s">
        <v>148</v>
      </c>
      <c r="S19" s="62" t="s">
        <v>149</v>
      </c>
      <c r="T19" s="62">
        <v>100</v>
      </c>
      <c r="U19" s="62" t="s">
        <v>674</v>
      </c>
      <c r="V19" s="140" t="s">
        <v>39</v>
      </c>
      <c r="W19" s="140" t="s">
        <v>112</v>
      </c>
      <c r="X19" s="62" t="s">
        <v>41</v>
      </c>
      <c r="Y19" s="62" t="s">
        <v>42</v>
      </c>
      <c r="Z19" s="132" t="s">
        <v>708</v>
      </c>
      <c r="AA19" s="66" t="s">
        <v>57</v>
      </c>
      <c r="AB19" s="67" t="s">
        <v>150</v>
      </c>
      <c r="AC19" s="68" t="str">
        <f t="shared" ca="1" si="0"/>
        <v/>
      </c>
      <c r="AD19" s="69">
        <f t="shared" ca="1" si="1"/>
        <v>0</v>
      </c>
      <c r="AE19" s="69">
        <f t="shared" ca="1" si="2"/>
        <v>0</v>
      </c>
      <c r="AF19" s="69">
        <f t="shared" ca="1" si="3"/>
        <v>0</v>
      </c>
      <c r="AG19" s="69">
        <f t="shared" ca="1" si="4"/>
        <v>0</v>
      </c>
      <c r="AH19" s="96" t="s">
        <v>654</v>
      </c>
      <c r="AI19" s="69"/>
      <c r="AJ19" s="100">
        <v>46172</v>
      </c>
    </row>
    <row r="20" spans="1:36" ht="114">
      <c r="A20" s="61">
        <v>223</v>
      </c>
      <c r="B20" s="62" t="s">
        <v>27</v>
      </c>
      <c r="C20" s="62" t="s">
        <v>28</v>
      </c>
      <c r="D20" s="62" t="s">
        <v>29</v>
      </c>
      <c r="E20" s="62" t="s">
        <v>30</v>
      </c>
      <c r="F20" s="62">
        <v>2025</v>
      </c>
      <c r="G20" s="62">
        <v>90</v>
      </c>
      <c r="H20" s="62" t="s">
        <v>151</v>
      </c>
      <c r="I20" s="62">
        <v>1</v>
      </c>
      <c r="J20" s="63" t="s">
        <v>32</v>
      </c>
      <c r="K20" s="64"/>
      <c r="L20" s="62" t="s">
        <v>33</v>
      </c>
      <c r="M20" s="62"/>
      <c r="N20" s="62"/>
      <c r="O20" s="62" t="s">
        <v>152</v>
      </c>
      <c r="P20" s="62" t="s">
        <v>153</v>
      </c>
      <c r="Q20" s="98" t="s">
        <v>140</v>
      </c>
      <c r="R20" s="62" t="s">
        <v>141</v>
      </c>
      <c r="S20" s="62" t="s">
        <v>142</v>
      </c>
      <c r="T20" s="62">
        <v>100</v>
      </c>
      <c r="U20" s="62" t="s">
        <v>674</v>
      </c>
      <c r="V20" s="140" t="s">
        <v>39</v>
      </c>
      <c r="W20" s="140" t="s">
        <v>112</v>
      </c>
      <c r="X20" s="62" t="s">
        <v>41</v>
      </c>
      <c r="Y20" s="62" t="s">
        <v>42</v>
      </c>
      <c r="Z20" s="132" t="s">
        <v>737</v>
      </c>
      <c r="AA20" s="66" t="s">
        <v>57</v>
      </c>
      <c r="AB20" s="99" t="s">
        <v>154</v>
      </c>
      <c r="AC20" s="68" t="str">
        <f t="shared" ca="1" si="0"/>
        <v/>
      </c>
      <c r="AD20" s="69">
        <f t="shared" ca="1" si="1"/>
        <v>0</v>
      </c>
      <c r="AE20" s="69">
        <f t="shared" ca="1" si="2"/>
        <v>0</v>
      </c>
      <c r="AF20" s="69">
        <f t="shared" ca="1" si="3"/>
        <v>0</v>
      </c>
      <c r="AG20" s="69">
        <f t="shared" ca="1" si="4"/>
        <v>0</v>
      </c>
      <c r="AH20" s="96" t="s">
        <v>654</v>
      </c>
      <c r="AI20" s="69"/>
      <c r="AJ20" s="100">
        <v>46178</v>
      </c>
    </row>
    <row r="21" spans="1:36" ht="91.2">
      <c r="A21" s="145">
        <v>230</v>
      </c>
      <c r="B21" s="77" t="s">
        <v>27</v>
      </c>
      <c r="C21" s="77" t="s">
        <v>28</v>
      </c>
      <c r="D21" s="77" t="s">
        <v>29</v>
      </c>
      <c r="E21" s="77" t="s">
        <v>30</v>
      </c>
      <c r="F21" s="77">
        <v>2025</v>
      </c>
      <c r="G21" s="77">
        <v>90</v>
      </c>
      <c r="H21" s="77" t="s">
        <v>155</v>
      </c>
      <c r="I21" s="77">
        <v>1</v>
      </c>
      <c r="J21" s="63" t="s">
        <v>32</v>
      </c>
      <c r="K21" s="64"/>
      <c r="L21" s="62" t="s">
        <v>33</v>
      </c>
      <c r="M21" s="62"/>
      <c r="N21" s="62"/>
      <c r="O21" s="77" t="s">
        <v>156</v>
      </c>
      <c r="P21" s="77" t="s">
        <v>157</v>
      </c>
      <c r="Q21" s="77" t="s">
        <v>158</v>
      </c>
      <c r="R21" s="62" t="s">
        <v>159</v>
      </c>
      <c r="S21" s="62" t="s">
        <v>160</v>
      </c>
      <c r="T21" s="62">
        <v>100</v>
      </c>
      <c r="U21" s="77" t="s">
        <v>696</v>
      </c>
      <c r="V21" s="146" t="s">
        <v>39</v>
      </c>
      <c r="W21" s="147" t="s">
        <v>794</v>
      </c>
      <c r="X21" s="77" t="s">
        <v>41</v>
      </c>
      <c r="Y21" s="77" t="s">
        <v>42</v>
      </c>
      <c r="Z21" s="148"/>
      <c r="AA21" s="149" t="s">
        <v>177</v>
      </c>
      <c r="AB21" s="150" t="s">
        <v>162</v>
      </c>
      <c r="AC21" s="151" t="str">
        <f t="shared" ca="1" si="0"/>
        <v/>
      </c>
      <c r="AD21" s="152">
        <f t="shared" ca="1" si="1"/>
        <v>0</v>
      </c>
      <c r="AE21" s="152">
        <f t="shared" ca="1" si="2"/>
        <v>0</v>
      </c>
      <c r="AF21" s="152">
        <f t="shared" ca="1" si="3"/>
        <v>0</v>
      </c>
      <c r="AG21" s="152">
        <f t="shared" ca="1" si="4"/>
        <v>0</v>
      </c>
      <c r="AH21" s="153" t="s">
        <v>654</v>
      </c>
      <c r="AI21" s="152"/>
      <c r="AJ21" s="69"/>
    </row>
    <row r="22" spans="1:36" ht="91.2">
      <c r="A22" s="145">
        <v>232</v>
      </c>
      <c r="B22" s="77" t="s">
        <v>27</v>
      </c>
      <c r="C22" s="77" t="s">
        <v>28</v>
      </c>
      <c r="D22" s="77" t="s">
        <v>29</v>
      </c>
      <c r="E22" s="77" t="s">
        <v>30</v>
      </c>
      <c r="F22" s="77">
        <v>2025</v>
      </c>
      <c r="G22" s="77">
        <v>90</v>
      </c>
      <c r="H22" s="77" t="s">
        <v>163</v>
      </c>
      <c r="I22" s="77">
        <v>1</v>
      </c>
      <c r="J22" s="63" t="s">
        <v>32</v>
      </c>
      <c r="K22" s="64"/>
      <c r="L22" s="62" t="s">
        <v>33</v>
      </c>
      <c r="M22" s="62"/>
      <c r="N22" s="62"/>
      <c r="O22" s="77" t="s">
        <v>164</v>
      </c>
      <c r="P22" s="77" t="s">
        <v>165</v>
      </c>
      <c r="Q22" s="77" t="s">
        <v>158</v>
      </c>
      <c r="R22" s="62" t="s">
        <v>159</v>
      </c>
      <c r="S22" s="62" t="s">
        <v>160</v>
      </c>
      <c r="T22" s="62">
        <v>100</v>
      </c>
      <c r="U22" s="77" t="s">
        <v>696</v>
      </c>
      <c r="V22" s="146" t="s">
        <v>39</v>
      </c>
      <c r="W22" s="146" t="s">
        <v>161</v>
      </c>
      <c r="X22" s="77" t="s">
        <v>41</v>
      </c>
      <c r="Y22" s="77" t="s">
        <v>42</v>
      </c>
      <c r="Z22" s="148"/>
      <c r="AA22" s="149" t="s">
        <v>177</v>
      </c>
      <c r="AB22" s="154" t="s">
        <v>166</v>
      </c>
      <c r="AC22" s="151" t="str">
        <f t="shared" ca="1" si="0"/>
        <v/>
      </c>
      <c r="AD22" s="152">
        <f t="shared" ca="1" si="1"/>
        <v>0</v>
      </c>
      <c r="AE22" s="152">
        <f t="shared" ca="1" si="2"/>
        <v>0</v>
      </c>
      <c r="AF22" s="152">
        <f t="shared" ca="1" si="3"/>
        <v>0</v>
      </c>
      <c r="AG22" s="152">
        <f t="shared" ca="1" si="4"/>
        <v>0</v>
      </c>
      <c r="AH22" s="153" t="s">
        <v>654</v>
      </c>
      <c r="AI22" s="152"/>
      <c r="AJ22" s="69"/>
    </row>
    <row r="23" spans="1:36" ht="91.2">
      <c r="A23" s="145">
        <v>233</v>
      </c>
      <c r="B23" s="77" t="s">
        <v>27</v>
      </c>
      <c r="C23" s="77" t="s">
        <v>28</v>
      </c>
      <c r="D23" s="77" t="s">
        <v>29</v>
      </c>
      <c r="E23" s="77" t="s">
        <v>30</v>
      </c>
      <c r="F23" s="77">
        <v>2025</v>
      </c>
      <c r="G23" s="77">
        <v>90</v>
      </c>
      <c r="H23" s="77" t="s">
        <v>167</v>
      </c>
      <c r="I23" s="77">
        <v>1</v>
      </c>
      <c r="J23" s="63" t="s">
        <v>32</v>
      </c>
      <c r="K23" s="64"/>
      <c r="L23" s="62" t="s">
        <v>33</v>
      </c>
      <c r="M23" s="62"/>
      <c r="N23" s="62"/>
      <c r="O23" s="77" t="s">
        <v>168</v>
      </c>
      <c r="P23" s="77" t="s">
        <v>169</v>
      </c>
      <c r="Q23" s="77" t="s">
        <v>158</v>
      </c>
      <c r="R23" s="62" t="s">
        <v>159</v>
      </c>
      <c r="S23" s="62" t="s">
        <v>160</v>
      </c>
      <c r="T23" s="62">
        <v>100</v>
      </c>
      <c r="U23" s="77" t="s">
        <v>696</v>
      </c>
      <c r="V23" s="146" t="s">
        <v>39</v>
      </c>
      <c r="W23" s="146" t="s">
        <v>161</v>
      </c>
      <c r="X23" s="77" t="s">
        <v>41</v>
      </c>
      <c r="Y23" s="77" t="s">
        <v>42</v>
      </c>
      <c r="Z23" s="148"/>
      <c r="AA23" s="149" t="s">
        <v>177</v>
      </c>
      <c r="AB23" s="154" t="s">
        <v>170</v>
      </c>
      <c r="AC23" s="151" t="str">
        <f t="shared" ca="1" si="0"/>
        <v/>
      </c>
      <c r="AD23" s="152">
        <f t="shared" ca="1" si="1"/>
        <v>0</v>
      </c>
      <c r="AE23" s="152">
        <f t="shared" ca="1" si="2"/>
        <v>0</v>
      </c>
      <c r="AF23" s="152">
        <f t="shared" ca="1" si="3"/>
        <v>0</v>
      </c>
      <c r="AG23" s="152">
        <f t="shared" ca="1" si="4"/>
        <v>0</v>
      </c>
      <c r="AH23" s="153" t="s">
        <v>654</v>
      </c>
      <c r="AI23" s="152"/>
      <c r="AJ23" s="69"/>
    </row>
    <row r="24" spans="1:36" ht="148.19999999999999">
      <c r="A24" s="145">
        <v>244</v>
      </c>
      <c r="B24" s="77" t="s">
        <v>27</v>
      </c>
      <c r="C24" s="77" t="s">
        <v>28</v>
      </c>
      <c r="D24" s="77" t="s">
        <v>29</v>
      </c>
      <c r="E24" s="77" t="s">
        <v>30</v>
      </c>
      <c r="F24" s="77">
        <v>2025</v>
      </c>
      <c r="G24" s="77">
        <v>90</v>
      </c>
      <c r="H24" s="77" t="s">
        <v>171</v>
      </c>
      <c r="I24" s="77">
        <v>1</v>
      </c>
      <c r="J24" s="63" t="s">
        <v>32</v>
      </c>
      <c r="K24" s="64"/>
      <c r="L24" s="62" t="s">
        <v>33</v>
      </c>
      <c r="M24" s="62"/>
      <c r="N24" s="62"/>
      <c r="O24" s="77" t="s">
        <v>172</v>
      </c>
      <c r="P24" s="77" t="s">
        <v>173</v>
      </c>
      <c r="Q24" s="77" t="s">
        <v>174</v>
      </c>
      <c r="R24" s="62" t="s">
        <v>175</v>
      </c>
      <c r="S24" s="62" t="s">
        <v>176</v>
      </c>
      <c r="T24" s="62">
        <v>100</v>
      </c>
      <c r="U24" s="77" t="s">
        <v>678</v>
      </c>
      <c r="V24" s="146" t="s">
        <v>39</v>
      </c>
      <c r="W24" s="146" t="s">
        <v>80</v>
      </c>
      <c r="X24" s="77" t="s">
        <v>41</v>
      </c>
      <c r="Y24" s="77" t="s">
        <v>42</v>
      </c>
      <c r="Z24" s="148" t="s">
        <v>796</v>
      </c>
      <c r="AA24" s="149" t="s">
        <v>57</v>
      </c>
      <c r="AB24" s="150" t="s">
        <v>178</v>
      </c>
      <c r="AC24" s="151" t="str">
        <f t="shared" ca="1" si="0"/>
        <v/>
      </c>
      <c r="AD24" s="152">
        <f t="shared" ca="1" si="1"/>
        <v>0</v>
      </c>
      <c r="AE24" s="152">
        <f t="shared" ca="1" si="2"/>
        <v>0</v>
      </c>
      <c r="AF24" s="152">
        <f t="shared" ca="1" si="3"/>
        <v>0</v>
      </c>
      <c r="AG24" s="152">
        <f t="shared" ca="1" si="4"/>
        <v>0</v>
      </c>
      <c r="AH24" s="153" t="s">
        <v>666</v>
      </c>
      <c r="AI24" s="152"/>
      <c r="AJ24" s="69"/>
    </row>
    <row r="25" spans="1:36" ht="193.8">
      <c r="A25" s="61">
        <v>245</v>
      </c>
      <c r="B25" s="62" t="s">
        <v>27</v>
      </c>
      <c r="C25" s="62" t="s">
        <v>28</v>
      </c>
      <c r="D25" s="62" t="s">
        <v>29</v>
      </c>
      <c r="E25" s="62" t="s">
        <v>30</v>
      </c>
      <c r="F25" s="62">
        <v>2025</v>
      </c>
      <c r="G25" s="62">
        <v>90</v>
      </c>
      <c r="H25" s="62" t="s">
        <v>171</v>
      </c>
      <c r="I25" s="62">
        <v>2</v>
      </c>
      <c r="J25" s="63" t="s">
        <v>32</v>
      </c>
      <c r="K25" s="64"/>
      <c r="L25" s="62" t="s">
        <v>33</v>
      </c>
      <c r="M25" s="62"/>
      <c r="N25" s="62"/>
      <c r="O25" s="62" t="s">
        <v>172</v>
      </c>
      <c r="P25" s="62" t="s">
        <v>173</v>
      </c>
      <c r="Q25" s="62" t="s">
        <v>179</v>
      </c>
      <c r="R25" s="62" t="s">
        <v>180</v>
      </c>
      <c r="S25" s="62" t="s">
        <v>181</v>
      </c>
      <c r="T25" s="62">
        <v>100</v>
      </c>
      <c r="U25" s="62" t="s">
        <v>697</v>
      </c>
      <c r="V25" s="140" t="s">
        <v>39</v>
      </c>
      <c r="W25" s="140" t="s">
        <v>124</v>
      </c>
      <c r="X25" s="62" t="s">
        <v>41</v>
      </c>
      <c r="Y25" s="62" t="s">
        <v>42</v>
      </c>
      <c r="Z25" s="101" t="s">
        <v>673</v>
      </c>
      <c r="AA25" s="66" t="s">
        <v>57</v>
      </c>
      <c r="AB25" s="99" t="s">
        <v>178</v>
      </c>
      <c r="AC25" s="68" t="str">
        <f t="shared" ca="1" si="0"/>
        <v/>
      </c>
      <c r="AD25" s="69">
        <f t="shared" ca="1" si="1"/>
        <v>0</v>
      </c>
      <c r="AE25" s="69">
        <f t="shared" ca="1" si="2"/>
        <v>0</v>
      </c>
      <c r="AF25" s="69">
        <f t="shared" ca="1" si="3"/>
        <v>0</v>
      </c>
      <c r="AG25" s="69">
        <f t="shared" ca="1" si="4"/>
        <v>0</v>
      </c>
      <c r="AH25" s="96" t="s">
        <v>662</v>
      </c>
      <c r="AI25" s="100">
        <v>46082</v>
      </c>
      <c r="AJ25" s="100">
        <v>46172</v>
      </c>
    </row>
    <row r="26" spans="1:36" ht="136.80000000000001">
      <c r="A26" s="61">
        <v>246</v>
      </c>
      <c r="B26" s="62" t="s">
        <v>27</v>
      </c>
      <c r="C26" s="62" t="s">
        <v>28</v>
      </c>
      <c r="D26" s="62" t="s">
        <v>29</v>
      </c>
      <c r="E26" s="62" t="s">
        <v>30</v>
      </c>
      <c r="F26" s="62">
        <v>2025</v>
      </c>
      <c r="G26" s="62">
        <v>90</v>
      </c>
      <c r="H26" s="62" t="s">
        <v>182</v>
      </c>
      <c r="I26" s="62">
        <v>1</v>
      </c>
      <c r="J26" s="63" t="s">
        <v>32</v>
      </c>
      <c r="K26" s="64"/>
      <c r="L26" s="62" t="s">
        <v>33</v>
      </c>
      <c r="M26" s="62"/>
      <c r="N26" s="62"/>
      <c r="O26" s="62" t="s">
        <v>183</v>
      </c>
      <c r="P26" s="62" t="s">
        <v>184</v>
      </c>
      <c r="Q26" s="62" t="s">
        <v>185</v>
      </c>
      <c r="R26" s="62" t="s">
        <v>186</v>
      </c>
      <c r="S26" s="62" t="s">
        <v>187</v>
      </c>
      <c r="T26" s="62">
        <v>100</v>
      </c>
      <c r="U26" s="62" t="s">
        <v>679</v>
      </c>
      <c r="V26" s="140" t="s">
        <v>39</v>
      </c>
      <c r="W26" s="140" t="s">
        <v>89</v>
      </c>
      <c r="X26" s="62" t="s">
        <v>41</v>
      </c>
      <c r="Y26" s="62" t="s">
        <v>42</v>
      </c>
      <c r="Z26" s="101"/>
      <c r="AA26" s="66" t="s">
        <v>43</v>
      </c>
      <c r="AB26" s="99" t="s">
        <v>188</v>
      </c>
      <c r="AC26" s="68">
        <f t="shared" ca="1" si="0"/>
        <v>45</v>
      </c>
      <c r="AD26" s="69">
        <f t="shared" ca="1" si="1"/>
        <v>0</v>
      </c>
      <c r="AE26" s="69">
        <f t="shared" ca="1" si="2"/>
        <v>0</v>
      </c>
      <c r="AF26" s="69">
        <f t="shared" ca="1" si="3"/>
        <v>0</v>
      </c>
      <c r="AG26" s="69">
        <f t="shared" ca="1" si="4"/>
        <v>0</v>
      </c>
      <c r="AH26" s="96" t="s">
        <v>663</v>
      </c>
      <c r="AI26" s="69"/>
      <c r="AJ26" s="69"/>
    </row>
    <row r="27" spans="1:36" ht="193.8">
      <c r="A27" s="61">
        <v>247</v>
      </c>
      <c r="B27" s="62" t="s">
        <v>27</v>
      </c>
      <c r="C27" s="62" t="s">
        <v>28</v>
      </c>
      <c r="D27" s="62" t="s">
        <v>29</v>
      </c>
      <c r="E27" s="62" t="s">
        <v>30</v>
      </c>
      <c r="F27" s="62">
        <v>2025</v>
      </c>
      <c r="G27" s="62">
        <v>90</v>
      </c>
      <c r="H27" s="62" t="s">
        <v>182</v>
      </c>
      <c r="I27" s="62">
        <v>2</v>
      </c>
      <c r="J27" s="63" t="s">
        <v>32</v>
      </c>
      <c r="K27" s="64"/>
      <c r="L27" s="62" t="s">
        <v>33</v>
      </c>
      <c r="M27" s="62"/>
      <c r="N27" s="62"/>
      <c r="O27" s="62" t="s">
        <v>183</v>
      </c>
      <c r="P27" s="62" t="s">
        <v>184</v>
      </c>
      <c r="Q27" s="62" t="s">
        <v>189</v>
      </c>
      <c r="R27" s="62" t="s">
        <v>190</v>
      </c>
      <c r="S27" s="62" t="s">
        <v>191</v>
      </c>
      <c r="T27" s="62">
        <v>100</v>
      </c>
      <c r="U27" s="62" t="s">
        <v>679</v>
      </c>
      <c r="V27" s="140" t="s">
        <v>39</v>
      </c>
      <c r="W27" s="140" t="s">
        <v>89</v>
      </c>
      <c r="X27" s="62" t="s">
        <v>41</v>
      </c>
      <c r="Y27" s="62" t="s">
        <v>42</v>
      </c>
      <c r="Z27" s="101"/>
      <c r="AA27" s="66" t="s">
        <v>43</v>
      </c>
      <c r="AB27" s="99" t="s">
        <v>192</v>
      </c>
      <c r="AC27" s="68">
        <f t="shared" ca="1" si="0"/>
        <v>45</v>
      </c>
      <c r="AD27" s="69">
        <f t="shared" ca="1" si="1"/>
        <v>0</v>
      </c>
      <c r="AE27" s="69">
        <f t="shared" ca="1" si="2"/>
        <v>0</v>
      </c>
      <c r="AF27" s="69">
        <f t="shared" ca="1" si="3"/>
        <v>0</v>
      </c>
      <c r="AG27" s="69">
        <f t="shared" ca="1" si="4"/>
        <v>0</v>
      </c>
      <c r="AH27" s="96" t="s">
        <v>663</v>
      </c>
      <c r="AI27" s="69"/>
      <c r="AJ27" s="69"/>
    </row>
    <row r="28" spans="1:36" ht="91.2">
      <c r="A28" s="61">
        <v>255</v>
      </c>
      <c r="B28" s="62" t="s">
        <v>27</v>
      </c>
      <c r="C28" s="62" t="s">
        <v>28</v>
      </c>
      <c r="D28" s="62" t="s">
        <v>29</v>
      </c>
      <c r="E28" s="62" t="s">
        <v>30</v>
      </c>
      <c r="F28" s="62">
        <v>2025</v>
      </c>
      <c r="G28" s="62">
        <v>90</v>
      </c>
      <c r="H28" s="62" t="s">
        <v>193</v>
      </c>
      <c r="I28" s="62">
        <v>1</v>
      </c>
      <c r="J28" s="63" t="s">
        <v>32</v>
      </c>
      <c r="K28" s="64"/>
      <c r="L28" s="62" t="s">
        <v>33</v>
      </c>
      <c r="M28" s="62"/>
      <c r="N28" s="62"/>
      <c r="O28" s="62" t="s">
        <v>194</v>
      </c>
      <c r="P28" s="62" t="s">
        <v>195</v>
      </c>
      <c r="Q28" s="62" t="s">
        <v>196</v>
      </c>
      <c r="R28" s="62" t="s">
        <v>197</v>
      </c>
      <c r="S28" s="62" t="s">
        <v>198</v>
      </c>
      <c r="T28" s="62">
        <v>100</v>
      </c>
      <c r="U28" s="62" t="s">
        <v>680</v>
      </c>
      <c r="V28" s="140" t="s">
        <v>39</v>
      </c>
      <c r="W28" s="140" t="s">
        <v>89</v>
      </c>
      <c r="X28" s="62" t="s">
        <v>41</v>
      </c>
      <c r="Y28" s="62" t="s">
        <v>42</v>
      </c>
      <c r="Z28" s="101"/>
      <c r="AA28" s="66" t="s">
        <v>43</v>
      </c>
      <c r="AB28" s="99" t="s">
        <v>199</v>
      </c>
      <c r="AC28" s="68">
        <f t="shared" ca="1" si="0"/>
        <v>45</v>
      </c>
      <c r="AD28" s="69">
        <f t="shared" ca="1" si="1"/>
        <v>0</v>
      </c>
      <c r="AE28" s="69">
        <f t="shared" ca="1" si="2"/>
        <v>0</v>
      </c>
      <c r="AF28" s="69">
        <f t="shared" ca="1" si="3"/>
        <v>0</v>
      </c>
      <c r="AG28" s="69">
        <f t="shared" ca="1" si="4"/>
        <v>0</v>
      </c>
      <c r="AH28" s="96" t="s">
        <v>659</v>
      </c>
      <c r="AI28" s="69"/>
      <c r="AJ28" s="69"/>
    </row>
    <row r="29" spans="1:36" ht="102.6">
      <c r="A29" s="61">
        <v>256</v>
      </c>
      <c r="B29" s="62" t="s">
        <v>27</v>
      </c>
      <c r="C29" s="62" t="s">
        <v>28</v>
      </c>
      <c r="D29" s="62" t="s">
        <v>29</v>
      </c>
      <c r="E29" s="62" t="s">
        <v>30</v>
      </c>
      <c r="F29" s="62">
        <v>2025</v>
      </c>
      <c r="G29" s="62">
        <v>90</v>
      </c>
      <c r="H29" s="62" t="s">
        <v>200</v>
      </c>
      <c r="I29" s="62">
        <v>1</v>
      </c>
      <c r="J29" s="63" t="s">
        <v>32</v>
      </c>
      <c r="K29" s="64"/>
      <c r="L29" s="62" t="s">
        <v>33</v>
      </c>
      <c r="M29" s="62"/>
      <c r="N29" s="62"/>
      <c r="O29" s="62" t="s">
        <v>201</v>
      </c>
      <c r="P29" s="62" t="s">
        <v>202</v>
      </c>
      <c r="Q29" s="62" t="s">
        <v>203</v>
      </c>
      <c r="R29" s="62" t="s">
        <v>204</v>
      </c>
      <c r="S29" s="62" t="s">
        <v>205</v>
      </c>
      <c r="T29" s="62">
        <v>100</v>
      </c>
      <c r="U29" s="62" t="s">
        <v>677</v>
      </c>
      <c r="V29" s="140" t="s">
        <v>39</v>
      </c>
      <c r="W29" s="140" t="s">
        <v>89</v>
      </c>
      <c r="X29" s="62" t="s">
        <v>41</v>
      </c>
      <c r="Y29" s="62" t="s">
        <v>42</v>
      </c>
      <c r="Z29" s="101"/>
      <c r="AA29" s="66" t="s">
        <v>43</v>
      </c>
      <c r="AB29" s="99" t="s">
        <v>206</v>
      </c>
      <c r="AC29" s="68">
        <f t="shared" ca="1" si="0"/>
        <v>45</v>
      </c>
      <c r="AD29" s="69">
        <f t="shared" ca="1" si="1"/>
        <v>0</v>
      </c>
      <c r="AE29" s="69">
        <f t="shared" ca="1" si="2"/>
        <v>0</v>
      </c>
      <c r="AF29" s="69">
        <f t="shared" ca="1" si="3"/>
        <v>0</v>
      </c>
      <c r="AG29" s="69">
        <f t="shared" ca="1" si="4"/>
        <v>0</v>
      </c>
      <c r="AH29" s="96" t="s">
        <v>668</v>
      </c>
      <c r="AI29" s="69"/>
      <c r="AJ29" s="69"/>
    </row>
    <row r="30" spans="1:36" ht="91.2">
      <c r="A30" s="155">
        <v>259</v>
      </c>
      <c r="B30" s="156" t="s">
        <v>27</v>
      </c>
      <c r="C30" s="156" t="s">
        <v>28</v>
      </c>
      <c r="D30" s="156" t="s">
        <v>29</v>
      </c>
      <c r="E30" s="156" t="s">
        <v>30</v>
      </c>
      <c r="F30" s="156">
        <v>2025</v>
      </c>
      <c r="G30" s="156">
        <v>90</v>
      </c>
      <c r="H30" s="156" t="s">
        <v>207</v>
      </c>
      <c r="I30" s="156">
        <v>1</v>
      </c>
      <c r="J30" s="63" t="s">
        <v>32</v>
      </c>
      <c r="K30" s="64"/>
      <c r="L30" s="62" t="s">
        <v>33</v>
      </c>
      <c r="M30" s="62"/>
      <c r="N30" s="62"/>
      <c r="O30" s="156" t="s">
        <v>208</v>
      </c>
      <c r="P30" s="156" t="s">
        <v>209</v>
      </c>
      <c r="Q30" s="156" t="s">
        <v>210</v>
      </c>
      <c r="R30" s="62" t="s">
        <v>211</v>
      </c>
      <c r="S30" s="62" t="s">
        <v>212</v>
      </c>
      <c r="T30" s="62">
        <v>100</v>
      </c>
      <c r="U30" s="156" t="s">
        <v>680</v>
      </c>
      <c r="V30" s="157" t="s">
        <v>39</v>
      </c>
      <c r="W30" s="157" t="s">
        <v>40</v>
      </c>
      <c r="X30" s="156" t="s">
        <v>41</v>
      </c>
      <c r="Y30" s="156" t="s">
        <v>42</v>
      </c>
      <c r="Z30" s="158" t="s">
        <v>741</v>
      </c>
      <c r="AA30" s="159" t="s">
        <v>57</v>
      </c>
      <c r="AB30" s="160" t="s">
        <v>213</v>
      </c>
      <c r="AC30" s="161" t="str">
        <f t="shared" ca="1" si="0"/>
        <v/>
      </c>
      <c r="AD30" s="162">
        <f t="shared" ca="1" si="1"/>
        <v>0</v>
      </c>
      <c r="AE30" s="162">
        <f t="shared" ca="1" si="2"/>
        <v>0</v>
      </c>
      <c r="AF30" s="162">
        <f t="shared" ca="1" si="3"/>
        <v>0</v>
      </c>
      <c r="AG30" s="162">
        <f t="shared" ca="1" si="4"/>
        <v>0</v>
      </c>
      <c r="AH30" s="163" t="s">
        <v>659</v>
      </c>
      <c r="AI30" s="162"/>
      <c r="AJ30" s="100">
        <v>46172</v>
      </c>
    </row>
    <row r="31" spans="1:36" ht="91.2">
      <c r="A31" s="145">
        <v>260</v>
      </c>
      <c r="B31" s="77" t="s">
        <v>27</v>
      </c>
      <c r="C31" s="77" t="s">
        <v>28</v>
      </c>
      <c r="D31" s="77" t="s">
        <v>29</v>
      </c>
      <c r="E31" s="77" t="s">
        <v>30</v>
      </c>
      <c r="F31" s="77">
        <v>2025</v>
      </c>
      <c r="G31" s="77">
        <v>90</v>
      </c>
      <c r="H31" s="77" t="s">
        <v>207</v>
      </c>
      <c r="I31" s="77">
        <v>2</v>
      </c>
      <c r="J31" s="63" t="s">
        <v>32</v>
      </c>
      <c r="K31" s="64"/>
      <c r="L31" s="62" t="s">
        <v>33</v>
      </c>
      <c r="M31" s="62"/>
      <c r="N31" s="62"/>
      <c r="O31" s="77" t="s">
        <v>208</v>
      </c>
      <c r="P31" s="77" t="s">
        <v>209</v>
      </c>
      <c r="Q31" s="77" t="s">
        <v>214</v>
      </c>
      <c r="R31" s="62" t="s">
        <v>215</v>
      </c>
      <c r="S31" s="62" t="s">
        <v>216</v>
      </c>
      <c r="T31" s="62">
        <v>100</v>
      </c>
      <c r="U31" s="77" t="s">
        <v>677</v>
      </c>
      <c r="V31" s="146" t="s">
        <v>39</v>
      </c>
      <c r="W31" s="146" t="s">
        <v>795</v>
      </c>
      <c r="X31" s="77" t="s">
        <v>41</v>
      </c>
      <c r="Y31" s="77" t="s">
        <v>42</v>
      </c>
      <c r="Z31" s="164" t="s">
        <v>797</v>
      </c>
      <c r="AA31" s="149" t="s">
        <v>57</v>
      </c>
      <c r="AB31" s="150" t="s">
        <v>217</v>
      </c>
      <c r="AC31" s="151" t="str">
        <f t="shared" ca="1" si="0"/>
        <v/>
      </c>
      <c r="AD31" s="152">
        <f t="shared" ca="1" si="1"/>
        <v>0</v>
      </c>
      <c r="AE31" s="152">
        <f t="shared" ca="1" si="2"/>
        <v>0</v>
      </c>
      <c r="AF31" s="152">
        <f t="shared" ca="1" si="3"/>
        <v>0</v>
      </c>
      <c r="AG31" s="152">
        <f t="shared" ca="1" si="4"/>
        <v>0</v>
      </c>
      <c r="AH31" s="153" t="s">
        <v>668</v>
      </c>
      <c r="AI31" s="152"/>
      <c r="AJ31" s="69"/>
    </row>
    <row r="32" spans="1:36" ht="136.80000000000001">
      <c r="A32" s="145">
        <v>261</v>
      </c>
      <c r="B32" s="77" t="s">
        <v>27</v>
      </c>
      <c r="C32" s="77" t="s">
        <v>28</v>
      </c>
      <c r="D32" s="77" t="s">
        <v>29</v>
      </c>
      <c r="E32" s="77" t="s">
        <v>30</v>
      </c>
      <c r="F32" s="77">
        <v>2025</v>
      </c>
      <c r="G32" s="77">
        <v>90</v>
      </c>
      <c r="H32" s="77" t="s">
        <v>218</v>
      </c>
      <c r="I32" s="77">
        <v>1</v>
      </c>
      <c r="J32" s="63" t="s">
        <v>32</v>
      </c>
      <c r="K32" s="64"/>
      <c r="L32" s="62" t="s">
        <v>33</v>
      </c>
      <c r="M32" s="62"/>
      <c r="N32" s="62"/>
      <c r="O32" s="77" t="s">
        <v>219</v>
      </c>
      <c r="P32" s="77" t="s">
        <v>220</v>
      </c>
      <c r="Q32" s="77" t="s">
        <v>221</v>
      </c>
      <c r="R32" s="62" t="s">
        <v>222</v>
      </c>
      <c r="S32" s="62" t="s">
        <v>223</v>
      </c>
      <c r="T32" s="62">
        <v>100</v>
      </c>
      <c r="U32" s="77" t="s">
        <v>674</v>
      </c>
      <c r="V32" s="146" t="s">
        <v>39</v>
      </c>
      <c r="W32" s="146" t="s">
        <v>161</v>
      </c>
      <c r="X32" s="77" t="s">
        <v>41</v>
      </c>
      <c r="Y32" s="77" t="s">
        <v>42</v>
      </c>
      <c r="Z32" s="164"/>
      <c r="AA32" s="149" t="s">
        <v>177</v>
      </c>
      <c r="AB32" s="154" t="s">
        <v>224</v>
      </c>
      <c r="AC32" s="151" t="str">
        <f t="shared" ca="1" si="0"/>
        <v/>
      </c>
      <c r="AD32" s="152">
        <f t="shared" ca="1" si="1"/>
        <v>0</v>
      </c>
      <c r="AE32" s="152">
        <f t="shared" ca="1" si="2"/>
        <v>0</v>
      </c>
      <c r="AF32" s="152">
        <f t="shared" ca="1" si="3"/>
        <v>0</v>
      </c>
      <c r="AG32" s="152">
        <f t="shared" ca="1" si="4"/>
        <v>0</v>
      </c>
      <c r="AH32" s="153" t="s">
        <v>654</v>
      </c>
      <c r="AI32" s="152"/>
      <c r="AJ32" s="69"/>
    </row>
    <row r="33" spans="1:36" ht="136.80000000000001">
      <c r="A33" s="145">
        <v>262</v>
      </c>
      <c r="B33" s="77" t="s">
        <v>27</v>
      </c>
      <c r="C33" s="77" t="s">
        <v>28</v>
      </c>
      <c r="D33" s="77" t="s">
        <v>29</v>
      </c>
      <c r="E33" s="77" t="s">
        <v>30</v>
      </c>
      <c r="F33" s="77">
        <v>2025</v>
      </c>
      <c r="G33" s="77">
        <v>90</v>
      </c>
      <c r="H33" s="77" t="s">
        <v>218</v>
      </c>
      <c r="I33" s="77">
        <v>2</v>
      </c>
      <c r="J33" s="63" t="s">
        <v>32</v>
      </c>
      <c r="K33" s="64"/>
      <c r="L33" s="62" t="s">
        <v>33</v>
      </c>
      <c r="M33" s="62"/>
      <c r="N33" s="62"/>
      <c r="O33" s="77" t="s">
        <v>219</v>
      </c>
      <c r="P33" s="77" t="s">
        <v>220</v>
      </c>
      <c r="Q33" s="77" t="s">
        <v>225</v>
      </c>
      <c r="R33" s="62" t="s">
        <v>226</v>
      </c>
      <c r="S33" s="62" t="s">
        <v>227</v>
      </c>
      <c r="T33" s="62">
        <v>100</v>
      </c>
      <c r="U33" s="77" t="s">
        <v>674</v>
      </c>
      <c r="V33" s="146" t="s">
        <v>39</v>
      </c>
      <c r="W33" s="146" t="s">
        <v>794</v>
      </c>
      <c r="X33" s="77" t="s">
        <v>41</v>
      </c>
      <c r="Y33" s="77" t="s">
        <v>42</v>
      </c>
      <c r="Z33" s="164" t="s">
        <v>798</v>
      </c>
      <c r="AA33" s="149" t="s">
        <v>57</v>
      </c>
      <c r="AB33" s="150" t="s">
        <v>228</v>
      </c>
      <c r="AC33" s="151" t="str">
        <f t="shared" ca="1" si="0"/>
        <v/>
      </c>
      <c r="AD33" s="152">
        <f t="shared" ca="1" si="1"/>
        <v>0</v>
      </c>
      <c r="AE33" s="152">
        <f t="shared" ca="1" si="2"/>
        <v>0</v>
      </c>
      <c r="AF33" s="152">
        <f t="shared" ca="1" si="3"/>
        <v>0</v>
      </c>
      <c r="AG33" s="152">
        <f t="shared" ca="1" si="4"/>
        <v>0</v>
      </c>
      <c r="AH33" s="153" t="s">
        <v>654</v>
      </c>
      <c r="AI33" s="152"/>
      <c r="AJ33" s="69"/>
    </row>
    <row r="34" spans="1:36" ht="136.80000000000001">
      <c r="A34" s="61">
        <v>263</v>
      </c>
      <c r="B34" s="62" t="s">
        <v>27</v>
      </c>
      <c r="C34" s="62" t="s">
        <v>28</v>
      </c>
      <c r="D34" s="62" t="s">
        <v>29</v>
      </c>
      <c r="E34" s="62" t="s">
        <v>30</v>
      </c>
      <c r="F34" s="62">
        <v>2025</v>
      </c>
      <c r="G34" s="62">
        <v>90</v>
      </c>
      <c r="H34" s="62" t="s">
        <v>218</v>
      </c>
      <c r="I34" s="62">
        <v>3</v>
      </c>
      <c r="J34" s="63" t="s">
        <v>32</v>
      </c>
      <c r="K34" s="64"/>
      <c r="L34" s="62" t="s">
        <v>33</v>
      </c>
      <c r="M34" s="62"/>
      <c r="N34" s="62"/>
      <c r="O34" s="62" t="s">
        <v>219</v>
      </c>
      <c r="P34" s="62" t="s">
        <v>220</v>
      </c>
      <c r="Q34" s="62" t="s">
        <v>229</v>
      </c>
      <c r="R34" s="62" t="s">
        <v>229</v>
      </c>
      <c r="S34" s="62" t="s">
        <v>230</v>
      </c>
      <c r="T34" s="62">
        <v>100</v>
      </c>
      <c r="U34" s="62" t="s">
        <v>676</v>
      </c>
      <c r="V34" s="140" t="s">
        <v>39</v>
      </c>
      <c r="W34" s="140" t="s">
        <v>124</v>
      </c>
      <c r="X34" s="62" t="s">
        <v>41</v>
      </c>
      <c r="Y34" s="62" t="s">
        <v>42</v>
      </c>
      <c r="Z34" s="101"/>
      <c r="AA34" s="66" t="s">
        <v>57</v>
      </c>
      <c r="AB34" s="99" t="s">
        <v>231</v>
      </c>
      <c r="AC34" s="68" t="str">
        <f t="shared" ref="AC34:AC62" ca="1" si="5">IF(AA34="Abierta", DATE(LEFT(W34,4), MID(W34,6,2), RIGHT(W34,2)) - TODAY(), "")</f>
        <v/>
      </c>
      <c r="AD34" s="69">
        <f t="shared" ref="AD34:AD62" ca="1" si="6">IF(AND($AA34="Abierta", $AC34&lt;=10, $AC34&gt;0), 1, 0)</f>
        <v>0</v>
      </c>
      <c r="AE34" s="69">
        <f t="shared" ref="AE34:AE62" ca="1" si="7">IF(AND($AA34="Abierta", $AC34&lt;=20, $AC34&gt;10), 1, 0)</f>
        <v>0</v>
      </c>
      <c r="AF34" s="69">
        <f t="shared" ca="1" si="3"/>
        <v>0</v>
      </c>
      <c r="AG34" s="69">
        <f t="shared" ca="1" si="4"/>
        <v>0</v>
      </c>
      <c r="AH34" s="96" t="s">
        <v>658</v>
      </c>
      <c r="AI34" s="100">
        <v>46111</v>
      </c>
      <c r="AJ34" s="100">
        <v>46112</v>
      </c>
    </row>
    <row r="35" spans="1:36" ht="148.19999999999999">
      <c r="A35" s="61">
        <v>281</v>
      </c>
      <c r="B35" s="62" t="s">
        <v>27</v>
      </c>
      <c r="C35" s="62" t="s">
        <v>28</v>
      </c>
      <c r="D35" s="62" t="s">
        <v>29</v>
      </c>
      <c r="E35" s="62" t="s">
        <v>30</v>
      </c>
      <c r="F35" s="62">
        <v>2025</v>
      </c>
      <c r="G35" s="62">
        <v>90</v>
      </c>
      <c r="H35" s="62" t="s">
        <v>232</v>
      </c>
      <c r="I35" s="62">
        <v>1</v>
      </c>
      <c r="J35" s="63" t="s">
        <v>32</v>
      </c>
      <c r="K35" s="64"/>
      <c r="L35" s="62" t="s">
        <v>33</v>
      </c>
      <c r="M35" s="62"/>
      <c r="N35" s="62"/>
      <c r="O35" s="62" t="s">
        <v>233</v>
      </c>
      <c r="P35" s="62" t="s">
        <v>234</v>
      </c>
      <c r="Q35" s="62" t="s">
        <v>235</v>
      </c>
      <c r="R35" s="62" t="s">
        <v>236</v>
      </c>
      <c r="S35" s="62" t="s">
        <v>237</v>
      </c>
      <c r="T35" s="62">
        <v>100</v>
      </c>
      <c r="U35" s="62" t="s">
        <v>678</v>
      </c>
      <c r="V35" s="140" t="s">
        <v>39</v>
      </c>
      <c r="W35" s="140" t="s">
        <v>40</v>
      </c>
      <c r="X35" s="62" t="s">
        <v>41</v>
      </c>
      <c r="Y35" s="62" t="s">
        <v>42</v>
      </c>
      <c r="Z35" s="101" t="s">
        <v>799</v>
      </c>
      <c r="AA35" s="66" t="s">
        <v>57</v>
      </c>
      <c r="AB35" s="99" t="s">
        <v>238</v>
      </c>
      <c r="AC35" s="68" t="str">
        <f t="shared" ca="1" si="5"/>
        <v/>
      </c>
      <c r="AD35" s="69">
        <f t="shared" ca="1" si="6"/>
        <v>0</v>
      </c>
      <c r="AE35" s="69">
        <f t="shared" ca="1" si="7"/>
        <v>0</v>
      </c>
      <c r="AF35" s="69">
        <f t="shared" ca="1" si="3"/>
        <v>0</v>
      </c>
      <c r="AG35" s="69">
        <f t="shared" ca="1" si="4"/>
        <v>0</v>
      </c>
      <c r="AH35" s="96" t="s">
        <v>667</v>
      </c>
      <c r="AI35" s="69"/>
      <c r="AJ35" s="69"/>
    </row>
    <row r="36" spans="1:36" ht="136.80000000000001">
      <c r="A36" s="61">
        <v>181</v>
      </c>
      <c r="B36" s="62" t="s">
        <v>239</v>
      </c>
      <c r="C36" s="62" t="s">
        <v>28</v>
      </c>
      <c r="D36" s="62" t="s">
        <v>29</v>
      </c>
      <c r="E36" s="62" t="s">
        <v>30</v>
      </c>
      <c r="F36" s="62">
        <v>2024</v>
      </c>
      <c r="G36" s="62">
        <v>90</v>
      </c>
      <c r="H36" s="62" t="s">
        <v>240</v>
      </c>
      <c r="I36" s="63">
        <v>1</v>
      </c>
      <c r="J36" s="63" t="s">
        <v>32</v>
      </c>
      <c r="K36" s="64"/>
      <c r="L36" s="62" t="s">
        <v>241</v>
      </c>
      <c r="M36" s="62"/>
      <c r="N36" s="62"/>
      <c r="O36" s="62" t="s">
        <v>242</v>
      </c>
      <c r="P36" s="62" t="s">
        <v>243</v>
      </c>
      <c r="Q36" s="62" t="s">
        <v>244</v>
      </c>
      <c r="R36" s="62" t="s">
        <v>245</v>
      </c>
      <c r="S36" s="62" t="s">
        <v>246</v>
      </c>
      <c r="T36" s="62">
        <v>100</v>
      </c>
      <c r="U36" s="62" t="s">
        <v>674</v>
      </c>
      <c r="V36" s="140" t="s">
        <v>247</v>
      </c>
      <c r="W36" s="140" t="s">
        <v>248</v>
      </c>
      <c r="X36" s="62" t="s">
        <v>41</v>
      </c>
      <c r="Y36" s="63" t="s">
        <v>42</v>
      </c>
      <c r="Z36" s="132" t="s">
        <v>249</v>
      </c>
      <c r="AA36" s="73" t="s">
        <v>57</v>
      </c>
      <c r="AB36" s="74" t="s">
        <v>250</v>
      </c>
      <c r="AC36" s="68" t="str">
        <f t="shared" ca="1" si="5"/>
        <v/>
      </c>
      <c r="AD36" s="69">
        <f t="shared" ca="1" si="6"/>
        <v>0</v>
      </c>
      <c r="AE36" s="69">
        <f t="shared" ca="1" si="7"/>
        <v>0</v>
      </c>
      <c r="AF36" s="69">
        <f t="shared" ca="1" si="3"/>
        <v>0</v>
      </c>
      <c r="AG36" s="69">
        <f t="shared" ca="1" si="4"/>
        <v>0</v>
      </c>
      <c r="AH36" s="93" t="s">
        <v>654</v>
      </c>
      <c r="AI36" s="69"/>
      <c r="AJ36" s="69"/>
    </row>
    <row r="37" spans="1:36" ht="91.2">
      <c r="A37" s="61">
        <v>182</v>
      </c>
      <c r="B37" s="62" t="s">
        <v>239</v>
      </c>
      <c r="C37" s="62" t="s">
        <v>28</v>
      </c>
      <c r="D37" s="62" t="s">
        <v>29</v>
      </c>
      <c r="E37" s="62" t="s">
        <v>30</v>
      </c>
      <c r="F37" s="62">
        <v>2024</v>
      </c>
      <c r="G37" s="62">
        <v>90</v>
      </c>
      <c r="H37" s="62" t="s">
        <v>240</v>
      </c>
      <c r="I37" s="63">
        <v>2</v>
      </c>
      <c r="J37" s="63" t="s">
        <v>32</v>
      </c>
      <c r="K37" s="64"/>
      <c r="L37" s="62" t="s">
        <v>241</v>
      </c>
      <c r="M37" s="62"/>
      <c r="N37" s="62"/>
      <c r="O37" s="62" t="s">
        <v>242</v>
      </c>
      <c r="P37" s="62" t="s">
        <v>243</v>
      </c>
      <c r="Q37" s="62" t="s">
        <v>251</v>
      </c>
      <c r="R37" s="62" t="s">
        <v>252</v>
      </c>
      <c r="S37" s="62" t="s">
        <v>253</v>
      </c>
      <c r="T37" s="62">
        <v>100</v>
      </c>
      <c r="U37" s="62" t="s">
        <v>681</v>
      </c>
      <c r="V37" s="140" t="s">
        <v>247</v>
      </c>
      <c r="W37" s="140" t="s">
        <v>248</v>
      </c>
      <c r="X37" s="62" t="s">
        <v>41</v>
      </c>
      <c r="Y37" s="63" t="s">
        <v>42</v>
      </c>
      <c r="Z37" s="132" t="s">
        <v>254</v>
      </c>
      <c r="AA37" s="73" t="s">
        <v>57</v>
      </c>
      <c r="AB37" s="75" t="s">
        <v>255</v>
      </c>
      <c r="AC37" s="68" t="str">
        <f t="shared" ca="1" si="5"/>
        <v/>
      </c>
      <c r="AD37" s="69">
        <f t="shared" ca="1" si="6"/>
        <v>0</v>
      </c>
      <c r="AE37" s="69">
        <f t="shared" ca="1" si="7"/>
        <v>0</v>
      </c>
      <c r="AF37" s="69">
        <f t="shared" ca="1" si="3"/>
        <v>0</v>
      </c>
      <c r="AG37" s="69">
        <f t="shared" ca="1" si="4"/>
        <v>0</v>
      </c>
      <c r="AH37" s="94"/>
      <c r="AI37" s="69"/>
      <c r="AJ37" s="69"/>
    </row>
    <row r="38" spans="1:36" ht="125.4">
      <c r="A38" s="61">
        <v>183</v>
      </c>
      <c r="B38" s="62" t="s">
        <v>239</v>
      </c>
      <c r="C38" s="62" t="s">
        <v>28</v>
      </c>
      <c r="D38" s="62" t="s">
        <v>29</v>
      </c>
      <c r="E38" s="62" t="s">
        <v>30</v>
      </c>
      <c r="F38" s="62">
        <v>2024</v>
      </c>
      <c r="G38" s="62">
        <v>90</v>
      </c>
      <c r="H38" s="62" t="s">
        <v>240</v>
      </c>
      <c r="I38" s="63">
        <v>3</v>
      </c>
      <c r="J38" s="63" t="s">
        <v>32</v>
      </c>
      <c r="K38" s="64"/>
      <c r="L38" s="62" t="s">
        <v>241</v>
      </c>
      <c r="M38" s="62"/>
      <c r="N38" s="62"/>
      <c r="O38" s="62" t="s">
        <v>242</v>
      </c>
      <c r="P38" s="62" t="s">
        <v>243</v>
      </c>
      <c r="Q38" s="62" t="s">
        <v>256</v>
      </c>
      <c r="R38" s="62" t="s">
        <v>257</v>
      </c>
      <c r="S38" s="62" t="s">
        <v>258</v>
      </c>
      <c r="T38" s="62">
        <v>100</v>
      </c>
      <c r="U38" s="62" t="s">
        <v>679</v>
      </c>
      <c r="V38" s="140" t="s">
        <v>247</v>
      </c>
      <c r="W38" s="142" t="s">
        <v>259</v>
      </c>
      <c r="X38" s="62" t="s">
        <v>41</v>
      </c>
      <c r="Y38" s="63" t="s">
        <v>42</v>
      </c>
      <c r="Z38" s="132" t="s">
        <v>260</v>
      </c>
      <c r="AA38" s="73" t="s">
        <v>57</v>
      </c>
      <c r="AB38" s="75" t="s">
        <v>261</v>
      </c>
      <c r="AC38" s="68" t="str">
        <f t="shared" ca="1" si="5"/>
        <v/>
      </c>
      <c r="AD38" s="69">
        <f t="shared" ca="1" si="6"/>
        <v>0</v>
      </c>
      <c r="AE38" s="69">
        <f t="shared" ca="1" si="7"/>
        <v>0</v>
      </c>
      <c r="AF38" s="69">
        <f t="shared" ca="1" si="3"/>
        <v>0</v>
      </c>
      <c r="AG38" s="69">
        <f t="shared" ca="1" si="4"/>
        <v>0</v>
      </c>
      <c r="AH38" s="94"/>
      <c r="AI38" s="69"/>
      <c r="AJ38" s="69"/>
    </row>
    <row r="39" spans="1:36" ht="148.19999999999999">
      <c r="A39" s="165">
        <v>189</v>
      </c>
      <c r="B39" s="77" t="s">
        <v>239</v>
      </c>
      <c r="C39" s="77" t="s">
        <v>28</v>
      </c>
      <c r="D39" s="77" t="s">
        <v>29</v>
      </c>
      <c r="E39" s="77" t="s">
        <v>30</v>
      </c>
      <c r="F39" s="77">
        <v>2024</v>
      </c>
      <c r="G39" s="77">
        <v>90</v>
      </c>
      <c r="H39" s="77" t="s">
        <v>262</v>
      </c>
      <c r="I39" s="166">
        <v>1</v>
      </c>
      <c r="J39" s="78" t="s">
        <v>32</v>
      </c>
      <c r="K39" s="79"/>
      <c r="L39" s="76" t="s">
        <v>241</v>
      </c>
      <c r="M39" s="76"/>
      <c r="N39" s="76"/>
      <c r="O39" s="77" t="s">
        <v>263</v>
      </c>
      <c r="P39" s="77" t="s">
        <v>264</v>
      </c>
      <c r="Q39" s="77" t="s">
        <v>265</v>
      </c>
      <c r="R39" s="76" t="s">
        <v>266</v>
      </c>
      <c r="S39" s="76" t="s">
        <v>267</v>
      </c>
      <c r="T39" s="76">
        <v>100</v>
      </c>
      <c r="U39" s="77" t="s">
        <v>698</v>
      </c>
      <c r="V39" s="146" t="s">
        <v>247</v>
      </c>
      <c r="W39" s="146" t="s">
        <v>268</v>
      </c>
      <c r="X39" s="77" t="s">
        <v>41</v>
      </c>
      <c r="Y39" s="166" t="s">
        <v>42</v>
      </c>
      <c r="Z39" s="148" t="s">
        <v>269</v>
      </c>
      <c r="AA39" s="149" t="s">
        <v>177</v>
      </c>
      <c r="AB39" s="167" t="s">
        <v>270</v>
      </c>
      <c r="AC39" s="151" t="str">
        <f t="shared" ca="1" si="5"/>
        <v/>
      </c>
      <c r="AD39" s="152">
        <f t="shared" ca="1" si="6"/>
        <v>0</v>
      </c>
      <c r="AE39" s="152">
        <f t="shared" ca="1" si="7"/>
        <v>0</v>
      </c>
      <c r="AF39" s="152">
        <f t="shared" ca="1" si="3"/>
        <v>0</v>
      </c>
      <c r="AG39" s="152">
        <f t="shared" ca="1" si="4"/>
        <v>0</v>
      </c>
      <c r="AH39" s="153" t="s">
        <v>664</v>
      </c>
      <c r="AI39" s="152"/>
      <c r="AJ39" s="69"/>
    </row>
    <row r="40" spans="1:36" ht="159.6">
      <c r="A40" s="61">
        <v>190</v>
      </c>
      <c r="B40" s="62" t="s">
        <v>239</v>
      </c>
      <c r="C40" s="62" t="s">
        <v>28</v>
      </c>
      <c r="D40" s="62" t="s">
        <v>29</v>
      </c>
      <c r="E40" s="62" t="s">
        <v>30</v>
      </c>
      <c r="F40" s="62">
        <v>2024</v>
      </c>
      <c r="G40" s="62">
        <v>90</v>
      </c>
      <c r="H40" s="62" t="s">
        <v>262</v>
      </c>
      <c r="I40" s="63">
        <v>2</v>
      </c>
      <c r="J40" s="63" t="s">
        <v>32</v>
      </c>
      <c r="K40" s="64"/>
      <c r="L40" s="62" t="s">
        <v>241</v>
      </c>
      <c r="M40" s="62"/>
      <c r="N40" s="62"/>
      <c r="O40" s="62" t="s">
        <v>263</v>
      </c>
      <c r="P40" s="62" t="s">
        <v>271</v>
      </c>
      <c r="Q40" s="62" t="s">
        <v>272</v>
      </c>
      <c r="R40" s="62" t="s">
        <v>273</v>
      </c>
      <c r="S40" s="62" t="s">
        <v>274</v>
      </c>
      <c r="T40" s="62">
        <v>100</v>
      </c>
      <c r="U40" s="62" t="s">
        <v>682</v>
      </c>
      <c r="V40" s="140" t="s">
        <v>247</v>
      </c>
      <c r="W40" s="140" t="s">
        <v>276</v>
      </c>
      <c r="X40" s="62" t="s">
        <v>41</v>
      </c>
      <c r="Y40" s="63" t="s">
        <v>42</v>
      </c>
      <c r="Z40" s="133" t="s">
        <v>277</v>
      </c>
      <c r="AA40" s="73" t="s">
        <v>57</v>
      </c>
      <c r="AB40" s="75" t="s">
        <v>270</v>
      </c>
      <c r="AC40" s="68" t="str">
        <f t="shared" ca="1" si="5"/>
        <v/>
      </c>
      <c r="AD40" s="69">
        <f t="shared" ca="1" si="6"/>
        <v>0</v>
      </c>
      <c r="AE40" s="69">
        <f t="shared" ca="1" si="7"/>
        <v>0</v>
      </c>
      <c r="AF40" s="69">
        <f t="shared" ca="1" si="3"/>
        <v>0</v>
      </c>
      <c r="AG40" s="69">
        <f t="shared" ca="1" si="4"/>
        <v>0</v>
      </c>
      <c r="AH40" s="94"/>
      <c r="AI40" s="69"/>
      <c r="AJ40" s="69"/>
    </row>
    <row r="41" spans="1:36" ht="102.6">
      <c r="A41" s="80">
        <v>191</v>
      </c>
      <c r="B41" s="62" t="s">
        <v>239</v>
      </c>
      <c r="C41" s="62" t="s">
        <v>28</v>
      </c>
      <c r="D41" s="62" t="s">
        <v>29</v>
      </c>
      <c r="E41" s="62" t="s">
        <v>30</v>
      </c>
      <c r="F41" s="62">
        <v>2024</v>
      </c>
      <c r="G41" s="62">
        <v>90</v>
      </c>
      <c r="H41" s="62" t="s">
        <v>262</v>
      </c>
      <c r="I41" s="63">
        <v>3</v>
      </c>
      <c r="J41" s="63" t="s">
        <v>32</v>
      </c>
      <c r="K41" s="64"/>
      <c r="L41" s="62" t="s">
        <v>241</v>
      </c>
      <c r="M41" s="62"/>
      <c r="N41" s="62"/>
      <c r="O41" s="62" t="s">
        <v>263</v>
      </c>
      <c r="P41" s="62" t="s">
        <v>278</v>
      </c>
      <c r="Q41" s="62" t="s">
        <v>279</v>
      </c>
      <c r="R41" s="62" t="s">
        <v>280</v>
      </c>
      <c r="S41" s="62" t="s">
        <v>281</v>
      </c>
      <c r="T41" s="62">
        <v>100</v>
      </c>
      <c r="U41" s="62" t="s">
        <v>676</v>
      </c>
      <c r="V41" s="140" t="s">
        <v>247</v>
      </c>
      <c r="W41" s="140" t="s">
        <v>282</v>
      </c>
      <c r="X41" s="62" t="s">
        <v>41</v>
      </c>
      <c r="Y41" s="63" t="s">
        <v>42</v>
      </c>
      <c r="Z41" s="133" t="s">
        <v>283</v>
      </c>
      <c r="AA41" s="66" t="s">
        <v>57</v>
      </c>
      <c r="AB41" s="75" t="s">
        <v>284</v>
      </c>
      <c r="AC41" s="68" t="str">
        <f t="shared" ca="1" si="5"/>
        <v/>
      </c>
      <c r="AD41" s="69">
        <f t="shared" ca="1" si="6"/>
        <v>0</v>
      </c>
      <c r="AE41" s="69">
        <f t="shared" ca="1" si="7"/>
        <v>0</v>
      </c>
      <c r="AF41" s="69">
        <f t="shared" ca="1" si="3"/>
        <v>0</v>
      </c>
      <c r="AG41" s="69">
        <f t="shared" ca="1" si="4"/>
        <v>0</v>
      </c>
      <c r="AH41" s="93" t="s">
        <v>658</v>
      </c>
      <c r="AI41" s="69"/>
      <c r="AJ41" s="69"/>
    </row>
    <row r="42" spans="1:36" ht="125.4">
      <c r="A42" s="61">
        <v>194</v>
      </c>
      <c r="B42" s="62" t="s">
        <v>239</v>
      </c>
      <c r="C42" s="62" t="s">
        <v>28</v>
      </c>
      <c r="D42" s="62" t="s">
        <v>29</v>
      </c>
      <c r="E42" s="62" t="s">
        <v>30</v>
      </c>
      <c r="F42" s="62">
        <v>2024</v>
      </c>
      <c r="G42" s="62">
        <v>90</v>
      </c>
      <c r="H42" s="62" t="s">
        <v>285</v>
      </c>
      <c r="I42" s="63">
        <v>1</v>
      </c>
      <c r="J42" s="63" t="s">
        <v>32</v>
      </c>
      <c r="K42" s="64"/>
      <c r="L42" s="62" t="s">
        <v>241</v>
      </c>
      <c r="M42" s="62"/>
      <c r="N42" s="62"/>
      <c r="O42" s="62" t="s">
        <v>286</v>
      </c>
      <c r="P42" s="62" t="s">
        <v>287</v>
      </c>
      <c r="Q42" s="62" t="s">
        <v>288</v>
      </c>
      <c r="R42" s="62" t="s">
        <v>289</v>
      </c>
      <c r="S42" s="62" t="s">
        <v>290</v>
      </c>
      <c r="T42" s="62">
        <v>100</v>
      </c>
      <c r="U42" s="62" t="s">
        <v>674</v>
      </c>
      <c r="V42" s="140" t="s">
        <v>247</v>
      </c>
      <c r="W42" s="140" t="s">
        <v>291</v>
      </c>
      <c r="X42" s="62" t="s">
        <v>41</v>
      </c>
      <c r="Y42" s="63" t="s">
        <v>42</v>
      </c>
      <c r="Z42" s="132" t="s">
        <v>292</v>
      </c>
      <c r="AA42" s="73" t="s">
        <v>57</v>
      </c>
      <c r="AB42" s="74" t="s">
        <v>293</v>
      </c>
      <c r="AC42" s="68" t="str">
        <f t="shared" ca="1" si="5"/>
        <v/>
      </c>
      <c r="AD42" s="69">
        <f t="shared" ca="1" si="6"/>
        <v>0</v>
      </c>
      <c r="AE42" s="69">
        <f t="shared" ca="1" si="7"/>
        <v>0</v>
      </c>
      <c r="AF42" s="69">
        <f t="shared" ca="1" si="3"/>
        <v>0</v>
      </c>
      <c r="AG42" s="69">
        <f t="shared" ca="1" si="4"/>
        <v>0</v>
      </c>
      <c r="AH42" s="93" t="s">
        <v>654</v>
      </c>
      <c r="AI42" s="69"/>
      <c r="AJ42" s="69"/>
    </row>
    <row r="43" spans="1:36" ht="148.19999999999999">
      <c r="A43" s="165">
        <v>195</v>
      </c>
      <c r="B43" s="77" t="s">
        <v>239</v>
      </c>
      <c r="C43" s="77" t="s">
        <v>28</v>
      </c>
      <c r="D43" s="77" t="s">
        <v>29</v>
      </c>
      <c r="E43" s="77" t="s">
        <v>30</v>
      </c>
      <c r="F43" s="77">
        <v>2024</v>
      </c>
      <c r="G43" s="77">
        <v>90</v>
      </c>
      <c r="H43" s="77" t="s">
        <v>285</v>
      </c>
      <c r="I43" s="166">
        <v>2</v>
      </c>
      <c r="J43" s="82" t="s">
        <v>32</v>
      </c>
      <c r="K43" s="83"/>
      <c r="L43" s="81" t="s">
        <v>241</v>
      </c>
      <c r="M43" s="81"/>
      <c r="N43" s="81"/>
      <c r="O43" s="77" t="s">
        <v>286</v>
      </c>
      <c r="P43" s="77" t="s">
        <v>294</v>
      </c>
      <c r="Q43" s="77" t="s">
        <v>295</v>
      </c>
      <c r="R43" s="81" t="s">
        <v>266</v>
      </c>
      <c r="S43" s="81" t="s">
        <v>296</v>
      </c>
      <c r="T43" s="81">
        <v>100</v>
      </c>
      <c r="U43" s="77" t="s">
        <v>698</v>
      </c>
      <c r="V43" s="146" t="s">
        <v>247</v>
      </c>
      <c r="W43" s="146" t="s">
        <v>268</v>
      </c>
      <c r="X43" s="77" t="s">
        <v>41</v>
      </c>
      <c r="Y43" s="166" t="s">
        <v>42</v>
      </c>
      <c r="Z43" s="148" t="s">
        <v>269</v>
      </c>
      <c r="AA43" s="149" t="s">
        <v>177</v>
      </c>
      <c r="AB43" s="167" t="s">
        <v>293</v>
      </c>
      <c r="AC43" s="151" t="str">
        <f t="shared" ca="1" si="5"/>
        <v/>
      </c>
      <c r="AD43" s="152">
        <f t="shared" ca="1" si="6"/>
        <v>0</v>
      </c>
      <c r="AE43" s="152">
        <f t="shared" ca="1" si="7"/>
        <v>0</v>
      </c>
      <c r="AF43" s="152">
        <f t="shared" ca="1" si="3"/>
        <v>0</v>
      </c>
      <c r="AG43" s="152">
        <f t="shared" ca="1" si="4"/>
        <v>0</v>
      </c>
      <c r="AH43" s="153" t="s">
        <v>664</v>
      </c>
      <c r="AI43" s="152"/>
      <c r="AJ43" s="69"/>
    </row>
    <row r="44" spans="1:36" ht="216.6">
      <c r="A44" s="61">
        <v>214</v>
      </c>
      <c r="B44" s="62" t="s">
        <v>239</v>
      </c>
      <c r="C44" s="62" t="s">
        <v>28</v>
      </c>
      <c r="D44" s="62" t="s">
        <v>29</v>
      </c>
      <c r="E44" s="62" t="s">
        <v>30</v>
      </c>
      <c r="F44" s="62">
        <v>2024</v>
      </c>
      <c r="G44" s="62">
        <v>90</v>
      </c>
      <c r="H44" s="62" t="s">
        <v>297</v>
      </c>
      <c r="I44" s="63">
        <v>1</v>
      </c>
      <c r="J44" s="63" t="s">
        <v>32</v>
      </c>
      <c r="K44" s="64"/>
      <c r="L44" s="62" t="s">
        <v>241</v>
      </c>
      <c r="M44" s="62"/>
      <c r="N44" s="62"/>
      <c r="O44" s="62" t="s">
        <v>298</v>
      </c>
      <c r="P44" s="62" t="s">
        <v>299</v>
      </c>
      <c r="Q44" s="62" t="s">
        <v>300</v>
      </c>
      <c r="R44" s="62" t="s">
        <v>301</v>
      </c>
      <c r="S44" s="62" t="s">
        <v>302</v>
      </c>
      <c r="T44" s="62">
        <v>100</v>
      </c>
      <c r="U44" s="62" t="s">
        <v>683</v>
      </c>
      <c r="V44" s="140" t="s">
        <v>247</v>
      </c>
      <c r="W44" s="140" t="s">
        <v>303</v>
      </c>
      <c r="X44" s="62" t="s">
        <v>41</v>
      </c>
      <c r="Y44" s="63" t="s">
        <v>42</v>
      </c>
      <c r="Z44" s="133" t="s">
        <v>304</v>
      </c>
      <c r="AA44" s="73" t="s">
        <v>57</v>
      </c>
      <c r="AB44" s="75" t="s">
        <v>305</v>
      </c>
      <c r="AC44" s="68" t="str">
        <f t="shared" ca="1" si="5"/>
        <v/>
      </c>
      <c r="AD44" s="69">
        <f t="shared" ca="1" si="6"/>
        <v>0</v>
      </c>
      <c r="AE44" s="69">
        <f t="shared" ca="1" si="7"/>
        <v>0</v>
      </c>
      <c r="AF44" s="69">
        <f t="shared" ca="1" si="3"/>
        <v>0</v>
      </c>
      <c r="AG44" s="69">
        <f t="shared" ca="1" si="4"/>
        <v>0</v>
      </c>
      <c r="AH44" s="94"/>
      <c r="AI44" s="69"/>
      <c r="AJ44" s="69"/>
    </row>
    <row r="45" spans="1:36" ht="125.4">
      <c r="A45" s="85">
        <v>215</v>
      </c>
      <c r="B45" s="86" t="s">
        <v>239</v>
      </c>
      <c r="C45" s="86" t="s">
        <v>28</v>
      </c>
      <c r="D45" s="86" t="s">
        <v>29</v>
      </c>
      <c r="E45" s="86" t="s">
        <v>30</v>
      </c>
      <c r="F45" s="86">
        <v>2024</v>
      </c>
      <c r="G45" s="86">
        <v>90</v>
      </c>
      <c r="H45" s="86" t="s">
        <v>297</v>
      </c>
      <c r="I45" s="87">
        <v>2</v>
      </c>
      <c r="J45" s="87" t="s">
        <v>32</v>
      </c>
      <c r="K45" s="88"/>
      <c r="L45" s="86" t="s">
        <v>241</v>
      </c>
      <c r="M45" s="86"/>
      <c r="N45" s="86"/>
      <c r="O45" s="86" t="s">
        <v>298</v>
      </c>
      <c r="P45" s="86" t="s">
        <v>299</v>
      </c>
      <c r="Q45" s="86" t="s">
        <v>306</v>
      </c>
      <c r="R45" s="86" t="s">
        <v>307</v>
      </c>
      <c r="S45" s="86" t="s">
        <v>308</v>
      </c>
      <c r="T45" s="86">
        <v>100</v>
      </c>
      <c r="U45" s="86" t="s">
        <v>683</v>
      </c>
      <c r="V45" s="143" t="s">
        <v>247</v>
      </c>
      <c r="W45" s="143" t="s">
        <v>309</v>
      </c>
      <c r="X45" s="86" t="s">
        <v>41</v>
      </c>
      <c r="Y45" s="87" t="s">
        <v>42</v>
      </c>
      <c r="Z45" s="134" t="s">
        <v>310</v>
      </c>
      <c r="AA45" s="89" t="s">
        <v>57</v>
      </c>
      <c r="AB45" s="90" t="s">
        <v>305</v>
      </c>
      <c r="AC45" s="68" t="str">
        <f t="shared" ca="1" si="5"/>
        <v/>
      </c>
      <c r="AD45" s="69">
        <f t="shared" ca="1" si="6"/>
        <v>0</v>
      </c>
      <c r="AE45" s="69">
        <f t="shared" ca="1" si="7"/>
        <v>0</v>
      </c>
      <c r="AF45" s="69">
        <f t="shared" ca="1" si="3"/>
        <v>0</v>
      </c>
      <c r="AG45" s="69">
        <f t="shared" ca="1" si="4"/>
        <v>0</v>
      </c>
      <c r="AH45" s="94"/>
      <c r="AI45" s="69"/>
      <c r="AJ45" s="69"/>
    </row>
    <row r="46" spans="1:36" ht="102.6">
      <c r="A46" s="80">
        <v>216</v>
      </c>
      <c r="B46" s="62" t="s">
        <v>239</v>
      </c>
      <c r="C46" s="62" t="s">
        <v>28</v>
      </c>
      <c r="D46" s="62" t="s">
        <v>29</v>
      </c>
      <c r="E46" s="62" t="s">
        <v>30</v>
      </c>
      <c r="F46" s="62">
        <v>2024</v>
      </c>
      <c r="G46" s="62">
        <v>90</v>
      </c>
      <c r="H46" s="62" t="s">
        <v>311</v>
      </c>
      <c r="I46" s="63">
        <v>1</v>
      </c>
      <c r="J46" s="63" t="s">
        <v>32</v>
      </c>
      <c r="K46" s="64"/>
      <c r="L46" s="62" t="s">
        <v>241</v>
      </c>
      <c r="M46" s="62"/>
      <c r="N46" s="62"/>
      <c r="O46" s="62" t="s">
        <v>312</v>
      </c>
      <c r="P46" s="62" t="s">
        <v>313</v>
      </c>
      <c r="Q46" s="62" t="s">
        <v>314</v>
      </c>
      <c r="R46" s="62" t="s">
        <v>315</v>
      </c>
      <c r="S46" s="62" t="s">
        <v>316</v>
      </c>
      <c r="T46" s="62">
        <v>100</v>
      </c>
      <c r="U46" s="62" t="s">
        <v>682</v>
      </c>
      <c r="V46" s="140" t="s">
        <v>247</v>
      </c>
      <c r="W46" s="140" t="s">
        <v>282</v>
      </c>
      <c r="X46" s="62" t="s">
        <v>41</v>
      </c>
      <c r="Y46" s="63" t="s">
        <v>42</v>
      </c>
      <c r="Z46" s="132" t="s">
        <v>317</v>
      </c>
      <c r="AA46" s="66" t="s">
        <v>57</v>
      </c>
      <c r="AB46" s="75" t="s">
        <v>318</v>
      </c>
      <c r="AC46" s="68" t="str">
        <f t="shared" ca="1" si="5"/>
        <v/>
      </c>
      <c r="AD46" s="69">
        <f t="shared" ca="1" si="6"/>
        <v>0</v>
      </c>
      <c r="AE46" s="69">
        <f t="shared" ca="1" si="7"/>
        <v>0</v>
      </c>
      <c r="AF46" s="69">
        <f t="shared" ca="1" si="3"/>
        <v>0</v>
      </c>
      <c r="AG46" s="69">
        <f t="shared" ca="1" si="4"/>
        <v>0</v>
      </c>
      <c r="AH46" s="94"/>
      <c r="AI46" s="69"/>
      <c r="AJ46" s="69"/>
    </row>
    <row r="47" spans="1:36" ht="182.4">
      <c r="A47" s="80">
        <v>217</v>
      </c>
      <c r="B47" s="62" t="s">
        <v>239</v>
      </c>
      <c r="C47" s="62" t="s">
        <v>28</v>
      </c>
      <c r="D47" s="62" t="s">
        <v>29</v>
      </c>
      <c r="E47" s="62" t="s">
        <v>30</v>
      </c>
      <c r="F47" s="62">
        <v>2024</v>
      </c>
      <c r="G47" s="62">
        <v>90</v>
      </c>
      <c r="H47" s="62" t="s">
        <v>311</v>
      </c>
      <c r="I47" s="63">
        <v>2</v>
      </c>
      <c r="J47" s="63" t="s">
        <v>32</v>
      </c>
      <c r="K47" s="64"/>
      <c r="L47" s="62" t="s">
        <v>241</v>
      </c>
      <c r="M47" s="62"/>
      <c r="N47" s="62"/>
      <c r="O47" s="62" t="s">
        <v>312</v>
      </c>
      <c r="P47" s="62" t="s">
        <v>313</v>
      </c>
      <c r="Q47" s="62" t="s">
        <v>319</v>
      </c>
      <c r="R47" s="62" t="s">
        <v>320</v>
      </c>
      <c r="S47" s="62" t="s">
        <v>321</v>
      </c>
      <c r="T47" s="62">
        <v>100</v>
      </c>
      <c r="U47" s="62" t="s">
        <v>682</v>
      </c>
      <c r="V47" s="140" t="s">
        <v>247</v>
      </c>
      <c r="W47" s="140" t="s">
        <v>282</v>
      </c>
      <c r="X47" s="62" t="s">
        <v>41</v>
      </c>
      <c r="Y47" s="63" t="s">
        <v>42</v>
      </c>
      <c r="Z47" s="132" t="s">
        <v>322</v>
      </c>
      <c r="AA47" s="66" t="s">
        <v>57</v>
      </c>
      <c r="AB47" s="75" t="s">
        <v>323</v>
      </c>
      <c r="AC47" s="68" t="str">
        <f t="shared" ca="1" si="5"/>
        <v/>
      </c>
      <c r="AD47" s="69">
        <f t="shared" ca="1" si="6"/>
        <v>0</v>
      </c>
      <c r="AE47" s="69">
        <f t="shared" ca="1" si="7"/>
        <v>0</v>
      </c>
      <c r="AF47" s="69">
        <f t="shared" ca="1" si="3"/>
        <v>0</v>
      </c>
      <c r="AG47" s="69">
        <f t="shared" ca="1" si="4"/>
        <v>0</v>
      </c>
      <c r="AH47" s="94"/>
      <c r="AI47" s="69"/>
      <c r="AJ47" s="69"/>
    </row>
    <row r="48" spans="1:36" ht="131.4" customHeight="1">
      <c r="A48" s="80">
        <v>218</v>
      </c>
      <c r="B48" s="62" t="s">
        <v>239</v>
      </c>
      <c r="C48" s="62" t="s">
        <v>28</v>
      </c>
      <c r="D48" s="62" t="s">
        <v>29</v>
      </c>
      <c r="E48" s="62" t="s">
        <v>30</v>
      </c>
      <c r="F48" s="62">
        <v>2024</v>
      </c>
      <c r="G48" s="62">
        <v>90</v>
      </c>
      <c r="H48" s="62" t="s">
        <v>311</v>
      </c>
      <c r="I48" s="63">
        <v>3</v>
      </c>
      <c r="J48" s="63" t="s">
        <v>32</v>
      </c>
      <c r="K48" s="64"/>
      <c r="L48" s="62" t="s">
        <v>241</v>
      </c>
      <c r="M48" s="62"/>
      <c r="N48" s="62"/>
      <c r="O48" s="62" t="s">
        <v>312</v>
      </c>
      <c r="P48" s="62" t="s">
        <v>324</v>
      </c>
      <c r="Q48" s="62" t="s">
        <v>325</v>
      </c>
      <c r="R48" s="62" t="s">
        <v>326</v>
      </c>
      <c r="S48" s="62" t="s">
        <v>327</v>
      </c>
      <c r="T48" s="62">
        <v>100</v>
      </c>
      <c r="U48" s="62" t="s">
        <v>682</v>
      </c>
      <c r="V48" s="140" t="s">
        <v>247</v>
      </c>
      <c r="W48" s="140" t="s">
        <v>282</v>
      </c>
      <c r="X48" s="62" t="s">
        <v>41</v>
      </c>
      <c r="Y48" s="63" t="s">
        <v>42</v>
      </c>
      <c r="Z48" s="132" t="s">
        <v>739</v>
      </c>
      <c r="AA48" s="66" t="s">
        <v>57</v>
      </c>
      <c r="AB48" s="97" t="s">
        <v>328</v>
      </c>
      <c r="AC48" s="68" t="str">
        <f t="shared" ca="1" si="5"/>
        <v/>
      </c>
      <c r="AD48" s="69">
        <f t="shared" ca="1" si="6"/>
        <v>0</v>
      </c>
      <c r="AE48" s="69">
        <f t="shared" ca="1" si="7"/>
        <v>0</v>
      </c>
      <c r="AF48" s="69">
        <f t="shared" ca="1" si="3"/>
        <v>0</v>
      </c>
      <c r="AG48" s="69">
        <f t="shared" ca="1" si="4"/>
        <v>0</v>
      </c>
      <c r="AH48" s="96" t="s">
        <v>665</v>
      </c>
      <c r="AI48" s="69"/>
      <c r="AJ48" s="69"/>
    </row>
    <row r="49" spans="1:36" ht="171">
      <c r="A49" s="61">
        <v>219</v>
      </c>
      <c r="B49" s="62" t="s">
        <v>239</v>
      </c>
      <c r="C49" s="62" t="s">
        <v>28</v>
      </c>
      <c r="D49" s="62" t="s">
        <v>29</v>
      </c>
      <c r="E49" s="62" t="s">
        <v>30</v>
      </c>
      <c r="F49" s="62">
        <v>2024</v>
      </c>
      <c r="G49" s="62">
        <v>90</v>
      </c>
      <c r="H49" s="62" t="s">
        <v>171</v>
      </c>
      <c r="I49" s="63">
        <v>1</v>
      </c>
      <c r="J49" s="63" t="s">
        <v>32</v>
      </c>
      <c r="K49" s="64"/>
      <c r="L49" s="62" t="s">
        <v>241</v>
      </c>
      <c r="M49" s="62"/>
      <c r="N49" s="62"/>
      <c r="O49" s="62" t="s">
        <v>329</v>
      </c>
      <c r="P49" s="62" t="s">
        <v>330</v>
      </c>
      <c r="Q49" s="76" t="s">
        <v>331</v>
      </c>
      <c r="R49" s="62" t="s">
        <v>332</v>
      </c>
      <c r="S49" s="62" t="s">
        <v>333</v>
      </c>
      <c r="T49" s="62">
        <v>100</v>
      </c>
      <c r="U49" s="62" t="s">
        <v>684</v>
      </c>
      <c r="V49" s="140" t="s">
        <v>247</v>
      </c>
      <c r="W49" s="140" t="s">
        <v>334</v>
      </c>
      <c r="X49" s="62" t="s">
        <v>41</v>
      </c>
      <c r="Y49" s="63" t="s">
        <v>42</v>
      </c>
      <c r="Z49" s="132" t="s">
        <v>335</v>
      </c>
      <c r="AA49" s="73" t="s">
        <v>57</v>
      </c>
      <c r="AB49" s="75" t="s">
        <v>336</v>
      </c>
      <c r="AC49" s="68" t="str">
        <f t="shared" ca="1" si="5"/>
        <v/>
      </c>
      <c r="AD49" s="69">
        <f t="shared" ca="1" si="6"/>
        <v>0</v>
      </c>
      <c r="AE49" s="69">
        <f t="shared" ca="1" si="7"/>
        <v>0</v>
      </c>
      <c r="AF49" s="69">
        <f t="shared" ca="1" si="3"/>
        <v>0</v>
      </c>
      <c r="AG49" s="69">
        <f t="shared" ca="1" si="4"/>
        <v>0</v>
      </c>
      <c r="AH49" s="94"/>
      <c r="AI49" s="69"/>
      <c r="AJ49" s="69"/>
    </row>
    <row r="50" spans="1:36" ht="205.2">
      <c r="A50" s="61">
        <v>220</v>
      </c>
      <c r="B50" s="62" t="s">
        <v>239</v>
      </c>
      <c r="C50" s="62" t="s">
        <v>28</v>
      </c>
      <c r="D50" s="62" t="s">
        <v>29</v>
      </c>
      <c r="E50" s="62" t="s">
        <v>30</v>
      </c>
      <c r="F50" s="62">
        <v>2024</v>
      </c>
      <c r="G50" s="62">
        <v>90</v>
      </c>
      <c r="H50" s="62" t="s">
        <v>171</v>
      </c>
      <c r="I50" s="63">
        <v>2</v>
      </c>
      <c r="J50" s="63" t="s">
        <v>32</v>
      </c>
      <c r="K50" s="64"/>
      <c r="L50" s="62" t="s">
        <v>241</v>
      </c>
      <c r="M50" s="62"/>
      <c r="N50" s="62"/>
      <c r="O50" s="62" t="s">
        <v>329</v>
      </c>
      <c r="P50" s="62" t="s">
        <v>330</v>
      </c>
      <c r="Q50" s="62" t="s">
        <v>337</v>
      </c>
      <c r="R50" s="62" t="s">
        <v>338</v>
      </c>
      <c r="S50" s="62" t="s">
        <v>339</v>
      </c>
      <c r="T50" s="62">
        <v>100</v>
      </c>
      <c r="U50" s="62" t="s">
        <v>684</v>
      </c>
      <c r="V50" s="140" t="s">
        <v>247</v>
      </c>
      <c r="W50" s="140" t="s">
        <v>334</v>
      </c>
      <c r="X50" s="62" t="s">
        <v>41</v>
      </c>
      <c r="Y50" s="63" t="s">
        <v>42</v>
      </c>
      <c r="Z50" s="132" t="s">
        <v>340</v>
      </c>
      <c r="AA50" s="73" t="s">
        <v>57</v>
      </c>
      <c r="AB50" s="75" t="s">
        <v>336</v>
      </c>
      <c r="AC50" s="68" t="str">
        <f t="shared" ca="1" si="5"/>
        <v/>
      </c>
      <c r="AD50" s="69">
        <f t="shared" ca="1" si="6"/>
        <v>0</v>
      </c>
      <c r="AE50" s="69">
        <f t="shared" ca="1" si="7"/>
        <v>0</v>
      </c>
      <c r="AF50" s="69">
        <f t="shared" ca="1" si="3"/>
        <v>0</v>
      </c>
      <c r="AG50" s="69">
        <f t="shared" ca="1" si="4"/>
        <v>0</v>
      </c>
      <c r="AH50" s="94"/>
      <c r="AI50" s="69"/>
      <c r="AJ50" s="69"/>
    </row>
    <row r="51" spans="1:36" ht="171">
      <c r="A51" s="61">
        <v>223</v>
      </c>
      <c r="B51" s="62" t="s">
        <v>239</v>
      </c>
      <c r="C51" s="62" t="s">
        <v>28</v>
      </c>
      <c r="D51" s="62" t="s">
        <v>29</v>
      </c>
      <c r="E51" s="62" t="s">
        <v>30</v>
      </c>
      <c r="F51" s="62">
        <v>2024</v>
      </c>
      <c r="G51" s="62">
        <v>90</v>
      </c>
      <c r="H51" s="86" t="s">
        <v>182</v>
      </c>
      <c r="I51" s="63">
        <v>1</v>
      </c>
      <c r="J51" s="63" t="s">
        <v>32</v>
      </c>
      <c r="K51" s="64"/>
      <c r="L51" s="62" t="s">
        <v>241</v>
      </c>
      <c r="M51" s="62"/>
      <c r="N51" s="62"/>
      <c r="O51" s="62" t="s">
        <v>341</v>
      </c>
      <c r="P51" s="62" t="s">
        <v>342</v>
      </c>
      <c r="Q51" s="62" t="s">
        <v>343</v>
      </c>
      <c r="R51" s="62" t="s">
        <v>211</v>
      </c>
      <c r="S51" s="62" t="s">
        <v>344</v>
      </c>
      <c r="T51" s="62">
        <v>100</v>
      </c>
      <c r="U51" s="62" t="s">
        <v>685</v>
      </c>
      <c r="V51" s="140" t="s">
        <v>247</v>
      </c>
      <c r="W51" s="140" t="s">
        <v>268</v>
      </c>
      <c r="X51" s="62" t="s">
        <v>41</v>
      </c>
      <c r="Y51" s="63" t="s">
        <v>42</v>
      </c>
      <c r="Z51" s="132" t="s">
        <v>345</v>
      </c>
      <c r="AA51" s="73" t="s">
        <v>57</v>
      </c>
      <c r="AB51" s="75" t="s">
        <v>346</v>
      </c>
      <c r="AC51" s="68" t="str">
        <f t="shared" ca="1" si="5"/>
        <v/>
      </c>
      <c r="AD51" s="69">
        <f t="shared" ca="1" si="6"/>
        <v>0</v>
      </c>
      <c r="AE51" s="69">
        <f t="shared" ca="1" si="7"/>
        <v>0</v>
      </c>
      <c r="AF51" s="69">
        <f t="shared" ca="1" si="3"/>
        <v>0</v>
      </c>
      <c r="AG51" s="69">
        <f t="shared" ca="1" si="4"/>
        <v>0</v>
      </c>
      <c r="AH51" s="94"/>
      <c r="AI51" s="69"/>
      <c r="AJ51" s="69"/>
    </row>
    <row r="52" spans="1:36" ht="125.4">
      <c r="A52" s="61">
        <v>226</v>
      </c>
      <c r="B52" s="62" t="s">
        <v>239</v>
      </c>
      <c r="C52" s="62" t="s">
        <v>28</v>
      </c>
      <c r="D52" s="62" t="s">
        <v>29</v>
      </c>
      <c r="E52" s="62" t="s">
        <v>30</v>
      </c>
      <c r="F52" s="62">
        <v>2024</v>
      </c>
      <c r="G52" s="62">
        <v>90</v>
      </c>
      <c r="H52" s="62" t="s">
        <v>193</v>
      </c>
      <c r="I52" s="63">
        <v>1</v>
      </c>
      <c r="J52" s="63" t="s">
        <v>32</v>
      </c>
      <c r="K52" s="64"/>
      <c r="L52" s="62" t="s">
        <v>241</v>
      </c>
      <c r="M52" s="62"/>
      <c r="N52" s="62"/>
      <c r="O52" s="62" t="s">
        <v>347</v>
      </c>
      <c r="P52" s="62" t="s">
        <v>348</v>
      </c>
      <c r="Q52" s="62" t="s">
        <v>349</v>
      </c>
      <c r="R52" s="62" t="s">
        <v>350</v>
      </c>
      <c r="S52" s="62" t="s">
        <v>350</v>
      </c>
      <c r="T52" s="62">
        <v>100</v>
      </c>
      <c r="U52" s="62" t="s">
        <v>682</v>
      </c>
      <c r="V52" s="140" t="s">
        <v>247</v>
      </c>
      <c r="W52" s="140" t="s">
        <v>291</v>
      </c>
      <c r="X52" s="62" t="s">
        <v>41</v>
      </c>
      <c r="Y52" s="63" t="s">
        <v>42</v>
      </c>
      <c r="Z52" s="132" t="s">
        <v>351</v>
      </c>
      <c r="AA52" s="73" t="s">
        <v>57</v>
      </c>
      <c r="AB52" s="75" t="s">
        <v>352</v>
      </c>
      <c r="AC52" s="68" t="str">
        <f t="shared" ca="1" si="5"/>
        <v/>
      </c>
      <c r="AD52" s="69">
        <f t="shared" ca="1" si="6"/>
        <v>0</v>
      </c>
      <c r="AE52" s="69">
        <f t="shared" ca="1" si="7"/>
        <v>0</v>
      </c>
      <c r="AF52" s="69">
        <f t="shared" ca="1" si="3"/>
        <v>0</v>
      </c>
      <c r="AG52" s="69">
        <f t="shared" ca="1" si="4"/>
        <v>0</v>
      </c>
      <c r="AH52" s="94"/>
      <c r="AI52" s="69"/>
      <c r="AJ52" s="69"/>
    </row>
    <row r="53" spans="1:36" ht="125.4">
      <c r="A53" s="61">
        <v>227</v>
      </c>
      <c r="B53" s="62" t="s">
        <v>239</v>
      </c>
      <c r="C53" s="62" t="s">
        <v>28</v>
      </c>
      <c r="D53" s="62" t="s">
        <v>29</v>
      </c>
      <c r="E53" s="62" t="s">
        <v>30</v>
      </c>
      <c r="F53" s="62">
        <v>2024</v>
      </c>
      <c r="G53" s="62">
        <v>90</v>
      </c>
      <c r="H53" s="62" t="s">
        <v>193</v>
      </c>
      <c r="I53" s="63">
        <v>2</v>
      </c>
      <c r="J53" s="63" t="s">
        <v>32</v>
      </c>
      <c r="K53" s="64"/>
      <c r="L53" s="62" t="s">
        <v>241</v>
      </c>
      <c r="M53" s="62"/>
      <c r="N53" s="62"/>
      <c r="O53" s="62" t="s">
        <v>347</v>
      </c>
      <c r="P53" s="62" t="s">
        <v>348</v>
      </c>
      <c r="Q53" s="62" t="s">
        <v>353</v>
      </c>
      <c r="R53" s="62" t="s">
        <v>354</v>
      </c>
      <c r="S53" s="62" t="s">
        <v>354</v>
      </c>
      <c r="T53" s="62">
        <v>100</v>
      </c>
      <c r="U53" s="62" t="s">
        <v>682</v>
      </c>
      <c r="V53" s="140" t="s">
        <v>247</v>
      </c>
      <c r="W53" s="140" t="s">
        <v>291</v>
      </c>
      <c r="X53" s="62" t="s">
        <v>41</v>
      </c>
      <c r="Y53" s="63" t="s">
        <v>42</v>
      </c>
      <c r="Z53" s="132" t="s">
        <v>355</v>
      </c>
      <c r="AA53" s="73" t="s">
        <v>57</v>
      </c>
      <c r="AB53" s="75" t="s">
        <v>356</v>
      </c>
      <c r="AC53" s="68" t="str">
        <f t="shared" ca="1" si="5"/>
        <v/>
      </c>
      <c r="AD53" s="69">
        <f t="shared" ca="1" si="6"/>
        <v>0</v>
      </c>
      <c r="AE53" s="69">
        <f t="shared" ca="1" si="7"/>
        <v>0</v>
      </c>
      <c r="AF53" s="69">
        <f t="shared" ca="1" si="3"/>
        <v>0</v>
      </c>
      <c r="AG53" s="69">
        <f t="shared" ca="1" si="4"/>
        <v>0</v>
      </c>
      <c r="AH53" s="94"/>
      <c r="AI53" s="69"/>
      <c r="AJ53" s="69"/>
    </row>
    <row r="54" spans="1:36" ht="193.8">
      <c r="A54" s="61">
        <v>228</v>
      </c>
      <c r="B54" s="62" t="s">
        <v>239</v>
      </c>
      <c r="C54" s="62" t="s">
        <v>28</v>
      </c>
      <c r="D54" s="62" t="s">
        <v>29</v>
      </c>
      <c r="E54" s="62" t="s">
        <v>30</v>
      </c>
      <c r="F54" s="62">
        <v>2024</v>
      </c>
      <c r="G54" s="62">
        <v>90</v>
      </c>
      <c r="H54" s="62" t="s">
        <v>193</v>
      </c>
      <c r="I54" s="63">
        <v>3</v>
      </c>
      <c r="J54" s="63" t="s">
        <v>32</v>
      </c>
      <c r="K54" s="64"/>
      <c r="L54" s="62" t="s">
        <v>241</v>
      </c>
      <c r="M54" s="62"/>
      <c r="N54" s="62"/>
      <c r="O54" s="62" t="s">
        <v>347</v>
      </c>
      <c r="P54" s="62" t="s">
        <v>348</v>
      </c>
      <c r="Q54" s="62" t="s">
        <v>357</v>
      </c>
      <c r="R54" s="62" t="s">
        <v>358</v>
      </c>
      <c r="S54" s="62" t="s">
        <v>359</v>
      </c>
      <c r="T54" s="62">
        <v>100</v>
      </c>
      <c r="U54" s="62" t="s">
        <v>682</v>
      </c>
      <c r="V54" s="140" t="s">
        <v>247</v>
      </c>
      <c r="W54" s="140" t="s">
        <v>291</v>
      </c>
      <c r="X54" s="62" t="s">
        <v>41</v>
      </c>
      <c r="Y54" s="63" t="s">
        <v>42</v>
      </c>
      <c r="Z54" s="132" t="s">
        <v>360</v>
      </c>
      <c r="AA54" s="73" t="s">
        <v>57</v>
      </c>
      <c r="AB54" s="75" t="s">
        <v>361</v>
      </c>
      <c r="AC54" s="68" t="str">
        <f t="shared" ca="1" si="5"/>
        <v/>
      </c>
      <c r="AD54" s="69">
        <f t="shared" ca="1" si="6"/>
        <v>0</v>
      </c>
      <c r="AE54" s="69">
        <f t="shared" ca="1" si="7"/>
        <v>0</v>
      </c>
      <c r="AF54" s="69">
        <f t="shared" ca="1" si="3"/>
        <v>0</v>
      </c>
      <c r="AG54" s="69">
        <f t="shared" ca="1" si="4"/>
        <v>0</v>
      </c>
      <c r="AH54" s="94"/>
      <c r="AI54" s="69"/>
      <c r="AJ54" s="69"/>
    </row>
    <row r="55" spans="1:36" ht="125.4">
      <c r="A55" s="80">
        <v>229</v>
      </c>
      <c r="B55" s="62" t="s">
        <v>239</v>
      </c>
      <c r="C55" s="62" t="s">
        <v>28</v>
      </c>
      <c r="D55" s="62" t="s">
        <v>29</v>
      </c>
      <c r="E55" s="62" t="s">
        <v>30</v>
      </c>
      <c r="F55" s="62">
        <v>2024</v>
      </c>
      <c r="G55" s="62">
        <v>90</v>
      </c>
      <c r="H55" s="62" t="s">
        <v>200</v>
      </c>
      <c r="I55" s="63">
        <v>1</v>
      </c>
      <c r="J55" s="63" t="s">
        <v>32</v>
      </c>
      <c r="K55" s="64"/>
      <c r="L55" s="62" t="s">
        <v>241</v>
      </c>
      <c r="M55" s="62"/>
      <c r="N55" s="62"/>
      <c r="O55" s="62" t="s">
        <v>362</v>
      </c>
      <c r="P55" s="62" t="s">
        <v>363</v>
      </c>
      <c r="Q55" s="62" t="s">
        <v>364</v>
      </c>
      <c r="R55" s="62" t="s">
        <v>365</v>
      </c>
      <c r="S55" s="62" t="s">
        <v>366</v>
      </c>
      <c r="T55" s="62">
        <v>100</v>
      </c>
      <c r="U55" s="62" t="s">
        <v>682</v>
      </c>
      <c r="V55" s="140" t="s">
        <v>247</v>
      </c>
      <c r="W55" s="140" t="s">
        <v>282</v>
      </c>
      <c r="X55" s="62" t="s">
        <v>41</v>
      </c>
      <c r="Y55" s="63" t="s">
        <v>42</v>
      </c>
      <c r="Z55" s="132" t="s">
        <v>367</v>
      </c>
      <c r="AA55" s="66" t="s">
        <v>57</v>
      </c>
      <c r="AB55" s="75" t="s">
        <v>368</v>
      </c>
      <c r="AC55" s="68" t="str">
        <f t="shared" ca="1" si="5"/>
        <v/>
      </c>
      <c r="AD55" s="69">
        <f t="shared" ca="1" si="6"/>
        <v>0</v>
      </c>
      <c r="AE55" s="69">
        <f t="shared" ca="1" si="7"/>
        <v>0</v>
      </c>
      <c r="AF55" s="69">
        <f t="shared" ca="1" si="3"/>
        <v>0</v>
      </c>
      <c r="AG55" s="69">
        <f t="shared" ca="1" si="4"/>
        <v>0</v>
      </c>
      <c r="AH55" s="94"/>
      <c r="AI55" s="69"/>
      <c r="AJ55" s="69"/>
    </row>
    <row r="56" spans="1:36" ht="136.80000000000001">
      <c r="A56" s="80">
        <v>230</v>
      </c>
      <c r="B56" s="62" t="s">
        <v>239</v>
      </c>
      <c r="C56" s="62" t="s">
        <v>28</v>
      </c>
      <c r="D56" s="62" t="s">
        <v>29</v>
      </c>
      <c r="E56" s="62" t="s">
        <v>30</v>
      </c>
      <c r="F56" s="62">
        <v>2024</v>
      </c>
      <c r="G56" s="62">
        <v>90</v>
      </c>
      <c r="H56" s="62" t="s">
        <v>207</v>
      </c>
      <c r="I56" s="63">
        <v>1</v>
      </c>
      <c r="J56" s="63" t="s">
        <v>32</v>
      </c>
      <c r="K56" s="64"/>
      <c r="L56" s="62" t="s">
        <v>241</v>
      </c>
      <c r="M56" s="62"/>
      <c r="N56" s="62"/>
      <c r="O56" s="62" t="s">
        <v>369</v>
      </c>
      <c r="P56" s="62" t="s">
        <v>370</v>
      </c>
      <c r="Q56" s="62" t="s">
        <v>371</v>
      </c>
      <c r="R56" s="62" t="s">
        <v>365</v>
      </c>
      <c r="S56" s="62" t="s">
        <v>372</v>
      </c>
      <c r="T56" s="62">
        <v>100</v>
      </c>
      <c r="U56" s="62" t="s">
        <v>682</v>
      </c>
      <c r="V56" s="140" t="s">
        <v>247</v>
      </c>
      <c r="W56" s="140" t="s">
        <v>282</v>
      </c>
      <c r="X56" s="62" t="s">
        <v>41</v>
      </c>
      <c r="Y56" s="63" t="s">
        <v>42</v>
      </c>
      <c r="Z56" s="132" t="s">
        <v>367</v>
      </c>
      <c r="AA56" s="84" t="s">
        <v>57</v>
      </c>
      <c r="AB56" s="75" t="s">
        <v>368</v>
      </c>
      <c r="AC56" s="68" t="str">
        <f t="shared" ca="1" si="5"/>
        <v/>
      </c>
      <c r="AD56" s="69">
        <f t="shared" ca="1" si="6"/>
        <v>0</v>
      </c>
      <c r="AE56" s="69">
        <f t="shared" ca="1" si="7"/>
        <v>0</v>
      </c>
      <c r="AF56" s="69">
        <f t="shared" ca="1" si="3"/>
        <v>0</v>
      </c>
      <c r="AG56" s="69">
        <f t="shared" ca="1" si="4"/>
        <v>0</v>
      </c>
      <c r="AH56" s="94"/>
      <c r="AI56" s="69"/>
      <c r="AJ56" s="69"/>
    </row>
    <row r="57" spans="1:36" ht="114">
      <c r="A57" s="61">
        <v>231</v>
      </c>
      <c r="B57" s="62" t="s">
        <v>239</v>
      </c>
      <c r="C57" s="62" t="s">
        <v>28</v>
      </c>
      <c r="D57" s="62" t="s">
        <v>29</v>
      </c>
      <c r="E57" s="62" t="s">
        <v>30</v>
      </c>
      <c r="F57" s="62">
        <v>2024</v>
      </c>
      <c r="G57" s="62">
        <v>90</v>
      </c>
      <c r="H57" s="62" t="s">
        <v>218</v>
      </c>
      <c r="I57" s="63">
        <v>1</v>
      </c>
      <c r="J57" s="63" t="s">
        <v>32</v>
      </c>
      <c r="K57" s="64"/>
      <c r="L57" s="62" t="s">
        <v>241</v>
      </c>
      <c r="M57" s="62"/>
      <c r="N57" s="62"/>
      <c r="O57" s="62" t="s">
        <v>373</v>
      </c>
      <c r="P57" s="62" t="s">
        <v>374</v>
      </c>
      <c r="Q57" s="62" t="s">
        <v>375</v>
      </c>
      <c r="R57" s="62" t="s">
        <v>376</v>
      </c>
      <c r="S57" s="62" t="s">
        <v>377</v>
      </c>
      <c r="T57" s="62">
        <v>100</v>
      </c>
      <c r="U57" s="62" t="s">
        <v>686</v>
      </c>
      <c r="V57" s="140" t="s">
        <v>247</v>
      </c>
      <c r="W57" s="140" t="s">
        <v>291</v>
      </c>
      <c r="X57" s="62" t="s">
        <v>41</v>
      </c>
      <c r="Y57" s="63" t="s">
        <v>42</v>
      </c>
      <c r="Z57" s="132" t="s">
        <v>378</v>
      </c>
      <c r="AA57" s="73" t="s">
        <v>57</v>
      </c>
      <c r="AB57" s="74" t="s">
        <v>379</v>
      </c>
      <c r="AC57" s="68" t="str">
        <f t="shared" ca="1" si="5"/>
        <v/>
      </c>
      <c r="AD57" s="69">
        <f t="shared" ca="1" si="6"/>
        <v>0</v>
      </c>
      <c r="AE57" s="69">
        <f t="shared" ca="1" si="7"/>
        <v>0</v>
      </c>
      <c r="AF57" s="69">
        <f t="shared" ca="1" si="3"/>
        <v>0</v>
      </c>
      <c r="AG57" s="69">
        <f t="shared" ca="1" si="4"/>
        <v>0</v>
      </c>
      <c r="AH57" s="94"/>
      <c r="AI57" s="69"/>
      <c r="AJ57" s="69"/>
    </row>
    <row r="58" spans="1:36" ht="171">
      <c r="A58" s="80">
        <v>240</v>
      </c>
      <c r="B58" s="62" t="s">
        <v>239</v>
      </c>
      <c r="C58" s="62" t="s">
        <v>28</v>
      </c>
      <c r="D58" s="62" t="s">
        <v>29</v>
      </c>
      <c r="E58" s="62" t="s">
        <v>30</v>
      </c>
      <c r="F58" s="62">
        <v>2024</v>
      </c>
      <c r="G58" s="62">
        <v>90</v>
      </c>
      <c r="H58" s="86" t="s">
        <v>380</v>
      </c>
      <c r="I58" s="63">
        <v>1</v>
      </c>
      <c r="J58" s="63" t="s">
        <v>32</v>
      </c>
      <c r="K58" s="64"/>
      <c r="L58" s="62" t="s">
        <v>241</v>
      </c>
      <c r="M58" s="62"/>
      <c r="N58" s="62"/>
      <c r="O58" s="62" t="s">
        <v>381</v>
      </c>
      <c r="P58" s="62" t="s">
        <v>382</v>
      </c>
      <c r="Q58" s="62" t="s">
        <v>383</v>
      </c>
      <c r="R58" s="62" t="s">
        <v>384</v>
      </c>
      <c r="S58" s="62" t="s">
        <v>385</v>
      </c>
      <c r="T58" s="62">
        <v>100</v>
      </c>
      <c r="U58" s="62" t="s">
        <v>682</v>
      </c>
      <c r="V58" s="140" t="s">
        <v>247</v>
      </c>
      <c r="W58" s="140" t="s">
        <v>282</v>
      </c>
      <c r="X58" s="62" t="s">
        <v>41</v>
      </c>
      <c r="Y58" s="63" t="s">
        <v>42</v>
      </c>
      <c r="Z58" s="132" t="s">
        <v>386</v>
      </c>
      <c r="AA58" s="91" t="s">
        <v>57</v>
      </c>
      <c r="AB58" s="75" t="s">
        <v>387</v>
      </c>
      <c r="AC58" s="68" t="str">
        <f t="shared" ca="1" si="5"/>
        <v/>
      </c>
      <c r="AD58" s="69">
        <f t="shared" ca="1" si="6"/>
        <v>0</v>
      </c>
      <c r="AE58" s="69">
        <f t="shared" ca="1" si="7"/>
        <v>0</v>
      </c>
      <c r="AF58" s="69">
        <f t="shared" ca="1" si="3"/>
        <v>0</v>
      </c>
      <c r="AG58" s="69">
        <f t="shared" ca="1" si="4"/>
        <v>0</v>
      </c>
      <c r="AH58" s="94"/>
      <c r="AI58" s="69"/>
      <c r="AJ58" s="69"/>
    </row>
    <row r="59" spans="1:36" ht="205.2">
      <c r="A59" s="61">
        <v>245</v>
      </c>
      <c r="B59" s="62" t="s">
        <v>239</v>
      </c>
      <c r="C59" s="62" t="s">
        <v>28</v>
      </c>
      <c r="D59" s="62" t="s">
        <v>29</v>
      </c>
      <c r="E59" s="62" t="s">
        <v>30</v>
      </c>
      <c r="F59" s="62">
        <v>2024</v>
      </c>
      <c r="G59" s="62">
        <v>90</v>
      </c>
      <c r="H59" s="62" t="s">
        <v>388</v>
      </c>
      <c r="I59" s="63">
        <v>1</v>
      </c>
      <c r="J59" s="63" t="s">
        <v>32</v>
      </c>
      <c r="K59" s="64"/>
      <c r="L59" s="62" t="s">
        <v>241</v>
      </c>
      <c r="M59" s="62"/>
      <c r="N59" s="62"/>
      <c r="O59" s="62" t="s">
        <v>389</v>
      </c>
      <c r="P59" s="62" t="s">
        <v>390</v>
      </c>
      <c r="Q59" s="62" t="s">
        <v>391</v>
      </c>
      <c r="R59" s="62" t="s">
        <v>392</v>
      </c>
      <c r="S59" s="62" t="s">
        <v>393</v>
      </c>
      <c r="T59" s="62">
        <v>100</v>
      </c>
      <c r="U59" s="62" t="s">
        <v>682</v>
      </c>
      <c r="V59" s="140" t="s">
        <v>247</v>
      </c>
      <c r="W59" s="140" t="s">
        <v>334</v>
      </c>
      <c r="X59" s="62" t="s">
        <v>41</v>
      </c>
      <c r="Y59" s="63" t="s">
        <v>42</v>
      </c>
      <c r="Z59" s="135" t="s">
        <v>394</v>
      </c>
      <c r="AA59" s="73" t="s">
        <v>57</v>
      </c>
      <c r="AB59" s="75" t="s">
        <v>395</v>
      </c>
      <c r="AC59" s="68" t="str">
        <f t="shared" ca="1" si="5"/>
        <v/>
      </c>
      <c r="AD59" s="69">
        <f t="shared" ca="1" si="6"/>
        <v>0</v>
      </c>
      <c r="AE59" s="69">
        <f t="shared" ca="1" si="7"/>
        <v>0</v>
      </c>
      <c r="AF59" s="69">
        <f t="shared" ca="1" si="3"/>
        <v>0</v>
      </c>
      <c r="AG59" s="69">
        <f t="shared" ca="1" si="4"/>
        <v>0</v>
      </c>
      <c r="AH59" s="94"/>
      <c r="AI59" s="69"/>
      <c r="AJ59" s="69"/>
    </row>
    <row r="60" spans="1:36" ht="68.400000000000006">
      <c r="A60" s="80">
        <v>246</v>
      </c>
      <c r="B60" s="62" t="s">
        <v>239</v>
      </c>
      <c r="C60" s="62" t="s">
        <v>28</v>
      </c>
      <c r="D60" s="62" t="s">
        <v>29</v>
      </c>
      <c r="E60" s="62" t="s">
        <v>30</v>
      </c>
      <c r="F60" s="62">
        <v>2024</v>
      </c>
      <c r="G60" s="62">
        <v>90</v>
      </c>
      <c r="H60" s="62" t="s">
        <v>388</v>
      </c>
      <c r="I60" s="63">
        <v>2</v>
      </c>
      <c r="J60" s="63" t="s">
        <v>32</v>
      </c>
      <c r="K60" s="64"/>
      <c r="L60" s="62" t="s">
        <v>241</v>
      </c>
      <c r="M60" s="62"/>
      <c r="N60" s="62"/>
      <c r="O60" s="62" t="s">
        <v>389</v>
      </c>
      <c r="P60" s="62" t="s">
        <v>390</v>
      </c>
      <c r="Q60" s="62" t="s">
        <v>396</v>
      </c>
      <c r="R60" s="62" t="s">
        <v>397</v>
      </c>
      <c r="S60" s="62" t="s">
        <v>397</v>
      </c>
      <c r="T60" s="62">
        <v>100</v>
      </c>
      <c r="U60" s="62" t="s">
        <v>682</v>
      </c>
      <c r="V60" s="140" t="s">
        <v>247</v>
      </c>
      <c r="W60" s="140" t="s">
        <v>334</v>
      </c>
      <c r="X60" s="62" t="s">
        <v>41</v>
      </c>
      <c r="Y60" s="63" t="s">
        <v>42</v>
      </c>
      <c r="Z60" s="132" t="s">
        <v>398</v>
      </c>
      <c r="AA60" s="66" t="s">
        <v>57</v>
      </c>
      <c r="AB60" s="75" t="s">
        <v>395</v>
      </c>
      <c r="AC60" s="68" t="str">
        <f t="shared" ca="1" si="5"/>
        <v/>
      </c>
      <c r="AD60" s="69">
        <f t="shared" ca="1" si="6"/>
        <v>0</v>
      </c>
      <c r="AE60" s="69">
        <f t="shared" ca="1" si="7"/>
        <v>0</v>
      </c>
      <c r="AF60" s="69">
        <f t="shared" ca="1" si="3"/>
        <v>0</v>
      </c>
      <c r="AG60" s="69">
        <f t="shared" ca="1" si="4"/>
        <v>0</v>
      </c>
      <c r="AH60" s="94"/>
      <c r="AI60" s="69"/>
      <c r="AJ60" s="69"/>
    </row>
    <row r="61" spans="1:36" ht="148.19999999999999">
      <c r="A61" s="80">
        <v>247</v>
      </c>
      <c r="B61" s="62" t="s">
        <v>239</v>
      </c>
      <c r="C61" s="62" t="s">
        <v>28</v>
      </c>
      <c r="D61" s="62" t="s">
        <v>29</v>
      </c>
      <c r="E61" s="62" t="s">
        <v>30</v>
      </c>
      <c r="F61" s="62">
        <v>2024</v>
      </c>
      <c r="G61" s="62">
        <v>90</v>
      </c>
      <c r="H61" s="86" t="s">
        <v>399</v>
      </c>
      <c r="I61" s="63">
        <v>1</v>
      </c>
      <c r="J61" s="63" t="s">
        <v>32</v>
      </c>
      <c r="K61" s="64"/>
      <c r="L61" s="62" t="s">
        <v>241</v>
      </c>
      <c r="M61" s="62"/>
      <c r="N61" s="62"/>
      <c r="O61" s="62" t="s">
        <v>400</v>
      </c>
      <c r="P61" s="62" t="s">
        <v>401</v>
      </c>
      <c r="Q61" s="62" t="s">
        <v>402</v>
      </c>
      <c r="R61" s="62" t="s">
        <v>403</v>
      </c>
      <c r="S61" s="62" t="s">
        <v>404</v>
      </c>
      <c r="T61" s="62">
        <v>100</v>
      </c>
      <c r="U61" s="62" t="s">
        <v>687</v>
      </c>
      <c r="V61" s="140" t="s">
        <v>247</v>
      </c>
      <c r="W61" s="140" t="s">
        <v>282</v>
      </c>
      <c r="X61" s="62" t="s">
        <v>41</v>
      </c>
      <c r="Y61" s="63" t="s">
        <v>42</v>
      </c>
      <c r="Z61" s="132" t="s">
        <v>405</v>
      </c>
      <c r="AA61" s="66" t="s">
        <v>57</v>
      </c>
      <c r="AB61" s="75" t="s">
        <v>406</v>
      </c>
      <c r="AC61" s="68" t="str">
        <f t="shared" ca="1" si="5"/>
        <v/>
      </c>
      <c r="AD61" s="69">
        <f t="shared" ca="1" si="6"/>
        <v>0</v>
      </c>
      <c r="AE61" s="69">
        <f t="shared" ca="1" si="7"/>
        <v>0</v>
      </c>
      <c r="AF61" s="69">
        <f t="shared" ca="1" si="3"/>
        <v>0</v>
      </c>
      <c r="AG61" s="69">
        <f t="shared" ca="1" si="4"/>
        <v>0</v>
      </c>
      <c r="AH61" s="94"/>
      <c r="AI61" s="69"/>
      <c r="AJ61" s="69"/>
    </row>
    <row r="62" spans="1:36" ht="228">
      <c r="A62" s="61">
        <v>120</v>
      </c>
      <c r="B62" s="62" t="s">
        <v>449</v>
      </c>
      <c r="C62" s="62" t="s">
        <v>28</v>
      </c>
      <c r="D62" s="62" t="s">
        <v>29</v>
      </c>
      <c r="E62" s="62" t="s">
        <v>30</v>
      </c>
      <c r="F62" s="62">
        <v>2023</v>
      </c>
      <c r="G62" s="62">
        <v>88</v>
      </c>
      <c r="H62" s="62" t="s">
        <v>450</v>
      </c>
      <c r="I62" s="63">
        <v>1</v>
      </c>
      <c r="J62" s="63" t="s">
        <v>32</v>
      </c>
      <c r="K62" s="64"/>
      <c r="L62" s="62" t="s">
        <v>409</v>
      </c>
      <c r="M62" s="62" t="s">
        <v>410</v>
      </c>
      <c r="N62" s="62" t="s">
        <v>411</v>
      </c>
      <c r="O62" s="62" t="s">
        <v>451</v>
      </c>
      <c r="P62" s="62" t="s">
        <v>452</v>
      </c>
      <c r="Q62" s="62" t="s">
        <v>453</v>
      </c>
      <c r="R62" s="62" t="s">
        <v>454</v>
      </c>
      <c r="S62" s="62" t="s">
        <v>455</v>
      </c>
      <c r="T62" s="62">
        <v>100</v>
      </c>
      <c r="U62" s="62" t="s">
        <v>682</v>
      </c>
      <c r="V62" s="62" t="s">
        <v>456</v>
      </c>
      <c r="W62" s="62" t="s">
        <v>457</v>
      </c>
      <c r="X62" s="62" t="s">
        <v>41</v>
      </c>
      <c r="Y62" s="62" t="s">
        <v>42</v>
      </c>
      <c r="Z62" s="72" t="s">
        <v>458</v>
      </c>
      <c r="AA62" s="73" t="s">
        <v>57</v>
      </c>
      <c r="AB62" s="75" t="s">
        <v>459</v>
      </c>
      <c r="AC62" s="68" t="str">
        <f t="shared" ca="1" si="5"/>
        <v/>
      </c>
      <c r="AD62" s="69">
        <f t="shared" ca="1" si="6"/>
        <v>0</v>
      </c>
      <c r="AE62" s="69">
        <f t="shared" ca="1" si="7"/>
        <v>0</v>
      </c>
      <c r="AF62" s="69">
        <f t="shared" ca="1" si="3"/>
        <v>0</v>
      </c>
      <c r="AG62" s="69">
        <f t="shared" ca="1" si="4"/>
        <v>0</v>
      </c>
      <c r="AH62" s="94"/>
      <c r="AI62" s="69"/>
      <c r="AJ62" s="69"/>
    </row>
    <row r="63" spans="1:36" ht="262.2">
      <c r="A63" s="80">
        <v>123</v>
      </c>
      <c r="B63" s="62" t="s">
        <v>449</v>
      </c>
      <c r="C63" s="62" t="s">
        <v>28</v>
      </c>
      <c r="D63" s="62" t="s">
        <v>29</v>
      </c>
      <c r="E63" s="62">
        <v>311</v>
      </c>
      <c r="F63" s="62">
        <v>2023</v>
      </c>
      <c r="G63" s="62">
        <v>88</v>
      </c>
      <c r="H63" s="62" t="s">
        <v>460</v>
      </c>
      <c r="I63" s="63">
        <v>1</v>
      </c>
      <c r="J63" s="63" t="s">
        <v>32</v>
      </c>
      <c r="K63" s="64"/>
      <c r="L63" s="62" t="s">
        <v>409</v>
      </c>
      <c r="M63" s="62" t="s">
        <v>410</v>
      </c>
      <c r="N63" s="62" t="s">
        <v>411</v>
      </c>
      <c r="O63" s="62" t="s">
        <v>461</v>
      </c>
      <c r="P63" s="62" t="s">
        <v>462</v>
      </c>
      <c r="Q63" s="62" t="s">
        <v>463</v>
      </c>
      <c r="R63" s="62" t="s">
        <v>464</v>
      </c>
      <c r="S63" s="62" t="s">
        <v>465</v>
      </c>
      <c r="T63" s="62">
        <v>100</v>
      </c>
      <c r="U63" s="62" t="s">
        <v>688</v>
      </c>
      <c r="V63" s="62" t="s">
        <v>466</v>
      </c>
      <c r="W63" s="62" t="s">
        <v>467</v>
      </c>
      <c r="X63" s="62" t="s">
        <v>41</v>
      </c>
      <c r="Y63" s="62" t="s">
        <v>42</v>
      </c>
      <c r="Z63" s="71" t="s">
        <v>468</v>
      </c>
      <c r="AA63" s="66" t="s">
        <v>57</v>
      </c>
      <c r="AB63" s="92" t="s">
        <v>469</v>
      </c>
      <c r="AC63" s="68" t="str">
        <f t="shared" ref="AC63:AC85" ca="1" si="8">IF(AA63="Abierta", DATE(LEFT(W63,4), MID(W63,6,2), RIGHT(W63,2)) - TODAY(), "")</f>
        <v/>
      </c>
      <c r="AD63" s="69">
        <f t="shared" ref="AD63:AD85" ca="1" si="9">IF(AND($AA63="Abierta", $AC63&lt;=10, $AC63&gt;0), 1, 0)</f>
        <v>0</v>
      </c>
      <c r="AE63" s="69">
        <f t="shared" ref="AE63:AE85" ca="1" si="10">IF(AND($AA63="Abierta", $AC63&lt;=20, $AC63&gt;10), 1, 0)</f>
        <v>0</v>
      </c>
      <c r="AF63" s="69">
        <f t="shared" ca="1" si="3"/>
        <v>0</v>
      </c>
      <c r="AG63" s="69">
        <f t="shared" ca="1" si="4"/>
        <v>0</v>
      </c>
      <c r="AH63" s="94"/>
      <c r="AI63" s="69"/>
      <c r="AJ63" s="69"/>
    </row>
    <row r="64" spans="1:36" ht="273.60000000000002">
      <c r="A64" s="61">
        <v>125</v>
      </c>
      <c r="B64" s="62" t="s">
        <v>449</v>
      </c>
      <c r="C64" s="62" t="s">
        <v>28</v>
      </c>
      <c r="D64" s="62" t="s">
        <v>29</v>
      </c>
      <c r="E64" s="62" t="s">
        <v>30</v>
      </c>
      <c r="F64" s="62">
        <v>2023</v>
      </c>
      <c r="G64" s="62">
        <v>88</v>
      </c>
      <c r="H64" s="62" t="s">
        <v>470</v>
      </c>
      <c r="I64" s="63">
        <v>1</v>
      </c>
      <c r="J64" s="63" t="s">
        <v>32</v>
      </c>
      <c r="K64" s="64"/>
      <c r="L64" s="62" t="s">
        <v>409</v>
      </c>
      <c r="M64" s="62" t="s">
        <v>410</v>
      </c>
      <c r="N64" s="62" t="s">
        <v>411</v>
      </c>
      <c r="O64" s="62" t="s">
        <v>471</v>
      </c>
      <c r="P64" s="62" t="s">
        <v>472</v>
      </c>
      <c r="Q64" s="62" t="s">
        <v>473</v>
      </c>
      <c r="R64" s="62" t="s">
        <v>474</v>
      </c>
      <c r="S64" s="62" t="s">
        <v>475</v>
      </c>
      <c r="T64" s="62">
        <v>100</v>
      </c>
      <c r="U64" s="62" t="s">
        <v>689</v>
      </c>
      <c r="V64" s="62" t="s">
        <v>466</v>
      </c>
      <c r="W64" s="62" t="s">
        <v>476</v>
      </c>
      <c r="X64" s="62" t="s">
        <v>41</v>
      </c>
      <c r="Y64" s="62" t="s">
        <v>477</v>
      </c>
      <c r="Z64" s="72" t="s">
        <v>478</v>
      </c>
      <c r="AA64" s="73" t="s">
        <v>57</v>
      </c>
      <c r="AB64" s="75" t="s">
        <v>479</v>
      </c>
      <c r="AC64" s="68" t="str">
        <f t="shared" ca="1" si="8"/>
        <v/>
      </c>
      <c r="AD64" s="69">
        <f t="shared" ca="1" si="9"/>
        <v>0</v>
      </c>
      <c r="AE64" s="69">
        <f t="shared" ca="1" si="10"/>
        <v>0</v>
      </c>
      <c r="AF64" s="69">
        <f t="shared" ca="1" si="3"/>
        <v>0</v>
      </c>
      <c r="AG64" s="69">
        <f t="shared" ca="1" si="4"/>
        <v>0</v>
      </c>
      <c r="AH64" s="94"/>
      <c r="AI64" s="69"/>
      <c r="AJ64" s="69"/>
    </row>
    <row r="65" spans="1:36" ht="171">
      <c r="A65" s="61">
        <v>184</v>
      </c>
      <c r="B65" s="62" t="s">
        <v>449</v>
      </c>
      <c r="C65" s="62" t="s">
        <v>28</v>
      </c>
      <c r="D65" s="62" t="s">
        <v>29</v>
      </c>
      <c r="E65" s="62" t="s">
        <v>30</v>
      </c>
      <c r="F65" s="62">
        <v>2023</v>
      </c>
      <c r="G65" s="62">
        <v>88</v>
      </c>
      <c r="H65" s="62" t="s">
        <v>65</v>
      </c>
      <c r="I65" s="63">
        <v>1</v>
      </c>
      <c r="J65" s="63" t="s">
        <v>32</v>
      </c>
      <c r="K65" s="64"/>
      <c r="L65" s="62" t="s">
        <v>409</v>
      </c>
      <c r="M65" s="62" t="s">
        <v>480</v>
      </c>
      <c r="N65" s="62" t="s">
        <v>481</v>
      </c>
      <c r="O65" s="62" t="s">
        <v>482</v>
      </c>
      <c r="P65" s="62" t="s">
        <v>483</v>
      </c>
      <c r="Q65" s="62" t="s">
        <v>484</v>
      </c>
      <c r="R65" s="62" t="s">
        <v>485</v>
      </c>
      <c r="S65" s="62" t="s">
        <v>486</v>
      </c>
      <c r="T65" s="62">
        <v>100</v>
      </c>
      <c r="U65" s="62" t="s">
        <v>674</v>
      </c>
      <c r="V65" s="62" t="s">
        <v>466</v>
      </c>
      <c r="W65" s="62" t="s">
        <v>467</v>
      </c>
      <c r="X65" s="62" t="s">
        <v>41</v>
      </c>
      <c r="Y65" s="62" t="s">
        <v>42</v>
      </c>
      <c r="Z65" s="72" t="s">
        <v>487</v>
      </c>
      <c r="AA65" s="73" t="s">
        <v>57</v>
      </c>
      <c r="AB65" s="75" t="s">
        <v>488</v>
      </c>
      <c r="AC65" s="68" t="str">
        <f t="shared" ca="1" si="8"/>
        <v/>
      </c>
      <c r="AD65" s="69">
        <f t="shared" ca="1" si="9"/>
        <v>0</v>
      </c>
      <c r="AE65" s="69">
        <f t="shared" ca="1" si="10"/>
        <v>0</v>
      </c>
      <c r="AF65" s="69">
        <f t="shared" ca="1" si="3"/>
        <v>0</v>
      </c>
      <c r="AG65" s="69">
        <f t="shared" ca="1" si="4"/>
        <v>0</v>
      </c>
      <c r="AH65" s="93" t="s">
        <v>654</v>
      </c>
      <c r="AI65" s="69"/>
      <c r="AJ65" s="69"/>
    </row>
    <row r="66" spans="1:36" ht="205.2">
      <c r="A66" s="61">
        <v>186</v>
      </c>
      <c r="B66" s="62" t="s">
        <v>449</v>
      </c>
      <c r="C66" s="62" t="s">
        <v>28</v>
      </c>
      <c r="D66" s="62" t="s">
        <v>29</v>
      </c>
      <c r="E66" s="62" t="s">
        <v>30</v>
      </c>
      <c r="F66" s="62">
        <v>2023</v>
      </c>
      <c r="G66" s="62">
        <v>88</v>
      </c>
      <c r="H66" s="62" t="s">
        <v>83</v>
      </c>
      <c r="I66" s="63">
        <v>1</v>
      </c>
      <c r="J66" s="63" t="s">
        <v>32</v>
      </c>
      <c r="K66" s="64"/>
      <c r="L66" s="62" t="s">
        <v>409</v>
      </c>
      <c r="M66" s="62" t="s">
        <v>480</v>
      </c>
      <c r="N66" s="62" t="s">
        <v>481</v>
      </c>
      <c r="O66" s="62" t="s">
        <v>489</v>
      </c>
      <c r="P66" s="62" t="s">
        <v>490</v>
      </c>
      <c r="Q66" s="62" t="s">
        <v>491</v>
      </c>
      <c r="R66" s="62" t="s">
        <v>492</v>
      </c>
      <c r="S66" s="62" t="s">
        <v>493</v>
      </c>
      <c r="T66" s="62">
        <v>100</v>
      </c>
      <c r="U66" s="62" t="s">
        <v>674</v>
      </c>
      <c r="V66" s="62" t="s">
        <v>456</v>
      </c>
      <c r="W66" s="62" t="s">
        <v>494</v>
      </c>
      <c r="X66" s="62" t="s">
        <v>41</v>
      </c>
      <c r="Y66" s="62" t="s">
        <v>477</v>
      </c>
      <c r="Z66" s="72" t="s">
        <v>495</v>
      </c>
      <c r="AA66" s="73" t="s">
        <v>57</v>
      </c>
      <c r="AB66" s="75" t="s">
        <v>496</v>
      </c>
      <c r="AC66" s="68" t="str">
        <f t="shared" ca="1" si="8"/>
        <v/>
      </c>
      <c r="AD66" s="69">
        <f t="shared" ca="1" si="9"/>
        <v>0</v>
      </c>
      <c r="AE66" s="69">
        <f t="shared" ca="1" si="10"/>
        <v>0</v>
      </c>
      <c r="AF66" s="69">
        <f t="shared" ref="AF66:AF85" ca="1" si="11">IF(AND($AA66="Abierta", $AC66&lt;=30, $AC66&gt;20), 1, 0)</f>
        <v>0</v>
      </c>
      <c r="AG66" s="69">
        <f t="shared" ref="AG66:AG85" ca="1" si="12">IF(AND($AA66="Abierta", $AC66&lt;=5, $AC66&gt;0), 1, 0)</f>
        <v>0</v>
      </c>
      <c r="AH66" s="93" t="s">
        <v>654</v>
      </c>
      <c r="AI66" s="69"/>
      <c r="AJ66" s="69"/>
    </row>
    <row r="67" spans="1:36" ht="171">
      <c r="A67" s="61">
        <v>187</v>
      </c>
      <c r="B67" s="62" t="s">
        <v>449</v>
      </c>
      <c r="C67" s="62" t="s">
        <v>28</v>
      </c>
      <c r="D67" s="62" t="s">
        <v>29</v>
      </c>
      <c r="E67" s="62" t="s">
        <v>30</v>
      </c>
      <c r="F67" s="62">
        <v>2023</v>
      </c>
      <c r="G67" s="62">
        <v>88</v>
      </c>
      <c r="H67" s="62" t="s">
        <v>91</v>
      </c>
      <c r="I67" s="63">
        <v>1</v>
      </c>
      <c r="J67" s="63" t="s">
        <v>32</v>
      </c>
      <c r="K67" s="64"/>
      <c r="L67" s="62" t="s">
        <v>409</v>
      </c>
      <c r="M67" s="62" t="s">
        <v>480</v>
      </c>
      <c r="N67" s="62" t="s">
        <v>481</v>
      </c>
      <c r="O67" s="62" t="s">
        <v>497</v>
      </c>
      <c r="P67" s="62" t="s">
        <v>498</v>
      </c>
      <c r="Q67" s="62" t="s">
        <v>499</v>
      </c>
      <c r="R67" s="62" t="s">
        <v>141</v>
      </c>
      <c r="S67" s="62" t="s">
        <v>500</v>
      </c>
      <c r="T67" s="62">
        <v>100</v>
      </c>
      <c r="U67" s="62" t="s">
        <v>674</v>
      </c>
      <c r="V67" s="62" t="s">
        <v>466</v>
      </c>
      <c r="W67" s="62" t="s">
        <v>467</v>
      </c>
      <c r="X67" s="62" t="s">
        <v>41</v>
      </c>
      <c r="Y67" s="62" t="s">
        <v>42</v>
      </c>
      <c r="Z67" s="72" t="s">
        <v>501</v>
      </c>
      <c r="AA67" s="73" t="s">
        <v>57</v>
      </c>
      <c r="AB67" s="75" t="s">
        <v>502</v>
      </c>
      <c r="AC67" s="68" t="str">
        <f t="shared" ca="1" si="8"/>
        <v/>
      </c>
      <c r="AD67" s="69">
        <f t="shared" ca="1" si="9"/>
        <v>0</v>
      </c>
      <c r="AE67" s="69">
        <f t="shared" ca="1" si="10"/>
        <v>0</v>
      </c>
      <c r="AF67" s="69">
        <f t="shared" ca="1" si="11"/>
        <v>0</v>
      </c>
      <c r="AG67" s="69">
        <f t="shared" ca="1" si="12"/>
        <v>0</v>
      </c>
      <c r="AH67" s="93" t="s">
        <v>654</v>
      </c>
      <c r="AI67" s="69"/>
      <c r="AJ67" s="69"/>
    </row>
    <row r="68" spans="1:36" ht="171">
      <c r="A68" s="61">
        <v>188</v>
      </c>
      <c r="B68" s="62" t="s">
        <v>449</v>
      </c>
      <c r="C68" s="62" t="s">
        <v>28</v>
      </c>
      <c r="D68" s="62" t="s">
        <v>29</v>
      </c>
      <c r="E68" s="62" t="s">
        <v>30</v>
      </c>
      <c r="F68" s="62">
        <v>2023</v>
      </c>
      <c r="G68" s="62">
        <v>88</v>
      </c>
      <c r="H68" s="62" t="s">
        <v>106</v>
      </c>
      <c r="I68" s="63">
        <v>1</v>
      </c>
      <c r="J68" s="63" t="s">
        <v>32</v>
      </c>
      <c r="K68" s="64"/>
      <c r="L68" s="62" t="s">
        <v>409</v>
      </c>
      <c r="M68" s="62" t="s">
        <v>480</v>
      </c>
      <c r="N68" s="62" t="s">
        <v>481</v>
      </c>
      <c r="O68" s="62" t="s">
        <v>503</v>
      </c>
      <c r="P68" s="62" t="s">
        <v>504</v>
      </c>
      <c r="Q68" s="62" t="s">
        <v>505</v>
      </c>
      <c r="R68" s="62" t="s">
        <v>141</v>
      </c>
      <c r="S68" s="62" t="s">
        <v>500</v>
      </c>
      <c r="T68" s="62">
        <v>100</v>
      </c>
      <c r="U68" s="62" t="s">
        <v>674</v>
      </c>
      <c r="V68" s="62" t="s">
        <v>466</v>
      </c>
      <c r="W68" s="62" t="s">
        <v>467</v>
      </c>
      <c r="X68" s="62" t="s">
        <v>41</v>
      </c>
      <c r="Y68" s="62" t="s">
        <v>42</v>
      </c>
      <c r="Z68" s="72" t="s">
        <v>506</v>
      </c>
      <c r="AA68" s="73" t="s">
        <v>57</v>
      </c>
      <c r="AB68" s="75" t="s">
        <v>507</v>
      </c>
      <c r="AC68" s="68" t="str">
        <f t="shared" ca="1" si="8"/>
        <v/>
      </c>
      <c r="AD68" s="69">
        <f t="shared" ca="1" si="9"/>
        <v>0</v>
      </c>
      <c r="AE68" s="69">
        <f t="shared" ca="1" si="10"/>
        <v>0</v>
      </c>
      <c r="AF68" s="69">
        <f t="shared" ca="1" si="11"/>
        <v>0</v>
      </c>
      <c r="AG68" s="69">
        <f t="shared" ca="1" si="12"/>
        <v>0</v>
      </c>
      <c r="AH68" s="93" t="s">
        <v>654</v>
      </c>
      <c r="AI68" s="69"/>
      <c r="AJ68" s="69"/>
    </row>
    <row r="69" spans="1:36" ht="193.8">
      <c r="A69" s="61">
        <v>213</v>
      </c>
      <c r="B69" s="62" t="s">
        <v>449</v>
      </c>
      <c r="C69" s="62" t="s">
        <v>28</v>
      </c>
      <c r="D69" s="62" t="s">
        <v>29</v>
      </c>
      <c r="E69" s="62" t="s">
        <v>30</v>
      </c>
      <c r="F69" s="62">
        <v>2023</v>
      </c>
      <c r="G69" s="62">
        <v>88</v>
      </c>
      <c r="H69" s="62" t="s">
        <v>508</v>
      </c>
      <c r="I69" s="63">
        <v>1</v>
      </c>
      <c r="J69" s="63" t="s">
        <v>32</v>
      </c>
      <c r="K69" s="64"/>
      <c r="L69" s="62" t="s">
        <v>409</v>
      </c>
      <c r="M69" s="62" t="s">
        <v>410</v>
      </c>
      <c r="N69" s="62" t="s">
        <v>423</v>
      </c>
      <c r="O69" s="62" t="s">
        <v>509</v>
      </c>
      <c r="P69" s="62" t="s">
        <v>510</v>
      </c>
      <c r="Q69" s="62" t="s">
        <v>511</v>
      </c>
      <c r="R69" s="62" t="s">
        <v>512</v>
      </c>
      <c r="S69" s="62" t="s">
        <v>513</v>
      </c>
      <c r="T69" s="62">
        <v>100</v>
      </c>
      <c r="U69" s="62" t="s">
        <v>690</v>
      </c>
      <c r="V69" s="62" t="s">
        <v>514</v>
      </c>
      <c r="W69" s="62" t="s">
        <v>494</v>
      </c>
      <c r="X69" s="62" t="s">
        <v>41</v>
      </c>
      <c r="Y69" s="62" t="s">
        <v>477</v>
      </c>
      <c r="Z69" s="72" t="s">
        <v>515</v>
      </c>
      <c r="AA69" s="73" t="s">
        <v>57</v>
      </c>
      <c r="AB69" s="75" t="s">
        <v>516</v>
      </c>
      <c r="AC69" s="68" t="str">
        <f t="shared" ca="1" si="8"/>
        <v/>
      </c>
      <c r="AD69" s="69">
        <f t="shared" ca="1" si="9"/>
        <v>0</v>
      </c>
      <c r="AE69" s="69">
        <f t="shared" ca="1" si="10"/>
        <v>0</v>
      </c>
      <c r="AF69" s="69">
        <f t="shared" ca="1" si="11"/>
        <v>0</v>
      </c>
      <c r="AG69" s="69">
        <f t="shared" ca="1" si="12"/>
        <v>0</v>
      </c>
      <c r="AH69" s="94"/>
      <c r="AI69" s="69"/>
      <c r="AJ69" s="69"/>
    </row>
    <row r="70" spans="1:36" ht="228">
      <c r="A70" s="61">
        <v>221</v>
      </c>
      <c r="B70" s="62" t="s">
        <v>449</v>
      </c>
      <c r="C70" s="62" t="s">
        <v>28</v>
      </c>
      <c r="D70" s="62" t="s">
        <v>29</v>
      </c>
      <c r="E70" s="62" t="s">
        <v>30</v>
      </c>
      <c r="F70" s="62">
        <v>2023</v>
      </c>
      <c r="G70" s="62">
        <v>88</v>
      </c>
      <c r="H70" s="62" t="s">
        <v>171</v>
      </c>
      <c r="I70" s="63">
        <v>1</v>
      </c>
      <c r="J70" s="63" t="s">
        <v>32</v>
      </c>
      <c r="K70" s="64"/>
      <c r="L70" s="62" t="s">
        <v>409</v>
      </c>
      <c r="M70" s="62" t="s">
        <v>410</v>
      </c>
      <c r="N70" s="62" t="s">
        <v>423</v>
      </c>
      <c r="O70" s="62" t="s">
        <v>517</v>
      </c>
      <c r="P70" s="62" t="s">
        <v>518</v>
      </c>
      <c r="Q70" s="62" t="s">
        <v>519</v>
      </c>
      <c r="R70" s="62" t="s">
        <v>520</v>
      </c>
      <c r="S70" s="62" t="s">
        <v>521</v>
      </c>
      <c r="T70" s="62">
        <v>100</v>
      </c>
      <c r="U70" s="62" t="s">
        <v>691</v>
      </c>
      <c r="V70" s="62" t="s">
        <v>514</v>
      </c>
      <c r="W70" s="62" t="s">
        <v>522</v>
      </c>
      <c r="X70" s="62" t="s">
        <v>41</v>
      </c>
      <c r="Y70" s="62" t="s">
        <v>42</v>
      </c>
      <c r="Z70" s="72" t="s">
        <v>523</v>
      </c>
      <c r="AA70" s="73" t="s">
        <v>57</v>
      </c>
      <c r="AB70" s="75" t="s">
        <v>524</v>
      </c>
      <c r="AC70" s="68" t="str">
        <f t="shared" ca="1" si="8"/>
        <v/>
      </c>
      <c r="AD70" s="69">
        <f t="shared" ca="1" si="9"/>
        <v>0</v>
      </c>
      <c r="AE70" s="69">
        <f t="shared" ca="1" si="10"/>
        <v>0</v>
      </c>
      <c r="AF70" s="69">
        <f t="shared" ca="1" si="11"/>
        <v>0</v>
      </c>
      <c r="AG70" s="69">
        <f t="shared" ca="1" si="12"/>
        <v>0</v>
      </c>
      <c r="AH70" s="94"/>
      <c r="AI70" s="69"/>
      <c r="AJ70" s="69"/>
    </row>
    <row r="71" spans="1:36" ht="239.4">
      <c r="A71" s="61">
        <v>222</v>
      </c>
      <c r="B71" s="62" t="s">
        <v>449</v>
      </c>
      <c r="C71" s="62" t="s">
        <v>28</v>
      </c>
      <c r="D71" s="62" t="s">
        <v>29</v>
      </c>
      <c r="E71" s="62" t="s">
        <v>30</v>
      </c>
      <c r="F71" s="62">
        <v>2023</v>
      </c>
      <c r="G71" s="62">
        <v>88</v>
      </c>
      <c r="H71" s="62" t="s">
        <v>182</v>
      </c>
      <c r="I71" s="63">
        <v>1</v>
      </c>
      <c r="J71" s="63" t="s">
        <v>32</v>
      </c>
      <c r="K71" s="64"/>
      <c r="L71" s="62" t="s">
        <v>409</v>
      </c>
      <c r="M71" s="62" t="s">
        <v>410</v>
      </c>
      <c r="N71" s="62" t="s">
        <v>423</v>
      </c>
      <c r="O71" s="62" t="s">
        <v>525</v>
      </c>
      <c r="P71" s="62" t="s">
        <v>526</v>
      </c>
      <c r="Q71" s="62" t="s">
        <v>527</v>
      </c>
      <c r="R71" s="62" t="s">
        <v>528</v>
      </c>
      <c r="S71" s="62" t="s">
        <v>529</v>
      </c>
      <c r="T71" s="62">
        <v>100</v>
      </c>
      <c r="U71" s="62" t="s">
        <v>691</v>
      </c>
      <c r="V71" s="62" t="s">
        <v>514</v>
      </c>
      <c r="W71" s="62" t="s">
        <v>467</v>
      </c>
      <c r="X71" s="62" t="s">
        <v>41</v>
      </c>
      <c r="Y71" s="62" t="s">
        <v>42</v>
      </c>
      <c r="Z71" s="72" t="s">
        <v>530</v>
      </c>
      <c r="AA71" s="73" t="s">
        <v>57</v>
      </c>
      <c r="AB71" s="75" t="s">
        <v>531</v>
      </c>
      <c r="AC71" s="68" t="str">
        <f t="shared" ca="1" si="8"/>
        <v/>
      </c>
      <c r="AD71" s="69">
        <f t="shared" ca="1" si="9"/>
        <v>0</v>
      </c>
      <c r="AE71" s="69">
        <f t="shared" ca="1" si="10"/>
        <v>0</v>
      </c>
      <c r="AF71" s="69">
        <f t="shared" ca="1" si="11"/>
        <v>0</v>
      </c>
      <c r="AG71" s="69">
        <f t="shared" ca="1" si="12"/>
        <v>0</v>
      </c>
      <c r="AH71" s="94"/>
      <c r="AI71" s="69"/>
      <c r="AJ71" s="69"/>
    </row>
    <row r="72" spans="1:36" ht="228">
      <c r="A72" s="80">
        <v>224</v>
      </c>
      <c r="B72" s="62" t="s">
        <v>449</v>
      </c>
      <c r="C72" s="62" t="s">
        <v>28</v>
      </c>
      <c r="D72" s="62" t="s">
        <v>29</v>
      </c>
      <c r="E72" s="62" t="s">
        <v>30</v>
      </c>
      <c r="F72" s="62">
        <v>2023</v>
      </c>
      <c r="G72" s="62">
        <v>88</v>
      </c>
      <c r="H72" s="62" t="s">
        <v>532</v>
      </c>
      <c r="I72" s="63">
        <v>1</v>
      </c>
      <c r="J72" s="63" t="s">
        <v>32</v>
      </c>
      <c r="K72" s="64"/>
      <c r="L72" s="62" t="s">
        <v>409</v>
      </c>
      <c r="M72" s="62" t="s">
        <v>410</v>
      </c>
      <c r="N72" s="62" t="s">
        <v>423</v>
      </c>
      <c r="O72" s="62" t="s">
        <v>533</v>
      </c>
      <c r="P72" s="62" t="s">
        <v>534</v>
      </c>
      <c r="Q72" s="62" t="s">
        <v>535</v>
      </c>
      <c r="R72" s="62" t="s">
        <v>536</v>
      </c>
      <c r="S72" s="62" t="s">
        <v>537</v>
      </c>
      <c r="T72" s="62">
        <v>100</v>
      </c>
      <c r="U72" s="62" t="s">
        <v>691</v>
      </c>
      <c r="V72" s="62" t="s">
        <v>514</v>
      </c>
      <c r="W72" s="70">
        <v>45504</v>
      </c>
      <c r="X72" s="62" t="s">
        <v>41</v>
      </c>
      <c r="Y72" s="62" t="s">
        <v>42</v>
      </c>
      <c r="Z72" s="71" t="s">
        <v>538</v>
      </c>
      <c r="AA72" s="66" t="s">
        <v>57</v>
      </c>
      <c r="AB72" s="92" t="s">
        <v>539</v>
      </c>
      <c r="AC72" s="68" t="str">
        <f t="shared" ca="1" si="8"/>
        <v/>
      </c>
      <c r="AD72" s="69">
        <f t="shared" ca="1" si="9"/>
        <v>0</v>
      </c>
      <c r="AE72" s="69">
        <f t="shared" ca="1" si="10"/>
        <v>0</v>
      </c>
      <c r="AF72" s="69">
        <f t="shared" ca="1" si="11"/>
        <v>0</v>
      </c>
      <c r="AG72" s="69">
        <f t="shared" ca="1" si="12"/>
        <v>0</v>
      </c>
      <c r="AH72" s="94"/>
      <c r="AI72" s="69"/>
      <c r="AJ72" s="69"/>
    </row>
    <row r="73" spans="1:36" ht="239.4">
      <c r="A73" s="61">
        <v>225</v>
      </c>
      <c r="B73" s="62" t="s">
        <v>449</v>
      </c>
      <c r="C73" s="62" t="s">
        <v>28</v>
      </c>
      <c r="D73" s="62" t="s">
        <v>29</v>
      </c>
      <c r="E73" s="62" t="s">
        <v>30</v>
      </c>
      <c r="F73" s="62">
        <v>2023</v>
      </c>
      <c r="G73" s="62">
        <v>88</v>
      </c>
      <c r="H73" s="62" t="s">
        <v>193</v>
      </c>
      <c r="I73" s="63">
        <v>1</v>
      </c>
      <c r="J73" s="63" t="s">
        <v>32</v>
      </c>
      <c r="K73" s="64"/>
      <c r="L73" s="62" t="s">
        <v>409</v>
      </c>
      <c r="M73" s="62" t="s">
        <v>410</v>
      </c>
      <c r="N73" s="62" t="s">
        <v>423</v>
      </c>
      <c r="O73" s="62" t="s">
        <v>540</v>
      </c>
      <c r="P73" s="62" t="s">
        <v>541</v>
      </c>
      <c r="Q73" s="62" t="s">
        <v>542</v>
      </c>
      <c r="R73" s="62" t="s">
        <v>543</v>
      </c>
      <c r="S73" s="62" t="s">
        <v>544</v>
      </c>
      <c r="T73" s="62">
        <v>100</v>
      </c>
      <c r="U73" s="62" t="s">
        <v>676</v>
      </c>
      <c r="V73" s="62" t="s">
        <v>514</v>
      </c>
      <c r="W73" s="62" t="s">
        <v>494</v>
      </c>
      <c r="X73" s="62" t="s">
        <v>41</v>
      </c>
      <c r="Y73" s="62" t="s">
        <v>477</v>
      </c>
      <c r="Z73" s="72" t="s">
        <v>545</v>
      </c>
      <c r="AA73" s="73" t="s">
        <v>57</v>
      </c>
      <c r="AB73" s="75" t="s">
        <v>546</v>
      </c>
      <c r="AC73" s="68" t="str">
        <f t="shared" ca="1" si="8"/>
        <v/>
      </c>
      <c r="AD73" s="69">
        <f t="shared" ca="1" si="9"/>
        <v>0</v>
      </c>
      <c r="AE73" s="69">
        <f t="shared" ca="1" si="10"/>
        <v>0</v>
      </c>
      <c r="AF73" s="69">
        <f t="shared" ca="1" si="11"/>
        <v>0</v>
      </c>
      <c r="AG73" s="69">
        <f t="shared" ca="1" si="12"/>
        <v>0</v>
      </c>
      <c r="AH73" s="93" t="s">
        <v>658</v>
      </c>
      <c r="AI73" s="69"/>
      <c r="AJ73" s="69"/>
    </row>
    <row r="74" spans="1:36" ht="193.8">
      <c r="A74" s="61">
        <v>232</v>
      </c>
      <c r="B74" s="62" t="s">
        <v>449</v>
      </c>
      <c r="C74" s="62" t="s">
        <v>28</v>
      </c>
      <c r="D74" s="62" t="s">
        <v>29</v>
      </c>
      <c r="E74" s="62" t="s">
        <v>30</v>
      </c>
      <c r="F74" s="62">
        <v>2023</v>
      </c>
      <c r="G74" s="62">
        <v>88</v>
      </c>
      <c r="H74" s="62" t="s">
        <v>218</v>
      </c>
      <c r="I74" s="63">
        <v>1</v>
      </c>
      <c r="J74" s="63" t="s">
        <v>32</v>
      </c>
      <c r="K74" s="64"/>
      <c r="L74" s="62" t="s">
        <v>409</v>
      </c>
      <c r="M74" s="62" t="s">
        <v>410</v>
      </c>
      <c r="N74" s="62" t="s">
        <v>423</v>
      </c>
      <c r="O74" s="62" t="s">
        <v>547</v>
      </c>
      <c r="P74" s="62" t="s">
        <v>548</v>
      </c>
      <c r="Q74" s="62" t="s">
        <v>549</v>
      </c>
      <c r="R74" s="62" t="s">
        <v>550</v>
      </c>
      <c r="S74" s="62" t="s">
        <v>551</v>
      </c>
      <c r="T74" s="62">
        <v>100</v>
      </c>
      <c r="U74" s="62" t="s">
        <v>676</v>
      </c>
      <c r="V74" s="62" t="s">
        <v>514</v>
      </c>
      <c r="W74" s="62" t="s">
        <v>494</v>
      </c>
      <c r="X74" s="62" t="s">
        <v>41</v>
      </c>
      <c r="Y74" s="62" t="s">
        <v>477</v>
      </c>
      <c r="Z74" s="72" t="s">
        <v>552</v>
      </c>
      <c r="AA74" s="73" t="s">
        <v>57</v>
      </c>
      <c r="AB74" s="75" t="s">
        <v>553</v>
      </c>
      <c r="AC74" s="68" t="str">
        <f t="shared" ca="1" si="8"/>
        <v/>
      </c>
      <c r="AD74" s="69">
        <f t="shared" ca="1" si="9"/>
        <v>0</v>
      </c>
      <c r="AE74" s="69">
        <f t="shared" ca="1" si="10"/>
        <v>0</v>
      </c>
      <c r="AF74" s="69">
        <f t="shared" ca="1" si="11"/>
        <v>0</v>
      </c>
      <c r="AG74" s="69">
        <f t="shared" ca="1" si="12"/>
        <v>0</v>
      </c>
      <c r="AH74" s="93" t="s">
        <v>658</v>
      </c>
      <c r="AI74" s="69"/>
      <c r="AJ74" s="69"/>
    </row>
    <row r="75" spans="1:36" ht="182.4">
      <c r="A75" s="61">
        <v>233</v>
      </c>
      <c r="B75" s="62" t="s">
        <v>449</v>
      </c>
      <c r="C75" s="62" t="s">
        <v>28</v>
      </c>
      <c r="D75" s="62" t="s">
        <v>29</v>
      </c>
      <c r="E75" s="62" t="s">
        <v>30</v>
      </c>
      <c r="F75" s="62">
        <v>2023</v>
      </c>
      <c r="G75" s="62">
        <v>88</v>
      </c>
      <c r="H75" s="62" t="s">
        <v>554</v>
      </c>
      <c r="I75" s="63">
        <v>1</v>
      </c>
      <c r="J75" s="63" t="s">
        <v>32</v>
      </c>
      <c r="K75" s="64"/>
      <c r="L75" s="62" t="s">
        <v>409</v>
      </c>
      <c r="M75" s="62" t="s">
        <v>410</v>
      </c>
      <c r="N75" s="62" t="s">
        <v>423</v>
      </c>
      <c r="O75" s="62" t="s">
        <v>555</v>
      </c>
      <c r="P75" s="62" t="s">
        <v>556</v>
      </c>
      <c r="Q75" s="62" t="s">
        <v>557</v>
      </c>
      <c r="R75" s="62" t="s">
        <v>558</v>
      </c>
      <c r="S75" s="62" t="s">
        <v>559</v>
      </c>
      <c r="T75" s="62">
        <v>100</v>
      </c>
      <c r="U75" s="62" t="s">
        <v>692</v>
      </c>
      <c r="V75" s="62" t="s">
        <v>514</v>
      </c>
      <c r="W75" s="62" t="s">
        <v>494</v>
      </c>
      <c r="X75" s="62" t="s">
        <v>41</v>
      </c>
      <c r="Y75" s="62" t="s">
        <v>477</v>
      </c>
      <c r="Z75" s="72" t="s">
        <v>560</v>
      </c>
      <c r="AA75" s="73" t="s">
        <v>57</v>
      </c>
      <c r="AB75" s="75" t="s">
        <v>561</v>
      </c>
      <c r="AC75" s="68" t="str">
        <f t="shared" ca="1" si="8"/>
        <v/>
      </c>
      <c r="AD75" s="69">
        <f t="shared" ca="1" si="9"/>
        <v>0</v>
      </c>
      <c r="AE75" s="69">
        <f t="shared" ca="1" si="10"/>
        <v>0</v>
      </c>
      <c r="AF75" s="69">
        <f t="shared" ca="1" si="11"/>
        <v>0</v>
      </c>
      <c r="AG75" s="69">
        <f t="shared" ca="1" si="12"/>
        <v>0</v>
      </c>
      <c r="AH75" s="94"/>
      <c r="AI75" s="69"/>
      <c r="AJ75" s="69"/>
    </row>
    <row r="76" spans="1:36" ht="262.2">
      <c r="A76" s="61">
        <v>234</v>
      </c>
      <c r="B76" s="62" t="s">
        <v>449</v>
      </c>
      <c r="C76" s="62" t="s">
        <v>28</v>
      </c>
      <c r="D76" s="62" t="s">
        <v>29</v>
      </c>
      <c r="E76" s="62" t="s">
        <v>30</v>
      </c>
      <c r="F76" s="62">
        <v>2023</v>
      </c>
      <c r="G76" s="62">
        <v>88</v>
      </c>
      <c r="H76" s="62" t="s">
        <v>554</v>
      </c>
      <c r="I76" s="63">
        <v>2</v>
      </c>
      <c r="J76" s="63" t="s">
        <v>32</v>
      </c>
      <c r="K76" s="64"/>
      <c r="L76" s="62" t="s">
        <v>409</v>
      </c>
      <c r="M76" s="62" t="s">
        <v>410</v>
      </c>
      <c r="N76" s="62" t="s">
        <v>423</v>
      </c>
      <c r="O76" s="62" t="s">
        <v>555</v>
      </c>
      <c r="P76" s="62" t="s">
        <v>556</v>
      </c>
      <c r="Q76" s="62" t="s">
        <v>562</v>
      </c>
      <c r="R76" s="62" t="s">
        <v>563</v>
      </c>
      <c r="S76" s="62" t="s">
        <v>564</v>
      </c>
      <c r="T76" s="62">
        <v>100</v>
      </c>
      <c r="U76" s="62" t="s">
        <v>692</v>
      </c>
      <c r="V76" s="62" t="s">
        <v>514</v>
      </c>
      <c r="W76" s="62" t="s">
        <v>494</v>
      </c>
      <c r="X76" s="62" t="s">
        <v>41</v>
      </c>
      <c r="Y76" s="62" t="s">
        <v>477</v>
      </c>
      <c r="Z76" s="72" t="s">
        <v>565</v>
      </c>
      <c r="AA76" s="73" t="s">
        <v>57</v>
      </c>
      <c r="AB76" s="75" t="s">
        <v>566</v>
      </c>
      <c r="AC76" s="68" t="str">
        <f t="shared" ca="1" si="8"/>
        <v/>
      </c>
      <c r="AD76" s="69">
        <f t="shared" ca="1" si="9"/>
        <v>0</v>
      </c>
      <c r="AE76" s="69">
        <f t="shared" ca="1" si="10"/>
        <v>0</v>
      </c>
      <c r="AF76" s="69">
        <f t="shared" ca="1" si="11"/>
        <v>0</v>
      </c>
      <c r="AG76" s="69">
        <f t="shared" ca="1" si="12"/>
        <v>0</v>
      </c>
      <c r="AH76" s="94"/>
      <c r="AI76" s="69"/>
      <c r="AJ76" s="69"/>
    </row>
    <row r="77" spans="1:36" ht="205.2">
      <c r="A77" s="61">
        <v>235</v>
      </c>
      <c r="B77" s="62" t="s">
        <v>449</v>
      </c>
      <c r="C77" s="62" t="s">
        <v>28</v>
      </c>
      <c r="D77" s="62" t="s">
        <v>29</v>
      </c>
      <c r="E77" s="62" t="s">
        <v>30</v>
      </c>
      <c r="F77" s="62">
        <v>2023</v>
      </c>
      <c r="G77" s="62">
        <v>88</v>
      </c>
      <c r="H77" s="62" t="s">
        <v>567</v>
      </c>
      <c r="I77" s="63">
        <v>1</v>
      </c>
      <c r="J77" s="63" t="s">
        <v>32</v>
      </c>
      <c r="K77" s="64"/>
      <c r="L77" s="62" t="s">
        <v>409</v>
      </c>
      <c r="M77" s="62" t="s">
        <v>410</v>
      </c>
      <c r="N77" s="62" t="s">
        <v>423</v>
      </c>
      <c r="O77" s="62" t="s">
        <v>568</v>
      </c>
      <c r="P77" s="62" t="s">
        <v>569</v>
      </c>
      <c r="Q77" s="62" t="s">
        <v>570</v>
      </c>
      <c r="R77" s="62" t="s">
        <v>571</v>
      </c>
      <c r="S77" s="62" t="s">
        <v>572</v>
      </c>
      <c r="T77" s="62">
        <v>100</v>
      </c>
      <c r="U77" s="62" t="s">
        <v>676</v>
      </c>
      <c r="V77" s="62" t="s">
        <v>514</v>
      </c>
      <c r="W77" s="62" t="s">
        <v>494</v>
      </c>
      <c r="X77" s="62" t="s">
        <v>41</v>
      </c>
      <c r="Y77" s="62" t="s">
        <v>477</v>
      </c>
      <c r="Z77" s="72" t="s">
        <v>573</v>
      </c>
      <c r="AA77" s="73" t="s">
        <v>57</v>
      </c>
      <c r="AB77" s="75" t="s">
        <v>574</v>
      </c>
      <c r="AC77" s="68" t="str">
        <f t="shared" ca="1" si="8"/>
        <v/>
      </c>
      <c r="AD77" s="69">
        <f t="shared" ca="1" si="9"/>
        <v>0</v>
      </c>
      <c r="AE77" s="69">
        <f t="shared" ca="1" si="10"/>
        <v>0</v>
      </c>
      <c r="AF77" s="69">
        <f t="shared" ca="1" si="11"/>
        <v>0</v>
      </c>
      <c r="AG77" s="69">
        <f t="shared" ca="1" si="12"/>
        <v>0</v>
      </c>
      <c r="AH77" s="93" t="s">
        <v>658</v>
      </c>
      <c r="AI77" s="69"/>
      <c r="AJ77" s="69"/>
    </row>
    <row r="78" spans="1:36" ht="262.2">
      <c r="A78" s="61">
        <v>236</v>
      </c>
      <c r="B78" s="62" t="s">
        <v>449</v>
      </c>
      <c r="C78" s="62" t="s">
        <v>28</v>
      </c>
      <c r="D78" s="62" t="s">
        <v>29</v>
      </c>
      <c r="E78" s="62" t="s">
        <v>30</v>
      </c>
      <c r="F78" s="62">
        <v>2023</v>
      </c>
      <c r="G78" s="62">
        <v>88</v>
      </c>
      <c r="H78" s="62" t="s">
        <v>567</v>
      </c>
      <c r="I78" s="63">
        <v>2</v>
      </c>
      <c r="J78" s="63" t="s">
        <v>32</v>
      </c>
      <c r="K78" s="64"/>
      <c r="L78" s="62" t="s">
        <v>409</v>
      </c>
      <c r="M78" s="62" t="s">
        <v>410</v>
      </c>
      <c r="N78" s="62" t="s">
        <v>423</v>
      </c>
      <c r="O78" s="62" t="s">
        <v>568</v>
      </c>
      <c r="P78" s="62" t="s">
        <v>569</v>
      </c>
      <c r="Q78" s="62" t="s">
        <v>575</v>
      </c>
      <c r="R78" s="62" t="s">
        <v>576</v>
      </c>
      <c r="S78" s="62" t="s">
        <v>577</v>
      </c>
      <c r="T78" s="62">
        <v>100</v>
      </c>
      <c r="U78" s="62" t="s">
        <v>676</v>
      </c>
      <c r="V78" s="62" t="s">
        <v>514</v>
      </c>
      <c r="W78" s="62" t="s">
        <v>494</v>
      </c>
      <c r="X78" s="62" t="s">
        <v>41</v>
      </c>
      <c r="Y78" s="62" t="s">
        <v>477</v>
      </c>
      <c r="Z78" s="72" t="s">
        <v>578</v>
      </c>
      <c r="AA78" s="73" t="s">
        <v>57</v>
      </c>
      <c r="AB78" s="75" t="s">
        <v>579</v>
      </c>
      <c r="AC78" s="68" t="str">
        <f t="shared" ca="1" si="8"/>
        <v/>
      </c>
      <c r="AD78" s="69">
        <f t="shared" ca="1" si="9"/>
        <v>0</v>
      </c>
      <c r="AE78" s="69">
        <f t="shared" ca="1" si="10"/>
        <v>0</v>
      </c>
      <c r="AF78" s="69">
        <f t="shared" ca="1" si="11"/>
        <v>0</v>
      </c>
      <c r="AG78" s="69">
        <f t="shared" ca="1" si="12"/>
        <v>0</v>
      </c>
      <c r="AH78" s="93" t="s">
        <v>658</v>
      </c>
      <c r="AI78" s="69"/>
      <c r="AJ78" s="69"/>
    </row>
    <row r="79" spans="1:36" ht="159.6">
      <c r="A79" s="61">
        <v>237</v>
      </c>
      <c r="B79" s="62" t="s">
        <v>449</v>
      </c>
      <c r="C79" s="62" t="s">
        <v>28</v>
      </c>
      <c r="D79" s="62" t="s">
        <v>29</v>
      </c>
      <c r="E79" s="62" t="s">
        <v>30</v>
      </c>
      <c r="F79" s="62">
        <v>2023</v>
      </c>
      <c r="G79" s="62">
        <v>88</v>
      </c>
      <c r="H79" s="62" t="s">
        <v>580</v>
      </c>
      <c r="I79" s="63">
        <v>1</v>
      </c>
      <c r="J79" s="63" t="s">
        <v>32</v>
      </c>
      <c r="K79" s="64"/>
      <c r="L79" s="62" t="s">
        <v>409</v>
      </c>
      <c r="M79" s="62" t="s">
        <v>410</v>
      </c>
      <c r="N79" s="62" t="s">
        <v>423</v>
      </c>
      <c r="O79" s="62" t="s">
        <v>581</v>
      </c>
      <c r="P79" s="62" t="s">
        <v>582</v>
      </c>
      <c r="Q79" s="62" t="s">
        <v>583</v>
      </c>
      <c r="R79" s="62" t="s">
        <v>584</v>
      </c>
      <c r="S79" s="62" t="s">
        <v>585</v>
      </c>
      <c r="T79" s="62">
        <v>100</v>
      </c>
      <c r="U79" s="62" t="s">
        <v>676</v>
      </c>
      <c r="V79" s="62" t="s">
        <v>514</v>
      </c>
      <c r="W79" s="62" t="s">
        <v>494</v>
      </c>
      <c r="X79" s="62" t="s">
        <v>41</v>
      </c>
      <c r="Y79" s="62" t="s">
        <v>477</v>
      </c>
      <c r="Z79" s="72" t="s">
        <v>586</v>
      </c>
      <c r="AA79" s="73" t="s">
        <v>57</v>
      </c>
      <c r="AB79" s="75" t="s">
        <v>587</v>
      </c>
      <c r="AC79" s="68" t="str">
        <f t="shared" ca="1" si="8"/>
        <v/>
      </c>
      <c r="AD79" s="69">
        <f t="shared" ca="1" si="9"/>
        <v>0</v>
      </c>
      <c r="AE79" s="69">
        <f t="shared" ca="1" si="10"/>
        <v>0</v>
      </c>
      <c r="AF79" s="69">
        <f t="shared" ca="1" si="11"/>
        <v>0</v>
      </c>
      <c r="AG79" s="69">
        <f t="shared" ca="1" si="12"/>
        <v>0</v>
      </c>
      <c r="AH79" s="93" t="s">
        <v>658</v>
      </c>
      <c r="AI79" s="69"/>
      <c r="AJ79" s="69"/>
    </row>
    <row r="80" spans="1:36" ht="205.2">
      <c r="A80" s="61">
        <v>238</v>
      </c>
      <c r="B80" s="62" t="s">
        <v>449</v>
      </c>
      <c r="C80" s="62" t="s">
        <v>28</v>
      </c>
      <c r="D80" s="62" t="s">
        <v>29</v>
      </c>
      <c r="E80" s="62" t="s">
        <v>30</v>
      </c>
      <c r="F80" s="62">
        <v>2023</v>
      </c>
      <c r="G80" s="62">
        <v>88</v>
      </c>
      <c r="H80" s="62" t="s">
        <v>380</v>
      </c>
      <c r="I80" s="63">
        <v>1</v>
      </c>
      <c r="J80" s="63" t="s">
        <v>32</v>
      </c>
      <c r="K80" s="64"/>
      <c r="L80" s="62" t="s">
        <v>409</v>
      </c>
      <c r="M80" s="62" t="s">
        <v>410</v>
      </c>
      <c r="N80" s="62" t="s">
        <v>423</v>
      </c>
      <c r="O80" s="62" t="s">
        <v>588</v>
      </c>
      <c r="P80" s="62" t="s">
        <v>589</v>
      </c>
      <c r="Q80" s="62" t="s">
        <v>590</v>
      </c>
      <c r="R80" s="62" t="s">
        <v>591</v>
      </c>
      <c r="S80" s="62" t="s">
        <v>592</v>
      </c>
      <c r="T80" s="62">
        <v>100</v>
      </c>
      <c r="U80" s="62" t="s">
        <v>677</v>
      </c>
      <c r="V80" s="62" t="s">
        <v>593</v>
      </c>
      <c r="W80" s="62" t="s">
        <v>494</v>
      </c>
      <c r="X80" s="62" t="s">
        <v>41</v>
      </c>
      <c r="Y80" s="62" t="s">
        <v>477</v>
      </c>
      <c r="Z80" s="72" t="s">
        <v>594</v>
      </c>
      <c r="AA80" s="73" t="s">
        <v>57</v>
      </c>
      <c r="AB80" s="75" t="s">
        <v>595</v>
      </c>
      <c r="AC80" s="68" t="str">
        <f t="shared" ca="1" si="8"/>
        <v/>
      </c>
      <c r="AD80" s="69">
        <f t="shared" ca="1" si="9"/>
        <v>0</v>
      </c>
      <c r="AE80" s="69">
        <f t="shared" ca="1" si="10"/>
        <v>0</v>
      </c>
      <c r="AF80" s="69">
        <f t="shared" ca="1" si="11"/>
        <v>0</v>
      </c>
      <c r="AG80" s="69">
        <f t="shared" ca="1" si="12"/>
        <v>0</v>
      </c>
      <c r="AH80" s="94"/>
      <c r="AI80" s="69"/>
      <c r="AJ80" s="69"/>
    </row>
    <row r="81" spans="1:36" ht="250.8">
      <c r="A81" s="61">
        <v>239</v>
      </c>
      <c r="B81" s="62" t="s">
        <v>449</v>
      </c>
      <c r="C81" s="62" t="s">
        <v>28</v>
      </c>
      <c r="D81" s="62" t="s">
        <v>29</v>
      </c>
      <c r="E81" s="62" t="s">
        <v>30</v>
      </c>
      <c r="F81" s="62">
        <v>2023</v>
      </c>
      <c r="G81" s="62">
        <v>88</v>
      </c>
      <c r="H81" s="62" t="s">
        <v>380</v>
      </c>
      <c r="I81" s="63">
        <v>2</v>
      </c>
      <c r="J81" s="63" t="s">
        <v>32</v>
      </c>
      <c r="K81" s="64"/>
      <c r="L81" s="62" t="s">
        <v>409</v>
      </c>
      <c r="M81" s="62" t="s">
        <v>410</v>
      </c>
      <c r="N81" s="62" t="s">
        <v>423</v>
      </c>
      <c r="O81" s="62" t="s">
        <v>588</v>
      </c>
      <c r="P81" s="62" t="s">
        <v>589</v>
      </c>
      <c r="Q81" s="62" t="s">
        <v>596</v>
      </c>
      <c r="R81" s="62" t="s">
        <v>597</v>
      </c>
      <c r="S81" s="62" t="s">
        <v>598</v>
      </c>
      <c r="T81" s="62">
        <v>100</v>
      </c>
      <c r="U81" s="62" t="s">
        <v>677</v>
      </c>
      <c r="V81" s="62" t="s">
        <v>593</v>
      </c>
      <c r="W81" s="62" t="s">
        <v>494</v>
      </c>
      <c r="X81" s="62" t="s">
        <v>41</v>
      </c>
      <c r="Y81" s="62" t="s">
        <v>477</v>
      </c>
      <c r="Z81" s="72" t="s">
        <v>599</v>
      </c>
      <c r="AA81" s="73" t="s">
        <v>57</v>
      </c>
      <c r="AB81" s="75" t="s">
        <v>600</v>
      </c>
      <c r="AC81" s="68" t="str">
        <f t="shared" ca="1" si="8"/>
        <v/>
      </c>
      <c r="AD81" s="69">
        <f t="shared" ca="1" si="9"/>
        <v>0</v>
      </c>
      <c r="AE81" s="69">
        <f t="shared" ca="1" si="10"/>
        <v>0</v>
      </c>
      <c r="AF81" s="69">
        <f t="shared" ca="1" si="11"/>
        <v>0</v>
      </c>
      <c r="AG81" s="69">
        <f t="shared" ca="1" si="12"/>
        <v>0</v>
      </c>
      <c r="AH81" s="94"/>
      <c r="AI81" s="69"/>
      <c r="AJ81" s="69"/>
    </row>
    <row r="82" spans="1:36" ht="125.4">
      <c r="A82" s="61">
        <v>241</v>
      </c>
      <c r="B82" s="62" t="s">
        <v>449</v>
      </c>
      <c r="C82" s="62" t="s">
        <v>28</v>
      </c>
      <c r="D82" s="62" t="s">
        <v>29</v>
      </c>
      <c r="E82" s="62" t="s">
        <v>30</v>
      </c>
      <c r="F82" s="62">
        <v>2023</v>
      </c>
      <c r="G82" s="62">
        <v>88</v>
      </c>
      <c r="H82" s="62" t="s">
        <v>601</v>
      </c>
      <c r="I82" s="63">
        <v>1</v>
      </c>
      <c r="J82" s="63" t="s">
        <v>32</v>
      </c>
      <c r="K82" s="64"/>
      <c r="L82" s="62" t="s">
        <v>409</v>
      </c>
      <c r="M82" s="62" t="s">
        <v>410</v>
      </c>
      <c r="N82" s="62" t="s">
        <v>423</v>
      </c>
      <c r="O82" s="62" t="s">
        <v>602</v>
      </c>
      <c r="P82" s="62" t="s">
        <v>603</v>
      </c>
      <c r="Q82" s="62" t="s">
        <v>604</v>
      </c>
      <c r="R82" s="62" t="s">
        <v>605</v>
      </c>
      <c r="S82" s="62" t="s">
        <v>606</v>
      </c>
      <c r="T82" s="62">
        <v>100</v>
      </c>
      <c r="U82" s="62" t="s">
        <v>677</v>
      </c>
      <c r="V82" s="62" t="s">
        <v>607</v>
      </c>
      <c r="W82" s="62" t="s">
        <v>494</v>
      </c>
      <c r="X82" s="62" t="s">
        <v>41</v>
      </c>
      <c r="Y82" s="62" t="s">
        <v>477</v>
      </c>
      <c r="Z82" s="72" t="s">
        <v>608</v>
      </c>
      <c r="AA82" s="73" t="s">
        <v>57</v>
      </c>
      <c r="AB82" s="75" t="s">
        <v>609</v>
      </c>
      <c r="AC82" s="68" t="str">
        <f t="shared" ca="1" si="8"/>
        <v/>
      </c>
      <c r="AD82" s="69">
        <f t="shared" ca="1" si="9"/>
        <v>0</v>
      </c>
      <c r="AE82" s="69">
        <f t="shared" ca="1" si="10"/>
        <v>0</v>
      </c>
      <c r="AF82" s="69">
        <f t="shared" ca="1" si="11"/>
        <v>0</v>
      </c>
      <c r="AG82" s="69">
        <f t="shared" ca="1" si="12"/>
        <v>0</v>
      </c>
      <c r="AH82" s="94"/>
      <c r="AI82" s="69"/>
      <c r="AJ82" s="69"/>
    </row>
    <row r="83" spans="1:36" ht="114">
      <c r="A83" s="61">
        <v>242</v>
      </c>
      <c r="B83" s="62" t="s">
        <v>449</v>
      </c>
      <c r="C83" s="62" t="s">
        <v>28</v>
      </c>
      <c r="D83" s="62" t="s">
        <v>29</v>
      </c>
      <c r="E83" s="62" t="s">
        <v>30</v>
      </c>
      <c r="F83" s="62">
        <v>2023</v>
      </c>
      <c r="G83" s="62">
        <v>88</v>
      </c>
      <c r="H83" s="62" t="s">
        <v>601</v>
      </c>
      <c r="I83" s="63">
        <v>2</v>
      </c>
      <c r="J83" s="63" t="s">
        <v>32</v>
      </c>
      <c r="K83" s="64"/>
      <c r="L83" s="62" t="s">
        <v>409</v>
      </c>
      <c r="M83" s="62" t="s">
        <v>410</v>
      </c>
      <c r="N83" s="62" t="s">
        <v>423</v>
      </c>
      <c r="O83" s="62" t="s">
        <v>602</v>
      </c>
      <c r="P83" s="62" t="s">
        <v>603</v>
      </c>
      <c r="Q83" s="62" t="s">
        <v>610</v>
      </c>
      <c r="R83" s="62" t="s">
        <v>611</v>
      </c>
      <c r="S83" s="62" t="s">
        <v>612</v>
      </c>
      <c r="T83" s="62">
        <v>100</v>
      </c>
      <c r="U83" s="62" t="s">
        <v>677</v>
      </c>
      <c r="V83" s="62" t="s">
        <v>607</v>
      </c>
      <c r="W83" s="62" t="s">
        <v>494</v>
      </c>
      <c r="X83" s="62" t="s">
        <v>41</v>
      </c>
      <c r="Y83" s="62" t="s">
        <v>477</v>
      </c>
      <c r="Z83" s="72" t="s">
        <v>613</v>
      </c>
      <c r="AA83" s="73" t="s">
        <v>57</v>
      </c>
      <c r="AB83" s="75" t="s">
        <v>614</v>
      </c>
      <c r="AC83" s="68" t="str">
        <f t="shared" ca="1" si="8"/>
        <v/>
      </c>
      <c r="AD83" s="69">
        <f t="shared" ca="1" si="9"/>
        <v>0</v>
      </c>
      <c r="AE83" s="69">
        <f t="shared" ca="1" si="10"/>
        <v>0</v>
      </c>
      <c r="AF83" s="69">
        <f t="shared" ca="1" si="11"/>
        <v>0</v>
      </c>
      <c r="AG83" s="69">
        <f t="shared" ca="1" si="12"/>
        <v>0</v>
      </c>
      <c r="AH83" s="94"/>
      <c r="AI83" s="69"/>
      <c r="AJ83" s="69"/>
    </row>
    <row r="84" spans="1:36" ht="228">
      <c r="A84" s="61">
        <v>243</v>
      </c>
      <c r="B84" s="62" t="s">
        <v>449</v>
      </c>
      <c r="C84" s="62" t="s">
        <v>28</v>
      </c>
      <c r="D84" s="62" t="s">
        <v>29</v>
      </c>
      <c r="E84" s="62" t="s">
        <v>30</v>
      </c>
      <c r="F84" s="62">
        <v>2023</v>
      </c>
      <c r="G84" s="62">
        <v>88</v>
      </c>
      <c r="H84" s="62" t="s">
        <v>615</v>
      </c>
      <c r="I84" s="63">
        <v>1</v>
      </c>
      <c r="J84" s="63" t="s">
        <v>32</v>
      </c>
      <c r="K84" s="64"/>
      <c r="L84" s="62" t="s">
        <v>409</v>
      </c>
      <c r="M84" s="62" t="s">
        <v>410</v>
      </c>
      <c r="N84" s="62" t="s">
        <v>423</v>
      </c>
      <c r="O84" s="62" t="s">
        <v>616</v>
      </c>
      <c r="P84" s="62" t="s">
        <v>617</v>
      </c>
      <c r="Q84" s="62" t="s">
        <v>618</v>
      </c>
      <c r="R84" s="62" t="s">
        <v>605</v>
      </c>
      <c r="S84" s="62" t="s">
        <v>618</v>
      </c>
      <c r="T84" s="62">
        <v>100</v>
      </c>
      <c r="U84" s="62" t="s">
        <v>677</v>
      </c>
      <c r="V84" s="62" t="s">
        <v>607</v>
      </c>
      <c r="W84" s="62" t="s">
        <v>494</v>
      </c>
      <c r="X84" s="62" t="s">
        <v>41</v>
      </c>
      <c r="Y84" s="62" t="s">
        <v>477</v>
      </c>
      <c r="Z84" s="72" t="s">
        <v>619</v>
      </c>
      <c r="AA84" s="73" t="s">
        <v>57</v>
      </c>
      <c r="AB84" s="75" t="s">
        <v>620</v>
      </c>
      <c r="AC84" s="68" t="str">
        <f t="shared" ca="1" si="8"/>
        <v/>
      </c>
      <c r="AD84" s="69">
        <f t="shared" ca="1" si="9"/>
        <v>0</v>
      </c>
      <c r="AE84" s="69">
        <f t="shared" ca="1" si="10"/>
        <v>0</v>
      </c>
      <c r="AF84" s="69">
        <f t="shared" ca="1" si="11"/>
        <v>0</v>
      </c>
      <c r="AG84" s="69">
        <f t="shared" ca="1" si="12"/>
        <v>0</v>
      </c>
      <c r="AH84" s="94"/>
      <c r="AI84" s="69"/>
      <c r="AJ84" s="69"/>
    </row>
    <row r="85" spans="1:36" ht="205.2">
      <c r="A85" s="61">
        <v>244</v>
      </c>
      <c r="B85" s="62" t="s">
        <v>449</v>
      </c>
      <c r="C85" s="62" t="s">
        <v>28</v>
      </c>
      <c r="D85" s="62" t="s">
        <v>29</v>
      </c>
      <c r="E85" s="62" t="s">
        <v>30</v>
      </c>
      <c r="F85" s="62">
        <v>2023</v>
      </c>
      <c r="G85" s="62">
        <v>88</v>
      </c>
      <c r="H85" s="62" t="s">
        <v>615</v>
      </c>
      <c r="I85" s="63">
        <v>2</v>
      </c>
      <c r="J85" s="63" t="s">
        <v>32</v>
      </c>
      <c r="K85" s="64"/>
      <c r="L85" s="62" t="s">
        <v>409</v>
      </c>
      <c r="M85" s="62" t="s">
        <v>410</v>
      </c>
      <c r="N85" s="62" t="s">
        <v>423</v>
      </c>
      <c r="O85" s="62" t="s">
        <v>616</v>
      </c>
      <c r="P85" s="62" t="s">
        <v>617</v>
      </c>
      <c r="Q85" s="62" t="s">
        <v>621</v>
      </c>
      <c r="R85" s="62" t="s">
        <v>622</v>
      </c>
      <c r="S85" s="62" t="s">
        <v>623</v>
      </c>
      <c r="T85" s="62">
        <v>100</v>
      </c>
      <c r="U85" s="62" t="s">
        <v>677</v>
      </c>
      <c r="V85" s="62" t="s">
        <v>607</v>
      </c>
      <c r="W85" s="62" t="s">
        <v>494</v>
      </c>
      <c r="X85" s="62" t="s">
        <v>41</v>
      </c>
      <c r="Y85" s="62" t="s">
        <v>477</v>
      </c>
      <c r="Z85" s="72" t="s">
        <v>613</v>
      </c>
      <c r="AA85" s="73" t="s">
        <v>57</v>
      </c>
      <c r="AB85" s="75" t="s">
        <v>624</v>
      </c>
      <c r="AC85" s="68" t="str">
        <f t="shared" ca="1" si="8"/>
        <v/>
      </c>
      <c r="AD85" s="69">
        <f t="shared" ca="1" si="9"/>
        <v>0</v>
      </c>
      <c r="AE85" s="69">
        <f t="shared" ca="1" si="10"/>
        <v>0</v>
      </c>
      <c r="AF85" s="69">
        <f t="shared" ca="1" si="11"/>
        <v>0</v>
      </c>
      <c r="AG85" s="69">
        <f t="shared" ca="1" si="12"/>
        <v>0</v>
      </c>
      <c r="AH85" s="94"/>
      <c r="AI85" s="69"/>
      <c r="AJ85" s="69"/>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tabSelected="1" workbookViewId="0">
      <selection activeCell="E15" sqref="E15"/>
    </sheetView>
  </sheetViews>
  <sheetFormatPr baseColWidth="10" defaultRowHeight="14.4"/>
  <cols>
    <col min="1" max="1" width="23.21875" style="168" customWidth="1"/>
    <col min="2" max="2" width="37.33203125" style="168" customWidth="1"/>
    <col min="3" max="3" width="68.6640625" style="168" bestFit="1" customWidth="1"/>
  </cols>
  <sheetData>
    <row r="1" spans="1:3">
      <c r="A1" s="20" t="s">
        <v>800</v>
      </c>
      <c r="B1" s="20" t="s">
        <v>801</v>
      </c>
      <c r="C1" s="20" t="s">
        <v>802</v>
      </c>
    </row>
    <row r="2" spans="1:3" ht="43.2">
      <c r="A2" s="217" t="s">
        <v>805</v>
      </c>
      <c r="B2" s="170" t="s">
        <v>804</v>
      </c>
      <c r="C2" s="218" t="s">
        <v>803</v>
      </c>
    </row>
    <row r="3" spans="1:3" ht="43.2">
      <c r="A3" s="217" t="s">
        <v>806</v>
      </c>
      <c r="B3" s="170" t="s">
        <v>807</v>
      </c>
      <c r="C3" s="218" t="s">
        <v>808</v>
      </c>
    </row>
    <row r="4" spans="1:3" ht="43.2">
      <c r="A4" s="217" t="s">
        <v>809</v>
      </c>
      <c r="B4" s="170" t="s">
        <v>810</v>
      </c>
      <c r="C4" s="219" t="s">
        <v>811</v>
      </c>
    </row>
    <row r="5" spans="1:3">
      <c r="A5" s="217"/>
      <c r="B5" s="217"/>
      <c r="C5" s="217"/>
    </row>
    <row r="6" spans="1:3">
      <c r="A6" s="217"/>
      <c r="B6" s="217"/>
      <c r="C6" s="217"/>
    </row>
    <row r="7" spans="1:3">
      <c r="A7" s="217"/>
      <c r="B7" s="217"/>
      <c r="C7" s="217"/>
    </row>
    <row r="8" spans="1:3">
      <c r="A8" s="217"/>
      <c r="B8" s="217"/>
      <c r="C8" s="217"/>
    </row>
    <row r="9" spans="1:3">
      <c r="A9" s="217"/>
      <c r="B9" s="217"/>
      <c r="C9" s="217"/>
    </row>
    <row r="10" spans="1:3">
      <c r="A10" s="217"/>
      <c r="B10" s="217"/>
      <c r="C10" s="217"/>
    </row>
    <row r="11" spans="1:3">
      <c r="A11" s="217"/>
      <c r="B11" s="217"/>
      <c r="C11" s="217"/>
    </row>
    <row r="12" spans="1:3">
      <c r="A12" s="217"/>
      <c r="B12" s="217"/>
      <c r="C12" s="217"/>
    </row>
    <row r="13" spans="1:3">
      <c r="A13" s="217"/>
      <c r="B13" s="217"/>
      <c r="C13" s="217"/>
    </row>
    <row r="14" spans="1:3">
      <c r="A14" s="217"/>
      <c r="B14" s="217"/>
      <c r="C14" s="217"/>
    </row>
    <row r="15" spans="1:3">
      <c r="A15" s="217"/>
      <c r="B15" s="217"/>
      <c r="C15" s="217"/>
    </row>
    <row r="16" spans="1:3">
      <c r="A16" s="217"/>
      <c r="B16" s="217"/>
      <c r="C16" s="217"/>
    </row>
    <row r="17" spans="1:3">
      <c r="A17" s="217"/>
      <c r="B17" s="217"/>
      <c r="C17" s="217"/>
    </row>
    <row r="18" spans="1:3">
      <c r="A18" s="217"/>
      <c r="B18" s="217"/>
      <c r="C18" s="217"/>
    </row>
    <row r="19" spans="1:3">
      <c r="A19" s="217"/>
      <c r="B19" s="217"/>
      <c r="C19" s="217"/>
    </row>
    <row r="20" spans="1:3">
      <c r="A20" s="217"/>
      <c r="B20" s="217"/>
      <c r="C20" s="217"/>
    </row>
    <row r="21" spans="1:3">
      <c r="A21" s="217"/>
      <c r="B21" s="217"/>
      <c r="C21" s="217"/>
    </row>
    <row r="22" spans="1:3">
      <c r="A22" s="217"/>
      <c r="B22" s="217"/>
      <c r="C22" s="217"/>
    </row>
    <row r="23" spans="1:3">
      <c r="A23" s="217"/>
      <c r="B23" s="217"/>
      <c r="C23" s="217"/>
    </row>
    <row r="24" spans="1:3">
      <c r="A24" s="217"/>
      <c r="B24" s="217"/>
      <c r="C24" s="217"/>
    </row>
    <row r="25" spans="1:3">
      <c r="A25" s="217"/>
      <c r="B25" s="217"/>
      <c r="C25" s="217"/>
    </row>
    <row r="26" spans="1:3">
      <c r="A26" s="217"/>
      <c r="B26" s="217"/>
      <c r="C26" s="217"/>
    </row>
    <row r="27" spans="1:3">
      <c r="A27" s="217"/>
      <c r="B27" s="217"/>
      <c r="C27" s="217"/>
    </row>
    <row r="28" spans="1:3">
      <c r="A28" s="217"/>
      <c r="B28" s="217"/>
      <c r="C28" s="217"/>
    </row>
    <row r="29" spans="1:3">
      <c r="A29" s="217"/>
      <c r="B29" s="217"/>
      <c r="C29" s="217"/>
    </row>
    <row r="30" spans="1:3">
      <c r="A30" s="217"/>
      <c r="B30" s="217"/>
      <c r="C30" s="217"/>
    </row>
    <row r="31" spans="1:3">
      <c r="A31" s="217"/>
      <c r="B31" s="217"/>
      <c r="C31" s="217"/>
    </row>
    <row r="32" spans="1:3">
      <c r="A32" s="217"/>
      <c r="B32" s="217"/>
      <c r="C32" s="217"/>
    </row>
    <row r="33" spans="1:3">
      <c r="A33" s="217"/>
      <c r="B33" s="217"/>
      <c r="C33" s="217"/>
    </row>
    <row r="34" spans="1:3">
      <c r="A34" s="217"/>
      <c r="B34" s="217"/>
      <c r="C34" s="217"/>
    </row>
    <row r="35" spans="1:3">
      <c r="A35" s="217"/>
      <c r="B35" s="217"/>
      <c r="C35" s="217"/>
    </row>
    <row r="36" spans="1:3">
      <c r="A36" s="217"/>
      <c r="B36" s="217"/>
      <c r="C36" s="217"/>
    </row>
    <row r="37" spans="1:3">
      <c r="A37" s="217"/>
      <c r="B37" s="217"/>
      <c r="C37" s="217"/>
    </row>
    <row r="38" spans="1:3">
      <c r="A38" s="217"/>
      <c r="B38" s="217"/>
      <c r="C38" s="217"/>
    </row>
    <row r="39" spans="1:3">
      <c r="A39" s="217"/>
      <c r="B39" s="217"/>
      <c r="C39" s="217"/>
    </row>
    <row r="40" spans="1:3">
      <c r="A40" s="217"/>
      <c r="B40" s="217"/>
      <c r="C40" s="217"/>
    </row>
    <row r="41" spans="1:3">
      <c r="A41" s="217"/>
      <c r="B41" s="217"/>
      <c r="C41" s="217"/>
    </row>
    <row r="42" spans="1:3">
      <c r="A42" s="217"/>
      <c r="B42" s="217"/>
      <c r="C42" s="217"/>
    </row>
    <row r="43" spans="1:3">
      <c r="A43" s="217"/>
      <c r="B43" s="217"/>
      <c r="C43" s="217"/>
    </row>
    <row r="44" spans="1:3">
      <c r="A44" s="217"/>
      <c r="B44" s="217"/>
      <c r="C44" s="217"/>
    </row>
    <row r="45" spans="1:3">
      <c r="A45" s="217"/>
      <c r="B45" s="217"/>
      <c r="C45" s="217"/>
    </row>
    <row r="46" spans="1:3">
      <c r="A46" s="217"/>
      <c r="B46" s="217"/>
      <c r="C46" s="217"/>
    </row>
    <row r="47" spans="1:3">
      <c r="A47" s="217"/>
      <c r="B47" s="217"/>
      <c r="C47" s="217"/>
    </row>
    <row r="48" spans="1:3">
      <c r="A48" s="217"/>
      <c r="B48" s="217"/>
      <c r="C48" s="217"/>
    </row>
    <row r="49" spans="1:3">
      <c r="A49" s="217"/>
      <c r="B49" s="217"/>
      <c r="C49" s="217"/>
    </row>
    <row r="50" spans="1:3">
      <c r="A50" s="217"/>
      <c r="B50" s="217"/>
      <c r="C50" s="217"/>
    </row>
    <row r="51" spans="1:3">
      <c r="A51" s="217"/>
      <c r="B51" s="217"/>
      <c r="C51" s="217"/>
    </row>
    <row r="52" spans="1:3">
      <c r="A52" s="217"/>
      <c r="B52" s="217"/>
      <c r="C52" s="217"/>
    </row>
    <row r="53" spans="1:3">
      <c r="A53" s="217"/>
      <c r="B53" s="217"/>
      <c r="C53" s="217"/>
    </row>
    <row r="54" spans="1:3">
      <c r="A54" s="217"/>
      <c r="B54" s="217"/>
      <c r="C54" s="217"/>
    </row>
    <row r="55" spans="1:3">
      <c r="A55" s="217"/>
      <c r="B55" s="217"/>
      <c r="C55" s="217"/>
    </row>
    <row r="56" spans="1:3">
      <c r="A56" s="217"/>
      <c r="B56" s="217"/>
      <c r="C56" s="217"/>
    </row>
    <row r="57" spans="1:3">
      <c r="A57" s="217"/>
      <c r="B57" s="217"/>
      <c r="C57" s="217"/>
    </row>
    <row r="58" spans="1:3">
      <c r="A58" s="217"/>
      <c r="B58" s="217"/>
      <c r="C58" s="217"/>
    </row>
    <row r="59" spans="1:3">
      <c r="A59" s="217"/>
      <c r="B59" s="217"/>
      <c r="C59" s="217"/>
    </row>
    <row r="60" spans="1:3">
      <c r="A60" s="217"/>
      <c r="B60" s="217"/>
      <c r="C60" s="217"/>
    </row>
    <row r="61" spans="1:3">
      <c r="A61" s="217"/>
      <c r="B61" s="217"/>
      <c r="C61" s="217"/>
    </row>
    <row r="62" spans="1:3">
      <c r="A62" s="217"/>
      <c r="B62" s="217"/>
      <c r="C62" s="217"/>
    </row>
    <row r="63" spans="1:3">
      <c r="A63" s="217"/>
      <c r="B63" s="217"/>
      <c r="C63" s="217"/>
    </row>
    <row r="64" spans="1:3">
      <c r="A64" s="217"/>
      <c r="B64" s="217"/>
      <c r="C64" s="217"/>
    </row>
    <row r="65" spans="1:3">
      <c r="A65" s="217"/>
      <c r="B65" s="217"/>
      <c r="C65" s="217"/>
    </row>
    <row r="66" spans="1:3">
      <c r="A66" s="217"/>
      <c r="B66" s="217"/>
      <c r="C66" s="217"/>
    </row>
    <row r="67" spans="1:3">
      <c r="A67" s="217"/>
      <c r="B67" s="217"/>
      <c r="C67" s="217"/>
    </row>
    <row r="68" spans="1:3">
      <c r="A68" s="217"/>
      <c r="B68" s="217"/>
      <c r="C68" s="217"/>
    </row>
    <row r="69" spans="1:3">
      <c r="A69" s="217"/>
      <c r="B69" s="217"/>
      <c r="C69" s="217"/>
    </row>
    <row r="70" spans="1:3">
      <c r="A70" s="217"/>
      <c r="B70" s="217"/>
      <c r="C70" s="217"/>
    </row>
    <row r="71" spans="1:3">
      <c r="A71" s="217"/>
      <c r="B71" s="217"/>
      <c r="C71" s="217"/>
    </row>
    <row r="72" spans="1:3">
      <c r="A72" s="217"/>
      <c r="B72" s="217"/>
      <c r="C72" s="217"/>
    </row>
    <row r="73" spans="1:3">
      <c r="A73" s="217"/>
      <c r="B73" s="217"/>
      <c r="C73" s="217"/>
    </row>
    <row r="74" spans="1:3">
      <c r="A74" s="217"/>
      <c r="B74" s="217"/>
      <c r="C74" s="217"/>
    </row>
    <row r="75" spans="1:3">
      <c r="A75" s="217"/>
      <c r="B75" s="217"/>
      <c r="C75" s="217"/>
    </row>
    <row r="76" spans="1:3">
      <c r="A76" s="217"/>
      <c r="B76" s="217"/>
      <c r="C76" s="217"/>
    </row>
    <row r="77" spans="1:3">
      <c r="A77" s="217"/>
      <c r="B77" s="217"/>
      <c r="C77" s="217"/>
    </row>
    <row r="78" spans="1:3">
      <c r="A78" s="217"/>
      <c r="B78" s="217"/>
      <c r="C78" s="217"/>
    </row>
    <row r="79" spans="1:3">
      <c r="A79" s="217"/>
      <c r="B79" s="217"/>
      <c r="C79" s="217"/>
    </row>
    <row r="80" spans="1:3">
      <c r="A80" s="217"/>
      <c r="B80" s="217"/>
      <c r="C80" s="217"/>
    </row>
    <row r="81" spans="1:3">
      <c r="A81" s="217"/>
      <c r="B81" s="217"/>
      <c r="C81" s="217"/>
    </row>
    <row r="82" spans="1:3">
      <c r="A82" s="217"/>
      <c r="B82" s="217"/>
      <c r="C82" s="217"/>
    </row>
    <row r="83" spans="1:3">
      <c r="A83" s="217"/>
      <c r="B83" s="217"/>
      <c r="C83" s="217"/>
    </row>
    <row r="84" spans="1:3">
      <c r="A84" s="217"/>
      <c r="B84" s="217"/>
      <c r="C84" s="217"/>
    </row>
    <row r="85" spans="1:3">
      <c r="A85" s="217"/>
      <c r="B85" s="217"/>
      <c r="C85" s="217"/>
    </row>
    <row r="86" spans="1:3">
      <c r="A86" s="217"/>
      <c r="B86" s="217"/>
      <c r="C86" s="217"/>
    </row>
    <row r="87" spans="1:3">
      <c r="A87" s="217"/>
      <c r="B87" s="217"/>
      <c r="C87" s="217"/>
    </row>
    <row r="88" spans="1:3">
      <c r="A88" s="217"/>
      <c r="B88" s="217"/>
      <c r="C88" s="217"/>
    </row>
    <row r="89" spans="1:3">
      <c r="A89" s="217"/>
      <c r="B89" s="217"/>
      <c r="C89" s="217"/>
    </row>
    <row r="90" spans="1:3">
      <c r="A90" s="217"/>
      <c r="B90" s="217"/>
      <c r="C90" s="217"/>
    </row>
    <row r="91" spans="1:3">
      <c r="A91" s="217"/>
      <c r="B91" s="217"/>
      <c r="C91" s="217"/>
    </row>
    <row r="92" spans="1:3">
      <c r="A92" s="217"/>
      <c r="B92" s="217"/>
      <c r="C92" s="217"/>
    </row>
    <row r="93" spans="1:3">
      <c r="A93" s="217"/>
      <c r="B93" s="217"/>
      <c r="C93" s="217"/>
    </row>
    <row r="94" spans="1:3">
      <c r="A94" s="217"/>
      <c r="B94" s="217"/>
      <c r="C94" s="217"/>
    </row>
    <row r="95" spans="1:3">
      <c r="A95" s="217"/>
      <c r="B95" s="217"/>
      <c r="C95" s="217"/>
    </row>
    <row r="96" spans="1:3">
      <c r="A96" s="217"/>
      <c r="B96" s="217"/>
      <c r="C96" s="217"/>
    </row>
    <row r="97" spans="1:3">
      <c r="A97" s="217"/>
      <c r="B97" s="217"/>
      <c r="C97" s="217"/>
    </row>
    <row r="98" spans="1:3">
      <c r="A98" s="217"/>
      <c r="B98" s="217"/>
      <c r="C98" s="217"/>
    </row>
    <row r="99" spans="1:3">
      <c r="A99" s="217"/>
      <c r="B99" s="217"/>
      <c r="C99" s="217"/>
    </row>
    <row r="100" spans="1:3">
      <c r="A100" s="217"/>
      <c r="B100" s="217"/>
      <c r="C100" s="217"/>
    </row>
    <row r="101" spans="1:3">
      <c r="A101" s="217"/>
      <c r="B101" s="217"/>
      <c r="C101" s="217"/>
    </row>
    <row r="102" spans="1:3">
      <c r="A102" s="217"/>
      <c r="B102" s="217"/>
      <c r="C102" s="217"/>
    </row>
    <row r="103" spans="1:3">
      <c r="A103" s="217"/>
      <c r="B103" s="217"/>
      <c r="C103" s="217"/>
    </row>
    <row r="104" spans="1:3">
      <c r="A104" s="217"/>
      <c r="B104" s="217"/>
      <c r="C104" s="217"/>
    </row>
    <row r="105" spans="1:3">
      <c r="A105" s="217"/>
      <c r="B105" s="217"/>
      <c r="C105" s="217"/>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717</v>
      </c>
      <c r="D2" t="s">
        <v>718</v>
      </c>
      <c r="E2" s="123">
        <v>0.25</v>
      </c>
      <c r="F2" t="s">
        <v>719</v>
      </c>
      <c r="I2" t="s">
        <v>721</v>
      </c>
    </row>
    <row r="4" spans="3:10">
      <c r="C4" t="s">
        <v>720</v>
      </c>
    </row>
    <row r="6" spans="3:10">
      <c r="C6" t="s">
        <v>722</v>
      </c>
      <c r="H6" s="124" t="s">
        <v>724</v>
      </c>
      <c r="I6" t="s">
        <v>725</v>
      </c>
      <c r="J6" s="125">
        <v>85141264</v>
      </c>
    </row>
    <row r="8" spans="3:10">
      <c r="C8" t="s">
        <v>723</v>
      </c>
    </row>
    <row r="10" spans="3:10">
      <c r="C10" t="s">
        <v>726</v>
      </c>
      <c r="F10" t="s">
        <v>727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4"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4" customFormat="1" ht="3.6" customHeight="1"/>
    <row r="4" spans="3:14">
      <c r="C4" s="105" t="s">
        <v>699</v>
      </c>
      <c r="D4" s="106"/>
      <c r="E4" s="106"/>
    </row>
    <row r="5" spans="3:14">
      <c r="C5" s="16" t="s">
        <v>700</v>
      </c>
      <c r="D5" s="16"/>
      <c r="E5" s="16"/>
    </row>
    <row r="6" spans="3:14">
      <c r="C6" s="16"/>
      <c r="D6" s="16"/>
      <c r="E6" s="16"/>
    </row>
    <row r="7" spans="3:14" ht="76.2" customHeight="1">
      <c r="C7" s="215" t="s">
        <v>701</v>
      </c>
      <c r="D7" s="215"/>
      <c r="E7" s="215"/>
      <c r="F7" s="215"/>
      <c r="G7" s="215"/>
    </row>
    <row r="8" spans="3:14">
      <c r="C8" s="107" t="s">
        <v>5</v>
      </c>
      <c r="D8" s="107" t="s">
        <v>6</v>
      </c>
      <c r="E8" s="107" t="s">
        <v>7</v>
      </c>
      <c r="F8" s="107" t="s">
        <v>8</v>
      </c>
      <c r="G8" s="107" t="s">
        <v>13</v>
      </c>
      <c r="H8" s="107" t="s">
        <v>14</v>
      </c>
      <c r="I8" s="107" t="s">
        <v>15</v>
      </c>
      <c r="J8" s="113" t="s">
        <v>702</v>
      </c>
      <c r="K8" s="107" t="s">
        <v>20</v>
      </c>
      <c r="L8" s="107" t="s">
        <v>21</v>
      </c>
      <c r="M8" s="107" t="s">
        <v>25</v>
      </c>
      <c r="N8" s="107" t="s">
        <v>26</v>
      </c>
    </row>
    <row r="9" spans="3:14" ht="146.4" customHeight="1">
      <c r="C9" s="114">
        <v>2025</v>
      </c>
      <c r="D9" s="114">
        <v>90</v>
      </c>
      <c r="E9" s="138" t="s">
        <v>118</v>
      </c>
      <c r="F9" s="114">
        <v>1</v>
      </c>
      <c r="G9" s="101" t="s">
        <v>119</v>
      </c>
      <c r="H9" s="101" t="s">
        <v>120</v>
      </c>
      <c r="I9" s="101" t="s">
        <v>121</v>
      </c>
      <c r="J9" s="120" t="s">
        <v>706</v>
      </c>
      <c r="K9" s="101" t="s">
        <v>39</v>
      </c>
      <c r="L9" s="101" t="s">
        <v>124</v>
      </c>
      <c r="M9" s="66" t="s">
        <v>57</v>
      </c>
      <c r="N9" s="99" t="s">
        <v>125</v>
      </c>
    </row>
    <row r="10" spans="3:14" ht="99" customHeight="1">
      <c r="C10" s="114">
        <v>2025</v>
      </c>
      <c r="D10" s="114">
        <v>90</v>
      </c>
      <c r="E10" s="138" t="s">
        <v>137</v>
      </c>
      <c r="F10" s="114">
        <v>1</v>
      </c>
      <c r="G10" s="101" t="s">
        <v>138</v>
      </c>
      <c r="H10" s="101" t="s">
        <v>139</v>
      </c>
      <c r="I10" s="101" t="s">
        <v>140</v>
      </c>
      <c r="J10" s="120" t="s">
        <v>707</v>
      </c>
      <c r="K10" s="101" t="s">
        <v>39</v>
      </c>
      <c r="L10" s="101" t="s">
        <v>112</v>
      </c>
      <c r="M10" s="66" t="s">
        <v>57</v>
      </c>
      <c r="N10" s="67" t="s">
        <v>143</v>
      </c>
    </row>
    <row r="11" spans="3:14" ht="99.6" customHeight="1">
      <c r="C11" s="114">
        <v>2025</v>
      </c>
      <c r="D11" s="114">
        <v>90</v>
      </c>
      <c r="E11" s="138" t="s">
        <v>144</v>
      </c>
      <c r="F11" s="114">
        <v>1</v>
      </c>
      <c r="G11" s="101" t="s">
        <v>145</v>
      </c>
      <c r="H11" s="101" t="s">
        <v>146</v>
      </c>
      <c r="I11" s="101" t="s">
        <v>147</v>
      </c>
      <c r="J11" s="120" t="s">
        <v>708</v>
      </c>
      <c r="K11" s="101" t="s">
        <v>39</v>
      </c>
      <c r="L11" s="101" t="s">
        <v>112</v>
      </c>
      <c r="M11" s="66" t="s">
        <v>57</v>
      </c>
      <c r="N11" s="67" t="s">
        <v>150</v>
      </c>
    </row>
    <row r="12" spans="3:14" ht="114">
      <c r="C12" s="116">
        <v>2025</v>
      </c>
      <c r="D12" s="116">
        <v>90</v>
      </c>
      <c r="E12" s="139" t="s">
        <v>151</v>
      </c>
      <c r="F12" s="116">
        <v>1</v>
      </c>
      <c r="G12" s="117" t="s">
        <v>152</v>
      </c>
      <c r="H12" s="117" t="s">
        <v>153</v>
      </c>
      <c r="I12" s="117" t="s">
        <v>140</v>
      </c>
      <c r="J12" s="121" t="s">
        <v>707</v>
      </c>
      <c r="K12" s="117" t="s">
        <v>39</v>
      </c>
      <c r="L12" s="117" t="s">
        <v>112</v>
      </c>
      <c r="M12" s="118" t="s">
        <v>57</v>
      </c>
      <c r="N12" s="119" t="s">
        <v>154</v>
      </c>
    </row>
    <row r="13" spans="3:14" ht="182.4">
      <c r="C13" s="101">
        <v>2025</v>
      </c>
      <c r="D13" s="101">
        <v>90</v>
      </c>
      <c r="E13" s="138" t="s">
        <v>130</v>
      </c>
      <c r="F13" s="114">
        <v>1</v>
      </c>
      <c r="G13" s="101" t="s">
        <v>131</v>
      </c>
      <c r="H13" s="101" t="s">
        <v>132</v>
      </c>
      <c r="I13" s="101" t="s">
        <v>133</v>
      </c>
      <c r="J13" s="109"/>
      <c r="K13" s="101" t="s">
        <v>39</v>
      </c>
      <c r="L13" s="101" t="s">
        <v>112</v>
      </c>
      <c r="M13" s="66" t="s">
        <v>177</v>
      </c>
      <c r="N13" s="99" t="s">
        <v>136</v>
      </c>
    </row>
    <row r="15" spans="3:14">
      <c r="C15" s="105" t="s">
        <v>703</v>
      </c>
      <c r="D15" s="106"/>
      <c r="E15" s="106"/>
    </row>
    <row r="16" spans="3:14">
      <c r="C16" s="16" t="s">
        <v>704</v>
      </c>
      <c r="D16" s="16"/>
      <c r="E16" s="16"/>
    </row>
    <row r="17" spans="3:14">
      <c r="C17" s="16"/>
      <c r="D17" s="16"/>
      <c r="E17" s="16"/>
    </row>
    <row r="18" spans="3:14" ht="85.2" customHeight="1">
      <c r="C18" s="216" t="s">
        <v>705</v>
      </c>
      <c r="D18" s="216"/>
      <c r="E18" s="216"/>
      <c r="F18" s="216"/>
      <c r="G18" s="216"/>
    </row>
    <row r="19" spans="3:14">
      <c r="C19" s="110" t="s">
        <v>5</v>
      </c>
      <c r="D19" s="110" t="s">
        <v>6</v>
      </c>
      <c r="E19" s="110" t="s">
        <v>7</v>
      </c>
      <c r="F19" s="111" t="s">
        <v>8</v>
      </c>
      <c r="G19" s="110" t="s">
        <v>13</v>
      </c>
      <c r="H19" s="110" t="s">
        <v>14</v>
      </c>
      <c r="I19" s="110" t="s">
        <v>15</v>
      </c>
      <c r="J19" s="108" t="s">
        <v>702</v>
      </c>
      <c r="K19" s="110" t="s">
        <v>20</v>
      </c>
      <c r="L19" s="110" t="s">
        <v>21</v>
      </c>
      <c r="M19" s="112" t="s">
        <v>25</v>
      </c>
      <c r="N19" s="112" t="s">
        <v>26</v>
      </c>
    </row>
    <row r="20" spans="3:14" ht="79.8">
      <c r="C20" s="114">
        <v>2024</v>
      </c>
      <c r="D20" s="114">
        <v>90</v>
      </c>
      <c r="E20" s="114" t="s">
        <v>262</v>
      </c>
      <c r="F20" s="114">
        <v>1</v>
      </c>
      <c r="G20" s="101" t="s">
        <v>263</v>
      </c>
      <c r="H20" s="101" t="s">
        <v>264</v>
      </c>
      <c r="I20" s="128" t="s">
        <v>265</v>
      </c>
      <c r="J20" s="129" t="s">
        <v>735</v>
      </c>
      <c r="K20" s="114" t="s">
        <v>247</v>
      </c>
      <c r="L20" s="114" t="s">
        <v>268</v>
      </c>
      <c r="M20" s="66" t="s">
        <v>177</v>
      </c>
      <c r="N20" s="74" t="s">
        <v>270</v>
      </c>
    </row>
    <row r="21" spans="3:14" ht="79.8">
      <c r="C21" s="114">
        <v>2024</v>
      </c>
      <c r="D21" s="114">
        <v>90</v>
      </c>
      <c r="E21" s="114" t="s">
        <v>285</v>
      </c>
      <c r="F21" s="114">
        <v>2</v>
      </c>
      <c r="G21" s="101" t="s">
        <v>286</v>
      </c>
      <c r="H21" s="101" t="s">
        <v>294</v>
      </c>
      <c r="I21" s="101" t="s">
        <v>295</v>
      </c>
      <c r="J21" s="115" t="s">
        <v>729</v>
      </c>
      <c r="K21" s="114" t="s">
        <v>247</v>
      </c>
      <c r="L21" s="114" t="s">
        <v>268</v>
      </c>
      <c r="M21" s="66" t="s">
        <v>177</v>
      </c>
      <c r="N21" s="74" t="s">
        <v>293</v>
      </c>
    </row>
    <row r="22" spans="3:14" ht="74.400000000000006" customHeight="1">
      <c r="J22" s="127" t="s">
        <v>731</v>
      </c>
    </row>
    <row r="24" spans="3:14">
      <c r="C24" s="105" t="s">
        <v>710</v>
      </c>
      <c r="D24" s="106"/>
      <c r="E24" s="106"/>
      <c r="J24" t="s">
        <v>730</v>
      </c>
    </row>
    <row r="25" spans="3:14">
      <c r="C25" s="16" t="s">
        <v>711</v>
      </c>
      <c r="D25" s="16"/>
      <c r="E25" s="16"/>
    </row>
    <row r="26" spans="3:14">
      <c r="C26" s="16"/>
      <c r="D26" s="16"/>
      <c r="E26" s="16"/>
      <c r="J26" t="s">
        <v>736</v>
      </c>
    </row>
    <row r="27" spans="3:14" ht="58.2" customHeight="1">
      <c r="C27" s="215" t="s">
        <v>709</v>
      </c>
      <c r="D27" s="215"/>
      <c r="E27" s="215"/>
      <c r="F27" s="215"/>
      <c r="G27" s="215"/>
      <c r="J27" s="208" t="s">
        <v>793</v>
      </c>
    </row>
    <row r="28" spans="3:14">
      <c r="C28" s="107" t="s">
        <v>5</v>
      </c>
      <c r="D28" s="107" t="s">
        <v>6</v>
      </c>
      <c r="E28" s="107" t="s">
        <v>7</v>
      </c>
      <c r="F28" s="107" t="s">
        <v>8</v>
      </c>
      <c r="G28" s="107" t="s">
        <v>13</v>
      </c>
      <c r="H28" s="107" t="s">
        <v>14</v>
      </c>
      <c r="I28" s="107" t="s">
        <v>15</v>
      </c>
      <c r="J28" s="113" t="s">
        <v>702</v>
      </c>
      <c r="K28" s="107" t="s">
        <v>20</v>
      </c>
      <c r="L28" s="107" t="s">
        <v>21</v>
      </c>
      <c r="M28" s="107" t="s">
        <v>25</v>
      </c>
      <c r="N28" s="107" t="s">
        <v>26</v>
      </c>
    </row>
    <row r="29" spans="3:14" ht="102.6">
      <c r="C29" s="114">
        <v>2024</v>
      </c>
      <c r="D29" s="114">
        <v>90</v>
      </c>
      <c r="E29" s="114" t="s">
        <v>311</v>
      </c>
      <c r="F29" s="114">
        <v>3</v>
      </c>
      <c r="G29" s="101" t="s">
        <v>312</v>
      </c>
      <c r="H29" s="101" t="s">
        <v>324</v>
      </c>
      <c r="I29" s="101" t="s">
        <v>325</v>
      </c>
      <c r="J29" s="115" t="s">
        <v>712</v>
      </c>
      <c r="K29" s="114" t="s">
        <v>247</v>
      </c>
      <c r="L29" s="114" t="s">
        <v>282</v>
      </c>
      <c r="M29" s="66" t="s">
        <v>177</v>
      </c>
      <c r="N29" s="97" t="s">
        <v>328</v>
      </c>
    </row>
    <row r="32" spans="3:14">
      <c r="C32" s="105" t="s">
        <v>713</v>
      </c>
      <c r="D32" s="106"/>
      <c r="E32" s="106"/>
    </row>
    <row r="33" spans="3:14">
      <c r="C33" s="16" t="s">
        <v>714</v>
      </c>
      <c r="D33" s="16"/>
      <c r="E33" s="16"/>
    </row>
    <row r="34" spans="3:14" ht="7.8" customHeight="1">
      <c r="C34" s="16"/>
      <c r="D34" s="16"/>
      <c r="E34" s="16"/>
    </row>
    <row r="35" spans="3:14" ht="71.400000000000006" customHeight="1">
      <c r="C35" s="215" t="s">
        <v>715</v>
      </c>
      <c r="D35" s="215"/>
      <c r="E35" s="215"/>
      <c r="F35" s="215"/>
      <c r="G35" s="215"/>
    </row>
    <row r="36" spans="3:14" ht="26.4" customHeight="1">
      <c r="C36" s="107" t="s">
        <v>5</v>
      </c>
      <c r="D36" s="107" t="s">
        <v>6</v>
      </c>
      <c r="E36" s="107" t="s">
        <v>7</v>
      </c>
      <c r="F36" s="107" t="s">
        <v>8</v>
      </c>
      <c r="G36" s="107" t="s">
        <v>13</v>
      </c>
      <c r="H36" s="107" t="s">
        <v>14</v>
      </c>
      <c r="I36" s="107" t="s">
        <v>15</v>
      </c>
      <c r="J36" s="113" t="s">
        <v>702</v>
      </c>
      <c r="K36" s="107" t="s">
        <v>20</v>
      </c>
      <c r="L36" s="107" t="s">
        <v>21</v>
      </c>
      <c r="M36" s="107" t="s">
        <v>25</v>
      </c>
      <c r="N36" s="107" t="s">
        <v>26</v>
      </c>
    </row>
    <row r="37" spans="3:14" ht="136.80000000000001">
      <c r="C37" s="114">
        <v>2025</v>
      </c>
      <c r="D37" s="114">
        <v>90</v>
      </c>
      <c r="E37" s="114" t="s">
        <v>65</v>
      </c>
      <c r="F37" s="114">
        <v>1</v>
      </c>
      <c r="G37" s="101" t="s">
        <v>66</v>
      </c>
      <c r="H37" s="101" t="s">
        <v>67</v>
      </c>
      <c r="I37" s="101" t="s">
        <v>68</v>
      </c>
      <c r="J37" s="122" t="s">
        <v>716</v>
      </c>
      <c r="K37" s="114" t="s">
        <v>39</v>
      </c>
      <c r="L37" s="114" t="s">
        <v>71</v>
      </c>
      <c r="M37" s="66" t="s">
        <v>177</v>
      </c>
      <c r="N37" s="99" t="s">
        <v>72</v>
      </c>
    </row>
    <row r="40" spans="3:14">
      <c r="C40" s="105" t="s">
        <v>734</v>
      </c>
      <c r="D40" s="106"/>
      <c r="E40" s="106"/>
    </row>
    <row r="41" spans="3:14">
      <c r="C41" s="16" t="s">
        <v>714</v>
      </c>
      <c r="D41" s="16"/>
      <c r="E41" s="16"/>
    </row>
    <row r="42" spans="3:14">
      <c r="C42" s="16"/>
      <c r="D42" s="16"/>
      <c r="E42" s="16"/>
    </row>
    <row r="43" spans="3:14" ht="108.6" customHeight="1">
      <c r="C43" s="215" t="s">
        <v>728</v>
      </c>
      <c r="D43" s="215"/>
      <c r="E43" s="215"/>
      <c r="F43" s="215"/>
      <c r="G43" s="215"/>
    </row>
    <row r="45" spans="3:14">
      <c r="C45" s="110" t="s">
        <v>5</v>
      </c>
      <c r="D45" s="110" t="s">
        <v>6</v>
      </c>
      <c r="E45" s="110" t="s">
        <v>7</v>
      </c>
      <c r="F45" s="111" t="s">
        <v>8</v>
      </c>
      <c r="G45" s="110" t="s">
        <v>13</v>
      </c>
      <c r="H45" s="110" t="s">
        <v>14</v>
      </c>
      <c r="I45" s="110" t="s">
        <v>15</v>
      </c>
      <c r="J45" s="126" t="s">
        <v>702</v>
      </c>
      <c r="K45" s="110" t="s">
        <v>20</v>
      </c>
      <c r="L45" s="110" t="s">
        <v>21</v>
      </c>
      <c r="M45" s="112" t="s">
        <v>25</v>
      </c>
      <c r="N45" s="112" t="s">
        <v>26</v>
      </c>
    </row>
    <row r="46" spans="3:14" ht="148.19999999999999">
      <c r="C46" s="114">
        <v>2025</v>
      </c>
      <c r="D46" s="114">
        <v>90</v>
      </c>
      <c r="E46" s="114" t="s">
        <v>171</v>
      </c>
      <c r="F46" s="114">
        <v>1</v>
      </c>
      <c r="G46" s="101" t="s">
        <v>172</v>
      </c>
      <c r="H46" s="101" t="s">
        <v>173</v>
      </c>
      <c r="I46" s="128" t="s">
        <v>174</v>
      </c>
      <c r="J46" s="1" t="s">
        <v>791</v>
      </c>
      <c r="K46" s="114" t="s">
        <v>39</v>
      </c>
      <c r="L46" s="114" t="s">
        <v>80</v>
      </c>
      <c r="M46" s="66" t="s">
        <v>177</v>
      </c>
      <c r="N46" s="99" t="s">
        <v>178</v>
      </c>
    </row>
    <row r="49" spans="3:14">
      <c r="C49" s="105" t="s">
        <v>732</v>
      </c>
      <c r="D49" s="106"/>
      <c r="E49" s="106"/>
    </row>
    <row r="50" spans="3:14">
      <c r="C50" s="16" t="s">
        <v>714</v>
      </c>
      <c r="D50" s="16"/>
      <c r="E50" s="16"/>
    </row>
    <row r="51" spans="3:14">
      <c r="C51" s="16"/>
      <c r="D51" s="16"/>
      <c r="E51" s="16"/>
      <c r="L51" t="s">
        <v>792</v>
      </c>
    </row>
    <row r="52" spans="3:14" ht="70.8" customHeight="1">
      <c r="C52" s="215" t="s">
        <v>733</v>
      </c>
      <c r="D52" s="215"/>
      <c r="E52" s="215"/>
      <c r="F52" s="215"/>
      <c r="G52" s="215"/>
    </row>
    <row r="54" spans="3:14">
      <c r="C54" s="107" t="s">
        <v>5</v>
      </c>
      <c r="D54" s="107" t="s">
        <v>6</v>
      </c>
      <c r="E54" s="107" t="s">
        <v>7</v>
      </c>
      <c r="F54" s="107" t="s">
        <v>8</v>
      </c>
      <c r="G54" s="107" t="s">
        <v>13</v>
      </c>
      <c r="H54" s="107" t="s">
        <v>14</v>
      </c>
      <c r="I54" s="107" t="s">
        <v>15</v>
      </c>
      <c r="J54" s="113" t="s">
        <v>702</v>
      </c>
      <c r="K54" s="107" t="s">
        <v>20</v>
      </c>
      <c r="L54" s="107" t="s">
        <v>21</v>
      </c>
      <c r="M54" s="107" t="s">
        <v>25</v>
      </c>
      <c r="N54" s="107" t="s">
        <v>26</v>
      </c>
    </row>
    <row r="55" spans="3:14" ht="171">
      <c r="C55" s="101">
        <v>2025</v>
      </c>
      <c r="D55" s="101">
        <v>90</v>
      </c>
      <c r="E55" s="101" t="s">
        <v>91</v>
      </c>
      <c r="F55" s="101">
        <v>3</v>
      </c>
      <c r="G55" s="101" t="s">
        <v>92</v>
      </c>
      <c r="H55" s="101" t="s">
        <v>93</v>
      </c>
      <c r="I55" s="101" t="s">
        <v>102</v>
      </c>
      <c r="J55" s="109"/>
      <c r="K55" s="101" t="s">
        <v>39</v>
      </c>
      <c r="L55" s="101" t="s">
        <v>89</v>
      </c>
      <c r="M55" s="66" t="s">
        <v>43</v>
      </c>
      <c r="N55" s="99" t="s">
        <v>105</v>
      </c>
    </row>
    <row r="56" spans="3:14" ht="159.6">
      <c r="C56" s="101">
        <v>2025</v>
      </c>
      <c r="D56" s="101">
        <v>90</v>
      </c>
      <c r="E56" s="101" t="s">
        <v>118</v>
      </c>
      <c r="F56" s="101">
        <v>2</v>
      </c>
      <c r="G56" s="101" t="s">
        <v>119</v>
      </c>
      <c r="H56" s="101" t="s">
        <v>120</v>
      </c>
      <c r="I56" s="101" t="s">
        <v>126</v>
      </c>
      <c r="J56" s="109"/>
      <c r="K56" s="101" t="s">
        <v>39</v>
      </c>
      <c r="L56" s="101" t="s">
        <v>89</v>
      </c>
      <c r="M56" s="66" t="s">
        <v>43</v>
      </c>
      <c r="N56" s="99" t="s">
        <v>129</v>
      </c>
    </row>
    <row r="57" spans="3:14" ht="68.400000000000006">
      <c r="C57" s="101">
        <v>2025</v>
      </c>
      <c r="D57" s="101">
        <v>90</v>
      </c>
      <c r="E57" s="101" t="s">
        <v>200</v>
      </c>
      <c r="F57" s="101">
        <v>1</v>
      </c>
      <c r="G57" s="101" t="s">
        <v>201</v>
      </c>
      <c r="H57" s="101" t="s">
        <v>202</v>
      </c>
      <c r="I57" s="101" t="s">
        <v>203</v>
      </c>
      <c r="J57" s="109"/>
      <c r="K57" s="101" t="s">
        <v>39</v>
      </c>
      <c r="L57" s="101" t="s">
        <v>89</v>
      </c>
      <c r="M57" s="66" t="s">
        <v>43</v>
      </c>
      <c r="N57" s="99" t="s">
        <v>206</v>
      </c>
    </row>
    <row r="58" spans="3:14" ht="91.2">
      <c r="C58" s="101">
        <v>2025</v>
      </c>
      <c r="D58" s="101">
        <v>90</v>
      </c>
      <c r="E58" s="101" t="s">
        <v>207</v>
      </c>
      <c r="F58" s="101">
        <v>2</v>
      </c>
      <c r="G58" s="101" t="s">
        <v>208</v>
      </c>
      <c r="H58" s="101" t="s">
        <v>209</v>
      </c>
      <c r="I58" s="101" t="s">
        <v>214</v>
      </c>
      <c r="J58" s="109"/>
      <c r="K58" s="101" t="s">
        <v>39</v>
      </c>
      <c r="L58" s="101" t="s">
        <v>124</v>
      </c>
      <c r="M58" s="66" t="s">
        <v>177</v>
      </c>
      <c r="N58" s="99" t="s">
        <v>217</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407</v>
      </c>
      <c r="C1" s="6" t="s">
        <v>28</v>
      </c>
      <c r="D1" s="6" t="s">
        <v>29</v>
      </c>
      <c r="E1" s="6" t="s">
        <v>30</v>
      </c>
      <c r="F1" s="6">
        <v>2013</v>
      </c>
      <c r="G1" s="6">
        <v>836</v>
      </c>
      <c r="H1" s="6" t="s">
        <v>408</v>
      </c>
      <c r="I1" s="8">
        <v>2</v>
      </c>
      <c r="J1" s="8" t="s">
        <v>32</v>
      </c>
      <c r="K1" s="44"/>
      <c r="L1" s="6" t="s">
        <v>409</v>
      </c>
      <c r="M1" s="6" t="s">
        <v>410</v>
      </c>
      <c r="N1" s="6" t="s">
        <v>411</v>
      </c>
      <c r="O1" s="6" t="s">
        <v>412</v>
      </c>
      <c r="P1" s="6" t="s">
        <v>413</v>
      </c>
      <c r="Q1" s="6" t="s">
        <v>414</v>
      </c>
      <c r="R1" s="6" t="s">
        <v>415</v>
      </c>
      <c r="S1" s="6" t="s">
        <v>416</v>
      </c>
      <c r="T1" s="6">
        <v>0.4</v>
      </c>
      <c r="U1" s="6" t="s">
        <v>417</v>
      </c>
      <c r="V1" s="6" t="s">
        <v>418</v>
      </c>
      <c r="W1" s="6" t="s">
        <v>419</v>
      </c>
      <c r="X1" s="6" t="s">
        <v>41</v>
      </c>
      <c r="Y1" s="8" t="s">
        <v>420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421</v>
      </c>
      <c r="C2" s="9" t="s">
        <v>28</v>
      </c>
      <c r="D2" s="9" t="s">
        <v>29</v>
      </c>
      <c r="E2" s="9" t="s">
        <v>30</v>
      </c>
      <c r="F2" s="9">
        <v>2022</v>
      </c>
      <c r="G2" s="9">
        <v>508</v>
      </c>
      <c r="H2" s="9" t="s">
        <v>31</v>
      </c>
      <c r="I2" s="10">
        <v>2</v>
      </c>
      <c r="J2" s="10" t="s">
        <v>32</v>
      </c>
      <c r="K2" s="45"/>
      <c r="L2" s="9" t="s">
        <v>422</v>
      </c>
      <c r="M2" s="9" t="s">
        <v>410</v>
      </c>
      <c r="N2" s="9" t="s">
        <v>423</v>
      </c>
      <c r="O2" s="9" t="s">
        <v>424</v>
      </c>
      <c r="P2" s="9" t="s">
        <v>425</v>
      </c>
      <c r="Q2" s="9" t="s">
        <v>426</v>
      </c>
      <c r="R2" s="9" t="s">
        <v>427</v>
      </c>
      <c r="S2" s="9" t="s">
        <v>428</v>
      </c>
      <c r="T2" s="9">
        <v>1</v>
      </c>
      <c r="U2" s="9" t="s">
        <v>275</v>
      </c>
      <c r="V2" s="9" t="s">
        <v>429</v>
      </c>
      <c r="W2" s="9" t="s">
        <v>430</v>
      </c>
      <c r="X2" s="9" t="s">
        <v>41</v>
      </c>
      <c r="Y2" s="10" t="s">
        <v>431</v>
      </c>
      <c r="Z2" s="11"/>
      <c r="AA2" s="12"/>
      <c r="AB2" s="13" t="s">
        <v>432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421</v>
      </c>
      <c r="C3" s="9" t="s">
        <v>28</v>
      </c>
      <c r="D3" s="9" t="s">
        <v>29</v>
      </c>
      <c r="E3" s="9" t="s">
        <v>30</v>
      </c>
      <c r="F3" s="9">
        <v>2022</v>
      </c>
      <c r="G3" s="9">
        <v>508</v>
      </c>
      <c r="H3" s="9" t="s">
        <v>31</v>
      </c>
      <c r="I3" s="10">
        <v>3</v>
      </c>
      <c r="J3" s="10" t="s">
        <v>32</v>
      </c>
      <c r="K3" s="45"/>
      <c r="L3" s="9" t="s">
        <v>422</v>
      </c>
      <c r="M3" s="9" t="s">
        <v>410</v>
      </c>
      <c r="N3" s="9" t="s">
        <v>423</v>
      </c>
      <c r="O3" s="9" t="s">
        <v>424</v>
      </c>
      <c r="P3" s="9" t="s">
        <v>433</v>
      </c>
      <c r="Q3" s="9" t="s">
        <v>434</v>
      </c>
      <c r="R3" s="9" t="s">
        <v>435</v>
      </c>
      <c r="S3" s="9" t="s">
        <v>436</v>
      </c>
      <c r="T3" s="9">
        <v>15</v>
      </c>
      <c r="U3" s="9" t="s">
        <v>275</v>
      </c>
      <c r="V3" s="9" t="s">
        <v>429</v>
      </c>
      <c r="W3" s="9" t="s">
        <v>430</v>
      </c>
      <c r="X3" s="9" t="s">
        <v>41</v>
      </c>
      <c r="Y3" s="10" t="s">
        <v>431</v>
      </c>
      <c r="Z3" s="11"/>
      <c r="AA3" s="12"/>
      <c r="AB3" s="13" t="s">
        <v>437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438</v>
      </c>
      <c r="C4" s="6" t="s">
        <v>28</v>
      </c>
      <c r="D4" s="6" t="s">
        <v>29</v>
      </c>
      <c r="E4" s="6" t="s">
        <v>30</v>
      </c>
      <c r="F4" s="6">
        <v>2018</v>
      </c>
      <c r="G4" s="6">
        <v>89</v>
      </c>
      <c r="H4" s="6" t="s">
        <v>65</v>
      </c>
      <c r="I4" s="8">
        <v>1</v>
      </c>
      <c r="J4" s="8" t="s">
        <v>32</v>
      </c>
      <c r="K4" s="44"/>
      <c r="L4" s="6" t="s">
        <v>409</v>
      </c>
      <c r="M4" s="6" t="s">
        <v>439</v>
      </c>
      <c r="N4" s="6" t="s">
        <v>440</v>
      </c>
      <c r="O4" s="6" t="s">
        <v>441</v>
      </c>
      <c r="P4" s="6" t="s">
        <v>442</v>
      </c>
      <c r="Q4" s="6" t="s">
        <v>443</v>
      </c>
      <c r="R4" s="6" t="s">
        <v>444</v>
      </c>
      <c r="S4" s="6" t="s">
        <v>445</v>
      </c>
      <c r="T4" s="6">
        <v>100</v>
      </c>
      <c r="U4" s="6" t="s">
        <v>446</v>
      </c>
      <c r="V4" s="6" t="s">
        <v>447</v>
      </c>
      <c r="W4" s="6" t="s">
        <v>448</v>
      </c>
      <c r="X4" s="6" t="s">
        <v>41</v>
      </c>
      <c r="Y4" s="8" t="s">
        <v>431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Raul Vasquez</cp:lastModifiedBy>
  <dcterms:created xsi:type="dcterms:W3CDTF">2026-03-27T18:29:02Z</dcterms:created>
  <dcterms:modified xsi:type="dcterms:W3CDTF">2026-08-30T00:16:24Z</dcterms:modified>
</cp:coreProperties>
</file>