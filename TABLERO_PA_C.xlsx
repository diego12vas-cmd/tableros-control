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202300"/>
  <mc:AlternateContent xmlns:mc="http://schemas.openxmlformats.org/markup-compatibility/2006">
    <mc:Choice Requires="x15">
      <x15ac:absPath xmlns:x15ac="http://schemas.microsoft.com/office/spreadsheetml/2010/11/ac" url="https://d.docs.live.net/e2a95cfba4fb0187/Escritorio/Tableros de Control/2. Contraloría/"/>
    </mc:Choice>
  </mc:AlternateContent>
  <xr:revisionPtr revIDLastSave="546" documentId="13_ncr:1_{5037B3AD-B0A2-4521-8F49-D3B2F1605E79}" xr6:coauthVersionLast="47" xr6:coauthVersionMax="47" xr10:uidLastSave="{100297DA-0767-435A-85AF-2FF500A1ACD1}"/>
  <bookViews>
    <workbookView xWindow="-108" yWindow="-108" windowWidth="23256" windowHeight="13896" firstSheet="1" activeTab="10" xr2:uid="{E38B2051-8614-49B4-943E-B3707D980583}"/>
  </bookViews>
  <sheets>
    <sheet name="Tablero" sheetId="3" r:id="rId1"/>
    <sheet name="Calculos 2" sheetId="13" r:id="rId2"/>
    <sheet name="Hoja5" sheetId="14" r:id="rId3"/>
    <sheet name="Detalle" sheetId="5" r:id="rId4"/>
    <sheet name="Vencidos" sheetId="15" r:id="rId5"/>
    <sheet name="Abiertos" sheetId="16" r:id="rId6"/>
    <sheet name="Hoja4" sheetId="10" state="hidden" r:id="rId7"/>
    <sheet name="Resumen" sheetId="2" r:id="rId8"/>
    <sheet name="Cálculos" sheetId="4" r:id="rId9"/>
    <sheet name="Hoja1" sheetId="7" state="hidden" r:id="rId10"/>
    <sheet name="Base de Datos" sheetId="1" r:id="rId11"/>
    <sheet name="Enlace PDF" sheetId="17" r:id="rId12"/>
    <sheet name="Hoja3" sheetId="9" state="hidden" r:id="rId13"/>
    <sheet name="Compromisos 1 trimestre" sheetId="8" r:id="rId14"/>
    <sheet name="Hoja2" sheetId="6" state="hidden" r:id="rId15"/>
  </sheets>
  <externalReferences>
    <externalReference r:id="rId16"/>
  </externalReferences>
  <definedNames>
    <definedName name="_xlnm._FilterDatabase" localSheetId="10" hidden="1">'Base de Datos'!$A$1:$AF$85</definedName>
    <definedName name="_xlnm._FilterDatabase" localSheetId="7" hidden="1">Resumen!$C$3:$N$70</definedName>
    <definedName name="SegmentaciónDeDatos_Auditoría">#N/A</definedName>
    <definedName name="SegmentaciónDeDatos_Responsable">#N/A</definedName>
    <definedName name="SegmentaciónDeDatos_Vigencia">#N/A</definedName>
  </definedNames>
  <calcPr calcId="191029"/>
  <pivotCaches>
    <pivotCache cacheId="0" r:id="rId17"/>
    <pivotCache cacheId="1" r:id="rId18"/>
  </pivotCaches>
  <extLst>
    <ext xmlns:x14="http://schemas.microsoft.com/office/spreadsheetml/2009/9/main" uri="{BBE1A952-AA13-448e-AADC-164F8A28A991}">
      <x14:slicerCaches>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7" i="14" l="1"/>
  <c r="N7" i="14"/>
  <c r="M7" i="14"/>
  <c r="L7" i="14"/>
  <c r="O32" i="14"/>
  <c r="N32" i="14"/>
  <c r="M32" i="14"/>
  <c r="L32" i="14"/>
  <c r="N31" i="14"/>
  <c r="M31" i="14"/>
  <c r="O31" i="14"/>
  <c r="L31" i="14"/>
  <c r="O30" i="14"/>
  <c r="N30" i="14"/>
  <c r="M30" i="14"/>
  <c r="L30" i="14"/>
  <c r="O29" i="14"/>
  <c r="N29" i="14"/>
  <c r="M29" i="14"/>
  <c r="L29" i="14"/>
  <c r="O28" i="14"/>
  <c r="N28" i="14"/>
  <c r="M28" i="14"/>
  <c r="L28" i="14"/>
  <c r="O27" i="14"/>
  <c r="N27" i="14"/>
  <c r="M27" i="14"/>
  <c r="L27" i="14"/>
  <c r="O26" i="14"/>
  <c r="N26" i="14"/>
  <c r="M26" i="14"/>
  <c r="L26" i="14"/>
  <c r="O25" i="14"/>
  <c r="N25" i="14"/>
  <c r="M25" i="14"/>
  <c r="L25" i="14"/>
  <c r="N24" i="14"/>
  <c r="O24" i="14"/>
  <c r="M24" i="14"/>
  <c r="L24" i="14"/>
  <c r="O23" i="14"/>
  <c r="N23" i="14"/>
  <c r="M23" i="14"/>
  <c r="L23" i="14"/>
  <c r="O22" i="14"/>
  <c r="N22" i="14"/>
  <c r="M22" i="14"/>
  <c r="L22" i="14"/>
  <c r="O21" i="14"/>
  <c r="N21" i="14"/>
  <c r="M21" i="14"/>
  <c r="L21" i="14"/>
  <c r="I8" i="14"/>
  <c r="H8" i="14"/>
  <c r="G8" i="14"/>
  <c r="F8" i="14"/>
  <c r="I7" i="14"/>
  <c r="H7" i="14"/>
  <c r="G7" i="14"/>
  <c r="F7" i="14"/>
  <c r="I6" i="14"/>
  <c r="H6" i="14"/>
  <c r="G6" i="14"/>
  <c r="F6" i="14"/>
  <c r="O13" i="14"/>
  <c r="N13" i="14"/>
  <c r="M13" i="14"/>
  <c r="L13" i="14"/>
  <c r="O15" i="14"/>
  <c r="N15" i="14"/>
  <c r="M15" i="14"/>
  <c r="L15" i="14"/>
  <c r="O14" i="14"/>
  <c r="N14" i="14"/>
  <c r="M14" i="14"/>
  <c r="L14" i="14"/>
  <c r="O12" i="14"/>
  <c r="N12" i="14"/>
  <c r="M12" i="14"/>
  <c r="L12" i="14"/>
  <c r="O11" i="14"/>
  <c r="N11" i="14"/>
  <c r="M11" i="14"/>
  <c r="L11" i="14"/>
  <c r="O10" i="14"/>
  <c r="N10" i="14"/>
  <c r="M10" i="14"/>
  <c r="L10" i="14"/>
  <c r="O9" i="14"/>
  <c r="N9" i="14"/>
  <c r="M9" i="14"/>
  <c r="L9" i="14"/>
  <c r="O8" i="14"/>
  <c r="N8" i="14"/>
  <c r="M8" i="14"/>
  <c r="L8" i="14"/>
  <c r="O6" i="14"/>
  <c r="N6" i="14"/>
  <c r="M6" i="14"/>
  <c r="L6" i="14"/>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X25" i="2"/>
  <c r="G59" i="2"/>
  <c r="G60" i="2"/>
  <c r="G61" i="2"/>
  <c r="G62" i="2"/>
  <c r="G63" i="2"/>
  <c r="G64" i="2"/>
  <c r="G65" i="2"/>
  <c r="G66" i="2"/>
  <c r="G67" i="2"/>
  <c r="G68" i="2"/>
  <c r="G69" i="2"/>
  <c r="G70" i="2"/>
  <c r="H59" i="2" a="1"/>
  <c r="H60" i="2" a="1"/>
  <c r="H61" i="2" a="1"/>
  <c r="H62" i="2" a="1"/>
  <c r="H63" i="2" a="1"/>
  <c r="H64" i="2" a="1"/>
  <c r="H65" i="2" a="1"/>
  <c r="H66" i="2" a="1"/>
  <c r="H67" i="2" a="1"/>
  <c r="H68" i="2" a="1"/>
  <c r="H69" i="2" a="1"/>
  <c r="H70" i="2" a="1"/>
  <c r="I59" i="2"/>
  <c r="I60" i="2"/>
  <c r="I61" i="2"/>
  <c r="I62" i="2"/>
  <c r="I63" i="2"/>
  <c r="I64" i="2"/>
  <c r="I65" i="2"/>
  <c r="I66" i="2"/>
  <c r="I67" i="2"/>
  <c r="I68" i="2"/>
  <c r="I69" i="2"/>
  <c r="I70" i="2"/>
  <c r="J59" i="2"/>
  <c r="J60" i="2"/>
  <c r="J61" i="2"/>
  <c r="J62" i="2"/>
  <c r="J63" i="2"/>
  <c r="J64" i="2"/>
  <c r="J65" i="2"/>
  <c r="J66" i="2"/>
  <c r="J67" i="2"/>
  <c r="J68" i="2"/>
  <c r="J69" i="2"/>
  <c r="J70" i="2"/>
  <c r="K59" i="2"/>
  <c r="K60" i="2"/>
  <c r="K61" i="2"/>
  <c r="K62" i="2"/>
  <c r="K63" i="2"/>
  <c r="K64" i="2"/>
  <c r="K65" i="2"/>
  <c r="K66" i="2"/>
  <c r="K67" i="2"/>
  <c r="K68" i="2"/>
  <c r="K69" i="2"/>
  <c r="K70" i="2"/>
  <c r="L59" i="2"/>
  <c r="L60" i="2"/>
  <c r="L61" i="2"/>
  <c r="L62" i="2"/>
  <c r="L63" i="2"/>
  <c r="L64" i="2"/>
  <c r="L65" i="2"/>
  <c r="L66" i="2"/>
  <c r="L67" i="2"/>
  <c r="L68" i="2"/>
  <c r="L69" i="2"/>
  <c r="L70" i="2"/>
  <c r="M59" i="2"/>
  <c r="M60" i="2"/>
  <c r="M61" i="2"/>
  <c r="M62" i="2"/>
  <c r="M63" i="2"/>
  <c r="M64" i="2"/>
  <c r="M65" i="2"/>
  <c r="M66" i="2"/>
  <c r="M67" i="2"/>
  <c r="M68" i="2"/>
  <c r="M69" i="2"/>
  <c r="M70" i="2"/>
  <c r="N59" i="2"/>
  <c r="N60" i="2"/>
  <c r="N61" i="2"/>
  <c r="N62" i="2"/>
  <c r="N63" i="2"/>
  <c r="N64" i="2"/>
  <c r="N65" i="2"/>
  <c r="N66" i="2"/>
  <c r="N67" i="2"/>
  <c r="N68" i="2"/>
  <c r="N69" i="2"/>
  <c r="N70" i="2"/>
  <c r="O59" i="2"/>
  <c r="O60" i="2"/>
  <c r="O61" i="2"/>
  <c r="O62" i="2"/>
  <c r="O63" i="2"/>
  <c r="O64" i="2"/>
  <c r="O65" i="2"/>
  <c r="O66" i="2"/>
  <c r="O67" i="2"/>
  <c r="O68" i="2"/>
  <c r="O69" i="2"/>
  <c r="O70" i="2"/>
  <c r="G58" i="2"/>
  <c r="H4" i="2" a="1"/>
  <c r="H5" i="2" a="1"/>
  <c r="H6" i="2" a="1"/>
  <c r="H7" i="2" a="1"/>
  <c r="H8" i="2" a="1"/>
  <c r="H9" i="2" a="1"/>
  <c r="H10" i="2" a="1"/>
  <c r="H11" i="2" a="1"/>
  <c r="H12" i="2" a="1"/>
  <c r="H13" i="2" a="1"/>
  <c r="H14" i="2" a="1"/>
  <c r="H15" i="2" a="1"/>
  <c r="H16" i="2" a="1"/>
  <c r="H17" i="2" a="1"/>
  <c r="H18" i="2" a="1"/>
  <c r="H19" i="2" a="1"/>
  <c r="H20" i="2" a="1"/>
  <c r="H21" i="2" a="1"/>
  <c r="H22" i="2" a="1"/>
  <c r="H23" i="2" a="1"/>
  <c r="H24" i="2" a="1"/>
  <c r="H25" i="2" a="1"/>
  <c r="H26" i="2" a="1"/>
  <c r="H27" i="2" a="1"/>
  <c r="H28" i="2" a="1"/>
  <c r="H29" i="2" a="1"/>
  <c r="H30" i="2" a="1"/>
  <c r="H31" i="2" a="1"/>
  <c r="H32" i="2" a="1"/>
  <c r="H33" i="2" a="1"/>
  <c r="H34" i="2" a="1"/>
  <c r="H35" i="2" a="1"/>
  <c r="H36" i="2" a="1"/>
  <c r="H37" i="2" a="1"/>
  <c r="H38" i="2" a="1"/>
  <c r="H39" i="2" a="1"/>
  <c r="H40" i="2" a="1"/>
  <c r="H41" i="2" a="1"/>
  <c r="H42" i="2" a="1"/>
  <c r="H43" i="2" a="1"/>
  <c r="H44" i="2" a="1"/>
  <c r="H45" i="2" a="1"/>
  <c r="H46" i="2" a="1"/>
  <c r="H47" i="2" a="1"/>
  <c r="H48" i="2" a="1"/>
  <c r="H49" i="2" a="1"/>
  <c r="H50" i="2" a="1"/>
  <c r="H51" i="2" a="1"/>
  <c r="H52" i="2" a="1"/>
  <c r="H53" i="2" a="1"/>
  <c r="H54" i="2" a="1"/>
  <c r="H55" i="2" a="1"/>
  <c r="H56" i="2" a="1"/>
  <c r="H57" i="2" a="1"/>
  <c r="H58" i="2" a="1"/>
  <c r="O6" i="2"/>
  <c r="O29" i="2"/>
  <c r="O31" i="2"/>
  <c r="O33" i="2"/>
  <c r="O34" i="2"/>
  <c r="O35" i="2"/>
  <c r="O36" i="2"/>
  <c r="O37" i="2"/>
  <c r="O38" i="2"/>
  <c r="O39" i="2"/>
  <c r="O40" i="2"/>
  <c r="O41" i="2"/>
  <c r="O42" i="2"/>
  <c r="O43" i="2"/>
  <c r="O44" i="2"/>
  <c r="O45" i="2"/>
  <c r="O46" i="2"/>
  <c r="O47" i="2"/>
  <c r="O48" i="2"/>
  <c r="O49" i="2"/>
  <c r="O50" i="2"/>
  <c r="O51" i="2"/>
  <c r="O52" i="2"/>
  <c r="O53" i="2"/>
  <c r="O54" i="2"/>
  <c r="O55" i="2"/>
  <c r="O56" i="2"/>
  <c r="O57" i="2"/>
  <c r="O58" i="2"/>
  <c r="AC4" i="6"/>
  <c r="AC3" i="6"/>
  <c r="AC2" i="6"/>
  <c r="AC1" i="6"/>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N6" i="2"/>
  <c r="N29" i="2"/>
  <c r="N31" i="2"/>
  <c r="N33" i="2"/>
  <c r="N34" i="2"/>
  <c r="N35" i="2"/>
  <c r="N36" i="2"/>
  <c r="N37" i="2"/>
  <c r="N38" i="2"/>
  <c r="N39" i="2"/>
  <c r="N40" i="2"/>
  <c r="N41" i="2"/>
  <c r="N42" i="2"/>
  <c r="N43" i="2"/>
  <c r="N44" i="2"/>
  <c r="N45" i="2"/>
  <c r="N46" i="2"/>
  <c r="N47" i="2"/>
  <c r="N48" i="2"/>
  <c r="N49" i="2"/>
  <c r="N50" i="2"/>
  <c r="N51" i="2"/>
  <c r="N52" i="2"/>
  <c r="N53" i="2"/>
  <c r="N54" i="2"/>
  <c r="N55" i="2"/>
  <c r="N56" i="2"/>
  <c r="N57" i="2"/>
  <c r="N58" i="2"/>
  <c r="M6" i="2"/>
  <c r="M29" i="2"/>
  <c r="M31" i="2"/>
  <c r="M33" i="2"/>
  <c r="M34" i="2"/>
  <c r="M35" i="2"/>
  <c r="M36" i="2"/>
  <c r="M37" i="2"/>
  <c r="M38" i="2"/>
  <c r="M39" i="2"/>
  <c r="M40" i="2"/>
  <c r="M41" i="2"/>
  <c r="M42" i="2"/>
  <c r="M43" i="2"/>
  <c r="M44" i="2"/>
  <c r="M45" i="2"/>
  <c r="M46" i="2"/>
  <c r="M47" i="2"/>
  <c r="M48" i="2"/>
  <c r="M49" i="2"/>
  <c r="M50" i="2"/>
  <c r="M51" i="2"/>
  <c r="M52" i="2"/>
  <c r="M53" i="2"/>
  <c r="M54" i="2"/>
  <c r="M55" i="2"/>
  <c r="M56" i="2"/>
  <c r="M57" i="2"/>
  <c r="M58" i="2"/>
  <c r="L6" i="2"/>
  <c r="L29" i="2"/>
  <c r="L31" i="2"/>
  <c r="L33" i="2"/>
  <c r="L34" i="2"/>
  <c r="L35" i="2"/>
  <c r="L36" i="2"/>
  <c r="L37" i="2"/>
  <c r="L38" i="2"/>
  <c r="L39" i="2"/>
  <c r="L40" i="2"/>
  <c r="L41" i="2"/>
  <c r="L42" i="2"/>
  <c r="L43" i="2"/>
  <c r="L44" i="2"/>
  <c r="L45" i="2"/>
  <c r="L46" i="2"/>
  <c r="L47" i="2"/>
  <c r="L48" i="2"/>
  <c r="L49" i="2"/>
  <c r="L50" i="2"/>
  <c r="L51" i="2"/>
  <c r="L52" i="2"/>
  <c r="L53" i="2"/>
  <c r="L54" i="2"/>
  <c r="L55" i="2"/>
  <c r="L56" i="2"/>
  <c r="L57" i="2"/>
  <c r="L58"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J4" i="2"/>
  <c r="K4" i="2"/>
  <c r="I4" i="2"/>
  <c r="AC3" i="1"/>
  <c r="AG3" i="1" s="1"/>
  <c r="O5" i="2" s="1"/>
  <c r="AC4" i="1"/>
  <c r="AC5" i="1"/>
  <c r="AC6" i="1"/>
  <c r="AG6" i="1" s="1"/>
  <c r="AC7" i="1"/>
  <c r="AC8" i="1"/>
  <c r="AC9" i="1"/>
  <c r="AG9" i="1" s="1"/>
  <c r="O7" i="2" s="1"/>
  <c r="AC10" i="1"/>
  <c r="AG10" i="1" s="1"/>
  <c r="AC11" i="1"/>
  <c r="AG11" i="1" s="1"/>
  <c r="AC12" i="1"/>
  <c r="AG12" i="1" s="1"/>
  <c r="AC13" i="1"/>
  <c r="AG13" i="1" s="1"/>
  <c r="AC14" i="1"/>
  <c r="AG14" i="1" s="1"/>
  <c r="AC15" i="1"/>
  <c r="AG15" i="1" s="1"/>
  <c r="AC16" i="1"/>
  <c r="AG16" i="1" s="1"/>
  <c r="O12" i="2" s="1"/>
  <c r="AC17" i="1"/>
  <c r="AG17" i="1" s="1"/>
  <c r="O13" i="2" s="1"/>
  <c r="AC18" i="1"/>
  <c r="AG18" i="1" s="1"/>
  <c r="O14" i="2" s="1"/>
  <c r="AC19" i="1"/>
  <c r="AG19" i="1" s="1"/>
  <c r="AC20" i="1"/>
  <c r="AG20" i="1" s="1"/>
  <c r="O16" i="2" s="1"/>
  <c r="AC21" i="1"/>
  <c r="AC22" i="1"/>
  <c r="AG22" i="1" s="1"/>
  <c r="O18" i="2" s="1"/>
  <c r="AC23" i="1"/>
  <c r="AG23" i="1" s="1"/>
  <c r="O19" i="2" s="1"/>
  <c r="AC24" i="1"/>
  <c r="AG24" i="1" s="1"/>
  <c r="AC25" i="1"/>
  <c r="AG25" i="1" s="1"/>
  <c r="AC26" i="1"/>
  <c r="AG26" i="1" s="1"/>
  <c r="AC27" i="1"/>
  <c r="AG27" i="1" s="1"/>
  <c r="AC28" i="1"/>
  <c r="AG28" i="1" s="1"/>
  <c r="O23" i="2" s="1"/>
  <c r="AC29" i="1"/>
  <c r="AG29" i="1" s="1"/>
  <c r="O24" i="2" s="1"/>
  <c r="AC30" i="1"/>
  <c r="AG30" i="1" s="1"/>
  <c r="AC31" i="1"/>
  <c r="AG31" i="1" s="1"/>
  <c r="AC32" i="1"/>
  <c r="AC33" i="1"/>
  <c r="AG33" i="1" s="1"/>
  <c r="AC34" i="1"/>
  <c r="AG34" i="1" s="1"/>
  <c r="AC35" i="1"/>
  <c r="AC36" i="1"/>
  <c r="AG36" i="1" s="1"/>
  <c r="AC37" i="1"/>
  <c r="AG37" i="1" s="1"/>
  <c r="AC38" i="1"/>
  <c r="AG38" i="1" s="1"/>
  <c r="AC39" i="1"/>
  <c r="AG39" i="1" s="1"/>
  <c r="AC40" i="1"/>
  <c r="AG40" i="1" s="1"/>
  <c r="AC41" i="1"/>
  <c r="AG41" i="1" s="1"/>
  <c r="AC42" i="1"/>
  <c r="AG42" i="1" s="1"/>
  <c r="AC43" i="1"/>
  <c r="AG43" i="1" s="1"/>
  <c r="AC44" i="1"/>
  <c r="AG44" i="1" s="1"/>
  <c r="AC45" i="1"/>
  <c r="AG45" i="1" s="1"/>
  <c r="AC46" i="1"/>
  <c r="AG46" i="1" s="1"/>
  <c r="AC47" i="1"/>
  <c r="AG47" i="1" s="1"/>
  <c r="AC48" i="1"/>
  <c r="AG48" i="1" s="1"/>
  <c r="AC49" i="1"/>
  <c r="AG49" i="1" s="1"/>
  <c r="AC50" i="1"/>
  <c r="AG50" i="1" s="1"/>
  <c r="AC51" i="1"/>
  <c r="AG51" i="1" s="1"/>
  <c r="AC52" i="1"/>
  <c r="AG52" i="1" s="1"/>
  <c r="AC53" i="1"/>
  <c r="AG53" i="1" s="1"/>
  <c r="AC54" i="1"/>
  <c r="AG54" i="1" s="1"/>
  <c r="AC55" i="1"/>
  <c r="AG55" i="1" s="1"/>
  <c r="AC56" i="1"/>
  <c r="AG56" i="1" s="1"/>
  <c r="AC57" i="1"/>
  <c r="AG57" i="1" s="1"/>
  <c r="AC58" i="1"/>
  <c r="AG58" i="1" s="1"/>
  <c r="AC59" i="1"/>
  <c r="AG59" i="1" s="1"/>
  <c r="AC60" i="1"/>
  <c r="AG60" i="1" s="1"/>
  <c r="AC61" i="1"/>
  <c r="AG61" i="1" s="1"/>
  <c r="AC62" i="1"/>
  <c r="AG62" i="1" s="1"/>
  <c r="AC63" i="1"/>
  <c r="AG63" i="1" s="1"/>
  <c r="AC64" i="1"/>
  <c r="AG64" i="1" s="1"/>
  <c r="AC65" i="1"/>
  <c r="AG65" i="1" s="1"/>
  <c r="AC66" i="1"/>
  <c r="AG66" i="1" s="1"/>
  <c r="AC67" i="1"/>
  <c r="AG67" i="1" s="1"/>
  <c r="AC68" i="1"/>
  <c r="AG68" i="1" s="1"/>
  <c r="AC69" i="1"/>
  <c r="AG69" i="1" s="1"/>
  <c r="AC70" i="1"/>
  <c r="AG70" i="1" s="1"/>
  <c r="AC71" i="1"/>
  <c r="AG71" i="1" s="1"/>
  <c r="AC72" i="1"/>
  <c r="AG72" i="1" s="1"/>
  <c r="AC73" i="1"/>
  <c r="AG73" i="1" s="1"/>
  <c r="AC74" i="1"/>
  <c r="AG74" i="1" s="1"/>
  <c r="AC75" i="1"/>
  <c r="AG75" i="1" s="1"/>
  <c r="AC76" i="1"/>
  <c r="AG76" i="1" s="1"/>
  <c r="AC77" i="1"/>
  <c r="AG77" i="1" s="1"/>
  <c r="AC78" i="1"/>
  <c r="AG78" i="1" s="1"/>
  <c r="AC79" i="1"/>
  <c r="AG79" i="1" s="1"/>
  <c r="AC80" i="1"/>
  <c r="AG80" i="1" s="1"/>
  <c r="AC81" i="1"/>
  <c r="AG81" i="1" s="1"/>
  <c r="AC82" i="1"/>
  <c r="AG82" i="1" s="1"/>
  <c r="AC83" i="1"/>
  <c r="AG83" i="1" s="1"/>
  <c r="AC84" i="1"/>
  <c r="AG84" i="1" s="1"/>
  <c r="AC85" i="1"/>
  <c r="AG85" i="1" s="1"/>
  <c r="AC2" i="1"/>
  <c r="AG2" i="1" s="1"/>
  <c r="O4" i="2" s="1"/>
  <c r="C23" i="4"/>
  <c r="C20" i="4"/>
  <c r="C27" i="4"/>
  <c r="C30" i="4"/>
  <c r="C29" i="4"/>
  <c r="C28" i="4"/>
  <c r="C31" i="4"/>
  <c r="C22" i="4"/>
  <c r="C21" i="4"/>
  <c r="L33" i="14" l="1"/>
  <c r="M33" i="14"/>
  <c r="N33" i="14"/>
  <c r="O33" i="14"/>
  <c r="L16" i="14"/>
  <c r="M16" i="14"/>
  <c r="N16" i="14"/>
  <c r="O16" i="14"/>
  <c r="F9" i="14"/>
  <c r="G9" i="14"/>
  <c r="H9" i="14"/>
  <c r="I9" i="14"/>
  <c r="O9" i="2"/>
  <c r="O21" i="2"/>
  <c r="O10" i="2"/>
  <c r="A34" i="4"/>
  <c r="A35" i="4" s="1"/>
  <c r="O15" i="2"/>
  <c r="O25" i="2"/>
  <c r="O11" i="2"/>
  <c r="M20" i="2"/>
  <c r="L20" i="2"/>
  <c r="AG32" i="1"/>
  <c r="L30" i="2"/>
  <c r="N30" i="2"/>
  <c r="M30" i="2"/>
  <c r="AG35" i="1"/>
  <c r="O32" i="2" s="1"/>
  <c r="M32" i="2"/>
  <c r="N32" i="2"/>
  <c r="L32" i="2"/>
  <c r="O8" i="2"/>
  <c r="O27" i="2"/>
  <c r="O28" i="2"/>
  <c r="AG21" i="1"/>
  <c r="N20" i="2"/>
  <c r="O26" i="2"/>
  <c r="O22" i="2"/>
  <c r="AF5" i="1"/>
  <c r="AG5" i="1"/>
  <c r="AF7" i="1"/>
  <c r="AG7" i="1"/>
  <c r="AF4" i="1"/>
  <c r="AG4" i="1"/>
  <c r="AF8" i="1"/>
  <c r="AG8" i="1"/>
  <c r="AF3" i="1"/>
  <c r="AF6" i="1"/>
  <c r="AF9" i="1"/>
  <c r="AF10" i="1"/>
  <c r="AF11" i="1"/>
  <c r="AF12" i="1"/>
  <c r="AF13" i="1"/>
  <c r="AF14" i="1"/>
  <c r="AF15" i="1"/>
  <c r="AF16" i="1"/>
  <c r="AF17" i="1"/>
  <c r="AF18" i="1"/>
  <c r="AF19" i="1"/>
  <c r="AF20" i="1"/>
  <c r="AF21" i="1"/>
  <c r="AF22" i="1"/>
  <c r="AF23" i="1"/>
  <c r="AF24" i="1"/>
  <c r="AF25" i="1"/>
  <c r="AF26" i="1"/>
  <c r="AF27" i="1"/>
  <c r="AF28" i="1"/>
  <c r="AF29" i="1"/>
  <c r="AF30" i="1"/>
  <c r="AF31" i="1"/>
  <c r="AF32" i="1"/>
  <c r="AF33" i="1"/>
  <c r="AF34" i="1"/>
  <c r="AF35" i="1"/>
  <c r="AF36" i="1"/>
  <c r="AF37" i="1"/>
  <c r="AF38" i="1"/>
  <c r="AF39" i="1"/>
  <c r="AF40" i="1"/>
  <c r="AF41" i="1"/>
  <c r="AF42" i="1"/>
  <c r="AF43" i="1"/>
  <c r="AF44" i="1"/>
  <c r="AF45" i="1"/>
  <c r="AF46" i="1"/>
  <c r="AF47" i="1"/>
  <c r="AF48" i="1"/>
  <c r="AF49" i="1"/>
  <c r="AF50" i="1"/>
  <c r="AF51" i="1"/>
  <c r="AF52" i="1"/>
  <c r="AF53" i="1"/>
  <c r="AF54" i="1"/>
  <c r="AF55" i="1"/>
  <c r="AF56" i="1"/>
  <c r="AF57" i="1"/>
  <c r="AF58" i="1"/>
  <c r="AF59" i="1"/>
  <c r="AF60" i="1"/>
  <c r="AF61" i="1"/>
  <c r="AF62" i="1"/>
  <c r="AF63" i="1"/>
  <c r="AF64" i="1"/>
  <c r="AF65" i="1"/>
  <c r="AF66" i="1"/>
  <c r="AF67" i="1"/>
  <c r="AF68" i="1"/>
  <c r="AF69" i="1"/>
  <c r="AF70" i="1"/>
  <c r="AF71" i="1"/>
  <c r="AF72" i="1"/>
  <c r="AF73" i="1"/>
  <c r="AF74" i="1"/>
  <c r="AF75" i="1"/>
  <c r="AF76" i="1"/>
  <c r="AF77" i="1"/>
  <c r="AF78" i="1"/>
  <c r="AF79" i="1"/>
  <c r="AF80" i="1"/>
  <c r="AF81" i="1"/>
  <c r="AF82" i="1"/>
  <c r="AF83" i="1"/>
  <c r="AF84" i="1"/>
  <c r="AF85" i="1"/>
  <c r="M5" i="2"/>
  <c r="M7" i="2"/>
  <c r="M8" i="2"/>
  <c r="M9" i="2"/>
  <c r="M10" i="2"/>
  <c r="M11" i="2"/>
  <c r="M12" i="2"/>
  <c r="M13" i="2"/>
  <c r="M14" i="2"/>
  <c r="M15" i="2"/>
  <c r="M16" i="2"/>
  <c r="M17" i="2"/>
  <c r="M18" i="2"/>
  <c r="M19" i="2"/>
  <c r="M21" i="2"/>
  <c r="M23" i="2"/>
  <c r="M24" i="2"/>
  <c r="M25" i="2"/>
  <c r="M27" i="2"/>
  <c r="M28" i="2"/>
  <c r="N4" i="2"/>
  <c r="AF2" i="1"/>
  <c r="AF4" i="6"/>
  <c r="AE4" i="6"/>
  <c r="AD4" i="6"/>
  <c r="AF3" i="6"/>
  <c r="AE3" i="6"/>
  <c r="AD3" i="6"/>
  <c r="AF2" i="6"/>
  <c r="AE2" i="6"/>
  <c r="AD2" i="6"/>
  <c r="AF1" i="6"/>
  <c r="AE1" i="6"/>
  <c r="AD1" i="6"/>
  <c r="M26" i="2"/>
  <c r="M22" i="2"/>
  <c r="N5" i="2"/>
  <c r="L5" i="2"/>
  <c r="N7" i="2"/>
  <c r="L7" i="2"/>
  <c r="N8" i="2"/>
  <c r="L8" i="2"/>
  <c r="N9" i="2"/>
  <c r="L9" i="2"/>
  <c r="N10" i="2"/>
  <c r="L10" i="2"/>
  <c r="N11" i="2"/>
  <c r="L11" i="2"/>
  <c r="N12" i="2"/>
  <c r="L12" i="2"/>
  <c r="N13" i="2"/>
  <c r="L13" i="2"/>
  <c r="N14" i="2"/>
  <c r="L14" i="2"/>
  <c r="N15" i="2"/>
  <c r="L15" i="2"/>
  <c r="N16" i="2"/>
  <c r="L16" i="2"/>
  <c r="N17" i="2"/>
  <c r="L17" i="2"/>
  <c r="N18" i="2"/>
  <c r="L18" i="2"/>
  <c r="N19" i="2"/>
  <c r="L19" i="2"/>
  <c r="N21" i="2"/>
  <c r="L21" i="2"/>
  <c r="N22" i="2"/>
  <c r="L22" i="2"/>
  <c r="N23" i="2"/>
  <c r="L23" i="2"/>
  <c r="N24" i="2"/>
  <c r="L24" i="2"/>
  <c r="N25" i="2"/>
  <c r="L25" i="2"/>
  <c r="N26" i="2"/>
  <c r="L26" i="2"/>
  <c r="N27" i="2"/>
  <c r="L27" i="2"/>
  <c r="N28" i="2"/>
  <c r="L28" i="2"/>
  <c r="L4" i="2"/>
  <c r="M4" i="2"/>
  <c r="AD66" i="1"/>
  <c r="AE66" i="1"/>
  <c r="AD67" i="1"/>
  <c r="AE67" i="1"/>
  <c r="AD68" i="1"/>
  <c r="AE68" i="1"/>
  <c r="AD69" i="1"/>
  <c r="AE69" i="1"/>
  <c r="AD70" i="1"/>
  <c r="AE70" i="1"/>
  <c r="AD71" i="1"/>
  <c r="AE71" i="1"/>
  <c r="AD72" i="1"/>
  <c r="AE72" i="1"/>
  <c r="AD73" i="1"/>
  <c r="AE73" i="1"/>
  <c r="AD74" i="1"/>
  <c r="AE74" i="1"/>
  <c r="AD75" i="1"/>
  <c r="AE75" i="1"/>
  <c r="AD76" i="1"/>
  <c r="AE76" i="1"/>
  <c r="AD77" i="1"/>
  <c r="AE77" i="1"/>
  <c r="AD78" i="1"/>
  <c r="AE78" i="1"/>
  <c r="AD79" i="1"/>
  <c r="AE79" i="1"/>
  <c r="AD80" i="1"/>
  <c r="AE80" i="1"/>
  <c r="AD81" i="1"/>
  <c r="AE81" i="1"/>
  <c r="AD82" i="1"/>
  <c r="AE82" i="1"/>
  <c r="AD83" i="1"/>
  <c r="AE83" i="1"/>
  <c r="AD84" i="1"/>
  <c r="AE84" i="1"/>
  <c r="AD85" i="1"/>
  <c r="AE85" i="1"/>
  <c r="AD3" i="1"/>
  <c r="AE3" i="1"/>
  <c r="AD4" i="1"/>
  <c r="AE4" i="1"/>
  <c r="AD5" i="1"/>
  <c r="AE5" i="1"/>
  <c r="AD6" i="1"/>
  <c r="AE6" i="1"/>
  <c r="AD7" i="1"/>
  <c r="AE7" i="1"/>
  <c r="AD8" i="1"/>
  <c r="AE8" i="1"/>
  <c r="AD9" i="1"/>
  <c r="AE9" i="1"/>
  <c r="AD10" i="1"/>
  <c r="AE10" i="1"/>
  <c r="AD11" i="1"/>
  <c r="AE11" i="1"/>
  <c r="AD12" i="1"/>
  <c r="AE12" i="1"/>
  <c r="AD13" i="1"/>
  <c r="AE13" i="1"/>
  <c r="AD14" i="1"/>
  <c r="AE14" i="1"/>
  <c r="AD15" i="1"/>
  <c r="AE15" i="1"/>
  <c r="AD16" i="1"/>
  <c r="AE16" i="1"/>
  <c r="AD17" i="1"/>
  <c r="AE17" i="1"/>
  <c r="AD18" i="1"/>
  <c r="AE18" i="1"/>
  <c r="AD19" i="1"/>
  <c r="AE19" i="1"/>
  <c r="AD20" i="1"/>
  <c r="AE20" i="1"/>
  <c r="AD21" i="1"/>
  <c r="AE21" i="1"/>
  <c r="AD22" i="1"/>
  <c r="AE22" i="1"/>
  <c r="AD23" i="1"/>
  <c r="AE23" i="1"/>
  <c r="AD24" i="1"/>
  <c r="AE24" i="1"/>
  <c r="AD25" i="1"/>
  <c r="AE25" i="1"/>
  <c r="AD26" i="1"/>
  <c r="AE26" i="1"/>
  <c r="AD27" i="1"/>
  <c r="AE27" i="1"/>
  <c r="AD28" i="1"/>
  <c r="AE28" i="1"/>
  <c r="AD29" i="1"/>
  <c r="AE29" i="1"/>
  <c r="AD30" i="1"/>
  <c r="AE30" i="1"/>
  <c r="AD31" i="1"/>
  <c r="AE31" i="1"/>
  <c r="AD32" i="1"/>
  <c r="AE32" i="1"/>
  <c r="AD33" i="1"/>
  <c r="AE33" i="1"/>
  <c r="AD34" i="1"/>
  <c r="AE34" i="1"/>
  <c r="AD35" i="1"/>
  <c r="AE35" i="1"/>
  <c r="AD36" i="1"/>
  <c r="AE36" i="1"/>
  <c r="AD37" i="1"/>
  <c r="AE37" i="1"/>
  <c r="AD38" i="1"/>
  <c r="AE38" i="1"/>
  <c r="AD39" i="1"/>
  <c r="AE39" i="1"/>
  <c r="AD40" i="1"/>
  <c r="AE40" i="1"/>
  <c r="AD41" i="1"/>
  <c r="AE41" i="1"/>
  <c r="AD42" i="1"/>
  <c r="AE42" i="1"/>
  <c r="AD43" i="1"/>
  <c r="AE43" i="1"/>
  <c r="AD44" i="1"/>
  <c r="AE44" i="1"/>
  <c r="AD45" i="1"/>
  <c r="AE45" i="1"/>
  <c r="AD46" i="1"/>
  <c r="AE46" i="1"/>
  <c r="AD47" i="1"/>
  <c r="AE47" i="1"/>
  <c r="AD48" i="1"/>
  <c r="AE48" i="1"/>
  <c r="AD49" i="1"/>
  <c r="AE49" i="1"/>
  <c r="AD50" i="1"/>
  <c r="AE50" i="1"/>
  <c r="AD51" i="1"/>
  <c r="AE51" i="1"/>
  <c r="AD52" i="1"/>
  <c r="AE52" i="1"/>
  <c r="AD53" i="1"/>
  <c r="AE53" i="1"/>
  <c r="AD54" i="1"/>
  <c r="AE54" i="1"/>
  <c r="AD55" i="1"/>
  <c r="AE55" i="1"/>
  <c r="AD56" i="1"/>
  <c r="AE56" i="1"/>
  <c r="AD57" i="1"/>
  <c r="AE57" i="1"/>
  <c r="AD58" i="1"/>
  <c r="AE58" i="1"/>
  <c r="AD59" i="1"/>
  <c r="AE59" i="1"/>
  <c r="AD60" i="1"/>
  <c r="AE60" i="1"/>
  <c r="AD61" i="1"/>
  <c r="AE61" i="1"/>
  <c r="AD62" i="1"/>
  <c r="AE62" i="1"/>
  <c r="AD63" i="1"/>
  <c r="AE63" i="1"/>
  <c r="AD64" i="1"/>
  <c r="AE64" i="1"/>
  <c r="AD65" i="1"/>
  <c r="AE65" i="1"/>
  <c r="AD2" i="1"/>
  <c r="AE2" i="1"/>
  <c r="L39" i="14" l="1"/>
  <c r="N39" i="14"/>
  <c r="M39" i="14"/>
  <c r="O39" i="14"/>
  <c r="O30" i="2"/>
  <c r="O20" i="2"/>
  <c r="O17"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<sst xmlns="http://schemas.openxmlformats.org/spreadsheetml/2006/main" count="2576" uniqueCount="823">
  <si>
    <t>No.</t>
  </si>
  <si>
    <t>FECHA REPORTE DE LA INFORMACIÓN</t>
  </si>
  <si>
    <t>SECTORIAL</t>
  </si>
  <si>
    <t>NOMBRE DE LA ENTIDAD</t>
  </si>
  <si>
    <t>CÓDIGO ENTIDAD</t>
  </si>
  <si>
    <t>VIGENCIA DE LA AUDITORÍA O VISITA</t>
  </si>
  <si>
    <t>CODIGO AUDITORÍA SEGÚN PAD DE LA VIGENCIA</t>
  </si>
  <si>
    <t>No. HALLAZGO</t>
  </si>
  <si>
    <t>CODIGO ACCION</t>
  </si>
  <si>
    <t xml:space="preserve">SECTORIAL QUE GENERO LA AUDITORÍA </t>
  </si>
  <si>
    <t>MODALIDAD</t>
  </si>
  <si>
    <t>COMPONENTE</t>
  </si>
  <si>
    <t>FACTOR</t>
  </si>
  <si>
    <t>DESCRIPCIÓN HALLAZGO</t>
  </si>
  <si>
    <t>CAUSA HALLAZGO</t>
  </si>
  <si>
    <t>DESCRIPCIÓN ACCIÓN</t>
  </si>
  <si>
    <t>NOMBRE INDICADOR</t>
  </si>
  <si>
    <t>FORMULA INDICADOR</t>
  </si>
  <si>
    <t>VALOR META</t>
  </si>
  <si>
    <t>AREA RESPONSABLE</t>
  </si>
  <si>
    <t>FECHA DE INICIO</t>
  </si>
  <si>
    <t>FECHA DE TERMINACIÓN</t>
  </si>
  <si>
    <t>ESTADO AUDITOR</t>
  </si>
  <si>
    <t>OBSERVACIÓN</t>
  </si>
  <si>
    <t>ESTADO</t>
  </si>
  <si>
    <t>ENLACE PARA CARGAR EVIDENCIAS</t>
  </si>
  <si>
    <t>2025-10-10</t>
  </si>
  <si>
    <t>MOVILIDAD</t>
  </si>
  <si>
    <t>TERMINAL DE TRANSPORTE S.A.</t>
  </si>
  <si>
    <t>311</t>
  </si>
  <si>
    <t>3.1.1</t>
  </si>
  <si>
    <t>DIRECCIÓN SECTOR MOVILIDAD</t>
  </si>
  <si>
    <t>AUDITORÍA FINANCIERA Y DE GESTIÓN Y RESULTADOS</t>
  </si>
  <si>
    <t>HALLAZGO ADMINISTRATIVO CON PRESUNTA INCIDENCIA DISCIPLINARIA POR INCONSISTENCIAS EN LA ENTREGA DE INFORMACIÓN REQUERIDA POR EL ORGANISMO DE CONTROL</t>
  </si>
  <si>
    <t>FALENCIAS EN LA COMUNICACIÓN Y CONCILIACIÓN  DE LA INFORMACIÓN DE LAS DIFERENTES DEPENDENCIAS CON DESTINO A LOS ESTADOS FINANCIEROS DE LA TTSA</t>
  </si>
  <si>
    <t>DEFINICIÓN DE LA POLITICA CONTABLE QUE INCLUYA DIFERENCIAS DE CONCEPTO ENTRE UN ACTIVO Y EL MANEJO DE LOS PREDIOS PROPIEDAD DE TTSA</t>
  </si>
  <si>
    <t>POLITICA CONTABLE PROPIEDAD PLANTA Y EQUIPO</t>
  </si>
  <si>
    <t>PUBLICAR EN EL SIG - POLÍTICA  PROPIEDAD PLANTA Y EQUIPO PUBLICADO</t>
  </si>
  <si>
    <t>2025-10-27</t>
  </si>
  <si>
    <t>2026-06-30</t>
  </si>
  <si>
    <t/>
  </si>
  <si>
    <t>ABIERTA</t>
  </si>
  <si>
    <t>Abierta</t>
  </si>
  <si>
    <t>https://drive.google.com/drive/u/0/folders/1bmZSYTZPlrSq234glXYiTJCO48SccgqJ</t>
  </si>
  <si>
    <t>DEFINICIÓN Y/O ACTUALIZACIÓN DE PROCEDIMIETNO DE CONCILIACIÓN QUE INCLUYA LA LÍNEA DE ZPP, QUE DESCRIBIRÁ LA INFORMACIÓN A CONCILIAR DEL RECAUDO EN EFECTIVO COMO DEL RECAUDO ELECTRÓNICO</t>
  </si>
  <si>
    <t>PROCEDIMIENTO DE CONCILIACIÓN QUE INCLUYA COMPONENTE DEL RECAUDO ZONA DE PARQUEO PAGO</t>
  </si>
  <si>
    <t>PUBLICAR EN EL SIG - PROCEDIMIENTO DE CONCILIACIÓN DEL RECAUDO ZPP, ACTUALIZADO Y PUBLICADO</t>
  </si>
  <si>
    <t>https://drive.google.com/drive/u/0/folders/1CI3HiTEJGC17Z1LFphzunlSzJ1WBkwbD</t>
  </si>
  <si>
    <t>3.1.2</t>
  </si>
  <si>
    <t>HALLAZGO ADMINISTRATIVO CON INCIDENCIA FISCAL POR VALOR DE CINCO MILLONES DOSCIENTOS CUARENTA Y SEIS MIL TREINTA PESOS M/CTE $5.246.030, Y PRESUNTA INCIDENCIA DISCIPLINARIA POR EL PAGO DE INTERESES CON OCASIÓN DE LOS CONTRATOS INTERADMINISTRATIVOS NOS. 1724/2021 Y 1684/2022, SUSCRITOS ENTRE LA TTSA Y EL INSTITUTO DE DESARROLLO URBANO – IDU.</t>
  </si>
  <si>
    <t>FALTA DE SEGUIMIENTO Y CUMPLIMIENTO  OPORTUNO DE LOS TÉRMINOS ESTABLECIDOS EN LAS CLÁUSULAS CONTRACTUALES, Y DE LAS  OBLIGACIONES A CARGO DE LA TTSA</t>
  </si>
  <si>
    <t>ELABORAR Y PRESENTAR A IDU PROPUESTA DE UNA NUEVA ESTRUCTURA DE CONTRATO EN LA QUE SE ELIMINA LA OBLIGACIÓN DE PAGOS DE INTERESES CON OCASIÓN DE RETRIBUCIÓN</t>
  </si>
  <si>
    <t>PROPUESTA DE NEGOCIO</t>
  </si>
  <si>
    <t>RADICACIÓN DE LA PROPUESTA ENTREGADA AL IDU</t>
  </si>
  <si>
    <t>Mediante la solicitud de modificación y prórroga al Contrato Interadministrativo 1684 de 2022 con radicado 20250310109791 se solicita la eliminación de la obligación de pagos
de intereses con ocasión de retribución toda vez que, con la nueva metodología ya no
existiría aplicabilidad de estas obligaciones.</t>
  </si>
  <si>
    <t>Finalizada</t>
  </si>
  <si>
    <t>https://drive.google.com/drive/u/0/folders/13AEf4WR13iErgZmA4pnPJeQYbfGTDHtV</t>
  </si>
  <si>
    <t>AJUSTE DE METODOLOGÍA PARA LA REVISIÓN DE LA RETRIBUCIÓN AL IDU</t>
  </si>
  <si>
    <t>OTROSÍ A LOS CONTRATOS</t>
  </si>
  <si>
    <t>ACEPTACIÓN DEL AJUSTE DE LA METODOLOGÍA POR PARTE DEL IDU A LOS CONTRATOS</t>
  </si>
  <si>
    <t>Mediante la prórroga 3 y modificación 3 al contrato interadministrativo  IDU - 1684 - 2022 se realiza ajuste de metodología para el pago y revisión de la retribución al IDU.</t>
  </si>
  <si>
    <t>https://drive.google.com/drive/u/0/folders/1_mR8Cs1sgxiV3mkUbPhb1XH-SO4cn6b9</t>
  </si>
  <si>
    <t>3.2.1.1.1</t>
  </si>
  <si>
    <t>HALLAZGO ADMINISTRATIVO CON INCIDENCIA FISCAL POR VALOR DE CIENTO VEINTISÉIS MILLONES NOVECIENTOS NOVENTA MIL DOSCIENTOS CINCUENTA Y TRES PESOS M/CTE $126.990.253 Y PRESUNTA INCIDENCIA DISCIPLINARIA POR LA PRESCRIPCIÓN DE LA ACCIÓN DE COBRO POR PARTE DE LA TTSA ANTE LAS ENTIDADES PROMOTORAS DE SALUD – EPS POR CONCEPTO DE INCAPACIDADES LABORALES.</t>
  </si>
  <si>
    <t>AUSENCIA DE CONTROLES EFECTIVOS, SEGUIMIENTO OPORTUNO, DEFICIENTE COMUNICACIÓN ENTRE LAS DEPENDENCIAS DE LA  ENTIDAD, FALTA DE CONCILIACIÓN Y COBRO DE LAS INCAPACIDADES</t>
  </si>
  <si>
    <t>ELABORACIÓN PROCEDIMIENTO DEL SEGUIMIENTO A LAS INCAPACIDADES</t>
  </si>
  <si>
    <t>PROCEDIMIENTO DE COBRO DE LAS INCAPACIDADES</t>
  </si>
  <si>
    <t>PUBLICAR EN SIG - PROCEDIMIENTO DE COBRO DE INCAPACIDADES</t>
  </si>
  <si>
    <t>2026-03-31</t>
  </si>
  <si>
    <t>https://drive.google.com/drive/u/0/folders/1JnOu0yV7hzMBf-kTsas1TYZS8BWLGu6l</t>
  </si>
  <si>
    <t>CONTRATACIÓN DE UNA PERSONA PARA EJECUTAR LA ACTIVIDAD DE SEGUIMIENTO AL COBRO DE INCAPACIDADES</t>
  </si>
  <si>
    <t>CONTRATACIÓN DE PROFESIONAL PARA RECOBRO</t>
  </si>
  <si>
    <t>CONTRATO DEL PERSONAL ASIGNADO PARA EL PROCESO DE COBRO A LAS EPS</t>
  </si>
  <si>
    <t>Se evidencia el cumplimiento de la acción, toda vez que se aportó el contrato de trabajo mediante el cual se vinculó una persona para el desempeño de funciones como Profesional de Seguridad Social y Cartera, cargo que guarda relación directa con la actividad de seguimiento al cobro de incapacidades, conforme al objeto contractual aportado.</t>
  </si>
  <si>
    <t>PRESENTACIÓN DE DEMANDA EN GESTIÓN DE RECOBRO EN CONTRA DE LAS EPS</t>
  </si>
  <si>
    <t>DEMANDA DE GESTIÓN DE RECOBRO</t>
  </si>
  <si>
    <t>DEMANDAS PRESENTADAS RADICADAS EN LAS EPS</t>
  </si>
  <si>
    <t>2025-12-31</t>
  </si>
  <si>
    <t>Se presentan demandas a las EPS Compensar, Sanitas, Famisanar, Nueva EPS,Salud Total EPS, Alianza Salud EPS y Sura.</t>
  </si>
  <si>
    <t>https://drive.google.com/drive/u/0/folders/1LP5j8uUh8jyIwVIk_TVn3HdU5R3Ej52K</t>
  </si>
  <si>
    <t>3.2.1.1.2</t>
  </si>
  <si>
    <t>HALLAZGO ADMINISTRATIVO CON PRESUNTA INCIDENCIA DISCIPLINARIA POR DEFICIENCIAS EN EL COBRO DE LOS CÁNONES DE ARRENDAMIENTO CAUSADOS DURANTE LA EJECUCIÓN DE LOS CONTRATOS DE ARRENDAMIENTO A-027-TQLL-2003; A-024-P.D.-2003; T-S.-2009 CÓDIGO A – L.3 EN Z.T.; Y TT NO. 90 DE 2015.</t>
  </si>
  <si>
    <t>DEBILIDADES EN EL COBRO DE CÁNONES DE ARRENDAMIENTO DURANTE LA EJECUCIÓN DE CONTRATOS DE ARRENDAMIENTO</t>
  </si>
  <si>
    <t>ACTUALIZACIÓN DEL PROCEDIMIENTO DE GESTIÓN INMOBILIARIA QUE DEFINA LOS CONTROLES PARA EJERCER LAS ACCIONES DE COBRO DE CANONES DE ARRENDAMIENTO, EL PROCESO Y RESPONSABLES DE DECLARATORIA DE SINIESTRO EN LOS CASOS EN LOS QUE SE CUENTE CON GARANTÍAS DE ARRENDAMIENTO, O, LOS REQUISITOS, PROCEDIMIENTO Y RESPONSABLES PARA EL EJERCICIO DE ACCIONES DE COBRO COACTIVO</t>
  </si>
  <si>
    <t>PROCEDIMIENTO DE GESTIÓN INMOBILIARIA</t>
  </si>
  <si>
    <t>PUBLICACIÓN EN EL SIG - PROCEDIMIENTO DE GESTIÓN INMOBILIARIA</t>
  </si>
  <si>
    <t>2026-10-13</t>
  </si>
  <si>
    <t>https://drive.google.com/drive/u/0/folders/1QT49y1L5HwPHxc-EwvXz5gLce7HGc71K</t>
  </si>
  <si>
    <t>3.2.1.1.3</t>
  </si>
  <si>
    <t>HALLAZGO ADMINISTRATIVO CON PRESUNTA INCIDENCIA DISCIPLINARIA POR LA GESTIÓN INEFICIENTE DE LA TERMINAL DE TRANSPORTE S.A. DURANTE DEL PROCESO DE EXPROPIACIÓN ADMINISTRATIVA ADELANTADO POR LA EMPRESA FÉRREA REGIONAL S.A.S. RESPECTO DEL PREDIO DENOMINADO “SANTA HELENA”, IDENTIFICADO CON LA MATRÍCULA INMOBILIARIA 051-191183, ASÍ COMO SU GESTIÓN INOPORTUNA EN LA DEFENSA DE LOS INTERESES DE LA ENTIDAD RESPECTO DEL COBRO DEL IMPUESTO PREDIAL</t>
  </si>
  <si>
    <t>DEBILIDADES DE GESTIÓN Y CONTROL POR PARTE DE LA TTSA A LO LARGO DEL CICLO DE ADQUISICIÓN/EXPROPIACIÓN Y EN LA FASE POSTERIOR DE DEPURACIÓN REGISTRAL, CATASTRAL Y TRIBUTARIA DEL INMUEBLE CON MATRÍCULA 051-191183</t>
  </si>
  <si>
    <t>GESTIÓN PARA LA MODIFICACIÓN DE LA RESOLUCIÓN NO. 25-75400001616-2025 EXPEDIDA POR EL MUNICIPIO DE SOACHA, CON EL FIN DE QUE SE AJUSTE EL ÁREA DEL PREDIO</t>
  </si>
  <si>
    <t>COMUNICACIONES DE GESTIÓN DE LA TTS.A. Y/O RESOLUCIÓN DEL MUNICIPIO DE SOACHA</t>
  </si>
  <si>
    <t>RADICADOS DE LAS COMUNICACIONES Y/O RESOLUCIÓN EXPEDIDA POR EL MUNICIPIO SOACHA</t>
  </si>
  <si>
    <t>https://drive.google.com/drive/u/0/folders/1kilX7Bb9sV8Qh-eNoVoUyX1WaRol3HVN</t>
  </si>
  <si>
    <t>RELIQUIDACIÓN DE IMPUESTOS CON FUNDAMENTO EN LA REDEFINICIÓN DEL ÁREA DEL PREDIO, CONFORME A LA MODIFICACIÓN DE LA RESOLUCIÓN CITADA</t>
  </si>
  <si>
    <t>RELIQUIDACIÓN  PAGO IMPUESTOS</t>
  </si>
  <si>
    <t>RECIBOS DE PAGO IMPUESTOS</t>
  </si>
  <si>
    <t>https://drive.google.com/drive/u/0/folders/1EubnA9GmEsmbl7UFcOUTjsykCzJiqONA</t>
  </si>
  <si>
    <t>CREACIÓN DE PROCEDIMIENTO PARA TRÁMITE DE EXPROPIACIONES DE LOS BIENES DE LA TTSA</t>
  </si>
  <si>
    <t>PROCEDIMIENTO PARA GESTIONAR EXPROPIACIONES</t>
  </si>
  <si>
    <t>PUBLICACIÓN EN SIG - PROCEDIMIENTO PARA GESTIONAR EXPROPIACIONES</t>
  </si>
  <si>
    <t>https://drive.google.com/drive/u/0/folders/1RljHJeJbF-CMMxCEgzMTaJzp2W7ejDiQ</t>
  </si>
  <si>
    <t>3.2.1.1.4</t>
  </si>
  <si>
    <t>HALLAZGO ADMINISTRATIVO CON PRESUNTA INCIDENCIA DISCIPLINARIA POR INCONSISTENCIAS ENTRE LOS REGISTROS CONTABLES Y LOS SOPORTES ALLEGADOS POR LA TTSA EN REFERENCIA A LA INFORMACIÓN CONTABLE DEL INMUEBLE IDENTIFICADO COMO “LOTE SOACHA”</t>
  </si>
  <si>
    <t>FALTA DE VERIFICACIÓN Y ANÁLISIS OPORTUNOS DE LOS HECHOS ECONÓMICOS OBJETO DE REGISTRO EN LOS ESTADOS FINANCIEROS DE LA EMPRESA</t>
  </si>
  <si>
    <t>AVALÚO Y SOPORTES QUE SUSTENTAN EL REGISTRO CONTABLE DEL LOTE SOACHA, EN EL REPOSITORIO DE LA DIRECCIÓN FINANCIERA</t>
  </si>
  <si>
    <t>REPOSITORIO DE DOCUMENTOS DIRECCIÓN FINANCIERA</t>
  </si>
  <si>
    <t>REPOSITORIO CON LA DOCUMENTACIÓN DE CONSULTA</t>
  </si>
  <si>
    <t>2026-02-15</t>
  </si>
  <si>
    <t>https://drive.google.com/drive/u/0/folders/1BUliexC8UzwR6MWBai4BqV4CPPVNLOo_</t>
  </si>
  <si>
    <t>ELABORACIÓN DE ANÁLISIS DE AJUSTE EN RECONOCIMIETO DEL ACTIVO DENOMINADO " LOTE SOACHA" CON LA ACTUALIZACION  POR AVALUO DEL AÑO 2023 COMO NOS INDICA EL MARCO NORMATIVO PARA LAS EMPRESAS QUE NO COTIZAN EN BOLSA DE VALORES Y NO RECAUDAN DINERO PUBLICO</t>
  </si>
  <si>
    <t>INFORME DE ANÁLISIS DEL AJUSTE DEL DETERIORO DEL ACTIVO DENOMINADO  "LOTE SOACHA "</t>
  </si>
  <si>
    <t>INFORME DE ANÁLISIS DEL AJUSTE DEL DETERIORO DEL ACTIVO DENOMINADO  "LOTE SOACHA " PRESENTADO A LA REVISORÍA</t>
  </si>
  <si>
    <t>https://drive.google.com/drive/u/0/folders/1LrFlVUaxg4S1i_lDBuFwT2tUX6bRFlsT</t>
  </si>
  <si>
    <t>3.2.1.5.1</t>
  </si>
  <si>
    <t>HALLAZGO ADMINISTRATIVO CON INCIDENCIA FISCAL POR LA SUMA DE CUATRO MIL OCHOCIENTOS NOVENTA Y SEIS MILLONES OCHOCIENTOS VEINTIDÓS MIL OCHOCIENTOS VEINTINUEVE PESOS M/CTE $4.896.822.829 Y PRESUNTA INCIDENCIA DISCIPLINARIA POR FALTA DE GESTIÓN OPORTUNA EN LA PRESENTACIÓN DE LAS DECLARACIONES DEL IMPUESTO PREDIAL UNIFICADO DEL INMUEBLE IDENTIFICADO CON CHIP AAA0077FYUH, VIGENCIAS 2015, 2016, 2017, 2020,2021, 2022 Y 2023</t>
  </si>
  <si>
    <t>FALTA DE SEGUIMIENTO, GESTIONES OPORTUNAS Y EFECTIVAS POR PARTE DE LA EMPRESA A FIN DE CUMPLIR CON LAS OBLIGACIONES EN MATERIA TRIBUTARIA Y SANEAR LA SITUACIÓN DE LA EMPRESA ANTE LA ADMINISTRACIÓN DE IMPUESTOS DISTRITALES</t>
  </si>
  <si>
    <t>ELABORACIÓN DE  MANUAL, PROCEDIMIENTO E INSTRUCTIVO PARA PAGO DE TODOS LOS IMPUESTOS EN LOS QUE LA TERMINAL DE TRANSPORTE S.A. ES SUJETO PASIVO, DEFINICIÓN DE LAS RESPONSABILIDADES Y ACTUACIONES FRENTE A CADA TIPO DE TRIBUTO</t>
  </si>
  <si>
    <t>MANUAL, PROCEDIMIENTO E INSTRUCTIVO DE PAGO DE LOS IMPUESTOS A CARGO DE LA TTSA</t>
  </si>
  <si>
    <t>PUBLICACIÓN MANUAL, PROCEDIMIENTO E INSTRUCTIVO DE PAGO DE LOS IMPUESTOS A CARGO DE LA TTSA</t>
  </si>
  <si>
    <t>2026-02-28</t>
  </si>
  <si>
    <t>https://drive.google.com/drive/u/0/folders/1vhs9ehYAmKYPHVE6sjTd5x06IAh_PxHz</t>
  </si>
  <si>
    <t>DECISIÓN DE LA DEMANDA INTERPUESTA EL 12/MARZ/2025 CON RADICADO NO. 25000234100020250038300, EN EL TRIBUNAL ADMINISTRATIVO DE CUNDINAMARCA</t>
  </si>
  <si>
    <t>ADMISIÓN DE LA DEMANDA</t>
  </si>
  <si>
    <t>DECISIÓN DE LA DEMANDA</t>
  </si>
  <si>
    <t>https://drive.google.com/drive/u/0/folders/1IS9BzI07vze98OgBUC7T6wwNdSXGpNkr</t>
  </si>
  <si>
    <t>3.2.1.6.1</t>
  </si>
  <si>
    <t>HALLAZGO ADMINISTRATIVO POR DIFERENCIAS ENTRE LOS REGISTROS CONTABLES DE LA CUENTA 9120 – LITIGIOS Y MECANISMOS ALTERNATIVOS DE SOLUCIÓN DE CONFLICTOS Y EL APLICATIVO SIPROJ WEB CON CORTE A 31 DE DICIEMBRE DE 2024.</t>
  </si>
  <si>
    <t>FALTA DE SEGUIMIENTO Y COORDINACIÓN OPORTUNOS ENTRE LAS DEPENDENCIAS INVOLUCRADAS EN LA ACTUALIZACIÓN DE LOS PROCESOS Y SU PRESENTACIÓN EN LOS ESTADOS FINANCIEROS A FIN DE GARANTIZAR FIABILIDAD DE LA INFORMACIÓN; ASÍ COMO FALLAS EN EL PROCESO DE VERIFICACIÓN Y CONCILIACIÓN DE LA INFORMACIÓN CONTABLE REGISTRADA EN LAS CUENTAS DE ORDEN A FIN DE EFECTUAR EL REGISTRO DE LOS HECHOS ECONÓMICOS</t>
  </si>
  <si>
    <t>ELABORACIÓN INSTRUCTIVO DE LA CONCILIACION DE LOS PROCESOS JUDICIALES DE LA TTSA REPORTADOS EN LA PALATAFORMA SIPROJ WED</t>
  </si>
  <si>
    <t>CONCILIACIÓN FINANCIERA Y JURÍDICA TRIMESTRAL</t>
  </si>
  <si>
    <t>CONCILIACIÓN FINANCIERA Y JURÍDICA REVISADA Y APROBADA A TRAVÉS DE UN ACTA</t>
  </si>
  <si>
    <t>https://drive.google.com/drive/u/0/folders/1aHFBvgTk-FT0bdoX0QmHymE66qf1IFR_</t>
  </si>
  <si>
    <t>3.2.1.7.1</t>
  </si>
  <si>
    <t>HALLAZGO ADMINISTRATIVO POR FALTA DE IDENTIFICACIÓN OPORTUNA DE CONSIGNACIONES EFECTUADAS POR TERCEROS A FAVOR DE LA EMPRESA.</t>
  </si>
  <si>
    <t>FALTA DE GESTIÓN EFECTIVA PARA LA IDENTIFICACIÓN OPORTUNA DE LAS CONSIGNACIONES A FAVOR DE LA EMPRESA</t>
  </si>
  <si>
    <t>DEFINICIÓN Y/O ACTUALIZACIÓN DE PROCESO DE CONCILIACIÓN QUE INCLUYA LAS CONCILIACIONES REALIZADAS CON LAS DIFERENTES ÁREAS DE LA TTSA</t>
  </si>
  <si>
    <t>PROCEDIMIENTO DE CONCILIACIÓN</t>
  </si>
  <si>
    <t>PUBLICACIÓN EN EL SIG - PROCEDIMIENTO DE CONCILIACIÓN</t>
  </si>
  <si>
    <t>https://drive.google.com/drive/u/0/folders/1oUoOnifZqp3W4mYrOW68kzU0GpYJ3nxT</t>
  </si>
  <si>
    <t>3.2.1.7.2</t>
  </si>
  <si>
    <t>HALLAZGO ADMINISTRATIVO POR DEFICIENCIAS EN EL PROCESO DE CONCILIACIÓN DE LAS OPERACIONES RECÍPROCAS DE LA EMPRESA.</t>
  </si>
  <si>
    <t>FALTA DE VERIFICACIÓN, SEGUIMIENTO, CONCILIACIÓN Y COMUNICACIÓN OPORTUNOS Y EFECTIVOS EN RELACIÓN CON LAS OPERACIONES RECÍPROCAS DE LA TTSA</t>
  </si>
  <si>
    <t>EMISIÓN DE COMUNICACIÓN OFICIAL DE LA TTSA, DIRIGIDA A LAS ENTIDADES CON LAS QUE LA CONTADURÍA GENERAL ESTABLEZCA REALIZAR LAS CONCILIACIONES, Y DE LAS CUALES SE IDENTIFIQUEN PARTIDAS CON DIFERENCIAS POR OPERACIONES RECIPROCAS</t>
  </si>
  <si>
    <t>ELABORACIÓN DE COMUNICACIÓNES TRIMESTRALES CON LAS ENTIDADES QUE SE PRESENTEN DIFERENCIAS</t>
  </si>
  <si>
    <t>RADICACIÓN DE LAS COMUNICACIONES MEDIANTE LOS CANALES OFICIALES</t>
  </si>
  <si>
    <t>https://drive.google.com/drive/u/0/folders/1-rp0F0Qm5cHNCs9njGSGW2S5ygoSrWrO</t>
  </si>
  <si>
    <t>3.2.1.7.3</t>
  </si>
  <si>
    <t>HALLAZGO ADMINISTRATIVO POR DEFICIENCIAS EN LA CONCILIACIÓN DE SALDOS ENTRE EL ÁREA CONTABLE Y LAS DEMÁS DEPENDENCIAS DE LA EMPRESA.</t>
  </si>
  <si>
    <t>FALENCIAS EN LA APLICACIÓN DE CONTROLES OPORTUNOS PARA EL SEGUIMIENTO DE LOS SALDOS OBTENIDOS POR LAS ÁREAS PROVEEDORAS DE INFORMACIÓN CONTABLE Y LOS ESTADOS FINANCIEROS A TRAVÉS DE LAS CONCILIACIONES ENTRE LAS DEPENDENCIAS DURANTE LA VIGENCIA 2024</t>
  </si>
  <si>
    <t>https://drive.google.com/drive/u/0/folders/1nYr8Nyhz_mddLH5Y5iHfsLpVSFIotB0g</t>
  </si>
  <si>
    <t>3.3.1.1</t>
  </si>
  <si>
    <t>HALLAZGO ADMINISTRATIVO POR EL INCUMPLIMIENTO DE ALGUNAS ACTIVIDADES DEL LINEAMIENTO PRESUPUESTAL ORDENADO EN SU MANUAL DE PRESUPUESTO. CÓDIGO: GAF-MN06 VERSIÓN 7, AGOSTO DE 2018.</t>
  </si>
  <si>
    <t>INCUMPLIMIENTO DE ALGUNAS ACTIVIDADES DEL LINEAMIENTO PRESUPUESTAL ESTABLECIDO EN EL MANUAL DE PRESUPUESTO INSTITUCIONAL</t>
  </si>
  <si>
    <t>ACTUALIZACIÓN DEL MANUAL DEL PRESUPUESTO</t>
  </si>
  <si>
    <t>CUMPLIMIENTO DEL PLAN DE ACTUALIZACIÓN DEL MANUAL DE PRESUPUESTO</t>
  </si>
  <si>
    <t>PUBLICACIÓN EN EL SIG- MANUAL DEL PRESUPUESTO</t>
  </si>
  <si>
    <t>2026-04-30</t>
  </si>
  <si>
    <t>https://drive.google.com/drive/u/0/folders/14P1qKtAiC-YzKemPT5X0iBzfxnAFb5ip</t>
  </si>
  <si>
    <t>3.3.2.2</t>
  </si>
  <si>
    <t>HALLAZGO ADMINISTRATIVO CON PRESUNTA INCIDENCIA DISCIPLINARIA, POR CUANTO LA TERMINAL DE TRANSPORTE, POSEE DOS TIPOS DE REGISTROS DE EXPEDICIÓN DE CDP Y CRP, QUE PRESENTAN INCONSISTENCIAS.</t>
  </si>
  <si>
    <t>EXISTENCIA DE DOS TIPOS DE REGISTROS DE EXPEDICIÓN DE CDP Y CRP CON INCONSISTENCIAS</t>
  </si>
  <si>
    <t>https://drive.google.com/drive/u/0/folders/1gFWUgRMGQMoMIs5t5-wrGMmiUXXbS50u</t>
  </si>
  <si>
    <t>3.3.2.3.1</t>
  </si>
  <si>
    <t>HALLAZGO ADMINISTRATIVO POR CUANTO LA TERMINAL PRESENTA SALDOS SIN PAGO EN LAS CXP VIGENCIA 2023 A PAGAR EN ENERO DE 2024 Y 2024 A PAGAR EN ENERO DE 2025, INCUMPLIENDO LO SEÑALADO EN SU PROCEDIMIENTO INTERNO.</t>
  </si>
  <si>
    <t>INCUMPLIMIENTO DEL PROCEDIMIENTO INTERNO DE PAGO DE CUENTAS POR PAGAR DENTRO DEL PLAZO SEÑALADO</t>
  </si>
  <si>
    <t>https://drive.google.com/drive/u/0/folders/1S5KdfBLYx-YHAeqUV10IyafbWn3tAV6c</t>
  </si>
  <si>
    <t>3.4.2.1.1</t>
  </si>
  <si>
    <t>HALLAZGO ADMINISTRATIVO CON INCIDENCIA FISCAL EN CUANTÍA DE $1.482.567.858 Y PRESUNTA INCIDENCIA DISCIPLINARIA TODA VEZ QUE, EN DESARROLLO DEL CONTRATO 99 DE 2019 SUSCRITO ENTRE LA TERMINAL DE TRANSPORTE S.A. Y PROTECH INGENIERÍA S.A.S, SE PRODUJO UNA GESTIÓN FISCAL ANTIECONÓMICA, INEFICAZ, INEFICIENTE, PORQUE EL SISTEMA ADQUIRIDO NO CUMPLE CON EL OBJETO DEL CONTRATO, NO ES FUNCIONAL.</t>
  </si>
  <si>
    <t>PLANEACIÓN PRECONTRACTUAL INSUFICIENTE  GESTIÓN CONTRACTUAL DEFICIENTE AL MOMENTO DE LA ACEPTACIÓN   SUPERVISIÓN DÉBIL  GOBERNANZA TECNOLÓGICA INSUFICIENTE</t>
  </si>
  <si>
    <t>PRESENTACIÓN POR PARTE DE LOS SUPERVISORES DEL CONTRATO, DE INFORME QUE DETALLE Y EXPLIQUE EL FUNCIONAMIENTO DE CADA UNO DE LOS COMPONENTES DE LA SOLUCIÓN, Y EVIDENCIA DE LAS PRUEBAS EFECTUADAS PARA EL RECIBO DE LA MISMA. ADEMÁS, DEL FUNCIONAMIENTO ACTUAL DE LA SOLUCIÓN TECNOLÓGICA Y EL ESTADO DE LAS RECLAMACIONES GESTIONADAS ANTE LA ASEGURADORA</t>
  </si>
  <si>
    <t>INFORME DE FUNCIONALIDAD DEL SISTEMA</t>
  </si>
  <si>
    <t>PRESENTACIÓN DE INFORME</t>
  </si>
  <si>
    <t>Vencida</t>
  </si>
  <si>
    <t>https://drive.google.com/drive/u/0/folders/1FtPipptfNQSnRuDzBLHttv5QsFbt4_i4</t>
  </si>
  <si>
    <t>ACTUALIZACIÓN DEL PROCEDIMIENTO MANTENIMIENTO PREVENTIVO CORRECTIVO FTI-PR08, Y DEL PLAN DE MANTENIMENTO CORRECTIVO Y PREVENTIVO FTI-PL01 DE LA TTSA, QUE REFERENCIE LA INFRAESTRUCTURA DEL CONTROL DE TIEMPOS DE PERMANECIA</t>
  </si>
  <si>
    <t>PROCEDIMIENTO MANTENIMIENTO PREVENTIVO CORRECTIVO Y PLAN DE MANTENIMENTO CORRECTIVO Y PREVENTIVO</t>
  </si>
  <si>
    <t>PUBLICACIÓN EN EL SIG - PROCEDIMIENTO MANTENIMIENTO PREVENTIVO CORRECTIVO FTI-PR08, Y DEL PLAN DE MANTENIMENTO CORRECTIVO Y PREVENTIVO FTI-PL01 DE LA TTSA</t>
  </si>
  <si>
    <t>3.4.2.2.1</t>
  </si>
  <si>
    <t>HALLAZGO ADMINISTRATIVO CON INCIDENCIA FISCAL EN CUANTÍA DE SEISCIENTOS CINCO MILLONES QUINIENTOS SETENTA MIL CIENTO NOVENTA Y DOS PESOS M/CTE $605.570.192, Y PRESUNTA INCIDENCIA DISCIPLINARIA, POR EL PAGO INJUSTIFICADO DEL AIU Y PARTE DEL IVA EN EL MARCO DEL CONTRATO TT-034-2024.</t>
  </si>
  <si>
    <t>PAGO INJUSTIFICADO DEL AIU Y PARTE DEL IVA</t>
  </si>
  <si>
    <t>ANEXO AL ESTUDIO DE MERCADO DE LOS PROCESOS DE SELECCIÓN PARA LA CONTRATACIÓN DE SERVICIOS DE VIGILANCIA, QUE DETALLE LOS COSTOS E IMPUESTOS GENERADOS POR ÉSTE SERVICIO</t>
  </si>
  <si>
    <t>ANEXO DETALLADO DEL ESTUDIO DE MERCADO DE LOS COSTOS CONTRACTUALES DE LOS SERVICIOS DE VIGILANCIA</t>
  </si>
  <si>
    <t>ANEXO DETALLADO DEL ESTUDIO DE MERCADO DE LOS CONTRATOS DE VIGILANCIA</t>
  </si>
  <si>
    <t>https://drive.google.com/drive/u/0/folders/1QycXzX7KEyRWZIzCiZduAkCCQ4bGJsSg</t>
  </si>
  <si>
    <t>CONCEPTOS TÉCNICOS DE COLOMBIA COMPRA EFICIENTE Y DE LOS ENTES REGULADORES Y/O DE CONTROL SOBRE EL TRATAMIENTO DE AIU</t>
  </si>
  <si>
    <t>CONCEPTO C-065-2025 DE COLOMBIA COMPRA EFICIENTE CONCEPTO 083-2022  CONTRALORÍA GENERAL</t>
  </si>
  <si>
    <t>IDENTIFICACIÓN DE LOS CONCEPTOS DE COLOMBIA COMPRA EFICIENTE, LOS ENTES REGULADORES Y/O DE CONTROL RELACIONADOS CON EL AIU EN CONTRATOS DE VIGILANCIA</t>
  </si>
  <si>
    <t>https://drive.google.com/drive/u/0/folders/1tuZORUcxjX6PVP3fksW0wknXGprxA46m</t>
  </si>
  <si>
    <t>3.4.2.3.1</t>
  </si>
  <si>
    <t>HALLAZGO ADMINISTRATIVO CON PRESUNTA INCIDENCIA DISCIPLINARIA POR NO APLICAR EL PRINCIPIO DE PLANEACIÓN YA QUE SE EVIDENCIA LA ACTUALIZACIÓN DE PRECIOS SEGÚN LA OFERTA COMERCIAL, PARA EL CONTRATO TT 172 DE 2024 SIN QUE EL MISMO TUVIESE FORMULA DE REAJUSTE.</t>
  </si>
  <si>
    <t>NO APLICACIÓN DEL PRINCIPIO DE PLANEACIÓN AL ACTUALIZAR PRECIOS SIN FÓRMULA DE REAJUSTE</t>
  </si>
  <si>
    <t>INCORPORACIÓN CONTRACTUAL DE CLÁUSULA DE ACTUALIZACIÓN DE PRECIOS UNITARIOS POR CAMBIO DE VIGENCIA, EN LOS CONTRATOS QUE APLIQUE</t>
  </si>
  <si>
    <t>REDACCIÓN DE CLÁUSULA</t>
  </si>
  <si>
    <t>FORMALIZACIÓN DE CONTRATOS</t>
  </si>
  <si>
    <t>https://drive.google.com/drive/u/0/folders/1f-eEYBbHrafzNrQi8Fnv29rVPz4-XqL_</t>
  </si>
  <si>
    <t>3.4.2.3.2</t>
  </si>
  <si>
    <t>HALLAZGO ADMINISTRATIVO, POR EL INCUMPLIMIENTO EN LA OBLIGACIÓN DE LA ENTIDAD DE PUBLICAR INFORMACIÓN CONTRACTUAL EN LA PLATAFORMA SECOP II, PARA LOS CONTRATOS TT 172 Y TT 112 DE 2024.</t>
  </si>
  <si>
    <t>INCUMPLIMIENTO EN LA PUBLICACIÓN DE INFORMACIÓN CONTRACTUAL EN LA PLATAFORMA SECOP II</t>
  </si>
  <si>
    <t>MEMORANDO DE LINEAMIENTOS EMITIDO POR LA SUB GERENCIA JURÍDICA SOBRE EL PROCEDIMIENTO DE PUBLICACIÓN EN LA PLATAFORMA SECOP, LA DEFINICIÓN DE RESPONSABLES, PLAZOS, PUBLICACIONES OBLIGATORIAS Y OPCIONALES</t>
  </si>
  <si>
    <t>LINEAMIENTOS DE PUBLICACIÓN</t>
  </si>
  <si>
    <t>SOCIALIZACIÓN Y FORMALIZACIÓN DE LOS LINEAMIENTOS A TRAVÉS DEL GESTOR DOCUMENTAL</t>
  </si>
  <si>
    <t>https://drive.google.com/drive/u/0/folders/1dsZmy5um6-qhZPvusn_XKe0f6iNeojJy</t>
  </si>
  <si>
    <t>3.4.2.3.3</t>
  </si>
  <si>
    <t>HALLAZGO ADMINISTRATIVO POR NO APLICAR EL PRINCIPIO DE PLANEACIÓN YA QUE SE EVIDENCIA EL PAGO DE LOS ÍTEMS NO PREVISTOS ANTES DE SER APROBADOS POR EL SUPERVISOR DEL CONTRATO TT 112 DE 2024, EVIDENCIANDO UN INCUMPLIMIENTO EN LAS OBLIGACIONES DE LA ENTIDAD.</t>
  </si>
  <si>
    <t>PAGO DE ÍTEMS NO PREVISTOS SIN APROBACIÓN PREVIA DEL SUPERVISOR</t>
  </si>
  <si>
    <t>INFORME DE SUPERVISIÓN Y/O INTERVENTORÍA, QUE CONTENGA LA TRAZABILIDAD DE LA EJECUCIÓN Y APROBACIÓN DE LOS ITEMS NO PREVISTOS</t>
  </si>
  <si>
    <t>INFORME DE SUPERVISIÓN</t>
  </si>
  <si>
    <t>FORMALIZACIÓN DE LOS INFORMES DE SUPERVISIÓN</t>
  </si>
  <si>
    <t>https://drive.google.com/drive/u/0/folders/1kRM93V6KZcKh3MbJu1wBUaeaP3zmW_Zx</t>
  </si>
  <si>
    <t>CAPACITACIÓN POR PARTE DE LA SUBGERENCIA JURÍDICA, SOBRE LA SUPERVISIÓN DE CONTRATOS, QUE INCLUYA ÍTEMS NO PREVISTOS Y RECONOCIMIENTO PARA EL PAGO</t>
  </si>
  <si>
    <t>CAPACITACIÓN JURÍDICA - ITEMS NO PREVISTOS</t>
  </si>
  <si>
    <t>REGISTRO DE CAPACITACIÓN</t>
  </si>
  <si>
    <t>https://drive.google.com/drive/u/0/folders/1ur2Auhsr5t-nA4bZISLNcN9eQ8lGYGY-</t>
  </si>
  <si>
    <t>3.4.2.4.1</t>
  </si>
  <si>
    <t>HALLAZGO ADMINISTRATIVO CON PRESUNTA INCIDENCIA DISCIPLINARIA Y PENAL DEBIDO A QUE DE LOS RECURSOS INICIALMENTE ASIGNADOS AL CONTRATO 135 DE 2023 FUERON DISMINUIDOS EN LA SUMA $9.000.00 MILLONES, SIN LA EXPEDICIÓN DEL CORRESPONDIENTE ACTO ADMINISTRATIVO QUE PERMITIERA LA LIBERACIÓN DE ESTOS RECURSOS, GENERANDO LA DESFINANCIACIÓN DEL MISMO.</t>
  </si>
  <si>
    <t>DISMINUCIÓN DE RECURSOS SIN ACTO ADMINISTRATIVO DE LIBERACIÓN</t>
  </si>
  <si>
    <t>ACTUALIZACIÓN DEL MANUAL DE PRESUPUESTO PARA LA VALIDACIÓN DE REQUISITOS PARA LA MODIFICACIÓN DE CDP</t>
  </si>
  <si>
    <t>MANUAL DE PRESUPUESTO</t>
  </si>
  <si>
    <t>PUBLICACIÓN EN EL SIG DEL MANUAL DE PRESUPUESTO</t>
  </si>
  <si>
    <t>https://drive.google.com/drive/u/0/folders/16uXFDMuYgvGjkp-JJgwIwXgpK9vORInY</t>
  </si>
  <si>
    <t>INFORME DE LA DIRECCIÓN FINANCIERA PARA INDICAR EL MANEJO DE LOS CDP</t>
  </si>
  <si>
    <t>INFORME DE MANEJO DE LOS CDP</t>
  </si>
  <si>
    <t>INFORME DE MANEJO DE LOS CDP ENTREGADO A LA SUBGERENCIA CORPORATIVA</t>
  </si>
  <si>
    <t>https://drive.google.com/drive/u/0/folders/1qaiBaFOogRrmDOJAIqv0IVPFCZcfZjnf</t>
  </si>
  <si>
    <t>LIQUIDACIÓN DEL CONTRATO</t>
  </si>
  <si>
    <t>DOCUMENTO LIQUIDACIÓN DE CONTRATO</t>
  </si>
  <si>
    <t>https://drive.google.com/drive/u/0/folders/1mHjndAYe9eGwF7LiRkeRwpseJoGEOg57</t>
  </si>
  <si>
    <t>4.2.1</t>
  </si>
  <si>
    <t>HALLAZGO ADMINISTRATIVO CON PRESUNTA INCIDENCIA DISCIPLINARIA POR FALTA DE DILIGENCIA Y GESTIÓN OPORTUNA DE LOS REGISTROS “NO PAGOS” EN EL ESTACIONAMIENTO EN VÍA (ZONAS DE PARQUEO PAGO – ZPP) POR PARTE DE LA TERMINAL DE TRANSPORTE S.A. (TTSA).</t>
  </si>
  <si>
    <t>FALTA DE DILIGENCIA Y GESTIÓN OPORTUNA EN EL REGISTRO Y GESTIÓN DE ‘NO PAGOS’ EN EL PROYECTO ZONAS DE PARQUEO PAGO (ZPP)</t>
  </si>
  <si>
    <t>ACTUALIZACIÓN DEL PROCEDIMIENTO GPE-PRO2 GESTIÓN Y RECUPERACIÓN DE LOS REGISTROS SUSCEPTIBLES DE GESTIÓN DE ZPP QUE INCLUYA EL CONTROL AUTOMÁTICO DE LAS ALERTAS QUE GENERA EL APLICATIVO RESPECTO A LOS USOS DE LOS USUARIOS CUANDO PRESETAN REGISTROS "NO PAGOS" PARA QUE EL PERSONAL EN VÍA REALICE EL COBRO Ó EL USUARIO REALICE EL PAGO DEL MISMO PARA PODER HACER USO DE LAS ZONAS DE PARQUEO PAGO</t>
  </si>
  <si>
    <t>PROCEDIMIENTO GPE-PRO2 GESTIÓN Y RECUPERACIÓN DE LOS REGISTROS SUSCEPTIBLES DE GESTIÓN DE ZPP</t>
  </si>
  <si>
    <t>PUBLICACIÓN EN EL SIG -PROCEDIMIENTO GPE-PRO2 GESTIÓN Y RECUPERACIÓN DE LOS REGISTROS SUSCEPTIBLES DE GESTIÓN DE ZPP</t>
  </si>
  <si>
    <t>https://drive.google.com/drive/u/0/folders/1ob0EHj5xccHYorw-3njw11UNR-cvSjI2</t>
  </si>
  <si>
    <t>2024-10-11</t>
  </si>
  <si>
    <t>3.2.1.1</t>
  </si>
  <si>
    <t>AUDITORÍA FINANCIERA Y DE GESTIÓN</t>
  </si>
  <si>
    <t>HALLAZGO ADMINISTRATIVA CON PRESUNTA INCIDENCIA DISCIPLINARIA POR FALTA DE GESTIÓN OPORTUNA EN EL PAGO DEL IMPUESTO PREDIAL DEL INMUEBLE IDENTIFICADO CON CHIP AAA0077HWWW AÑO GRAVABLE 2013, ANTE LA SECRETARÍA DISTRITAL DE HACIENDA</t>
  </si>
  <si>
    <t>LIQUIDACIÓN POR CAMBIO DE DESTINO HACENDARIO POR TRATARSE DE BIENES DOTACIONALES, FALTO SEGUIMIENTO PARA DAR CONTESTACIÓN A LOS REQUERIMIENTOS</t>
  </si>
  <si>
    <t>SE DEFINIRÁ UN CALENDARIO PARA CUMPLIMIENTO DE OBLIGACIONES  TRIBUTARIAS, CON LAS  ÁREAS RESPONSABLES DE GENERACIÓN DE LA INFORMACIÓN BASE,  CON FECHAS ANTICIPADAS A LAS FECHAS DE VENCIMIENTO PARA UNA GESTIÓN OPORTUNA DE LAS POSIBLES CONTIGENCIAS QUE SE PRESENTEN</t>
  </si>
  <si>
    <t>CALENDARIO CUMPLIMIENTO DE OBLIGACIONES TRIBUTARIAS</t>
  </si>
  <si>
    <t>PRESENTACIÓN DEL SEGUIMIENTO Y CUMPLIMIENTO MENSUAL DEL CALENDARIO TRIBUTARIO A LA GERENCIA GENERAL</t>
  </si>
  <si>
    <t>2024-11-01</t>
  </si>
  <si>
    <t>Se verificó la elaboración del calendario para el cumplimiento de obligaciones tributarias, el cual incluye las fechas anticipadas y las áreas responsables de la generación de la información base. Dicho calendario fue socializado oportunamente mediante correo electrónico a los funcionarios de la Dirección de Gestión Financiera, en cumplimiento de la acción establecida</t>
  </si>
  <si>
    <t>https://drive.google.com/drive/folders/1katVY8yeDBX9LsIlfQPK9s6D467AKdxx</t>
  </si>
  <si>
    <t>SE REVISARÁ Y ACTUALIZARÁN LOS CORREOS REGISTRADOS EN LA DIAN (RUT) Y EN LA SECRETARÍA DE HACIENDA DEL DISTRITO SHD (RIT), ASIGNANDO LOS RESPONSABLES DE CADA UNO. LA ASIGNACIÓN Y MANEJO DE LOS CORREOS SERÁ VALIDADA POR EL OFICIAL DE SEGURIDAD DE LA INFORMACIÓN</t>
  </si>
  <si>
    <t>CORREO INSTITUCIONAL DEFINIDO PARA LAS OBLIGACIONES TRIBUTARIAS</t>
  </si>
  <si>
    <t>VERIFICACIÓN CORREO INSTITUCIONAL REGISTRADO EN EL RUT Y EN EL RIT</t>
  </si>
  <si>
    <t>Se verificó que los correos electrónicos registrados ante la DIAN (RUT) y la Secretaría de Hacienda Distrital (RIT) fueron actualizados correctamente.</t>
  </si>
  <si>
    <t>https://drive.google.com/drive/folders/1Th6WHE8JzXPf1Y75VwTOJFlO_-tLpyu5</t>
  </si>
  <si>
    <t>LAS COMUNICACIONES RECIBIDAS A TRAVÉS DEL CORREO INSTITUCIONAL,  SERÁN REASIGNADAS CONFORME A UN INSTRUCTIVO CON EL OBJETIVO DE REMITIR POR MEDIO DE ORFEO A LOS RESPONSABLES CORRESPONDIENTES PARA SU GESTIÓN Y RESPUESTA</t>
  </si>
  <si>
    <t>INSTRUCTIVO DE GESTIÓN DE COMUNICACIONES CON ENTES DE CONTROL</t>
  </si>
  <si>
    <t>INSTRUCTIVO DE COMUNICACIONES DE ENTES DE CONTROL PUBLICADO EN EL SISTEMA INTEGRADO DE GESTIÓN</t>
  </si>
  <si>
    <t>Se establecen los lineamientos para facilitar la interacción con los entes de control externos y la terminal de Transporte S.A, mediante el Procedimiento "Relación con Entes Externos" Código: EVG-PR03</t>
  </si>
  <si>
    <t>https://drive.google.com/drive/folders/1ysifagca3rJF1aTSms9Rl1eUuwU182KW</t>
  </si>
  <si>
    <t>3.2.1.2</t>
  </si>
  <si>
    <t>HALLAZGO ADMINISTRATIVA CON PRESUNTA INCIDENCIA DISCIPLINARIA Y FISCAL EN CUANTÍA DE $2.124.470, POR PAGO DE SANCIONES E INTERESES DE MORA ANTE LA SECRETARÍA DISTRITAL DE HACIENDA DURANTE LA VIGENCIA 2023</t>
  </si>
  <si>
    <t>CORRECIÓN DEL IMPUESTO DE INDUSTRIA Y COMERCIO POR LA INCLUSIÓN DE INGRESOS NO REGISTRADOS CON OPORTUNIDAD</t>
  </si>
  <si>
    <t>SE ESTABLECERAN INTERFACES CON LOS DIFERENTES PROGRAMAS DE MANEJO DE INGRESOS, QUE REDUZCAN PROCESOS MANUALES QUE MINIMICEN LA INTERVENCIÓN HUMANA EN EL REGISTRO DE LA INFORMACIÓN</t>
  </si>
  <si>
    <t>INTERFACES CON LOS DIFERENTES PROGRAMAS DE MANEJO DE INGRESOS</t>
  </si>
  <si>
    <t>INTERFACES CON LOS DIFERENTES PROGRAMAS DE MANEJO DE INGRESOS, QUE REDUZCAN LOS PROCEDIMIENTOS MANUALES</t>
  </si>
  <si>
    <t>2025-06-30</t>
  </si>
  <si>
    <t>Se evidencia el desarrollo de actividades orientadas al establecimiento de interfaces con los programas de manejo de ingresos, reflejadas en los documentos de planeación, reportes de interoperabilidad y seguimientos de sincronización. Estas acciones demuestran avances en la reducción de procesos manuales y en la minimización de la intervención humana en el registro de la información, cumpliendo con lo establecido en el plan de acción</t>
  </si>
  <si>
    <t>https://drive.google.com/drive/folders/1rVN9dCAaOu7HPMZfk_8Ipi4TNEITP1m_</t>
  </si>
  <si>
    <t>PAGO DE INTERESES POR COBRO COACTIVO SECRETARÍA DE AMBIENTE POR TALA DE ARBOLES</t>
  </si>
  <si>
    <t>SE DEFINIRÁ UN PROCEDIMIENTO QUE ESTABLEZCA LOS LINEAMIENTOS PARA EL PAGO POR COMPENSACIÓN DE TALA DE ÁRBOLES EN LOS TIEMPOS ESTABLECIDOS POR EL ENTE DE CONTROL</t>
  </si>
  <si>
    <t>PROCEDIMIENTO DE GESTIÓN AMBIENTAL PARA EL MANTENIMIENTO Y TALA DE ÁRBOLES</t>
  </si>
  <si>
    <t>PROCEDIMIENTO DE GESTIÓN AMBIENTAL PARA EL MANTENIMIENTO Y TALA DE ÁRBOLES, PUBLICADO EN EL SISTEMA INTEGRADO DE GESTIÓN</t>
  </si>
  <si>
    <t>SUBGERENCIA DE PLANEACIÓN Y PROYECTOS</t>
  </si>
  <si>
    <t>Se evidencia el cumplimiento de la acción, mediante la implementación del Procedimiento para el Pago por Compensación de Tala de Árboles con código GAM PR-04, el cual se encuentra publicado y disponible en el Sistema Integrado de Gestión (SIG)</t>
  </si>
  <si>
    <t>PAGO DE COMPARENDOS DE VEHÍCULOS E INTERESES DE MORA</t>
  </si>
  <si>
    <t>SE REALIZARÁ UN PROCESO DE RE-INDUCCIÓN DE LAS NORMAS DE TRÁNSITO Y LA RESPONSABILIDAD FRENTE A LA TERMINAL DE TRANSPORTE</t>
  </si>
  <si>
    <t>PROGRAMA DE CAPACITACIÓN ANUAL Y ACTAS DE ASISTENCIA</t>
  </si>
  <si>
    <t>PROGRAMA DE CAPACITACIÓN DE NORMAS DE TRÁNSITO Y DE RESPONSABILIDAD</t>
  </si>
  <si>
    <t>2025-09-30</t>
  </si>
  <si>
    <t>Se adjunta pdf con el enlace que contiene las carpetas con la presentación y los listados de asistencia de la capacitación.</t>
  </si>
  <si>
    <t>https://drive.google.com/drive/folders/1Z4BgPfMMf9TWkJtchS5ng1xoCHXSNHK8</t>
  </si>
  <si>
    <t>3.2.1.3</t>
  </si>
  <si>
    <t>HALLAZGO ADMINISTRATIVA CON PRESUNTA INCIDENCIA DISCIPLINARIA Y FISCAL EN CUANTÍA DE $3.902.504, POR PAGO DE SANCIONES E INTERESES DE MORA ANTE LA DIRECCIÓN DE IMPUESTOS Y ADUANAS NACIONALES – DIAN</t>
  </si>
  <si>
    <t>PAGO EXTEMPORANEO A LA DIAN DE LAS DECLARACIONES DE IVA Y RETENCIÓN POR RECHAZO EN LA PLATAFORMA BANCARIA</t>
  </si>
  <si>
    <t>IMPLEMENTAR UN CONTROLDE CONFIRMACIÓN DE PAGOS REALIZADOS A TRAVÉS DE PLATAFORMAS BANCARIAS</t>
  </si>
  <si>
    <t>CONTROL CONFIRMACIÓN DE PAGOS</t>
  </si>
  <si>
    <t>CONTROL DE CONFIRMACIÓN DE PAGOS, REALIZADOS A TRAVÉS DE PLATAFORMAS BANCARIAS</t>
  </si>
  <si>
    <t>Respecto a la acción "IMPLEMENTAR UN CONTROL DE CONFIRMACIÓN DE PAGOS REALIZADOS A TRAVÉS DE PLATAFORMAS BANCARIAS", se identificó que el Contador actualmente realiza la revisión y descarga de la constancia de declaración y/o referencia de recaudo del pago del impuesto de retenciones de Industria y Comercio, la cual es enviada posteriormente a la Tesorera para su archivo. No obstante, dicho procedimiento no se encuentra documentado formalmente</t>
  </si>
  <si>
    <t>https://drive.google.com/drive/folders/1dWHLZvVx3dWrHlfG1qALbAqY-VP21Tsm</t>
  </si>
  <si>
    <t>INGRESOS NO REGISTRADOS QUE GENERARON LA CORRECIÓN DE LA DECLARACIÓN YA PRESENTADA</t>
  </si>
  <si>
    <t>SE ESTABLECERÁN INTERFACES CON LOS DIFERENTES PROGRAMAS DE MANEJO DE INGRESOS, QUE REDUZCAN PROCESOS MANUALES QUE MINIMICEN LA INTERVENCIÓN HUMANA EN EL REGISTRO DE LA INFORMACIÓN</t>
  </si>
  <si>
    <t>INTERFACES CON LOS DIFERENTES PROGRAMAS DE MANEJO DE INGRESOS, PARA REDUCIR LOS PROCEDIMIENTOS MANUALES</t>
  </si>
  <si>
    <t>3.4.1.2</t>
  </si>
  <si>
    <t>HALLAZGO ADMINISTRATIVA POR BAJO AVANCE FÍSICO E INCUMPLIMIENTO DE LA META 16. “DEFINIR E IMPLEMENTAR EL 100% EL MODELO DE AUTOMATIZACIÓN DE LA TASA DE USO DE LA TERMINAL -TUT, A 31 DE DICIEMBRE DE 2023” DEL OBJETIVO ESTRATÉGICO NO. 3 MEJORAR EL SERVICIO A LOS USUARIOS.</t>
  </si>
  <si>
    <t>DEBILIDADES PRESENTADAS EN LA VIABILIDAD ECONOMICA DEL PROYECTO</t>
  </si>
  <si>
    <t>SE REDEFINIRÁ EL MODELO MÁS ADECUADO PRESENTANDO E IDENTIFICANDO A LOS DIFERENTES ALIADOS ESTRATEGICOS, TENIENDO EN CUENTA LA VIABILIDAD TÉCNICA, JURÍDICA, FINANCIERA Y FUNCIONAL</t>
  </si>
  <si>
    <t>REVISIÓN DEL MODELO DE AUTOMATIZACIÓN</t>
  </si>
  <si>
    <t>REVISIÓN DE LA VIABILIDAD TÉCNICA, JURÍDICA Y FINANCIERA DEL MODELO DE AUTOMATIZACIÓN DE LA TASA DE USO</t>
  </si>
  <si>
    <t>Se evidencia la redefinición del modelo más adecuado para la automatización del recaudo de la Tasa de Uso, abordando de forma integral la viabilidad técnica, jurídica, financiera y funcional del proyecto. Asimismo, se identificaron y evaluaron diferentes aliados estratégicos, culminando con la selección del proveedor más idóneo, en un proceso que incluyó análisis comparativos, presentaciones ante el comité directivo y decisiones articuladas con las distintas unidades de negocio. Todo este proceso se desarrolló en el marco del contrato TT-15-2025, cuyo objeto es “Prestar servicios profesionales para apoyar la realización de la estructuración e implementación del proyecto para la automatización de la Tasa de Uso y sus derivados en la Terminal de Transporte S.A.” El documento permite verificar la trazabilidad, el soporte técnico y las decisiones adoptadas, cumpliendo con el objetivo propuesto en el plan.</t>
  </si>
  <si>
    <t>https://drive.google.com/drive/folders/1QlolVh59Eg_xQ0ceH2YDovZcWYczDgel</t>
  </si>
  <si>
    <t>SE REVISARÁ Y SE REDIFINIRÁ LA META ESTRATÉGICA 16</t>
  </si>
  <si>
    <t>REDEFINICIÓN DE LA META ESTRATÉGICA 16</t>
  </si>
  <si>
    <t>REVISIÓN Y AJUSTE DE LA META ESTATÉGICA 16 DE ACUERDO AL PROCEDIMIENTO DE PLANEACIÓN ESTRATÉGICA</t>
  </si>
  <si>
    <t>Se evidencia cumplimiento, en la medida en que dentro del Plan Estratégico 2024, Eje Estratégico 3 – Fortalecer el servicio a los usuarios, la entidad redefinió la meta 16, estableciendo como nuevo compromiso obtener el 30% del recaudo digital en la tasa de uso a partir de la implementación de la automatización del recaudo, lo cual atiende el plan de acción formulado frente al hallazgo administrativo</t>
  </si>
  <si>
    <t>3.4.1.4</t>
  </si>
  <si>
    <t>HALLAZGO ADMINISTRATIVA POR BAJO AVANCE FÍSICO E INCUMPLIMIENTO DE LA META “REALIZAR 12 MEDICIONES DE PARÁMETROS IN SITU EN LA PTAR DEL MÓDULO DE EXCRETAS”; DEL PLAN INSTITUCIONAL DE GESTIÓN AMBIENTAL – PIGA EN LA VIGENCIA 2023; ASÍ COMO INCONSISTENCIA EN EL RESPECTIVO INDICADOR DE RESULTADO</t>
  </si>
  <si>
    <t>SE REGISTRARON DEFICIENCIAS EN EL FUNCIONAMIENTO Y EN EL CUMPLIMIENTO DE LAS METAS DE MONITOREO ESTABLECIDAS</t>
  </si>
  <si>
    <t>LAS MEDICIONES SE DOCUMENTARÁN EN UN FORMATO ESTANDARIZADO, Y SE ANALIZARÁN PARA EVALUAR EL DESEMPEÑO DE LA PTAR</t>
  </si>
  <si>
    <t>FORMATO PARA DOCUMENTAR LAS MEDICIONES</t>
  </si>
  <si>
    <t>FORMATO PARA DOCUMENTAR LAS MEDICIONES PARA EVALUAR EL DESEMPEÑO DE LA PTAR</t>
  </si>
  <si>
    <t>Se evidencia la implementación del plan de acción mediante la actualización del formato GAM-FT11 a la Versión 2 (septiembre 2025), incorporando los campos y ajustes definidos.</t>
  </si>
  <si>
    <t>https://drive.google.com/drive/folders/1mJhbsa4U9YnVzQjFjBkGwoxynWPWlvHB</t>
  </si>
  <si>
    <t>SOCIALIZAR CON EL COMITE DE SOSTENIBILIDAD EL RESULTADO DEL PROCESO DE MEDICIONES PARA IDENTIFICAR OPORTUNIDADES DE MEJORA</t>
  </si>
  <si>
    <t>SOCIALIZACIÓN DEL RESULTADO DEL PROCESOS DE MEDICIONESCON EL COMITÉ DE SOSTENIBILIDAD</t>
  </si>
  <si>
    <t>SOCIALIZACIÓN DEL RESULTADO DEL PROCESOS DE MEDICIONESCON EL COMITÉ DE SOSTENIBILIDAD, CON EL FIN DE IDENTIFICAR OPORTUNIDADES DE MEJORA</t>
  </si>
  <si>
    <t>Se verifica el cumplimiento del compromiso. El proceso adjuntó el acta del Comité de Sostenibilidad como evidencia solicitada y la cargó en la carpeta correspondiente del plan de acción.</t>
  </si>
  <si>
    <t>https://drive.google.com/drive/folders/1HXqkh8y75f_MaWyyHHVJbViig4p3NJYP</t>
  </si>
  <si>
    <t>NO SE REALIZARON MANTENIMIENTOS PREVENTIVOS Y CORRECTIVOS ADECUADOS DE MANERA OPORTUNA, LO QUE LLEVÓ A UN DETERIORO EN EL RENDIMIENTO DE LOS EQUIPOS</t>
  </si>
  <si>
    <t>DEFINIR E IMPLEMENTAR EL PLAN DE MANTENIMIENTO DE LA PTAR</t>
  </si>
  <si>
    <t>PLAN DE MANTENIMIENTO DE LA PTAR</t>
  </si>
  <si>
    <t>ELABORACIÓN DEL PLAN DE MANTENIMIENTO DE LA PTAR</t>
  </si>
  <si>
    <t>https://drive.google.com/drive/folders/1MhMjTVMvc20tXzGWuZvwaFVVNBrvA5oP</t>
  </si>
  <si>
    <t>HALLAZGO ADMINISTRATIVA CON PRESUNTA INCIDENCIA DISCIPLINARIA Y FISCAL POR VALOR DE $48.799.985 POR EL PAGO DE INTERESES, CON OCASIÓN DE LOS CONTRATOS INTERADMINISTRATIVOS NOS. 1724/2021 Y 1684/2022, SUSCRITOS ENTRE LA TERMINAL DE TRANSPORTE S.A. Y EL INSTITUTO DE DESARROLLO URBANO – IDU.</t>
  </si>
  <si>
    <t>FALTA DE SEGUIMIENTO Y CUMPLIMIENTO OPORTUNO DE LOS TÉRMINOS ESTABLECIDOS EN LAS CLÁUSULAS CONTRACTUALES, Y DE LAS OBLIGACIONES A CARGO DE LA TTSA</t>
  </si>
  <si>
    <t>FORTALECER EL PROCESO DE ELABORACIÓN DE INFORMES MENSUALES CONTRACTUALES DE PARQUEADEROS</t>
  </si>
  <si>
    <t>ACTUALIZACIÓN DE PROCEDIMIENTOS</t>
  </si>
  <si>
    <t>ACTUALIZACIÓN DE PROCEDIMIENTOS DE ELABORACIÓN DE LOS INFORMES FINANCIEROS DE ACUERDO CON LO ESTABLECIDO CONTRACTUALMENTE</t>
  </si>
  <si>
    <t xml:space="preserve">Se cumplió con la creación del perfil "Profesional Analista de Datos", con el fin de prestar servicios profesionales en el proyecto Estacionamientos Fuera de Vía, mediante la consolidación, análisis y monitoreo de datos operativos, la formulación de propuestas de mejora continua, el seguimiento a indicadores de gestión y el soporte técnico y estratégico a la gestión integral del proyecto Parqueaderos. </t>
  </si>
  <si>
    <t>https://drive.google.com/drive/u/0/folders/17rsEOYAexcWGdjw8udD_WAG03WO_bCHu</t>
  </si>
  <si>
    <t>SOLICITAR A LA ENTIDAD CONTRATANTE LA DEFINICION DE UNA ESTIPULACIÓN CONTRACTUAL QUE PERMITA EFECTUAR LOS PAGOS A CARGO DE LA TERMINAL, SIN ESTAR SUPEDITADO A LA REVISIÓN DE LOS INFORMES POR PARTE DEL IDU</t>
  </si>
  <si>
    <t>SOLICITUD DE ACUERDO</t>
  </si>
  <si>
    <t>SOLICITUD DE ACUERDO AL IDU, DE MANERA QUE LA TERMINAL ACCEDA A LA POSIBILIDAD DE REALIZAR PAGOS SIN ESTAR SUPEDITADO A LA REVISIÓN DE LOS INFORMES POR PARTE DEL IDU</t>
  </si>
  <si>
    <t>Se modificaron los contratos IDU 1684 de 2022 e IDU 1724 de 2021, en la cual se establece que la Terminal de Transporte podrá efectuar los pagos correspondientes sin requerir aprobación previa por parte del Instituto de Desarrollo Urbano (IDU).</t>
  </si>
  <si>
    <t>HALLAZGO ADMINISTRATIVA CON PRESUNTA INCIDENCIA DISCIPLINARIA, PORQUE LA TTSA NO REALIZÓ EL DESCUENTO POR ANS DEL CONTRATO DE PRESTACIÓN DE SERVICIOS TT-82-2023, POR LA AUSENCIA DE PERSONAL EN LOS MESES DE ABRIL Y MAYO DE 2024.</t>
  </si>
  <si>
    <t>INOPORTUNIDAD EN LA ACTIVIACIÓN DE LOS ANS</t>
  </si>
  <si>
    <t>INCLUIR EN EL INFORME DE SUPERVISIÓN LAS POSIBLES SITUACIONES IDENTIFICADAS QUE SE ENCUENTRAN EN SEGUIMIENTO PARA ACTIVACIÓN OPORTUNA DE LOS ANS</t>
  </si>
  <si>
    <t>DESCRIBIR EN EL INFORME DE SUPERVISIÓN LAS POSIBLES SITUACIONES DE INCUMPLIMIENTO IDENTIFICADAS EN LA EJECUCIÓN DEL CONTRATO</t>
  </si>
  <si>
    <t>Se anexa el oficio radicado No. 2240510067811, mediante el cual se informa a la Unión Temporal los descuentos aplicados por concepto de Acuerdos de Nivel de Servicio (ANS). Adicionalmente, se incluye el soporte correspondiente donde se evidencia el valor descontado, dando cumplimiento a lo establecido en el contrato.</t>
  </si>
  <si>
    <t>https://drive.google.com/drive/folders/1FgxL_s17cT7TuHCV2932OHss3DAc8TNJ</t>
  </si>
  <si>
    <t>HALLAZGO ADMINISTRATIVA CON PRESUNTA INCIDENCIA DISCIPLINARIA Y FISCAL EN CUANTÍA DE $9.603.776, POR PÉRDIDA Y HURTO DE CEPOS SIN QUE SE ADELANTEN LAS GESTIONES OPORTUNAS Y EFECTIVAS PARA LA RECUPERACIÓN DE LOS DINEROS INVERTIDOS, POR PARTE DEL OPERADOR DE LAS ZONAS DE PARQUEO PAGO.</t>
  </si>
  <si>
    <t>DEBILIDADES EN LOS PROCEDIMIENTOS PARA LA OPORTUNA IDENTIFICACIÓN, REPORTE Y DENUNCIA DE LOS BIENES PERDIDOS Y/O HURTADOS</t>
  </si>
  <si>
    <t>ACTUALIZAR EL PROCEDIMIENTO EVG-PR04 - REPORTE Y RECUPERACIÓN DE DINEROS Y BIENES PERDIDOS PROPIEDAD DE LA TERMINAL DE TRANSPORTE S.A</t>
  </si>
  <si>
    <t>ACTUALIZACIÓN DEL PROCEDIMIENTO EVG-PR04 - REPORTE Y RECUPERACIÓN DE DINEROS Y BIENES PERDIDOS</t>
  </si>
  <si>
    <t>Se actualizó el procedimiento EVG-PR04 - Reporte y Recuperación de Dineros y Bienes Perdidos Propiedad de la Terminal de Transporte S.A, y se realizó la respectiva socialización de la versión 1 de enero de 2025, cumpliendo con la acción establecida.</t>
  </si>
  <si>
    <t>https://drive.google.com/drive/folders/185lt2pYaqbEWWenrm1fUp4_ygagcJRmc</t>
  </si>
  <si>
    <t>ACTUALIZAR EL INSTRUCTIVO ZPP-IN07 - REPORTE DE BLOQUEADORES VEHICULARES AVERIADOS</t>
  </si>
  <si>
    <t>ACTUALIZACIÓN DEL INSTRUCTIVO ZPP-IN07 - REPORTE DE BLOQUEADORES VEHICULARES AVERIADOS</t>
  </si>
  <si>
    <t>Se actualizó el Procedimiento EVG-PR04 - Reporte y Recuperación de Dineros y Bienes Perdidos Propiedad de la Terminal de Transporte S.A, el cual contempla la pérdida o hurto de cepos</t>
  </si>
  <si>
    <t>https://drive.google.com/drive/folders/1cNh7lGQlG_9s14HmBxmbyExsH5c4XJ1A</t>
  </si>
  <si>
    <t>ELABORAR UN INFORME DE CONTROL TRIMESTRAL DE LA SITUACION DE LOS CEPOS INDICANDO LOS CASOS EN TRÁMITE DE REPORTE Y DE RECUPERACIÓN ANTE LA ASEGURADORA</t>
  </si>
  <si>
    <t>INFORME DE CONTROL TRIMESTRAL DE LA SITUACION DE LOS CEPOS</t>
  </si>
  <si>
    <t>INFORME DE CONTROL TRIMESTRAL DE LA SITUACION DE LOS CEPOS INDICANDO LOS CASOS EN TRÁMITE DE REPORTE Y DE RECUPERACIÓN ANTE LA ASEGURADORA</t>
  </si>
  <si>
    <t>Se adjuntan los informes trimestrales correspondientes a la vigencia 2025 y el informe anual de 2024, los cuales documentan el seguimiento realizado por el área de Operaciones sobre los dispositivos de inmovilización vehicular (cepos).</t>
  </si>
  <si>
    <t>https://drive.google.com/drive/folders/1kJUkUgfIDTm0zLO8v-O11rN6DqN-HUPb</t>
  </si>
  <si>
    <t>HALLAZGO ADMINISTRATIVA CON PRESUNTA INCIDENCIA DISCIPLINARIA POR INCUMPLIMIENTO DE LAS OBLIGACIONES CONTRACTUALES ESPECÍFICAS DE LA TERMINAL, CLÁUSULA 4. LITERALES A Y J, PACTADAS EN EL CONTRATO INTERADMINISTRATIVO NO. 2470 DE 2021.</t>
  </si>
  <si>
    <t>LOS SEGUIMIENTOS A LA DEMANDA Y DEMÁS CRITERIOS DE ANÁLISIS, NO CONLLEVAN A TOMAR DECISIONES OPORTUNAS, EFICIENTES Y EFICACES</t>
  </si>
  <si>
    <t>FORTALECER  EL SEGUIMIENTO EN LOS COMITÉS TÉCNICOS, INCLUYENDO DENTRO DE LA AGENDA DE ESTE COMITÉ UN ANÁLISIS TRIMESTRAL DE LA SITUACION DE CADA UNA DE LAS ÁREAS DE IMPLENTACIÓN EN EL QUE SE MUESTRE: % OCUPACIÓN Y COMPORTAMIENTO DE LOS INGRESOS VS GASTOS CON EL FIN DE GENERAR RECOMENDACIONES EN CUANTO A ACCIONES A IMPULSAR PARA EL FORTALECIMIENTO DEL PROYECTO</t>
  </si>
  <si>
    <t>EXTRACTO DEL ACTA DEL COMITÉ TÉCNICO</t>
  </si>
  <si>
    <t>EXTRACTO DEL ACTA DEL COMITÉ TÉCNICO DEL ANÁLISIS TRIMESTRAL DE CADA UNA DE LAS ÁREAS DE IMPLEMENTACIÓN</t>
  </si>
  <si>
    <t>Se verifica el cumplimiento del compromiso. El proceso cargó el acta del Comité Técnico correspondiente al seguimiento del contrato 2021-2470, la cual respalda la ejecución de la acción programada.</t>
  </si>
  <si>
    <t>https://drive.google.com/drive/folders/13UiZltdR-lVnwhJ7Xi7HHzxVnASJK72e</t>
  </si>
  <si>
    <t>HALLAZGO ADMINISTRATIVA POR INCUMPLIMIENTO DEL ANEXO 1 “ESPECIFICACIONES TÉCNICAS” QUE HACE PARTE DEL CONTRATO INTERADMINISTRATIVO 2470 DE 2021, EN VIRTUD DEL PROCESO DE ESTRUCTURACIÓN Y PARTICULARMENTE, DE LA HABILITACIÓN DE LOS SEGMENTOS VIALES.</t>
  </si>
  <si>
    <t>DEBILIDAD EN CUANTO AL CONTROL EN LOS SEGMENTOS VIALES QUE SON UTILIZADOS POR AGREMIACIONES ESPECÍFICAS QUE SE RESISTEN A HACER BUEN USO DEL ESPACIO PÚBLICO</t>
  </si>
  <si>
    <t>INCLUÍR DENTRO DE LA AGENDA DE LOS COMITÉS TÉCNICOS LA REVISIÓN TRIMESTRAL DE LOS SECTORES QUE REQUIEREN   LA PRIORIZACIÓN DE OPERATIVOS DE CONTROL POR PARQUEO IRREGULAR QUE LLEVEN A LA RESTRICCIÓN DEL FLUJO VEHICULAR EN LAS ÁREAS DE IMPLEMENTACIÓN. LO ANTERIOR, DE ACUERDO A LAS OBIGACIONES DE SDM EN LA CLAUSULA 5 LITERAL C.</t>
  </si>
  <si>
    <t>EXTRACTO DEL ACTA DEL COMITÉ TÉCNICO DE LA REVISIÓN TRIMESTRAL DE LOS SECTORES PARA PRIORIZACIÓN DE CONTROL</t>
  </si>
  <si>
    <t>HALLAZGO ADMINISTRATIVA CON PRESUNTA INCIDENCIA DISCIPLINARIA, POR DEFICIENCIAS EN LA PLANEACIÓN DE LOS ACTOS MODIFICATORIOS DEL CONTRATO DE SUMINISTRO NO.73 DE 2024 Y DIFERENCIAS EN DOCUMENTOS PRECONTRACTUALES.</t>
  </si>
  <si>
    <t>NO SE PLANEÓ DE MANERA OPORTUNA LA MODIFICACIÓN DEL CONTRATO</t>
  </si>
  <si>
    <t>SE REALIZARÁ CAPACITACIÓN SOBRE LA MODIFICACIÓN DE LOS CONTRATOS</t>
  </si>
  <si>
    <t>PROGRAMAS DE CAPACITACIÓN Y ACTAS DE ASISTENCIA</t>
  </si>
  <si>
    <t>SE IMPLEMENTARÁ UN PROGRAMA DE CAPACITACIÓN SOBRE MODIFICACIONES EN LOS CONTRATOS</t>
  </si>
  <si>
    <t>Se realizó la capacitación sobre la modificación de los contratos, para lo cual se adjunta la presentación utilizada, la grabación de la jornada y el informe de asistencia obtenido mediante la aplicación Google Forms, dando cumplimiento a la acción establecida.</t>
  </si>
  <si>
    <t>https://drive.google.com/drive/folders/1TgSR7VIj1NSATH3uzavxI-D-YbUJda5h</t>
  </si>
  <si>
    <t>3.4.2.5.1</t>
  </si>
  <si>
    <t>HALLAZGO ADMINISTRATIVA CON PRESUNTA INCIDENCIA DISCIPLINARIA Y FISCAL, EN CUANTÍA DE $54.608.743, POR EL PAGO POR PARTE DE LA TERMINAL DE TRANSPORTE S.A. A LA EMPRESA DE TELECOMUNICACIONES DE BOGOTÁ - ETB DE, CORRESPONDIENTES A 3.099 CELDAS DE PARQUEO EN VÍA QUE NO REGISTRARON NINGÚN INGRESO EN LOS MESES FACTURADOS DEL CONTRATO NO. 081 DE 2023.</t>
  </si>
  <si>
    <t>DEBILIDADES EN LA DESCRIPCIÓN DE LA CLÁUSULA DE PAGO DEL CONTRATO INTERADMINISTRATIVO NO. 081 DE 2024, EN ESPECIFICO EN EL APARTE EN EL QUE DESCRIBE EL VALOR A PAGAR POR CELDA HABILITADA(VCH)</t>
  </si>
  <si>
    <t>GARANTIZAR QUE EN LOS PRÓXIMOS PROCESOS DE CONTRATACION, TANTO EN LOS ESTUDIOS PREVIOS COMO EN LAS MINUTAS SE DESCRIBAN LAS SIGLAS DE CADA UNO DE LOS ITEMS QUE CONFORMAN LAS FÓRMULAS PARA EL CÁLCULO DE LOS RESPECTIVOS PAGOS</t>
  </si>
  <si>
    <t>ACLARACIÓN DE SIGLAS EN LOS CONTRATOS</t>
  </si>
  <si>
    <t>ACLARACIÓN DE SIGLAS EN LOS CONTRATOS, DE CADA UNO DE LOS ITEMS QUE CONFORMAN LAS FÓRMULAS PARA EL CÁLCULO DE LOS RESPECTIVOS PAGOS</t>
  </si>
  <si>
    <t>Se evidencia cumplimiento del plan de acción, dado que la Empresa de Telecomunicaciones de Bogotá – ETB efectuó la devolución del valor correspondiente mediante descuento en la factura de enero de 2025, aplicando nota crédito por $70.372.092, lo cual subsana el hallazgo identificado en el contrato No. 081 de 2023.</t>
  </si>
  <si>
    <t>https://drive.google.com/drive/folders/1jvqw0TucM08GTiD-3d6Kzm6OoTsLFxCv</t>
  </si>
  <si>
    <t>3.5.1</t>
  </si>
  <si>
    <t>HALLAZGO ADMINISTRATIVA CON PRESUNTA INCIDENCIA DISCIPLINARIA POR LA FORMULACIÓN DE ACCIONES INEFECTIVAS EN EL PLAN DE MEJORAMIENTO INSTITUCIONAL.</t>
  </si>
  <si>
    <t>DEFINICIÓN DE ACCIONES INEFECTIVAS EN EL PLAN DE MEJORAMIENTO INSTITUCIONAL</t>
  </si>
  <si>
    <t>DEFINIR E IMPLEMENTAR UNA ESTRATEGIA INTEGRAL PARA EL AUMENTO DE LOS INGRESOS Y LA DISMINUCION DE COSTOS Y GASTOS QUE PROPENDAN AL LOGRO DEL PUNTO DE EQUILIBRIO DEL PROYECTO</t>
  </si>
  <si>
    <t>ESTRATEGIA INTEGRAL PARA EL AUMENTO DE LOS INGRESOS Y LA DISMINUCION DE COSTOS Y GASTOS</t>
  </si>
  <si>
    <t>ESTRATEGIA INTEGRAL PARA EL AUMENTO DE LOS INGRESOS Y LA DISMINUCION DE COSTOS Y GASTOS, QUE CONLLEVE AL LOGRO DEL PUNTO DE EQUILIBRIO DEL PROYECTO</t>
  </si>
  <si>
    <t>Se verifica el cumplimiento del plan de acción mediante la presentación formal ante Junta Directiva (Acta No. 48 del 25 de abril de 2024 y presentación correspondiente), donde se expone una estrategia integral compuesta por acciones internas y externas orientadas al incremento de ingresos y la reducción de costos y gastos, con impactos financieros cuantificables y en fase de implementación</t>
  </si>
  <si>
    <t>https://drive.google.com/drive/folders/1JSoh4sIQvqurPiRHGhb3hUT_6fuLou0g</t>
  </si>
  <si>
    <t>DEFINIR UNA POLÍTICA PARA LA GESTIÓN DE LOS REGISTROS OPERATIVOS</t>
  </si>
  <si>
    <t>POLÍTICA PARA GESTIÓN DE LOS REGISTROS OPERATIVOS</t>
  </si>
  <si>
    <t>Se implementa la Política de los registros no pagos susceptibles de gestión de ZPP (Código: GPE-PO01, versión 1, mayo de 2025), la cual establece objetivos, criterios de clasificación, responsabilidades y procedimientos de gestión de los registros.</t>
  </si>
  <si>
    <t>4.1.1</t>
  </si>
  <si>
    <t>HALLAZGO ADMINISTRATIVA CON PRESUNTA INCIDENCIA DISCIPLINARIA POR INCUMPLIMIENTO DE LAS RESPONSABILIDADES DE LA TERMINAL EN SU CALIDAD DE OPERADOR Y ADMINISTRADOR DE LAS ZPP Y ESTACIONAMIENTOS FUERA DE VÍA, POR DEFICIENCIAS EN EL CONTROL DE LOS USUARIOS QUE TOMAN NUMEROSAS RESERVAS, CON TIEMPOS PROLONGADOS Y PARA UN GRAN NÚMERO DE VEHÍCULOS Y CONTROL DEL USO DE LOS ESTACIONAMIENTOS.</t>
  </si>
  <si>
    <t>DEFICIENCIAS EN EL CONTROL DE LOS USUARIOS QUE TOMAN NUMEROSAS RESERVAS, CON TIEMPOS PROLONGADOS</t>
  </si>
  <si>
    <t>ESTABLECER UN PROCEDIMIENTO DE INGRESO DE VEHÍCULOS CON RESERVA A TRAVÉS DE ACUERDOS COMERCIALES</t>
  </si>
  <si>
    <t>PROCEDIMIENTO DE INGRESO DE VEHÍCULOS CON RESERVA A TRAVÉS DE ACUERDOS COMERCIALES</t>
  </si>
  <si>
    <t>ACTUALIZACIÓN DE LAS CONDICIONES DE OPERACIÓN, QUE SE ESTABLECEN EN LOS ACUERDOS COMERCIALES</t>
  </si>
  <si>
    <t>Se presenta el Procedimiento GPF-PR08 “Operación de Vehículos Acuerdos Comerciales” (versión 1, julio de 2025), que establece lineamientos y actividades para el ingreso y operación de vehículos bajo acuerdos comerciales, cumpliendo con la acción definida</t>
  </si>
  <si>
    <t>https://drive.google.com/drive/folders/1qEh0MkC6eWDDeoEJzSoc5m9AYQjnhX2V</t>
  </si>
  <si>
    <t>2015-12-29</t>
  </si>
  <si>
    <t>2.1.4.2.2</t>
  </si>
  <si>
    <t>AUDITORIA DE REGULARIDAD</t>
  </si>
  <si>
    <t>Control Gestión</t>
  </si>
  <si>
    <t>Control Fiscal Interno</t>
  </si>
  <si>
    <t>HALLAZGO ADMINISTRATIVO POR NO TENER EL PERMISO DE VERTIMIENTOS QUE EXPIDE LA SECRETARÍA DISTRITAL DE AMBIENTE - SDA Y EL INCUMPLIMIENTO DEL PARÁMETRO DE PH ESTABLECIDO EN LA RESOLUCIÓN 3957 DE 2009 “POR LA CUAL SE ESTABLECE LA NORMA TÉCNICA, PARA EL CONTROL Y MANEJO DE LOS VERTIMIENTOS REALIZADOS A LA RED DE ALCANTARILLADO PÚBLICO EN EL DISTRITO CAPITAL”.</t>
  </si>
  <si>
    <t>NO CONTAR CON PERMISO DE VERTIMIENTOS</t>
  </si>
  <si>
    <t>1. DAR APLICACIÓN A LAS RECOMENDACIONES EFECTUADAS POR LA UNIVERSIDAD DISTRITAL A TRAVÉS DEL CONTRATO TT-65-2013. 2. CONTAR CON EL PERMISO DE VERTIMIENTOS.</t>
  </si>
  <si>
    <t>PERMISO DE VERTIMIENTOS</t>
  </si>
  <si>
    <t>NO. DE ACTIVIADES REALIZADAS/ NO. DE ACTIVIDADES PROGRAMADAS</t>
  </si>
  <si>
    <t>GERENCIA DE PLANEACIÓN/ DPTO. TÉCNICO</t>
  </si>
  <si>
    <t>2014-09-30</t>
  </si>
  <si>
    <t>2015-09-30</t>
  </si>
  <si>
    <t>INEFECTIVA</t>
  </si>
  <si>
    <t>2022-12-21</t>
  </si>
  <si>
    <t>VISITA DE CONTROL FISCAL</t>
  </si>
  <si>
    <t>Gestión Contractual</t>
  </si>
  <si>
    <t>HALLAZGO ADMINISTRATIVA CON PRESUNTA INCIDENCIA DISCIPLINARIA POR DEFICIENCIAS EN LA PLANEACIÓN Y EJECUCIÓN DEL PROYECTO ZONA DE PARQUEO PAGO EN VÍA, APLICADO MEDIANTE EL CONVENIO INTERADMINISTRATIVO 2021-313 Y EL CONTRATO INTERADMINISTRATIVO 2021-2470.</t>
  </si>
  <si>
    <t>FALTA DE MECANISMOS Y HERRAMIENTAS EFICIENTES FRENTE A LA RECUPERACIÓN DE LOS RECURSOS ADEUDADOS AL PROYECTO POR CONCEPTO DE SERVICIOS NO PAGADOS.</t>
  </si>
  <si>
    <t>DEFINIR UNA ESTRATEGÍA DE COBRO PERSUASIVO PARA RECUPERAR LOS DINEROS ADEUDADOS</t>
  </si>
  <si>
    <t>ESTRATEGIA DE COBRO A DEUDORES</t>
  </si>
  <si>
    <t>NÚMERO DE ESTRATEGIAS DE COBRO PERSUASIVO DEFINIDAS / NÚMERO DE ESTRATEGIAS DE COBRO POR DEFINIR</t>
  </si>
  <si>
    <t>2023-01-03</t>
  </si>
  <si>
    <t>2023-12-12</t>
  </si>
  <si>
    <t>CUMPLIDA INEFECTIVA</t>
  </si>
  <si>
    <t>https://drive.google.com/drive/folders/12KfNKAQJ0IIu_G-SnDb5Wea2VA4604Gf</t>
  </si>
  <si>
    <t>LOS INGRESOS DEL PROYECTO AÚN NO HAN SIDO SUFICIENTES PARA CUBRIR SUS COSTOS Y GASTOS Y OBTENER EL PUNTO DE EQUILIBRIO.</t>
  </si>
  <si>
    <t>CONTINUAR EL SEGUIMIENTO MENSUAL, SEMESTRAL Y ANUAL DE LOS INGRESOS, GASTOS Y COSTOS DEL PROYECTO, DE ACUERDO A LO PREVISTO EN LA CLÁUSULA 16 DEL CONTRATO Y DETERMINAR LA NECESIDAD DE PROPONER UNA O MÁS DE LAS ACCIONES PREVISTAS ANTE LA OCURRENCIA DE LOS SUPUESTOS DE DIFERENCIA ENTRE INGRESOS, GASTOS Y COSTOS PACTADOS CONTRACTUALMENTE.</t>
  </si>
  <si>
    <t>SEGUIMIENTO DE PROYECCIONES FINANCIERAS</t>
  </si>
  <si>
    <t>NÚMERO DE INFORMES DE SEGUIMIENTO(MENSUALES, SEMESTRALES, ANUALES)/NÚMERO DE SEGUIMIENTOS PROGRAMADOS)*100</t>
  </si>
  <si>
    <t>https://drive.google.com/drive/folders/1UVgydI8DTEuCKahsbdTlJvHX5QYp-QnN</t>
  </si>
  <si>
    <t>2018-11-21</t>
  </si>
  <si>
    <t>Control de Resultados</t>
  </si>
  <si>
    <t>Planes, Programas y Proyectos</t>
  </si>
  <si>
    <t>HALLAZGO ADMINISTRATIVO CON PRESUNTA INCIDENCIA DISCIPLINARIA POR LAS DIFICULTADES EN EL MANEJO DE LA INFORMACIÓN QUE HAN IMPEDIDO UN ESTRICTO SEGUIMIENTO Y CONTROL DEL PLAN ESTRATÉGICO Y LA CONSTRUCCIÓN Y SEGUIMIENTO DE LOS INDICADORES QUE PERMITEN MONITOREAR LA REALIZACIÓN DE LAS ACTIVIDADES DESARROLLADAS POR LA ENTIDAD.</t>
  </si>
  <si>
    <t>NO SE CUENTA CON LA INFORMACIÓN DEL PLAN ESTRATÉGICO CENTRALIZADA, A TRAVÉS DE UN SOFTWARE ESPECIALIZADO.</t>
  </si>
  <si>
    <t>REALIZAR LA CONCERTACIÓN DEL LOS SOPORTES DEL PLAN DE ACCIÓN DEL PLAN ESTRATÉGICO Y EL SEGUIMIENTO TRIMESTRAL A LA EJECUCIÓN DEL MISMO EN EL DRIVE.</t>
  </si>
  <si>
    <t>SEGUIMIENTO DEL PLAN DE ACCIÓN</t>
  </si>
  <si>
    <t># DE SEGUIMIENTOS REALIZADOS AL  PLAN DE ACCIÓN DEL PLAN ESTRATÉGICO/ # DE SEGUIMIENTOS PROGRAMADOS PLAN DE ACCIÓN DEL PLAN ESTRATÉGICO</t>
  </si>
  <si>
    <t>SUBGERENCIA DE PLANEACIÓN</t>
  </si>
  <si>
    <t>2018-11-22</t>
  </si>
  <si>
    <t>2019-11-21</t>
  </si>
  <si>
    <t>2023-10-18</t>
  </si>
  <si>
    <t>3.1.1.1</t>
  </si>
  <si>
    <t>HALLAZGO ADMINISTRATIVO, PORQUE EN EL ARCHIVO DIGITAL DEL MANUAL DE SUPERVISIÓN E INTERVENTORÍA V.2 Y MANUAL DE CONTRATACIÓN V.3, NO SE INCLUYE EL CONTROL DE CAMBIOS, LO QUE DIFICULTA TENER LA TRAZABILIDAD DE LOS CAMBIOS REALIZADOS Y LA FECHA DE IMPLEMENTACIÓN DE LOS MISMOS, COMO SE DETERMINA EN EL NUMERAL 7.5.3 DE LA NORMA ISO:9001:2015</t>
  </si>
  <si>
    <t>EN LOS DOCUMENTOS PUBLICADOS EN EL SISTEMA INTEGRADO DE GESTIÓN (SIG), NO SE RELACIONAN LOS CONTROLES DE CAMBIOS, DADO QUE ESTOS SE CUSTODIABAN EN EL ARCHIVO FÍSICO.</t>
  </si>
  <si>
    <t>MODIFICAR Y SOCIALIZAR EL PROCEDIMIENTO SMC-PR02 CONTROL DE DOCUMENTOS PARA QUE SE VINCULE LA DIRECTRIZ DE PUBLICAR EL CONTROL DE CAMBIOS EN LOS DOCUMENTOS QUE SE CARGAN EN LA INTRANET.</t>
  </si>
  <si>
    <t>TABLA DE CONTROL DE CAMBIOS</t>
  </si>
  <si>
    <t>PÚBLICACIÓN DE LA TABLA DE CONTROL DE CAMBIOS EN LOS DOCUMENTOS RELACIONADOS EN EL SIG, CON LA ACTUALIZACIÓN DEL PROCEDIMIENTO SMC-PR02 CONTROL DE DOCUMENTOS</t>
  </si>
  <si>
    <t>2023-12-01</t>
  </si>
  <si>
    <t>Se actualiza el Procedimiento "Control Documentos Códicgo: GMC-PR02, númeral 4 "Control de cambios y de aprobaciones, el cual indica que en la parte inferior del documento se encuentra el espacio para realizar la descripción del cambio del documento de una versión a otra.</t>
  </si>
  <si>
    <t>https://drive.google.com/drive/u/0/folders/1EBOPWA5DDbIE_LQt1ZUs1by3_RtmTps2</t>
  </si>
  <si>
    <t>3.1.2.1</t>
  </si>
  <si>
    <t>HALLAZGO ADMINISTRATIVO, POR INCONSISTENCIAS EN LA INFORMACIÓN ENTREGADA POR LA TERMINAL DE TRANSPORTE S.A., EN RELACIÓN CON LA GESTIÓN CONTRACTUAL EN LA VIGENCIA 2022 VULNERANDO EL PRINCIPIO DE TRANSPARENCIA SEGÚN LO DETERMINADO POR EL ART. 3., DEL DECRETO 403 DE 2020.</t>
  </si>
  <si>
    <t>REPORTE DE CONTRATACIÓN CONSTRUIDO MANUALMENTE QUE GENERÓ DIFERENCIAS RESPECTO AL SISTEMA FINANCIERO.</t>
  </si>
  <si>
    <t>ELABORAR UN REPORTE AUTOMATIZADO DE GESTIÓN FINANCIERA CONSOLIDADA DE LOS CONTRATOS A PARTIR DE LA INFORMACIÓN DE LOS  SUPERVISORES Y ÁREAS QUE INTERVIENEN EN LA CONTRATACIÓN. ACTUALIZANDO EL INSTRUCTIVO GAF-IN04 PARA LA GENERACIÓN DEL REPORTE AUTOMATIZADO DEL ESTADO FINANCIERO DE LOS CONTRATOS A PARTIR DE LA INFORMACIÓN DEL ERP.</t>
  </si>
  <si>
    <t>REPORTE DE GESTIÓN FINANCIERA CONSOLIDADO DE LOS CONTRATOS</t>
  </si>
  <si>
    <t>REPORTE MENSUAL DE GESTIÓN FINANCIERA CONSOLIDADA DE CONTRATOS, INCLUIRÁ DATOS ACUMULADOS (VALOR INICIAL, ADICIONES, DISMINUCIONES, VALOR EJECUTADO EN EL PERIODO, VALORES PENDIENTES POR EJECUTAR Y/O P</t>
  </si>
  <si>
    <t>2023-12-31</t>
  </si>
  <si>
    <t>Se implementa reporte consolidado de contratos en el aplicativo RSN mediante power BI, a partir de la información que suministran los supervisores y áreas que intervienen la contratación, y se implementa el instructivo GAF-IN01</t>
  </si>
  <si>
    <t>https://drive.google.com/drive/u/0/folders/1ch8_FpTjagVsBewlm1CHKakXYqhH6Nzv</t>
  </si>
  <si>
    <t>3.1.3.1</t>
  </si>
  <si>
    <t>HALLAZGO ADMINISTRATIVO, POR INCONSISTENCIAS EN LA INFORMACIÓN REPORTADA POR LA EMPRESA TERMINAL DE TRANSPORTE S.A., EN EL SISTEMA DE VIGILANCIA Y CONTROL FISCAL – SIVICOF.</t>
  </si>
  <si>
    <t>FALTA DE INTEGRIDAD DE LA INFORMACIÓN REPORTADA EN EL APLICATIVO SIVICOF.</t>
  </si>
  <si>
    <t>REVISAR EL PROCEDIMIENTO “RELACIÓN CON ENTES EXTERNOS Y EVALUACIÓN DE CONTROL INTERNO CONTABLE", Y LOS REQUISITOS E INFORMACIÓN DE CADA UNO DE LOS REPORTES.</t>
  </si>
  <si>
    <t>CHECK LIST DE CUMPLIMIENTO DE REQUISITOS</t>
  </si>
  <si>
    <t>CHECK LIST DE CUMPLIMIENTO DE REQUISITOS, TANTO PARA LOS REPORTES MENSUALES, COMO ANUALES QUE SE CARGAN EN EL APLICATIVO SIVICOF, Y QUE SERÁ VALIDADO CON CADA UNO DE LOS RESPONSABLES DE LA INFORMACIÓN</t>
  </si>
  <si>
    <t>CUMPLIDA EFECTIVA</t>
  </si>
  <si>
    <t>Se establecen  lineamientos mediante el Procediemiento "Relación con Entes Externos" Código: EVG-PR03 para facilitar la interacción con los entes de control externos y la terminal de Transporte S.A, con el fin de dar cumplimiento a las exigencias de Ley y trámite a las solicitudes de información provenientes de los órganos que lo requieren</t>
  </si>
  <si>
    <t>https://drive.google.com/drive/u/0/folders/1EaxkkZsUUbwPYG3moz4ue_bVDbVM3tMD</t>
  </si>
  <si>
    <t>Control Financiero</t>
  </si>
  <si>
    <t>Control Interno Contable</t>
  </si>
  <si>
    <t>HALLAZGO ADMINISTRATIVO, POR FALTA DE LINEAMIENTOS E IDENTIFICACIÓN OPORTUNA DE LAS CONSIGNACIONES EFECTUADAS POR TERCEROS A FAVOR DE LA EMPRESA</t>
  </si>
  <si>
    <t>IMPOSIBILIDAD DE IDENTIFICAR A LOS CLIENTES, CUANDO CONSIGNAN CON IDENTIFICACIONES QUE NO CORRESPONDEN AL DEUDOR O CLIENTE. DEBILIDADES EN LA IDENTIFICACIÓN OPORTUNA DE CONSIGNACIONES RECIBIDAS POR TERCEROS</t>
  </si>
  <si>
    <t>DOCUMENTAR EL PROCEDIMIENTO DE CONCILIACIÓN DE CONSIGNACIONES RECIBIDAS POR TERCEROS, EN EL CUÁL SE IDENTFICARÁN LOS RESPONSABLES DE CADA UNO DE LOS CONCEPTOS PARA SU CONTROL Y SEGUIMIENTO.</t>
  </si>
  <si>
    <t>PROCEDIMIENTO DE CONCILIACIÓN DE CONSIGNACIONES CON TERCEROS QUE NO CORRESPONDEN A CLIENTES O DEUDOR</t>
  </si>
  <si>
    <t>PROCEDIMIENTO DE CONCILIACIÓN, EN EL CUÁL SE IDENTIFICARÁN A LOS RESPONSABLES DE CADA UNO DE LOS CONCEPTOSY SE DEFINIRÁ LAS ACCIONES A SEGUIR.</t>
  </si>
  <si>
    <t>Se implementa el Procedimiento "Consignaciones pendientes por identificar" Código: GFI-PR02 el cual se encuentra públicado y disponible en el SIG.</t>
  </si>
  <si>
    <t>https://drive.google.com/drive/u/0/folders/18YsPISDNREfXYeem9zi3xoYTpdIHuJaS</t>
  </si>
  <si>
    <t>HALLAZGO ADMINISTRATIVO, POR FALENCIAS EN LA ACTUALIZACIÓN Y EN LAS NOTAS A LOS ESTADOS FINANCIEROS DE LOS ACTIVOS Y PASIVOS POR IMPUESTO DIFERIDO.</t>
  </si>
  <si>
    <t>DIFERENCIAS EN LOS VALORES DE LOS ACTIVOS Y PASIVOS POR IMPUESTOS DIFERIDOS POR CÁLCULO DE LAS VALORIZACIONES DE PROPIEDAD, PLANTA Y EQUIPO.  LA REVISORIA FISCAL NO DEJO SOPORTADO EL ORIGEN DE LA SUPUESTA DIFERENCIA, POR LO QUE NO HAY BASE PARA DETERMINAR UN POTENCIAL VALOR DEL CALCULO.</t>
  </si>
  <si>
    <t>A PARTIR DEL  AVALUO DE LA PROPIEDAD, PLANTA Y EQUIPO  SE REALIZARÁ UNA ACTUALIZACIÓN DEL CALCULO DE LOS ACTIVOS Y PASIVOS DIFERIDO.</t>
  </si>
  <si>
    <t>ACTUALIZACIÓN DEL CÁLCULO DEL ACTIVO Y PASIVO POR IMPUESTO DIFERIDO.</t>
  </si>
  <si>
    <t>AVALÚO DE PROPIEDAD, PLANTA Y EQUIPO Y ACTUALIZACIÓN DEL CÁLCULO DE IMPUESTO DIFERIDO, EL CUÁL SERÁ REGISTRADO CONTABLEMENTE AL CIERRE DE LOS ESTADOS FINANCIEROS</t>
  </si>
  <si>
    <t>Se adjunta el dictamen del revisor fiscal y las notas a los estados fiancieros</t>
  </si>
  <si>
    <t>https://drive.google.com/drive/u/0/folders/1jICvEssDJcEO7rmg64IQQv-Zfuy383mk</t>
  </si>
  <si>
    <t>HALLAZGO ADMINISTRATIVO, POR DEFICIENCIAS EN LA CONCILIACIÓN DE SALDOS ENTRE EL ÁREA CONTABLE Y LAS DEMÁS DEPENDENCIAS DE LA EMPRESA.</t>
  </si>
  <si>
    <t>FALTA DE DOCUMENTACIÓN, EN LA CUÁL SE EVIDENCIA LA VERIFICACIÓN DE SALDOS O DE CONCEPTOS QUE REPORTAN LOS GENERADORES DE LA INFORMACIÓN.</t>
  </si>
  <si>
    <t>INCLUIR EN EL SISTEMA DE GESTIÓN UN FORMATO DE VERFICACIÓN DE LA CONCILIACIÓN REALIZADA ENTRE LAS ÁREAS. PARA GESTION JURÍDICA (SIPROJ) Y PARA GESTIONES ADMINISTRATIVAS (ALMACÉN)</t>
  </si>
  <si>
    <t>PROCEDIMIENTO DE CONCILIACIÓN, EN EL CUÁL SE IDENTIFICARÁN A LOS RESPONSABLES DE CADA UNO DE LOS CONCEPTOS Y SE DEFINIRÁ LAS ACCIONES A SEGUIR.</t>
  </si>
  <si>
    <t>Se implementa el Formato "Conciliación Saldos de Contabilidad VS Dependencias" Código: GFI-FT01, el cual se encuentra disponible en el SIG.</t>
  </si>
  <si>
    <t>https://drive.google.com/drive/u/0/folders/1S_e36SP9DHzD4b0-Yo-M8F2AEWqAvXo4</t>
  </si>
  <si>
    <t>HALLAZGO ADMINISTRATIVO, POR DEFICIENCIAS EN EL PROCESO DE CONCILIACIÓN DE LAS OPERACIONES RECÍPROCAS DE LA EMPRESA Y EN LAS NOTAS A LOS ESTADOS FINANCIEROS.</t>
  </si>
  <si>
    <t>DEBILIDADES EN LA DOCUMENTACIÓN DE LA CONCILIACIÓN DE OPERACIONES RECIPROCAS CON OTRAS ENTIDADES PÚBLICAS.</t>
  </si>
  <si>
    <t>SE DOCUMENTARÁ MEDIANTE PROCEDIMIENTO LA DEPURACIÓN Y CONCILIACIÓN DE OPERACIONES RECIPROCAS.</t>
  </si>
  <si>
    <t>Se establecen lineamientos para la presentación de la información reciprocas según lo establecido por la Contaduría General de La Nación y la Secretaria Distrital de Hacienda, mediante el Procedimiento "Gestión Operaciones Recíprocas" Código: GFI-PR01.</t>
  </si>
  <si>
    <t>https://drive.google.com/drive/u/0/folders/1IAssr5g3KjogxBMdioqjnwSuO_CdLYDM</t>
  </si>
  <si>
    <t>3.4.1.1.1</t>
  </si>
  <si>
    <t>HALLAZGO ADMINISTRATIVO, POR FALENCIAS EN LA ALINEACIÓN ESTRATÉGICA DE LA TERMINAL DE TRANSPORTES S.A. INOBSERVANDO EL PRINCIPIO DE EFICACIA EN SU CONTRATACIÓN.</t>
  </si>
  <si>
    <t>DIFERENCIAS ENTRE LOS OBJETIVOS ESTRATÉGICOS Y LA EJECUCIÓN DE CONTRATOS QUE MATERIALIZAN LAS METAS ESTABLECIDAS.</t>
  </si>
  <si>
    <t>ACTUALIZAR EL FORMATO DE ESTUDIO PREVIO CON EL FIN DE INCLUIR LA JUSTIFICACIÓN DEL OBJETIVO ESTRATÉGICO AL QUE SE ALÍNEA LA RESPECTIVA CONTRATACIÓN, LA CUAL DEBERÁ SER VALIDADA POR PARTE DE LA SUBGERENCIA DE PLANEACIÓN</t>
  </si>
  <si>
    <t>FORMATO DE ESTUDIOS PREVIOS ACTUALIZADO</t>
  </si>
  <si>
    <t>FORMATO DE ESTUDIOS PREVIOS ACTUALIZADO EN DONDE SE INCLUYA LA JUSTIFICACIÓN DE LA ALINEACIÓN ENTRE LA CONTRATACIÓN Y LOS OBJETIVOS ESTRATÉGICOS</t>
  </si>
  <si>
    <t>2023-11-01</t>
  </si>
  <si>
    <t>Se actualiza el Formato "Estudio Previo Formulación del Proyecto" Código: GJC-FT01, en el cual se incluyó la justificación de la alineación con el Objetivo Estratégico y Meta, el cual se encuentra disponible en el SIG.</t>
  </si>
  <si>
    <t>https://drive.google.com/drive/u/0/folders/14YuurCPNFsYN-3WMx0ZUJU0Kz27Ga_Qm</t>
  </si>
  <si>
    <t>HALLAZGO ADMINISTRATIVO CON PRESUNTA INCIDENCIA DISCIPLINARIA, POR INCUMPLIMIENTO DE LA CLÁUSULA 4. OBLIGACIONES ESPECÍFICAS DE LA TERMINAL, PACTADA EN EL CONTRATO INTERADMINISTRATIVO NO.2470 DE 2021, CELEBRADO ENTRE LA SECRETARÍA DISTRITAL DE MOVILIDAD Y LA TERMINAL DE TRANSPORTE S.A.</t>
  </si>
  <si>
    <t>DEBILIDADES EN LAS MEDIDAS DE SEGUIMIENTO Y AJUSTES PARA LA EJECUCIÓN Y SOSTENIBILIDAD DEL PROYECTO.</t>
  </si>
  <si>
    <t>FORTALECER EL SEGUIMIENTO DE DATOS CUANTITATIVOS Y CUALITATIVOS PARA CONTRIBUIR A LA SOSTENIBILIDAD DEL PROYECTO</t>
  </si>
  <si>
    <t>ANÁLISIS FINANCIERO VS EJECUCIÓN DEL CONTRATO (VARIABLES CUALITATIVAS Y CUANTITATIVAS)</t>
  </si>
  <si>
    <t>1. COMUNICACIONES: IMPLEMENTAR LA ESTRATEGIA DE MASIFICACIÓN DEL PROYECTO Y PRESENTAR UN SEGUIMIENTO TRIMESTRAL A LA SECRETARIA DISTRITAL DE MOVILIDAD.</t>
  </si>
  <si>
    <t>Se adjuntan los informes de Gestión Social y de Comunicaciones, en el cual se describen las actividades desarrolladas por el equipo de Gestión Social de Zonas de Parqueo Pago, y se realiza de manera trimestral.
Adicionalmente, se adjuntan los informes semestrales y anuales del estado de la operación presentados a movilidad.</t>
  </si>
  <si>
    <t>https://drive.google.com/drive/u/0/folders/11Va80_nsWEPIm-12AqSfuvGJO_BfBthS</t>
  </si>
  <si>
    <t>HALLAZGO ADMINISTRATIVO, POR LA NO ADMINISTRACIÓN DE LOS RECURSOS A TRAVÉS DE SUBCUENTAS INDEPENDIENTES DE LAS FUENTES DE PAGOS Y PAGOS INCUMPLIENDO LAS CLÁUSULAS PRIMERA Y TERCERA DEL CONTRATO FIDUCIA MERCANTIL NO. 14532 DE 2021, POR SER VIOLATORIO A LOS PRINCIPIOS DE TRANSPARENCIA Y EFICACIA.</t>
  </si>
  <si>
    <t>DEFICIENCIAS EN EL CUMPLIMIENTO DEL CONTRATO CON LA FIDUCIA MERCANTIL NO. 14532 - CLAUSULA PRIMERA Y TERCERA, NUMERAL 9 - SUBCUENTAS PARA EL RECAUDO</t>
  </si>
  <si>
    <t>SE GESTIONARÁN LAS MODIFICACIONES DE LOS CONTRATOS DE FIDUCIA E INTERADMINISTRATIVO PARA LO CUAL SE REMITIRAN COMUNICACIONES A LA FIDUCIARIA Y A LA SECRETARIA DISTRITAL DE MOVILIDAD.</t>
  </si>
  <si>
    <t>1. CARTA DE SOLICITUD DE LA MODIFICACIÓN AL CONTRATO FIDUCIA MERCANTIL DIRIGIDA A FIDUCIARIA BANC</t>
  </si>
  <si>
    <t>1) GESTIONAR MODIFICACION AL CONTRATO DE FIDUCIA MERCANTIL  NO. 14532 SUSCRITO ENTRE LA TERMINAL DE TRANSPORTE S.A. Y FIDUCIARIA BANCOLOMBIA, EN SU CLAUSULA SEXTA: “INSTRUCCIONES PARA LA ADMINISTRAC</t>
  </si>
  <si>
    <t>Se modificó la Clausula 7 del contrato interadministrativo y se comunico formalmente mediante oficio radicado 20250040028641 a la fiduciaria</t>
  </si>
  <si>
    <t>https://drive.google.com/drive/u/0/folders/11U8BQrKc-j7xIGJGWhElR9HEzm9gpAC6</t>
  </si>
  <si>
    <t>3.4.2.2.2</t>
  </si>
  <si>
    <t>HALLAZGO ADMINISTRATIVO, POR NO CONTAR CON UN PROCEDIMIENTO DE COBRO DE CARTERA POR CONCEPTO DE ESTACIONAMIENTO EN VÍA, FACILITANDO EL ALTO VOLUMEN DE ESTAS EN CUANTÍA DE $321,45 MILLONES DE LAS VIGENCIAS 2021, 2022 Y 2023., VULNERANDO LOS PRINCIPIOS DE EFICIENCIA Y EFICACIA.</t>
  </si>
  <si>
    <t>EXISTE EL PROCEDIMIENTO ZPP-IN05 INSTALACIÓN Y DESISTALACIÓN DE CEPOS, EL CUAL INCLUYE LAS DIRECTRICES DEL COBRO PERSUASIVO  CON EL OBJETIVO DE RECUPERAR LOS RECURSOS ADEUDADOS AL PROYECTO, SIN EMBARGO, ÉSTE NO ES UN DOCUMENTO INDEPENDIENTE PARA LA GESTIÓN DE LA CARTERA.</t>
  </si>
  <si>
    <t>SE DOCUMENTARÁ DE FORMA INDEPENDIENTE,  EL PROCEDIMIENTO PARA LA GESTIÓN Y COBRO DE CARTERA, E INCLUIRÁ LAS ACCIONES PROCEDENTES Y LAS INSTANCIAS PARA LA TOMA DE DECISIONES SOBRE LA MISMA.</t>
  </si>
  <si>
    <t>PROCEDIMIENTO DE GESTIÓN Y COBRO DE CARTERA</t>
  </si>
  <si>
    <t>ELABORAR UN PROCEDIMIENTO DE GESTIÓN Y COBRO DE CARTERA, QUE ESTABLEZCA LAS ACCIONES Y DIRECTRICES OPERATIVAS Y ADMINISTRATIVAS PARA LA GESTIÓN EFECTIVA DE LA CARTERA.</t>
  </si>
  <si>
    <t>Se evidencia cumplimiento del plan de acción, dado que se implementó el procedimiento “Gestión y Recuperación de los Registros Susceptibles de Gestión de Zona de Parqueo Pago – Código: GPE-PR02”, el cual atiende el hallazgo</t>
  </si>
  <si>
    <t>https://drive.google.com/drive/u/0/folders/1Z7OnesU7jbU5NzFtQSwgU1VZFNJjtBwF</t>
  </si>
  <si>
    <t>HALLAZGO ADMINISTRATIVO CON PRESUNTA INCIDENCIA DISCIPLINARIA, POR EL INCUMPLIMIENTO DEL NUMERAL SEGUNDO (2º) DE LA CLÁUSULA DÉCIMA SEGUNDA, INDEBIDA PERMANENCIA DE LA LABOR CONTRATADA, IRREGULARIDADES E INCONSISTENCIAS EN LA EJECUCIÓN DEL CONTRATO DE PRESTACIÓN DE SERVICIOS NO. 47 DE 2021. SUSCRITO CON LA FIRMA TEMPOCOLBA S.A.S.</t>
  </si>
  <si>
    <t>INCUMPLIMIENTO DE LA CLÁUSULA 12, TÍTULO “II. DESCRIPCIÓN DEL OBJETO A CONTRATAR” LITERAL “E” DEL CONTRATO 47 DE 2021 CON LA FIRMA TEMPOCOLBA.</t>
  </si>
  <si>
    <t>DADO QUE EL CONTRATO YA FINALIZÓ, SE FORTALECERÁ EN EVENTUALES CONTRATACIONES, EL SEGUIMIENTO DE VINCULACIÓN AL PERSONAL SUMINISTRADO POR LA EMPRESA TEMPORAL CONFORME A LO ESTABLECIDO A LA NORMATIVIDAD VIGENTE.</t>
  </si>
  <si>
    <t>DEFINICIÓN DE OBLIGACIÓN DE INCLUIR EN EL INFORME MENSUAL, LA VERIFICACIÓN DE DURACIÓN DE LA VINCULA</t>
  </si>
  <si>
    <t>DEFINICIÓN DE OBLIGACIÓN DE INCLUSIÓN EN INFORME MENSUAL DE VERIFICACIÓN DE DURACIÓN DE LA VINCULACIÓN DEL PERSONAL EN MISIÓN EMITIDO POR LA EST, SOBRE NUMERO DE PERSONAL ACTIVO.</t>
  </si>
  <si>
    <t>Se adjuntan los informes menusales de verificación de duración de la vinculación del personal en misión, emitidos por la Empresa Temporal.</t>
  </si>
  <si>
    <t>https://drive.google.com/drive/u/0/folders/1T1FG-hKsCkErbKCfIxrysGNcwddECOvi</t>
  </si>
  <si>
    <t>HALLAZGO ADMINISTRATIVO CON PRESUNTA INCIDENCIA DISCIPLINARIA PORQUE LA TERMINAL DE TRANSPORTE S.A., NO ENTREGA DE MANERA OPORTUNA LOS ELEMENTOS DE PROTECCIÓN PERSONAL-EPP A LOS TRABAJADORES EN MISIÓN DE LAS ZONAS DE PARQUEO PAGO-ZPP Y PARQUEADEROS, OBLIGACIÓN A CARGO DE LA TERMINAL, COMO QUEDÓ DEFINIDO EN EL PLIEGO DE CONDICIONES DEL PROCESO DE SELECCIÓN NO. TT-SPO-05-2022</t>
  </si>
  <si>
    <t>INOPORTUNIDAD EN LA ENTREGA DE LOS SUMINISTROS DE ELEMENTOS DE PROTECCIÓN PERSONAL EPP.</t>
  </si>
  <si>
    <t>FORTALECER EL SEGUIMIENTO A LA ENTREGA DE SUMINISTROS DE EPP MEDIANTE LA CREACIÓN DE UN PROCEDIMIENTO EN EL SIG, QUE VINCULE EL REPORTE MENSUAL DESDE LA OPERACIÓN SOBRE LA NECESIDAD DE SUMINISTRO DE LOS EPP, LA VERIFICACIÓN DESDE EL COMPONENTE DE SST Y LA  ENTREGA EFECTIVA A LOS TRABAJADORES EN MISIÓN. ASI MISMO LA COMUNICACIÓN Y SOCIALIZACIÓN DEL PROCEDIMIENTO A TODAS LAS AREAS DEFINIENDO LOS TIEMPOS Y FORMATOS DE REPORTE Y ENTREGA.</t>
  </si>
  <si>
    <t>PROCEDIMIENTO DE ENTREGA DE EPP CREADO EN EL SIG Y SOCIALIZADO A TODAS LAS AREAS</t>
  </si>
  <si>
    <t>- ELABORAR PROCEDIMIENTO DE ENTREGA DE ELEMENTOS DE PROTECCIÓN PERSONAL - EPP, DE ACUERDO A LA MATRIZ DE IDENTIFICACIÓN DE PELIGROS Y VALORACIÓN DE LOS RIESGOS.</t>
  </si>
  <si>
    <t>Se implementa el Procedimiento "SELECCIÓN, ENTREGA, USO Y SUPERVISIÓN DE
ELEMENTOS DE PROTECCIÓN PERSONAL" Código: GTS-PR23, el cual define y establece los criterios que rigen la selección, entrega, utilización, supervisión, mantenimiento, renovación y/o disposición final de los
Elementos de Protección Personal. y se encuentra disponible en el SIG.</t>
  </si>
  <si>
    <t>https://drive.google.com/drive/u/0/folders/1ziq5wDZv82m7C85qQd-Vq3hHxxNiaPya</t>
  </si>
  <si>
    <t>3.4.2.4.2</t>
  </si>
  <si>
    <t>HALLAZGO ADMINISTRATIVO CON PRESUNTA INCIDENCIA DISCIPLINARIA, PORQUE EN LAS ZONAS DE PARQUEO PAGO-ZPP Y PARQUEADEROS, SE EXTRAVIARON $8,38 MILLONES, DINERO QUE NO HA SIDO RECUPERADO POR FALTA DE GESTIÓN DE LA TERMINAL, INCUMPLIENDO LO ESTABLECIDO EN EL NUMERAL 22 DE LA CLÁUSULA NOVENA DEL CPS NO. TT-67-2022</t>
  </si>
  <si>
    <t>DEFICIENCIAS EN LA DEBIDA DILIGENCIA PARA SITUACIONES DE HURTOS QUE SE IDENTIFIQUEN EN LA OPERACIÓN.</t>
  </si>
  <si>
    <t>FORTALECER EL PROCESO DE REPORTE DE PRESUNTOS HURTOS QUE SE IDENTIFIQUEN EN LA OPERACIÓN.</t>
  </si>
  <si>
    <t>PROCESO DE REPORTE DE INCIDENTES DE HURTO EN LA OPERACIÓN.</t>
  </si>
  <si>
    <t>CREACIÓN DE PROCESO DE REPORTE DE INCIDENTES DE HURTO EN LA OPERACIÓN, EL CUAL INCLUYA LAS DECISIONES E INSTANCIAS A INFORMAR.</t>
  </si>
  <si>
    <t>Se implementó el procedimiento "REPORTE Y RECUPERACIÓN DE DINEROS Y BIENES
PERDIDOS PROPIEDAD DE LA TERMINAL DE TRANSPORTE", el cual establece los lineamientos para la identificación, reporte y recuperación de dineros y/o bienes perdidos en la operación de las líneas de negocio de la Terminal de Transporte S.A. y se encuentra disponible en el SIG.</t>
  </si>
  <si>
    <t>https://drive.google.com/drive/u/0/folders/1fPs9JpJiD_xSuR0zBxOjShc-u6sQ5Uqg</t>
  </si>
  <si>
    <t>EN LA ETAPA DE LIQUIDACIÓN DEL CONTRATO TT-67-2022  ACORDAR CON EL CONTRATISTA EL PAGO A FAVOR DE LA TERMINAL DE TRANSPORTE DE LA SUMA DE $8,38 MILLONES CON OCASIÓN DEL HURTO REPORTADO DURANTE LA EJECUCIÓN  DEL CONTRATO.   EN CASO DE NO LOGRAR ACUERDO CON EL CONTRATISTA PARA EL PAGO  DE LA SUMA DE $8,38 MILLONES CON OCASIÓN DEL HURTO, INCLUIR EN EL ACTA DE LIQUIDACIÓN DEL CONTRATO TT-67-2022 UNA GLOSA DE RECONOCIMIENTO Y RETENCIÓN A FAVOR DE LA TERMINAL DE TRANSPORTE DE LA SUMA DE $8,38 MILLONES</t>
  </si>
  <si>
    <t>ACUERDO DE DESCUENTO O INCLUSIÓN DE GLOSA EN ACTA DE LIQUIDACIÓN CONTRATO TT-67-2022</t>
  </si>
  <si>
    <t>EN LA ETAPA DE LIQUIDACIÓN DEL CONTRATO TT-67-2022  ACORDAR CON EL CONTRATISTA EL PAGO A FAVOR DE LA TERMINAL DE TRANSPORTE DE LA SUMA DE $8,38 MILLONES CON OCASIÓN DEL HURTO REPORTADO DURANTE LA EJEC</t>
  </si>
  <si>
    <t>Se adjunta el detalle de la devolución del dinero a favor de la Terminal de Transporte.</t>
  </si>
  <si>
    <t>https://drive.google.com/drive/u/0/folders/1ShwIsbjLVAN3bxHeK0cPkBD0pF_-892L</t>
  </si>
  <si>
    <t>3.4.2.4.3</t>
  </si>
  <si>
    <t>HALLAZGO ADMINISTRATIVO CON PRESUNTA INCIDENCIA DISCIPLINARIA, PORQUE LA FIRMA SERVICIOS &amp; ASESORÍAS S.A.S. EN EL MARCO DEL CONTRATO DE PRESTACIÓN DE SERVICIOS NO. TT-67-2022, NO REALIZÓ VISITAS DOMICILIARIAS DESDE EL 31 DE MARZO FECHA EN QUE INICIÓ LA EJECUCIÓN DEL CONTRATO HASTA EL 21 DE DICIEMBRE DE 2022, INCUMPLIENDO LO ESTABLECIDO EN EL NUMERAL 4 DE LA CLÁUSULA NOVENA.</t>
  </si>
  <si>
    <t>DEBILIDADES EN EL SEGUIMIENTO DEL CUMPLIMIENTO DE LA CLÁUSULA 9 "VISITA DOMICILIARIA", CONTRATO TT-67-2022.</t>
  </si>
  <si>
    <t>FORTALECER EL SEGUIMIENTO A LAS ACTIVIDADES DE SELECCIÓN Y CONTRATACIÓN DEL PERSONAL EN MISIÓN.</t>
  </si>
  <si>
    <t>INFORME DE VERIFICACIÓN DE ACTIVIDADES DE SELECCIÓN Y CONTRATACIÓN DEL PERSONAL EN MISIÓN EMITIDO PO</t>
  </si>
  <si>
    <t>INFORME DE VERIFICACIÓN DE ACTIVIDADES DE SELECCIÓN Y CONTRATACIÓN DEL PERSONAL EN MISIÓN EMITIDO POR LA EST, SOBRE PERSONAL EFECTIVAMENTE VINCULADO.</t>
  </si>
  <si>
    <t>Se adjuntan los informes mensuales de selección y contratación del personal en misión emitidos por la Empresa Temporal.</t>
  </si>
  <si>
    <t>https://drive.google.com/drive/u/0/folders/1XYkTukK5BCTpIc_M-G_UWhhA92SAkByL</t>
  </si>
  <si>
    <t>EN EL CONTRATO TT-67-2022 SE SOLICITARÁ POR LA SUPERVISIÓN A LA EST, REMITIR DENTRO DEL INFORME MENSUAL CON LA RELACIÓN Y ANALISIS DE LAS VISITAS DOMICILIARIAS REALIZADAS EN TODOS LOS PROCESOS DE INGRESO.</t>
  </si>
  <si>
    <t>INFORME MENSUAL DE VISITAS DOMICILIARIAS REALIZADAS.</t>
  </si>
  <si>
    <t>EN EL CONTRATO TT-67-2022 SE SOLICITARÁ POR LA SUPERVISIÓN A LA EST, REMITIR DENTRO DEL INFORME MENSUAL CON LA RELACIÓN Y ANALISIS DE LAS VISITAS DOMICILIARIAS REALIZADAS EN TODOS LOS PROCESOS DE INGR</t>
  </si>
  <si>
    <t>Se adjuntan los informes mensuales de las visitas domiciliarias realizadas por la Empresa Temporal.</t>
  </si>
  <si>
    <t>https://drive.google.com/drive/u/0/folders/1Vwi1VbNT6Wgtc8rmN8-VKp_RomW-HivJ</t>
  </si>
  <si>
    <t>3.4.2.4.4</t>
  </si>
  <si>
    <t>HALLAZGO ADMINISTRATIVO CON PRESUNTA INCIDENCIA DISCIPLINARIA, PORQUE LA TERMINAL DE TRANSPORTE S.A., MEDIANTE OTROSÍ NO. 3 DEL 15 DE AGOSTO DE 2023, AJUSTA LOS PRECIOS DE LA DOTACIÓN VESTIDO LABOR ENTREGADA EN FEBRERO, ABRIL Y MAYO DE 2023 EN EL MARCO DEL CONTRATO DE PRESTACIÓN DE SERVICIOS NO. TT-67-2022, DESCONOCIENDO LOS PRECIOS PACTADOS EN EL OTROSÍ NO. 1 SUSCRITO EL 5 DE OCTUBRE DE 2022, OCASIONANDO UN INCREMENTO DE $72,65 MILLONES.</t>
  </si>
  <si>
    <t>VARIACIÓN DE PRECIOS NO ACORDADOS PREVIAMENTE CON EL CONTRATISTA.</t>
  </si>
  <si>
    <t>ESTABLECER EN PRÓXIMOS CONTRATOS QUE PUEDAN SER SUSCRITOS CON UNA EMPRESA DE SERVICIOS TEMPORALES, LA OBLIGACIÓN DEL SUMINISTRO DE LA DOTACIÓN DE VESTIDO LABOR A CARGO DE LA EST COMO EMPLEADOR.</t>
  </si>
  <si>
    <t>CLÁUSULA CONTRACTUAL QUE DEFINE COMO UNA OBLIGACIÓN DE LA EMPRESA DE SERVICIOS TEMPORALES, EL SUMINI</t>
  </si>
  <si>
    <t>VERIFICACIÓN DE LA INCLUSIÓN DE LA CLÁUSULA CONTRACTUAL EN UN EVENTUAL CONTRATO CON UNA EST.</t>
  </si>
  <si>
    <t>Se establece en el contrato con la empresa temporal, la obligación del suministro de la dotación de vestido labor.</t>
  </si>
  <si>
    <t xml:space="preserve"> https://drive.google.com/drive/u/0/folders/1NC4XwpKC2y2yU2XJubIdv1n_G2pIegfb</t>
  </si>
  <si>
    <t>HALLAZGO ADMINISTRATIVO CON PRESUNTA INCIDENCIA DISCIPLINARIA, POR DEFICIENCIAS EN LA PLANEACIÓN DEL CONTRATO TT-55-2022, CUYO OBJETO ES “MANTENIMIENTO Y ADECUACIONES A LOS PARQUEADEROS Y ESPACIOS PÚBLICOS QUE SE ENCUENTRAN A CARGO DEL DADEP, EN VIRTUD DEL CONTRATO INTERADMINISTRATIVO NO. 110-00129-359-0-2019”</t>
  </si>
  <si>
    <t>DEFICIENCIAS EN LA PLANIFICACIÓN DEL CONTRATO Y FALTA FORMALIZACIÓN DE LOS TIEMPOS DE ÁVISO DE PUBLICACIÓN DE LAS OFERTAS, QUE GARANTICEN LOS PRINCIPIOS DE PUBLICIDAD, EQUIDAD Y LIBRE COMPETENCIA.</t>
  </si>
  <si>
    <t>EXPEDICIÓN DE DIRECTRIZ DE INCLUIR CRONOGRAMA DEL PROCESO CONTRACTUAL EN LOS DOCUMENTOS MÍNIMOS QUE SON PUESTOS A CONSIDERACIÓN DEL COMITE DE CONTRATACIÓN.</t>
  </si>
  <si>
    <t>EXPEDICIÓN DE DIRECTRIZ DE INCLUIR CRONOGRAMA DEL PROCESO CONTRACTUAL EN LOS DOCUMENTOS MINIMOS QUE</t>
  </si>
  <si>
    <t>EXPEDICIÓN DE DIRECTRIZ DE INCLUIR CRONOGRAMA DEL PROCESO CONTRACTUAL EN LOS DOCUMENTOS MINIMOS QUE SON PUESTOS A CONSIDERACIÓN DEL COMITE DE CONTRATACIÓN.</t>
  </si>
  <si>
    <t>2023-11-15</t>
  </si>
  <si>
    <t>Se expide directriz de incluir cronograma del proceso contractual en los documentos mínimos que son puestos a consideración del comité de contratación.</t>
  </si>
  <si>
    <t>https://drive.google.com/drive/u/0/folders/1ItONSdWdua3UE1kseJbAmYKbSDelOmY5</t>
  </si>
  <si>
    <t>ELABORACIÓN DE UNA LISTA DE CHEQUEO EN EL SIG DE LOS DOCUMENTOS MINIMOS QUE SON LLEVADOS AL COMITE DE OCNTRATACIÓN QUE INCLUYA EL CRONOGRAMA DE LOS PROCESOS CONTRACTUALES DE CADA PROCESO.</t>
  </si>
  <si>
    <t>ELABORACIÓN DE UNA LISTA DE CHEQUEO EN EL SIG DE LOS DOCUMENTOS MINIMOS QUE SON LLEVADOS AL COMITE</t>
  </si>
  <si>
    <t>ELABORACIÓN DE UNA LISTA DE CHEQUEO EN EL SIG DE LOS DOCUMENTOS MINIMOS QUE SON LLEVADOS AL COMITE DE CONTRATACIÓN QUE INCLUYA EL CRONOGRAMA DE LOS PROCESOS CONTRACTUALES DE CADA PROCESO.</t>
  </si>
  <si>
    <t>Se implementó el Formato "CHECK LIST DOCUMENTOS COMITÉ DE CONTRATACIÓN " Código: JGC-FT-60, el cual define los documentos mínimos que son llevados al comité de contratación, el cual se encuentra públicado y disponibles en el SIG.</t>
  </si>
  <si>
    <t>https://drive.google.com/drive/u/0/folders/1N-iUN8Zc_eMv-tKzYcu98jTZ9gnM1OD3</t>
  </si>
  <si>
    <t>3.4.2.5.2</t>
  </si>
  <si>
    <t>HALLAZGO ADMINISTRATIVO CON PRESUNTA INCIDENCIA DISCIPLINARIA, POR LA EJECUCIÓN DEL CONTRATO TT-55-2022, QUE TIENE POR OBJETO “MANTENIMIENTO Y ADECUACIONES A LOS PARQUEADEROS Y ESPACIOS PÚBLICOS QUE SE ENCUENTRAN A CARGO DEL DADEP, EN VIRTUD DEL CONTRATO INTERADMINISTRATIVO NO. 110-00129-359-0-2019”</t>
  </si>
  <si>
    <t>DEFICIENCIAS EN LA SUPERVISIÓN DEL CONTRATO, QUE GARANTICEN LOS PRINCIPIOS DE CONTRATACIÓN: PLANEACIÓN, EFICACIA Y TRANSPARENCIA.</t>
  </si>
  <si>
    <t>MODIFICACIÓN Y ACTUALIZACION DEL MANUAL DE SUPERVISIÓN E INTERVENTORIA DURANTE VIGENCIA 2023, CON EL PROPÓSITO DE FORTALECER LOS MECANISMOS DE SEGUIMIENTO, DETERMINANDO OBLIGACIONES DE SUPERVISIÓN Y DE APOYO A LA SUPERVISI</t>
  </si>
  <si>
    <t>MODIFICACIÓN Y ACTUALIZACION DEL MANUAL DE SUPERVISIÓN E INTERVENTORIA.</t>
  </si>
  <si>
    <t>MODIFICACIÓN Y ACTUALIZACION DEL MANUAL DE SUPERVISIÓN E INTERVENTORIA DURANTE VIGENCIA 2023.</t>
  </si>
  <si>
    <t>2024-01-15</t>
  </si>
  <si>
    <t>Se Actualiza el Manual de Contratación , con el fin de fortalecer los mecanismos de seguimiento, determinando obligaciones de supervisión y de apoyo a la supervisión.</t>
  </si>
  <si>
    <t>https://drive.google.com/drive/u/0/folders/1jtJRmV82aqNnjnkU_bnMWrd-HAhtj3Ds</t>
  </si>
  <si>
    <t>FORTALECIMIENTO DE LOS PROCESOS DE SUPERVISIÓN CONTRACTUAL, MEDIANTE LA REALIZACION DE DOS (2) CAPACITACIONES DURANTE LA VIGENCIA DEL PLAN DE MEJORAMIENTO EN RELACIÓN CON EL ALCANCE Y RESPONSABILIDADES DE LA SUPERVISIÓN.</t>
  </si>
  <si>
    <t>DEFINICIÓN DE CRONOGRAMA DE CAPACITACIONES SOBRE SUPERVISIÓN DE CONTRATO</t>
  </si>
  <si>
    <t>REALIZACION DE DOS (2) CAPACITACIONES DURANTE LA VIGENCIA DEL PLAN DE MEJORAMIENTO.</t>
  </si>
  <si>
    <t>Se realizaron capacitaciones durante la vigencia del Plan de mejoramiento, sobre supervisión de contratos.</t>
  </si>
  <si>
    <t>https://drive.google.com/drive/u/0/folders/1guIfT-WIQx9vnUAswiSGj4qTRf8AQdJN</t>
  </si>
  <si>
    <t>3.4.2.6.1</t>
  </si>
  <si>
    <t>HALLAZGO ADMINISTRATIVO, PORQUE EL SUPERVISOR DEL CONTRATO TT-47-2022, PRESENTÓ EL INFORME FINAL DE SUPERVISIÓN CUANDO LOS AMPAROS DE CUMPLIMIENTO Y CALIDAD DEL CONTRATO YA HABÍAN EXPIRADO.</t>
  </si>
  <si>
    <t>PRESENTACIÓN INOPORTUNA DEL INFORME FINAL.</t>
  </si>
  <si>
    <t>MODIFICACIÓN Y ACTUALIZACION DEL MANUAL DE SUPERVISIÓN E INTERVENTORIA DURANTE VIGENCIA 2023 DEFINIENDO TIEMPOS DE PRESENTACIÓN DEL INFORME FINAL DE EJECUCIÓN CONTRACTUAL.</t>
  </si>
  <si>
    <t>Se actualizó el Manual de Supervisión e Interventoría Código: GJC-MN02, con el próposito de definir tiempos de de presentación del informe final de ejecución contractual.-</t>
  </si>
  <si>
    <t>https://drive.google.com/drive/u/0/folders/17PSsuq238qXZY9mwpgDgab0g9OSxkVF4</t>
  </si>
  <si>
    <t>FORTALECIMIENTO DE LOS PROCESOS DE SUPERVISIÓN CONTRACTUAL, MEDIANTE LA REALIZACION DE DOS (2) CAPACITACIONES DURANTE LA VIGENCIA DEL PLAN DE MEJORAMIENTO.</t>
  </si>
  <si>
    <t>DEFINICIÓN DE CRONOGRAMA DE CAPACITACIONES SOBRE SUPERVISIÓN DE CONTRATOS</t>
  </si>
  <si>
    <t>REALIZACION DE DOS (2) CAPACITACIONES DURANTE LA VIGENCIA DEL PLAN DE MEJORAMIENTO QUE INCLUYA LOS TIEMPOS DE PRESENTACIÓN DEL INFORME FINAL DE EJECUCIÓN CONTRACTUAL.</t>
  </si>
  <si>
    <t>https://drive.google.com/drive/u/0/folders/1KXbESP4hXKmzTjN40WXUu272esJMw8-e</t>
  </si>
  <si>
    <t>Vigencia</t>
  </si>
  <si>
    <t>Auditoría</t>
  </si>
  <si>
    <t>No. Hallazgo</t>
  </si>
  <si>
    <t>Total Planes de acción</t>
  </si>
  <si>
    <t>Total hallazgos</t>
  </si>
  <si>
    <t>Vencidos</t>
  </si>
  <si>
    <t>Finalizados</t>
  </si>
  <si>
    <t>Abiertos</t>
  </si>
  <si>
    <t>Alerta 10</t>
  </si>
  <si>
    <t>Alerta 20</t>
  </si>
  <si>
    <t>Alerta 30</t>
  </si>
  <si>
    <t>Vencimiento</t>
  </si>
  <si>
    <t xml:space="preserve">Responsable </t>
  </si>
  <si>
    <t>Etiquetas de fila</t>
  </si>
  <si>
    <t>Total general</t>
  </si>
  <si>
    <t>Suma de Abiertos</t>
  </si>
  <si>
    <t>Suma de Vencidos</t>
  </si>
  <si>
    <t>Suma de Finalizados</t>
  </si>
  <si>
    <t>Suma de Total Planes de acción</t>
  </si>
  <si>
    <t>Valores</t>
  </si>
  <si>
    <t>Suma de Alerta 10</t>
  </si>
  <si>
    <t>Suma de Alerta 20</t>
  </si>
  <si>
    <t>Suma de Alerta 30</t>
  </si>
  <si>
    <t>Fecha Última actualización</t>
  </si>
  <si>
    <t>Suma de Total hallazgos</t>
  </si>
  <si>
    <t>Columna1</t>
  </si>
  <si>
    <t>Alerta 5</t>
  </si>
  <si>
    <t>Suma de Alerta 5</t>
  </si>
  <si>
    <t>Correo Responsables</t>
  </si>
  <si>
    <t>roberto.bermudez@terminaldetransporte.gov.co,miguel.salina@terminaldetransporte.gov.co</t>
  </si>
  <si>
    <t>manuel.cifuentes@terminaldetransporte.gov.coedgar.ortiz@terminaldetransporte.gov.co</t>
  </si>
  <si>
    <t>manuel.cifuentes@terminaldetransporte.gov.co,edgar.ortiz@terminaldetransporte.gov.co,roberto.bermudez@terminaldetransporte.gov.co,miguel.salina@terminaldetransporte.gov.co</t>
  </si>
  <si>
    <t>roberto.bermudez@terminaldetransporte.gov.co,miguel.salina@terminaldetransporte.gov.co,carlos.salcedo@terminaldetransporte.gov.co,juan.alviz@terminaldetransporte.gov.co,omar.gamboa@terminaldetransporte.gov.co</t>
  </si>
  <si>
    <t>diana.ortiz@terminaldetransporte.gov.co,linda.florez@terminaldetransporte.gov.co</t>
  </si>
  <si>
    <t>fabian.silva@terminaldetransporte.gov.co,anderson.reyes@terminaldetransporte.gov.co,leonardo.vasquez@terminaldetransporte.gov.co</t>
  </si>
  <si>
    <t>manuel.cifuentes@terminaldetransporte.gov.co,edgar.ortiz@terminaldetransporte.gov.co</t>
  </si>
  <si>
    <t>manuel.cifuentes@terminaldetransporte.gov.co,edgar.ortiz@terminaldetransporte.gov.co,carlos.salcedo@terminaldetransporte.gov.co,juan.alviz@terminaldetransporte.gov.co,omar.gamboa@terminaldetransporte.gov.co</t>
  </si>
  <si>
    <t>julio.mosquera@terminaldetransporte.gov.co,manuel.salgado@terminaldetransporte.gov.co,edgar.guzman@terminaldetransporte.gov.co,Jesus.duarte@terminaldetransporte.gov.co</t>
  </si>
  <si>
    <t>eduardo.gonzalez@terminaldetransporte.gov.co,manuel.santamaria@terminaldetransporte.gov.co</t>
  </si>
  <si>
    <t>eduardo.gonzalez@terminaldetransporte.gov.co,manuel.santamaria@terminaldetransporte.gov.co,julio.mosquera@terminaldetransporte.gov.co,Jesus.duarte@terminaldetransporte.gov.co</t>
  </si>
  <si>
    <t>estefania.guzman@terminaldetransporte.gov.co,adriana.mojica@terminaldetransporte.gov.co</t>
  </si>
  <si>
    <t>leonardo.vasquez@terminaldetransporte.gov.co,manuel.salgado@terminaldetransporte.gov.co,edgar.guzman@terminaldetransporte.gov.co,julio.mosquera@terminaldetransporte.gov.co</t>
  </si>
  <si>
    <t>leonardo.vasquez@terminaldetransporte.gov.co,andrea.lievano@terminaldetransporte.gov.co,gerson.lugo@terminaldetransporte.gov.co</t>
  </si>
  <si>
    <t>carlos.salcedo@terminaldetransporte.gov.co,juan.alviz@terminaldetransporte.gov.co,omar.gamboa@terminaldetransporte.gov.co</t>
  </si>
  <si>
    <t>Cuenta de ESTADO</t>
  </si>
  <si>
    <t>Fecha cierre x Auditoría</t>
  </si>
  <si>
    <t>Se actualzian los Procedimeintos MANTENIMIENTO PREVENTIVO CORRECTIVO FTI-PR08, Y DEL PLAN DE MANTENIMENTO CORRECTIVO Y PREVENTIVO FTI-PL01 DE LA TTSA, referncuiando la infraestructura del control de tiempos de permanencia</t>
  </si>
  <si>
    <t>DIRECCIÓNDEGESTIÓNFINANCIERA</t>
  </si>
  <si>
    <t>DIRECCIÓNDERECURSOSFÍSICOSYNEGOCIOS</t>
  </si>
  <si>
    <t>DIRECCIÓNDEGESTIÓNHUMANA</t>
  </si>
  <si>
    <t>SUBGERENCIAJURÍDICA</t>
  </si>
  <si>
    <t>SUBGERENCIADESERVICIOSOPERACIONALESEINFRAESTRUCTURA</t>
  </si>
  <si>
    <t>SUBGERENCIACORPORATIVA</t>
  </si>
  <si>
    <t>DIRECCIÓNDEINFRAESTRUCTURA</t>
  </si>
  <si>
    <t>DIRECCIÓNDERECURSOSTECNOLÓGICOS
DIRECCIÓNDEGESTIÓNFINANCIERA</t>
  </si>
  <si>
    <t>SUBGERENCIADEPLANEACIÓNYPROYECTOS</t>
  </si>
  <si>
    <t>DIRECCIÓNDESERVICIOALTRANSPORTADOR</t>
  </si>
  <si>
    <t>DIRECCIÓNDERECURSOSFÍSICOS</t>
  </si>
  <si>
    <t>DIRECCIÓNDESEGURIDADOPERACIONAL</t>
  </si>
  <si>
    <t>SUBGERENCIAJURÍDICADIRECCIÓNDEGESTIÓNHUMANA</t>
  </si>
  <si>
    <t>SUBGERENCIADEPLANEACIÓNYPROYECTOSDIRECCIÓNDERECURSOSFÍSICOSYNEGOCIOS</t>
  </si>
  <si>
    <t>SUBGERENCIACORPORATIVADIRECCIÓNDEGESTIÓNFINANCIERADIRECCIÓNDERECURSOSTECNOLÓGICOS</t>
  </si>
  <si>
    <t>OFICINADEAUDITORÍAINTERNASUBGERENCIAJURÍDICADIRECCIÓNFINANCIERA</t>
  </si>
  <si>
    <t>SUBGERENCIAPLANEACIÓNYPROYECTOS</t>
  </si>
  <si>
    <t>SUBGERENCIAPLANEACIÓNYPROYECTOS(ZPP)</t>
  </si>
  <si>
    <t>SUBGERENCIADEPLANEACIÓNYPROYECTOSDIRECCIÓNDEGESTIÓNHUMANA</t>
  </si>
  <si>
    <t>DIRECCIÓNDEGESTIÓNFINANCIERA/DIRECCIÓNDERECURSOSFÍSICOSYNEGOCIOS</t>
  </si>
  <si>
    <t>DIRECCIÓNDERECURSOSFÍSICOSYNEGOCIOS/SUBGERENCIAJURÍDICA</t>
  </si>
  <si>
    <t>DIRECCIÓNDEGESTIÓNFINANCIERA/SUBGERENCIAJURÍDICA</t>
  </si>
  <si>
    <t>SUBGERENCIACORPORATIVA/DIRECCIÓNDEGESTIÓNFINANCIERA</t>
  </si>
  <si>
    <t>DIRECCIÓNDESERVICIOALTRANSPORTADOR/DIRECCIÓNDERECURSOSTECNOLÓGICOS</t>
  </si>
  <si>
    <t>SUBGERENCIACORPORATIVA/DIRECCIÓNDERECURSOSTECNOLÓGICOS</t>
  </si>
  <si>
    <t>Planes de Acción vencidos (Dirección de Gestión Financiera)</t>
  </si>
  <si>
    <t>Compromisos establecidos en la reunión virtual del día 20 de abril de 2026 (08:30 a 09:30) Virtual</t>
  </si>
  <si>
    <r>
      <rPr>
        <b/>
        <sz val="10"/>
        <color theme="1"/>
        <rFont val="Arial"/>
        <family val="2"/>
      </rPr>
      <t>Participantes en la reunión:</t>
    </r>
    <r>
      <rPr>
        <sz val="10"/>
        <color theme="1"/>
        <rFont val="Arial"/>
        <family val="2"/>
      </rPr>
      <t xml:space="preserve">
Roberto Bermúdez
Miguel Salina
Luis German Vizcaino
Diego Vásquez
</t>
    </r>
  </si>
  <si>
    <t>COMPROMISO</t>
  </si>
  <si>
    <t>Planes de Acción vencidos (Dirección de Recursos Tecnológicos)</t>
  </si>
  <si>
    <t>Compromisos establecidos en la reunión virtual del día 23 de abril de 2026 (10:00 a 11:00) Virtual</t>
  </si>
  <si>
    <r>
      <rPr>
        <b/>
        <sz val="10"/>
        <color theme="1"/>
        <rFont val="Arial"/>
        <family val="2"/>
      </rPr>
      <t>Participantes en la reunión:</t>
    </r>
    <r>
      <rPr>
        <sz val="10"/>
        <color theme="1"/>
        <rFont val="Arial"/>
        <family val="2"/>
      </rPr>
      <t xml:space="preserve">
Julio Mosquera
Eduardo González Mora
Marcela Angarita
Luis German Vizcaino
Diego Vásquez
</t>
    </r>
  </si>
  <si>
    <t xml:space="preserve">El 6 de abril se envió el Manual de Cumplimiento Tributario Versión 1 a la Sub Gerencia de Planeación y Proyectos para que sea cargado en el SIG </t>
  </si>
  <si>
    <t xml:space="preserve">El 21 de abril se envió el Procedimiento Conciliación entre Dependencias Versión 1 a la Sub Gerencia de Planeación y Proyectos para que sea cargado en el SIG </t>
  </si>
  <si>
    <t>Se adjuntan como soportes el intercambio de correos entre la Terminal y las diferentes entidades, donde se evidencia el inicio del proceso de conciliación.</t>
  </si>
  <si>
    <r>
      <rPr>
        <b/>
        <sz val="10"/>
        <color theme="1"/>
        <rFont val="Arial"/>
        <family val="2"/>
      </rPr>
      <t>Participantes en la reunión:</t>
    </r>
    <r>
      <rPr>
        <sz val="10"/>
        <color theme="1"/>
        <rFont val="Arial"/>
        <family val="2"/>
      </rPr>
      <t xml:space="preserve">
Estefania Gúzman
Adriana Mojica
Diego Vásquez
</t>
    </r>
  </si>
  <si>
    <t>Planes de Acción vencidos (Sub Gerencia de Planeación y Proyectos)</t>
  </si>
  <si>
    <t>Compromisos establecidos en la reunión virtual del día 23 de abril de 2026 02:30 pm 03:00 pm) Virtual</t>
  </si>
  <si>
    <t>27/04/2026 se remite a Planeación para cargar en el SIG</t>
  </si>
  <si>
    <t>Planes de Acción vencidos (Dirección de Gestión Humana)</t>
  </si>
  <si>
    <t>Compromisos establecidos en la reunión virtual del día 24 de abril de 2026 02:30 pm 03:00 pm) Virtual</t>
  </si>
  <si>
    <r>
      <rPr>
        <b/>
        <sz val="10"/>
        <color theme="1"/>
        <rFont val="Arial"/>
        <family val="2"/>
      </rPr>
      <t xml:space="preserve">Participantes en la reunión:
</t>
    </r>
    <r>
      <rPr>
        <sz val="10"/>
        <color theme="1"/>
        <rFont val="Arial"/>
        <family val="2"/>
      </rPr>
      <t xml:space="preserve">Diana María Ortiz Juliao
Linda Patricia Florez
Luis german Vizcaino
Diego Vásquez
</t>
    </r>
  </si>
  <si>
    <t>Falta aprobación Jurídica y Fiananciera - Fecha de publicación 20 de mayo</t>
  </si>
  <si>
    <t>Jueves negro</t>
  </si>
  <si>
    <t>12 de marzo</t>
  </si>
  <si>
    <t>a medío día aproximadamente</t>
  </si>
  <si>
    <t>Exoneraciones existe despues de 5 millones</t>
  </si>
  <si>
    <t>Actualización programada</t>
  </si>
  <si>
    <t>Averiguar que se hizo con la plata de la aseguradora por las antenitas</t>
  </si>
  <si>
    <t>Verificar permenancias de abril, algunos días se inactivan y todo el día aparece en cero</t>
  </si>
  <si>
    <t>Corporativa</t>
  </si>
  <si>
    <t>85 millones</t>
  </si>
  <si>
    <t>Verificar programa de velocidad</t>
  </si>
  <si>
    <t>Hernan Delgadillo</t>
  </si>
  <si>
    <r>
      <rPr>
        <b/>
        <sz val="10"/>
        <color theme="1"/>
        <rFont val="Arial"/>
        <family val="2"/>
      </rPr>
      <t xml:space="preserve">Participantes en la reunión:
</t>
    </r>
    <r>
      <rPr>
        <sz val="10"/>
        <color theme="1"/>
        <rFont val="Arial"/>
        <family val="2"/>
      </rPr>
      <t xml:space="preserve">Leonardo Vásquez
Gerson Lugo
Javier Veloza
Andrea Lievano
Julio Mosquera
Edgar Gúzman
Diego Vásquez
</t>
    </r>
  </si>
  <si>
    <t xml:space="preserve">Analizar proceso sancionatorio en contra del contratista - (Supervisores y Jurídica) - Tener respuesta para el día 30/04/2026 - Reunión nuevamente el lunes 4 de mayo </t>
  </si>
  <si>
    <t>Seguimiento Interfaces - miercoles 13</t>
  </si>
  <si>
    <t>ZPP - Solicitud de información a ETB; 12 de mayo de 2026
PFV - Pendiente</t>
  </si>
  <si>
    <r>
      <t xml:space="preserve">Planes de Acción - </t>
    </r>
    <r>
      <rPr>
        <b/>
        <sz val="10"/>
        <color theme="9" tint="-0.249977111117893"/>
        <rFont val="Arial"/>
        <family val="2"/>
      </rPr>
      <t>Modificación</t>
    </r>
    <r>
      <rPr>
        <b/>
        <sz val="10"/>
        <color theme="1"/>
        <rFont val="Arial"/>
        <family val="2"/>
      </rPr>
      <t xml:space="preserve"> (Sub Gerencia Jurídica)</t>
    </r>
  </si>
  <si>
    <r>
      <rPr>
        <b/>
        <sz val="10"/>
        <color theme="1"/>
        <rFont val="Arial"/>
        <family val="2"/>
      </rPr>
      <t xml:space="preserve">Participantes en la reunión:
</t>
    </r>
    <r>
      <rPr>
        <sz val="10"/>
        <color theme="1"/>
        <rFont val="Arial"/>
        <family val="2"/>
      </rPr>
      <t xml:space="preserve">Carlos salcedo de la Vega
Fabian Carvajal
Ana lucía Nieto
Diego Vásquez
</t>
    </r>
  </si>
  <si>
    <t>Planes de Acción vencidos (Sub Gerencia de Servicios Operacionales e Infraestructura)</t>
  </si>
  <si>
    <t xml:space="preserve">Parqueaderos Fuera de Vía: 22/05/2026 reunión verificar información 
Parqueaderos en Vía: </t>
  </si>
  <si>
    <t>Programar reunión miercoles 3 de junio de 2026</t>
  </si>
  <si>
    <t>Se implementa el Procedimiento Conciliación Contable entre Dependencias CÓDIGO: GFI-PR12, el cual establece los lineamientos técnicos para la ejecución del procedimiento de conciliación contable entre dependencias y módulos del sistema.</t>
  </si>
  <si>
    <t>Se implementa el Manual de Cumplimiento Tributario Nacional y Territorial CÓDIGO: GFI-MN02, el cual establece los lineamientos para la identificación, determinación, presentación y pago oportuno de las obligaciones tributarias del orden nacional y territorial de la Terminal de Transporte S.A..</t>
  </si>
  <si>
    <t>Se implementa el Plan Anual de Operación y Mnatenimiento de la Planta de Tratamiento de Aguas Residuales (PTAR) Módulo Excretas - Terminal de Transporte S.A. CÓDIGO: GAM-PL02, el cual define, programa y controla las actividades de mantenimiento preventivo, predictivo y correctivo de la Planta de Tratamiento de Aguas Residuales – PTAR del Módulo de Excretas del Terminal de Transporte de Bogotá – Sede Salitre, con el fin de garantizar la continuidad operativa del sistema.</t>
  </si>
  <si>
    <t>Se implementa el Procedimiento Trámite de Incapacidades CÓDIGO: GTS-PR22, el cual establece los lineamientos para el trámite de reconocimiento, liquidación, pago, cobro y conciliación de las incapacidades y licencias del personal de la Terminal de Transporte S.A.</t>
  </si>
  <si>
    <t>Ene</t>
  </si>
  <si>
    <t>Feb</t>
  </si>
  <si>
    <t>Abr</t>
  </si>
  <si>
    <t>May</t>
  </si>
  <si>
    <t>Jun</t>
  </si>
  <si>
    <t>Marzo</t>
  </si>
  <si>
    <t>Cuenta de No. Hallazgo</t>
  </si>
  <si>
    <t>Área Responsable</t>
  </si>
  <si>
    <t>Total Planes de Acción</t>
  </si>
  <si>
    <t>Abierto en término</t>
  </si>
  <si>
    <t>Vencido</t>
  </si>
  <si>
    <t>Finalizado</t>
  </si>
  <si>
    <t>Dirección de Gestión Financiera</t>
  </si>
  <si>
    <t>Dirección de Gestión Humana</t>
  </si>
  <si>
    <t>Dirección de Infraestructura</t>
  </si>
  <si>
    <t>Dirección de Recursos Físicos y Negocios</t>
  </si>
  <si>
    <t>Dirección de Seguridad Operacional</t>
  </si>
  <si>
    <t>Dirección de Servicio al Transportador</t>
  </si>
  <si>
    <t>Sub Gerencia Corporativa</t>
  </si>
  <si>
    <t>Sub Gerencia de Planeación y Proyectos</t>
  </si>
  <si>
    <t>Sub Gerencia de Servicios Operacionales e Infraestructura</t>
  </si>
  <si>
    <t xml:space="preserve">Sub Gerencia Jurídica </t>
  </si>
  <si>
    <t>Total Hallazgos</t>
  </si>
  <si>
    <t>PAD</t>
  </si>
  <si>
    <t>Suma de Auditoría</t>
  </si>
  <si>
    <t>Total General</t>
  </si>
  <si>
    <t>Tabla 1: Planes de Acción por Auditoría</t>
  </si>
  <si>
    <t>Tabla 2: Planes de Acción por unico Responsable</t>
  </si>
  <si>
    <t>10 a 15 de julio</t>
  </si>
  <si>
    <t>Tabla 3: Planes de Acción por Responsable Compartido</t>
  </si>
  <si>
    <t>Dirección de Gestión Financiera
Dirección de Recursos Físicos y Negocios</t>
  </si>
  <si>
    <t>Dirección de Gestión Financiera
Sub Gerencia Jurídica</t>
  </si>
  <si>
    <t>Dirección de Recursos Físicos y Negocios
Sub Gerencia Jurídica</t>
  </si>
  <si>
    <t>Dirección de Recursos Tecnológicos
Dirección de Gestión Financiera</t>
  </si>
  <si>
    <t>Dirección de Servicio al Transportador
Dirección de Recursos Tecnológicos</t>
  </si>
  <si>
    <t>Oficina de Auditoría Interna
Dirección de Gestión Financiera
Sub Gerencia Jurídica</t>
  </si>
  <si>
    <t>Sub Gerencia Corporativa
Dirección de Gestión Financiera</t>
  </si>
  <si>
    <t>Sub Gerencia Corporativa
Dirección de Recursos Tecnológicos</t>
  </si>
  <si>
    <t>Sub Gerencia Corporativa
Dirección de Gestión Financiera
Dirección de Recursos Tecnológicos</t>
  </si>
  <si>
    <t>Sub Gerencia de Planeación y Proyectos
Dirección de Gestión Humana</t>
  </si>
  <si>
    <t>Sub Gerencia de Planeación y Proyectos
Dirección de Recursos Físicos y Negocios</t>
  </si>
  <si>
    <t>Sub Gerencia Jurídica
Dirección de Gestión Humana</t>
  </si>
  <si>
    <t>Sin Definir</t>
  </si>
  <si>
    <t>Tabla 3:El total de Planes de Acción es la suma de laTabla 2: Planes de Acción por Responsable y la Tabla 3: Planes de Acción por Responsable compartido</t>
  </si>
  <si>
    <t>VIGENCIA</t>
  </si>
  <si>
    <t xml:space="preserve">VIGENCIA </t>
  </si>
  <si>
    <t xml:space="preserve">PAD </t>
  </si>
  <si>
    <t>ENLACE EVIDENCIAS</t>
  </si>
  <si>
    <t xml:space="preserve">Entrega de informe el 30 de junio </t>
  </si>
  <si>
    <t xml:space="preserve"> </t>
  </si>
  <si>
    <t>Agendar reunión para el 3 de julio</t>
  </si>
  <si>
    <t>30/04/2026</t>
  </si>
  <si>
    <t>Se adjunta Informe que detalla y explica el funcionamiento de cada uno de los componentes de la solución, y evidencia de las pruebas efectuadas para el recibo de esta. además, del funcionamiento actual de la solución tecnológica y el estado de las reclamaciones gestionadas ante la aseguradora</t>
  </si>
  <si>
    <t>Se adjunta evidencia respecto a capacitación por parte de la subgerencia jurídica, sobre la supervisión de contratos.</t>
  </si>
  <si>
    <t>Se adjunta oficio de la dirección financiera para indicar el manejo de los CDP</t>
  </si>
  <si>
    <t>Se actualiza el Procedimiento Gestión y Recuperación de los Registros Susceptibles Código GPE-PR02 Versión 2 el cual se encuentra disponible en el SIG</t>
  </si>
  <si>
    <t>Vigencia Auditoría</t>
  </si>
  <si>
    <t>Nombre del Informe</t>
  </si>
  <si>
    <t>Enlace PDF</t>
  </si>
  <si>
    <t>https://drive.google.com/drive/u/0/folders/1Xr9YyjgouK7KDXNsneC4b6STF200hEJ8</t>
  </si>
  <si>
    <t>Auditoría Financiera y de Gestión
Terminal de Transporte S.A. -
TTSA</t>
  </si>
  <si>
    <t>PAD 88 - 2023</t>
  </si>
  <si>
    <t>PAD 90 - 2024</t>
  </si>
  <si>
    <t>Auditoría Financiera y de Gestión
Terminal de Transporte S.A. - TTSA</t>
  </si>
  <si>
    <t>https://drive.google.com/drive/u/0/folders/1ysifagca3rJF1aTSms9Rl1eUuwU182KW</t>
  </si>
  <si>
    <t>PAD 90 - 2025</t>
  </si>
  <si>
    <t>Auditoría Financiera, de Gestión y Resultados
Terminal de Transporte S.A. – TTSA</t>
  </si>
  <si>
    <t>https://drive.google.com/drive/u/0/folders/1f9Oe9ygA45IpwJ6a2AduFxL97Z70SE8i</t>
  </si>
  <si>
    <t>ESTADO ENT+W3+X:X:AH</t>
  </si>
  <si>
    <t>% Hallazgos</t>
  </si>
  <si>
    <t>0.5</t>
  </si>
  <si>
    <t>Se verifica la efectividad de la acción mediante la Resolución No. 0090 del 25/03/2026 de la Secretaría de Hacienda de Soacha (saneamiento de intereses moratorios) y el Recibo de Impuesto Predial No. 26982690 (Vigencias 2025-2026). Los soportes acreditan la depuración de la cartera y la actualización oficial del área del predio</t>
  </si>
  <si>
    <t xml:space="preserve">DIRECCIÓN DE GESTIÓN FINANCIERA </t>
  </si>
  <si>
    <t>DIRECCIÓN DE RECURSOS FÍSICOS Y NEGOCIOS</t>
  </si>
  <si>
    <t>DIRECCIÓN DE GESTIÓN HUMANA</t>
  </si>
  <si>
    <t>SUBGERENCIA JURÍDICA</t>
  </si>
  <si>
    <t>DIRECCIÓN DE GESTIÓN FINANCIERA</t>
  </si>
  <si>
    <t>SUBGERENCIA CORPORATIVA</t>
  </si>
  <si>
    <t>DIRECCIÓN DE INFRAESTRUCTURA</t>
  </si>
  <si>
    <t>SUBGERENCIA DE SERVICIOS OPERACIONALES E INFRAESTRUCTURA</t>
  </si>
  <si>
    <t>DIRECCIÓN DE SERVICIO AL TRANSPORTADOR</t>
  </si>
  <si>
    <t>DIRECCIÓN DE SEGURIDAD OPERACIONAL</t>
  </si>
  <si>
    <t>SUB GERENCIA DE SERVICIOS OPERACIONALES E INFRAESTRUCTURA</t>
  </si>
  <si>
    <t>DIRECCIÓN DE GESTIÓN FINANCIERA/
DIRECCIÓN DE RECURSOS FÍSICOS Y NEGOCIOS</t>
  </si>
  <si>
    <t>DIRECCIÓN DE GESTIÓN FINANCIERA/ SUBGERENCIAJURÍDICA</t>
  </si>
  <si>
    <t>SUBGERENCIA CORPORATIVA/
DIRECCIÓN DE GESTIÓN FINANCIERA</t>
  </si>
  <si>
    <t>DIRECCIÓN DE SERVICIO AL TRANSPORTADOR/ DIRECCIÓN DE RECURSOS TECNOLÓGICOS</t>
  </si>
  <si>
    <t>DIRECCIÓN DE RECURSOS TECNOLÓGICOS/
DIRECCIÓN DE GESTIÓN FINANCIERA</t>
  </si>
  <si>
    <t>SUBGERENCIA CORPORATIVA/ 
DIRECCIÓN DE RECURSOS TECNOLÓGICOS</t>
  </si>
  <si>
    <t>SUBGERENCIA CORPORATIVA/
DIRECCIÓN DE RECURSOS TECNOLÓGICOS</t>
  </si>
  <si>
    <t>SUBGERENCIA JURÍDICA/
DIRECCIÓN DE GESTIÓN HUMANA</t>
  </si>
  <si>
    <t>SUBGERENCIA DE PLANEACIÓN Y PROYECTOS/ DIRECCIÓN DE RECURSOS FÍSICOS Y NEGOCIOS</t>
  </si>
  <si>
    <t>SUBGERENCIA CORPORATIVA/ 
DIRECCIÓN DE GESTIÓN FINANCIERA/ 
DIRECCIÓN DE RECURSOS TECNOLÓGICOS</t>
  </si>
  <si>
    <t>OFICINA DE AUDITORÍA INTERNA/ 
SUBGERENCIA JURÍDICA/ 
DIRECCIÓN DE GESTIÓN FINANCIERA</t>
  </si>
  <si>
    <t>SUBGERENCIA DE PLANEACIÓN Y PROYECTOS/ DIRECCIÓN DE GESTIÓN HUMANA</t>
  </si>
  <si>
    <t>DIRECCIÓN DE RECURSOS FÍSICOS Y NEGOCIOS/ SUBGERENCIA JURÍDICA</t>
  </si>
  <si>
    <t>Se implementa el Manual Gestión Inmobiliaria Código: GIM-MN01, con el fin de proporcionar al personal involucrado en el proceso, una guía que regule su accionar en las actividades administrativas y de control inherentes a los bienes inmuebles de la TTSA.</t>
  </si>
  <si>
    <t>Se elaboró un informe de ajuste contable y cumplimiento del activo denominado "Lote Soacha"</t>
  </si>
  <si>
    <t>Se presenta el informe final del supervisor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</si>
</sst>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quot;$&quot;* #,##0.00_);_(&quot;$&quot;* \(#,##0.00\);_(&quot;$&quot;* &quot;-&quot;??_);_(@_)"/>
    <numFmt numFmtId="165" formatCode="_-&quot;$&quot;\ * #,##0_-;\-&quot;$&quot;\ * #,##0_-;_-&quot;$&quot;\ * &quot;-&quot;??_-;_-@_-"/>
    <numFmt numFmtId="168" formatCode="yyyy\-mm\-dd;@"/>
  </numFmts>
  <fonts count="26">
    <font>
      <sz val="11"/>
      <color theme="1"/>
      <name val="Aptos Narrow"/>
      <family val="2"/>
      <scheme val="minor"/>
    </font>
    <font>
      <sz val="11"/>
      <color theme="1"/>
      <name val="Aptos Narrow"/>
      <family val="2"/>
      <scheme val="minor"/>
    </font>
    <font>
      <u/>
      <sz val="11"/>
      <color theme="10"/>
      <name val="Aptos Narrow"/>
      <family val="2"/>
      <scheme val="minor"/>
    </font>
    <font>
      <sz val="7"/>
      <color indexed="8"/>
      <name val="sans-serif"/>
    </font>
    <font>
      <sz val="7"/>
      <color indexed="8"/>
      <name val="Arial"/>
      <family val="2"/>
    </font>
    <font>
      <sz val="8"/>
      <color theme="1"/>
      <name val="Arial"/>
      <family val="2"/>
    </font>
    <font>
      <sz val="8"/>
      <color indexed="8"/>
      <name val="Arial"/>
      <family val="2"/>
    </font>
    <font>
      <sz val="10"/>
      <color theme="1"/>
      <name val="Arial"/>
      <family val="2"/>
    </font>
    <font>
      <sz val="9"/>
      <color theme="1"/>
      <name val="Arial"/>
      <family val="2"/>
    </font>
    <font>
      <b/>
      <sz val="9"/>
      <color theme="0"/>
      <name val="Arial"/>
      <family val="2"/>
    </font>
    <font>
      <b/>
      <sz val="8"/>
      <color theme="0"/>
      <name val="Arial"/>
      <family val="2"/>
    </font>
    <font>
      <b/>
      <i/>
      <sz val="9"/>
      <color indexed="8"/>
      <name val="Arial"/>
      <family val="2"/>
    </font>
    <font>
      <b/>
      <sz val="9"/>
      <color theme="1"/>
      <name val="Arial"/>
      <family val="2"/>
    </font>
    <font>
      <b/>
      <sz val="9"/>
      <color rgb="FF002060"/>
      <name val="Arial"/>
      <family val="2"/>
    </font>
    <font>
      <sz val="8"/>
      <name val="Aptos Narrow"/>
      <family val="2"/>
      <scheme val="minor"/>
    </font>
    <font>
      <sz val="9"/>
      <color theme="1"/>
      <name val="Aptos Narrow"/>
      <family val="2"/>
      <scheme val="minor"/>
    </font>
    <font>
      <sz val="9"/>
      <color indexed="8"/>
      <name val="sans-serif"/>
    </font>
    <font>
      <sz val="9"/>
      <color indexed="8"/>
      <name val="Arial"/>
      <family val="2"/>
    </font>
    <font>
      <u/>
      <sz val="9"/>
      <color theme="10"/>
      <name val="Aptos Narrow"/>
      <family val="2"/>
      <scheme val="minor"/>
    </font>
    <font>
      <u/>
      <sz val="9"/>
      <color theme="10"/>
      <name val="Arial"/>
      <family val="2"/>
    </font>
    <font>
      <b/>
      <sz val="10"/>
      <color theme="1"/>
      <name val="Arial"/>
      <family val="2"/>
    </font>
    <font>
      <b/>
      <i/>
      <sz val="9"/>
      <color theme="0"/>
      <name val="Arial"/>
      <family val="2"/>
    </font>
    <font>
      <b/>
      <sz val="11"/>
      <color rgb="FFFF0000"/>
      <name val="Aptos Narrow"/>
      <family val="2"/>
      <scheme val="minor"/>
    </font>
    <font>
      <b/>
      <sz val="10"/>
      <color theme="9" tint="-0.249977111117893"/>
      <name val="Arial"/>
      <family val="2"/>
    </font>
    <font>
      <sz val="11"/>
      <color rgb="FFFF0000"/>
      <name val="Aptos Narrow"/>
      <family val="2"/>
      <scheme val="minor"/>
    </font>
    <font>
      <b/>
      <sz val="8"/>
      <color theme="1"/>
      <name val="Arial"/>
      <family val="2"/>
    </font>
  </fonts>
  <fills count="23">
    <fill>
      <patternFill patternType="none"/>
    </fill>
    <fill>
      <patternFill patternType="gray125"/>
    </fill>
    <fill>
      <patternFill patternType="solid">
        <fgColor rgb="FFF1F1B4"/>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rgb="FF002060"/>
        <bgColor indexed="64"/>
      </patternFill>
    </fill>
    <fill>
      <patternFill patternType="solid">
        <fgColor theme="7" tint="-0.499984740745262"/>
        <bgColor indexed="64"/>
      </patternFill>
    </fill>
    <fill>
      <patternFill patternType="solid">
        <fgColor theme="6" tint="0.59999389629810485"/>
        <bgColor indexed="64"/>
      </patternFill>
    </fill>
    <fill>
      <patternFill patternType="solid">
        <fgColor theme="4" tint="0.39997558519241921"/>
        <bgColor indexed="64"/>
      </patternFill>
    </fill>
    <fill>
      <patternFill patternType="solid">
        <fgColor theme="3" tint="0.89999084444715716"/>
        <bgColor indexed="64"/>
      </patternFill>
    </fill>
    <fill>
      <patternFill patternType="solid">
        <fgColor theme="5" tint="0.59999389629810485"/>
        <bgColor indexed="64"/>
      </patternFill>
    </fill>
    <fill>
      <patternFill patternType="solid">
        <fgColor theme="6" tint="0.79998168889431442"/>
        <bgColor indexed="64"/>
      </patternFill>
    </fill>
    <fill>
      <patternFill patternType="solid">
        <fgColor theme="4" tint="0.79998168889431442"/>
        <bgColor theme="4" tint="0.79998168889431442"/>
      </patternFill>
    </fill>
    <fill>
      <patternFill patternType="solid">
        <fgColor theme="3" tint="0.499984740745262"/>
        <bgColor indexed="64"/>
      </patternFill>
    </fill>
    <fill>
      <patternFill patternType="solid">
        <fgColor rgb="FF002060"/>
        <bgColor theme="4" tint="0.79998168889431442"/>
      </patternFill>
    </fill>
    <fill>
      <patternFill patternType="solid">
        <fgColor rgb="FF00B0F0"/>
        <bgColor indexed="64"/>
      </patternFill>
    </fill>
    <fill>
      <patternFill patternType="solid">
        <fgColor theme="9" tint="-0.249977111117893"/>
        <bgColor indexed="64"/>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style="hair">
        <color auto="1"/>
      </left>
      <right style="hair">
        <color auto="1"/>
      </right>
      <top/>
      <bottom style="hair">
        <color auto="1"/>
      </bottom>
      <diagonal/>
    </border>
    <border>
      <left style="hair">
        <color auto="1"/>
      </left>
      <right/>
      <top/>
      <bottom style="hair">
        <color auto="1"/>
      </bottom>
      <diagonal/>
    </border>
    <border>
      <left style="hair">
        <color auto="1"/>
      </left>
      <right style="hair">
        <color auto="1"/>
      </right>
      <top style="hair">
        <color auto="1"/>
      </top>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hair">
        <color rgb="FF000000"/>
      </left>
      <right style="hair">
        <color rgb="FF000000"/>
      </right>
      <top style="hair">
        <color rgb="FF000000"/>
      </top>
      <bottom/>
      <diagonal/>
    </border>
    <border>
      <left style="hair">
        <color rgb="FF000000"/>
      </left>
      <right style="hair">
        <color rgb="FF000000"/>
      </right>
      <top style="thin">
        <color theme="4" tint="0.39997558519241921"/>
      </top>
      <bottom style="hair">
        <color rgb="FF000000"/>
      </bottom>
      <diagonal/>
    </border>
  </borders>
  <cellStyleXfs count="4">
    <xf numFmtId="0" fontId="0" fillId="0" borderId="0"/>
    <xf numFmtId="9" fontId="1" fillId="0" borderId="0" applyFont="0" applyFill="0" applyBorder="0" applyAlignment="0" applyProtection="0"/>
    <xf numFmtId="0" fontId="2" fillId="0" borderId="0" applyNumberFormat="0" applyFill="0" applyBorder="0" applyAlignment="0" applyProtection="0"/>
    <xf numFmtId="164" fontId="1" fillId="0" borderId="0" applyFont="0" applyFill="0" applyBorder="0" applyAlignment="0" applyProtection="0"/>
  </cellStyleXfs>
  <cellXfs count="243">
    <xf numFmtId="0" fontId="0" fillId="0" borderId="0" xfId="0"/>
    <xf numFmtId="0" fontId="0" fillId="0" borderId="4" xfId="0" applyBorder="1" applyAlignment="1">
      <alignment vertical="center" wrapText="1"/>
    </xf>
    <xf numFmtId="0" fontId="0" fillId="0" borderId="4" xfId="0" applyBorder="1" applyAlignment="1">
      <alignment horizontal="center" vertical="center"/>
    </xf>
    <xf numFmtId="0" fontId="2" fillId="0" borderId="4" xfId="2" applyBorder="1" applyAlignment="1">
      <alignment vertical="center" wrapText="1"/>
    </xf>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0" fontId="4" fillId="8" borderId="1" xfId="0" applyFont="1" applyFill="1" applyBorder="1" applyAlignment="1">
      <alignment horizontal="left" vertical="center" wrapText="1"/>
    </xf>
    <xf numFmtId="0" fontId="0" fillId="0" borderId="4" xfId="0" applyBorder="1" applyAlignment="1">
      <alignment vertical="center"/>
    </xf>
    <xf numFmtId="0" fontId="4" fillId="8" borderId="2" xfId="0" applyFont="1" applyFill="1" applyBorder="1" applyAlignment="1">
      <alignment horizontal="left" vertical="center" wrapText="1"/>
    </xf>
    <xf numFmtId="0" fontId="4" fillId="10" borderId="1" xfId="0" applyFont="1" applyFill="1" applyBorder="1" applyAlignment="1">
      <alignment horizontal="left" vertical="center" wrapText="1"/>
    </xf>
    <xf numFmtId="0" fontId="4" fillId="10" borderId="2" xfId="0" applyFont="1" applyFill="1" applyBorder="1" applyAlignment="1">
      <alignment horizontal="left" vertical="center" wrapText="1"/>
    </xf>
    <xf numFmtId="0" fontId="0" fillId="10" borderId="4" xfId="0" applyFill="1" applyBorder="1" applyAlignment="1">
      <alignment vertical="center"/>
    </xf>
    <xf numFmtId="0" fontId="0" fillId="10" borderId="4" xfId="0" applyFill="1" applyBorder="1" applyAlignment="1">
      <alignment horizontal="center" vertical="center"/>
    </xf>
    <xf numFmtId="0" fontId="2" fillId="10" borderId="4" xfId="2" applyFill="1" applyBorder="1" applyAlignment="1">
      <alignment vertical="center" wrapText="1"/>
    </xf>
    <xf numFmtId="0" fontId="7" fillId="11" borderId="0" xfId="0" applyFont="1" applyFill="1"/>
    <xf numFmtId="0" fontId="7" fillId="11" borderId="0" xfId="0" applyFont="1" applyFill="1" applyAlignment="1">
      <alignment horizontal="center"/>
    </xf>
    <xf numFmtId="0" fontId="7" fillId="0" borderId="0" xfId="0" applyFont="1"/>
    <xf numFmtId="0" fontId="7" fillId="0" borderId="0" xfId="0" applyFont="1" applyAlignment="1">
      <alignment horizontal="center"/>
    </xf>
    <xf numFmtId="0" fontId="8" fillId="11" borderId="0" xfId="0" applyFont="1" applyFill="1" applyAlignment="1">
      <alignment horizontal="center"/>
    </xf>
    <xf numFmtId="0" fontId="8" fillId="0" borderId="0" xfId="0" applyFont="1" applyAlignment="1">
      <alignment horizontal="center"/>
    </xf>
    <xf numFmtId="0" fontId="0" fillId="0" borderId="0" xfId="0" applyAlignment="1">
      <alignment horizontal="center" vertical="center"/>
    </xf>
    <xf numFmtId="0" fontId="2" fillId="0" borderId="0" xfId="2" applyFill="1" applyBorder="1" applyAlignment="1">
      <alignment horizontal="center" vertical="center" wrapText="1"/>
    </xf>
    <xf numFmtId="0" fontId="7" fillId="11" borderId="0" xfId="0" applyFont="1" applyFill="1" applyAlignment="1">
      <alignment vertical="center"/>
    </xf>
    <xf numFmtId="0" fontId="7" fillId="0" borderId="0" xfId="0" applyFont="1" applyAlignment="1">
      <alignment vertical="center"/>
    </xf>
    <xf numFmtId="0" fontId="5" fillId="11" borderId="0" xfId="0" applyFont="1" applyFill="1" applyAlignment="1">
      <alignment horizontal="center"/>
    </xf>
    <xf numFmtId="0" fontId="5" fillId="0" borderId="0" xfId="0" applyFont="1" applyAlignment="1">
      <alignment horizontal="center"/>
    </xf>
    <xf numFmtId="0" fontId="5" fillId="0" borderId="0" xfId="0" applyFont="1"/>
    <xf numFmtId="0" fontId="8" fillId="11" borderId="0" xfId="0" applyFont="1" applyFill="1" applyAlignment="1">
      <alignment horizontal="center" vertical="center"/>
    </xf>
    <xf numFmtId="0" fontId="8" fillId="0" borderId="5" xfId="0" applyFont="1" applyBorder="1" applyAlignment="1">
      <alignment horizontal="center" vertical="center" wrapText="1"/>
    </xf>
    <xf numFmtId="0" fontId="8" fillId="0" borderId="5" xfId="0" applyFont="1" applyBorder="1" applyAlignment="1">
      <alignment horizontal="center" vertical="center"/>
    </xf>
    <xf numFmtId="0" fontId="8" fillId="0" borderId="0" xfId="0" applyFont="1" applyAlignment="1">
      <alignment horizontal="center" vertical="center"/>
    </xf>
    <xf numFmtId="0" fontId="0" fillId="12" borderId="0" xfId="0" applyFill="1"/>
    <xf numFmtId="0" fontId="8" fillId="0" borderId="6" xfId="0" applyFont="1" applyBorder="1" applyAlignment="1">
      <alignment horizontal="center" vertical="center"/>
    </xf>
    <xf numFmtId="0" fontId="10" fillId="11" borderId="7" xfId="0" applyFont="1" applyFill="1" applyBorder="1" applyAlignment="1">
      <alignment horizontal="center"/>
    </xf>
    <xf numFmtId="0" fontId="9" fillId="11" borderId="7" xfId="0" applyFont="1" applyFill="1" applyBorder="1" applyAlignment="1">
      <alignment horizontal="center"/>
    </xf>
    <xf numFmtId="0" fontId="9" fillId="11" borderId="7" xfId="0" applyFont="1" applyFill="1" applyBorder="1" applyAlignment="1">
      <alignment horizontal="center" vertical="center"/>
    </xf>
    <xf numFmtId="0" fontId="11" fillId="4" borderId="7" xfId="0" applyFont="1" applyFill="1" applyBorder="1" applyAlignment="1">
      <alignment horizontal="center" vertical="center" wrapText="1"/>
    </xf>
    <xf numFmtId="0" fontId="11" fillId="4" borderId="8" xfId="0" applyFont="1" applyFill="1" applyBorder="1" applyAlignment="1">
      <alignment horizontal="center" vertical="center" wrapText="1"/>
    </xf>
    <xf numFmtId="0" fontId="0" fillId="0" borderId="0" xfId="0" pivotButton="1"/>
    <xf numFmtId="0" fontId="0" fillId="0" borderId="0" xfId="0" applyAlignment="1">
      <alignment horizontal="left"/>
    </xf>
    <xf numFmtId="9" fontId="0" fillId="0" borderId="0" xfId="1" applyFont="1" applyAlignment="1">
      <alignment horizontal="center"/>
    </xf>
    <xf numFmtId="9" fontId="0" fillId="0" borderId="0" xfId="0" applyNumberFormat="1" applyAlignment="1">
      <alignment horizontal="center"/>
    </xf>
    <xf numFmtId="0" fontId="12" fillId="0" borderId="0" xfId="0" applyFont="1"/>
    <xf numFmtId="22" fontId="13" fillId="0" borderId="0" xfId="0" applyNumberFormat="1" applyFont="1"/>
    <xf numFmtId="0" fontId="4" fillId="8" borderId="3" xfId="0" applyFont="1" applyFill="1" applyBorder="1" applyAlignment="1">
      <alignment horizontal="left" vertical="center" wrapText="1"/>
    </xf>
    <xf numFmtId="0" fontId="4" fillId="10" borderId="3" xfId="0" applyFont="1" applyFill="1" applyBorder="1" applyAlignment="1">
      <alignment horizontal="left" vertical="center" wrapText="1"/>
    </xf>
    <xf numFmtId="0" fontId="0" fillId="0" borderId="0" xfId="0" applyAlignment="1">
      <alignment horizontal="center"/>
    </xf>
    <xf numFmtId="0" fontId="3" fillId="8" borderId="3" xfId="0" applyFont="1" applyFill="1" applyBorder="1" applyAlignment="1">
      <alignment horizontal="center" vertical="center" wrapText="1"/>
    </xf>
    <xf numFmtId="0" fontId="3" fillId="10" borderId="3" xfId="0" applyFont="1" applyFill="1" applyBorder="1" applyAlignment="1">
      <alignment horizontal="center" vertical="center" wrapText="1"/>
    </xf>
    <xf numFmtId="0" fontId="0" fillId="0" borderId="0" xfId="0" pivotButton="1" applyAlignment="1">
      <alignment horizontal="center"/>
    </xf>
    <xf numFmtId="0" fontId="0" fillId="0" borderId="0" xfId="0" pivotButton="1" applyAlignment="1">
      <alignment horizontal="left"/>
    </xf>
    <xf numFmtId="0" fontId="8" fillId="0" borderId="7" xfId="0" applyFont="1" applyBorder="1" applyAlignment="1">
      <alignment horizontal="center" vertical="center"/>
    </xf>
    <xf numFmtId="0" fontId="0" fillId="12" borderId="0" xfId="0" applyFill="1" applyAlignment="1">
      <alignment horizontal="center" vertical="center"/>
    </xf>
    <xf numFmtId="0" fontId="0" fillId="0" borderId="0" xfId="0" pivotButton="1" applyAlignment="1">
      <alignment horizontal="center" vertical="center"/>
    </xf>
    <xf numFmtId="0" fontId="11" fillId="2"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1" fillId="3" borderId="1" xfId="0" applyFont="1" applyFill="1" applyBorder="1" applyAlignment="1">
      <alignment horizontal="center" vertical="center" wrapText="1"/>
    </xf>
    <xf numFmtId="0" fontId="11" fillId="2" borderId="2" xfId="0" applyFont="1" applyFill="1" applyBorder="1" applyAlignment="1">
      <alignment horizontal="center" vertical="center" wrapText="1"/>
    </xf>
    <xf numFmtId="0" fontId="15" fillId="0" borderId="0" xfId="0" applyFont="1"/>
    <xf numFmtId="0" fontId="16" fillId="0" borderId="3" xfId="0" applyFont="1" applyBorder="1" applyAlignment="1">
      <alignment horizontal="center" vertical="center" wrapText="1"/>
    </xf>
    <xf numFmtId="0" fontId="17" fillId="0" borderId="1" xfId="0" applyFont="1" applyBorder="1" applyAlignment="1">
      <alignment horizontal="left" vertical="center" wrapText="1"/>
    </xf>
    <xf numFmtId="0" fontId="17" fillId="0" borderId="2" xfId="0" applyFont="1" applyBorder="1" applyAlignment="1">
      <alignment horizontal="left" vertical="center" wrapText="1"/>
    </xf>
    <xf numFmtId="0" fontId="17" fillId="0" borderId="3" xfId="0" applyFont="1" applyBorder="1" applyAlignment="1">
      <alignment horizontal="left" vertical="center" wrapText="1"/>
    </xf>
    <xf numFmtId="0" fontId="11" fillId="0" borderId="1" xfId="0" applyFont="1" applyBorder="1" applyAlignment="1">
      <alignment horizontal="center" vertical="center" wrapText="1"/>
    </xf>
    <xf numFmtId="0" fontId="8" fillId="0" borderId="4" xfId="0" applyFont="1" applyBorder="1" applyAlignment="1">
      <alignment horizontal="center" vertical="center"/>
    </xf>
    <xf numFmtId="0" fontId="18" fillId="0" borderId="4" xfId="2" applyFont="1" applyFill="1" applyBorder="1" applyAlignment="1">
      <alignment horizontal="center" vertical="center" wrapText="1"/>
    </xf>
    <xf numFmtId="0" fontId="18" fillId="0" borderId="0" xfId="2" applyFont="1" applyFill="1" applyBorder="1" applyAlignment="1">
      <alignment horizontal="center" vertical="center" wrapText="1"/>
    </xf>
    <xf numFmtId="0" fontId="15" fillId="0" borderId="0" xfId="0" applyFont="1" applyAlignment="1">
      <alignment horizontal="center" vertical="center"/>
    </xf>
    <xf numFmtId="14" fontId="17" fillId="0" borderId="1" xfId="0" applyNumberFormat="1" applyFont="1" applyBorder="1" applyAlignment="1">
      <alignment horizontal="left" vertical="center" wrapText="1"/>
    </xf>
    <xf numFmtId="0" fontId="8" fillId="0" borderId="4" xfId="0" applyFont="1" applyBorder="1" applyAlignment="1">
      <alignment vertical="center" wrapText="1"/>
    </xf>
    <xf numFmtId="0" fontId="15" fillId="0" borderId="4" xfId="0" applyFont="1" applyBorder="1" applyAlignment="1">
      <alignment vertical="center" wrapText="1"/>
    </xf>
    <xf numFmtId="0" fontId="15" fillId="0" borderId="4" xfId="0" applyFont="1" applyBorder="1" applyAlignment="1">
      <alignment horizontal="center" vertical="center"/>
    </xf>
    <xf numFmtId="0" fontId="18" fillId="0" borderId="4" xfId="2" applyFont="1" applyFill="1" applyBorder="1" applyAlignment="1">
      <alignment vertical="center" wrapText="1"/>
    </xf>
    <xf numFmtId="0" fontId="18" fillId="0" borderId="4" xfId="2" applyFont="1" applyBorder="1" applyAlignment="1">
      <alignment vertical="center" wrapText="1"/>
    </xf>
    <xf numFmtId="0" fontId="17" fillId="3" borderId="1" xfId="0" applyFont="1" applyFill="1" applyBorder="1" applyAlignment="1">
      <alignment horizontal="left" vertical="center" wrapText="1"/>
    </xf>
    <xf numFmtId="0" fontId="17" fillId="6" borderId="1" xfId="0" applyFont="1" applyFill="1" applyBorder="1" applyAlignment="1">
      <alignment horizontal="left" vertical="center" wrapText="1"/>
    </xf>
    <xf numFmtId="0" fontId="17" fillId="3" borderId="2" xfId="0" applyFont="1" applyFill="1" applyBorder="1" applyAlignment="1">
      <alignment horizontal="left" vertical="center" wrapText="1"/>
    </xf>
    <xf numFmtId="0" fontId="17" fillId="3" borderId="3" xfId="0" applyFont="1" applyFill="1" applyBorder="1" applyAlignment="1">
      <alignment horizontal="left" vertical="center" wrapText="1"/>
    </xf>
    <xf numFmtId="0" fontId="17" fillId="0" borderId="3" xfId="0" applyFont="1" applyBorder="1" applyAlignment="1">
      <alignment horizontal="center" vertical="center" wrapText="1"/>
    </xf>
    <xf numFmtId="0" fontId="17" fillId="7" borderId="1" xfId="0" applyFont="1" applyFill="1" applyBorder="1" applyAlignment="1">
      <alignment horizontal="left" vertical="center" wrapText="1"/>
    </xf>
    <xf numFmtId="0" fontId="17" fillId="7" borderId="2" xfId="0" applyFont="1" applyFill="1" applyBorder="1" applyAlignment="1">
      <alignment horizontal="left" vertical="center" wrapText="1"/>
    </xf>
    <xf numFmtId="0" fontId="17" fillId="7" borderId="3" xfId="0" applyFont="1" applyFill="1" applyBorder="1" applyAlignment="1">
      <alignment horizontal="left" vertical="center" wrapText="1"/>
    </xf>
    <xf numFmtId="0" fontId="8" fillId="7" borderId="4" xfId="0" applyFont="1" applyFill="1" applyBorder="1" applyAlignment="1">
      <alignment horizontal="center" vertical="center"/>
    </xf>
    <xf numFmtId="0" fontId="17" fillId="8" borderId="3" xfId="0" applyFont="1" applyFill="1" applyBorder="1" applyAlignment="1">
      <alignment horizontal="center" vertical="center" wrapText="1"/>
    </xf>
    <xf numFmtId="0" fontId="17" fillId="8" borderId="1" xfId="0" applyFont="1" applyFill="1" applyBorder="1" applyAlignment="1">
      <alignment horizontal="left" vertical="center" wrapText="1"/>
    </xf>
    <xf numFmtId="0" fontId="17" fillId="8" borderId="2" xfId="0" applyFont="1" applyFill="1" applyBorder="1" applyAlignment="1">
      <alignment horizontal="left" vertical="center" wrapText="1"/>
    </xf>
    <xf numFmtId="0" fontId="17" fillId="8" borderId="3" xfId="0" applyFont="1" applyFill="1" applyBorder="1" applyAlignment="1">
      <alignment horizontal="left" vertical="center" wrapText="1"/>
    </xf>
    <xf numFmtId="0" fontId="8" fillId="8" borderId="4" xfId="0" applyFont="1" applyFill="1" applyBorder="1" applyAlignment="1">
      <alignment horizontal="center" vertical="center"/>
    </xf>
    <xf numFmtId="0" fontId="18" fillId="8" borderId="4" xfId="2" applyFont="1" applyFill="1" applyBorder="1" applyAlignment="1">
      <alignment vertical="center" wrapText="1"/>
    </xf>
    <xf numFmtId="0" fontId="8" fillId="9" borderId="4" xfId="0" applyFont="1" applyFill="1" applyBorder="1" applyAlignment="1">
      <alignment horizontal="center" vertical="center"/>
    </xf>
    <xf numFmtId="0" fontId="19" fillId="0" borderId="4" xfId="2" applyFont="1" applyBorder="1" applyAlignment="1">
      <alignment vertical="center" wrapText="1"/>
    </xf>
    <xf numFmtId="0" fontId="2" fillId="0" borderId="0" xfId="2" applyAlignment="1">
      <alignment horizontal="center" vertical="center" wrapText="1"/>
    </xf>
    <xf numFmtId="0" fontId="15" fillId="0" borderId="0" xfId="0" applyFont="1" applyAlignment="1">
      <alignment horizontal="center" vertical="center" wrapText="1"/>
    </xf>
    <xf numFmtId="0" fontId="15" fillId="0" borderId="0" xfId="0" applyFont="1" applyAlignment="1">
      <alignment wrapText="1"/>
    </xf>
    <xf numFmtId="0" fontId="2" fillId="0" borderId="0" xfId="2" applyFill="1" applyAlignment="1">
      <alignment horizontal="center" vertical="center" wrapText="1"/>
    </xf>
    <xf numFmtId="0" fontId="2" fillId="0" borderId="4" xfId="2" applyFill="1" applyBorder="1" applyAlignment="1">
      <alignment vertical="center" wrapText="1"/>
    </xf>
    <xf numFmtId="0" fontId="17" fillId="13" borderId="1" xfId="0" applyFont="1" applyFill="1" applyBorder="1" applyAlignment="1">
      <alignment horizontal="left" vertical="center" wrapText="1"/>
    </xf>
    <xf numFmtId="0" fontId="2" fillId="0" borderId="4" xfId="2" applyFill="1" applyBorder="1" applyAlignment="1">
      <alignment horizontal="center" vertical="center" wrapText="1"/>
    </xf>
    <xf numFmtId="14" fontId="15" fillId="0" borderId="0" xfId="0" applyNumberFormat="1" applyFont="1" applyAlignment="1">
      <alignment horizontal="center" vertical="center"/>
    </xf>
    <xf numFmtId="0" fontId="17" fillId="0" borderId="4" xfId="0" applyFont="1" applyBorder="1" applyAlignment="1">
      <alignment horizontal="left" vertical="center" wrapText="1"/>
    </xf>
    <xf numFmtId="0" fontId="0" fillId="0" borderId="5" xfId="0" applyBorder="1" applyAlignment="1">
      <alignment horizontal="center" vertical="center" wrapText="1"/>
    </xf>
    <xf numFmtId="0" fontId="8" fillId="0" borderId="9" xfId="0" applyFont="1" applyBorder="1" applyAlignment="1">
      <alignment horizontal="center" vertical="center"/>
    </xf>
    <xf numFmtId="0" fontId="0" fillId="11" borderId="0" xfId="0" applyFill="1"/>
    <xf numFmtId="0" fontId="20" fillId="4" borderId="0" xfId="0" applyFont="1" applyFill="1"/>
    <xf numFmtId="0" fontId="7" fillId="4" borderId="0" xfId="0" applyFont="1" applyFill="1"/>
    <xf numFmtId="0" fontId="21" fillId="11" borderId="4" xfId="0" applyFont="1" applyFill="1" applyBorder="1" applyAlignment="1">
      <alignment horizontal="center" vertical="center" wrapText="1"/>
    </xf>
    <xf numFmtId="0" fontId="21" fillId="14" borderId="11" xfId="0" applyFont="1" applyFill="1" applyBorder="1" applyAlignment="1">
      <alignment horizontal="center" vertical="center" wrapText="1"/>
    </xf>
    <xf numFmtId="0" fontId="0" fillId="0" borderId="4" xfId="0" applyBorder="1"/>
    <xf numFmtId="0" fontId="21" fillId="11" borderId="11" xfId="0" applyFont="1" applyFill="1" applyBorder="1" applyAlignment="1">
      <alignment horizontal="center" vertical="center" wrapText="1"/>
    </xf>
    <xf numFmtId="0" fontId="21" fillId="11" borderId="12" xfId="0" applyFont="1" applyFill="1" applyBorder="1" applyAlignment="1">
      <alignment horizontal="center" vertical="center" wrapText="1"/>
    </xf>
    <xf numFmtId="0" fontId="21" fillId="11" borderId="13" xfId="0" applyFont="1" applyFill="1" applyBorder="1" applyAlignment="1">
      <alignment horizontal="center" vertical="center" wrapText="1"/>
    </xf>
    <xf numFmtId="0" fontId="21" fillId="14" borderId="4" xfId="0" applyFont="1" applyFill="1" applyBorder="1" applyAlignment="1">
      <alignment horizontal="center" vertical="center" wrapText="1"/>
    </xf>
    <xf numFmtId="0" fontId="17" fillId="0" borderId="4" xfId="0" applyFont="1" applyBorder="1" applyAlignment="1">
      <alignment horizontal="center" vertical="center" wrapText="1"/>
    </xf>
    <xf numFmtId="0" fontId="0" fillId="15" borderId="4" xfId="0" applyFill="1" applyBorder="1" applyAlignment="1">
      <alignment vertical="center" wrapText="1"/>
    </xf>
    <xf numFmtId="0" fontId="17" fillId="0" borderId="13" xfId="0" applyFont="1" applyBorder="1" applyAlignment="1">
      <alignment horizontal="center" vertical="center" wrapText="1"/>
    </xf>
    <xf numFmtId="0" fontId="17" fillId="0" borderId="13" xfId="0" applyFont="1" applyBorder="1" applyAlignment="1">
      <alignment horizontal="left" vertical="center" wrapText="1"/>
    </xf>
    <xf numFmtId="0" fontId="8" fillId="0" borderId="13" xfId="0" applyFont="1" applyBorder="1" applyAlignment="1">
      <alignment horizontal="center" vertical="center"/>
    </xf>
    <xf numFmtId="0" fontId="2" fillId="0" borderId="13" xfId="2" applyFill="1" applyBorder="1" applyAlignment="1">
      <alignment horizontal="center" vertical="center" wrapText="1"/>
    </xf>
    <xf numFmtId="0" fontId="17" fillId="15" borderId="4" xfId="0" applyFont="1" applyFill="1" applyBorder="1" applyAlignment="1">
      <alignment horizontal="left" vertical="center" wrapText="1"/>
    </xf>
    <xf numFmtId="0" fontId="17" fillId="15" borderId="13" xfId="0" applyFont="1" applyFill="1" applyBorder="1" applyAlignment="1">
      <alignment horizontal="left" vertical="center" wrapText="1"/>
    </xf>
    <xf numFmtId="0" fontId="0" fillId="0" borderId="4" xfId="0" applyBorder="1" applyAlignment="1">
      <alignment horizontal="left" vertical="center" wrapText="1"/>
    </xf>
    <xf numFmtId="18" fontId="0" fillId="0" borderId="0" xfId="0" applyNumberFormat="1"/>
    <xf numFmtId="0" fontId="22" fillId="0" borderId="0" xfId="0" applyFont="1"/>
    <xf numFmtId="165" fontId="0" fillId="0" borderId="0" xfId="3" applyNumberFormat="1" applyFont="1"/>
    <xf numFmtId="0" fontId="21" fillId="14" borderId="13" xfId="0" applyFont="1" applyFill="1" applyBorder="1" applyAlignment="1">
      <alignment horizontal="center" vertical="center" wrapText="1"/>
    </xf>
    <xf numFmtId="0" fontId="0" fillId="0" borderId="0" xfId="0" applyAlignment="1">
      <alignment vertical="center" wrapText="1"/>
    </xf>
    <xf numFmtId="0" fontId="17" fillId="3" borderId="4" xfId="0" applyFont="1" applyFill="1" applyBorder="1" applyAlignment="1">
      <alignment horizontal="left" vertical="center" wrapText="1"/>
    </xf>
    <xf numFmtId="0" fontId="24" fillId="15" borderId="4" xfId="0" applyFont="1" applyFill="1" applyBorder="1" applyAlignment="1">
      <alignment vertical="center" wrapText="1"/>
    </xf>
    <xf numFmtId="0" fontId="8" fillId="16" borderId="4" xfId="0" applyFont="1" applyFill="1" applyBorder="1" applyAlignment="1">
      <alignment horizontal="center" vertical="center"/>
    </xf>
    <xf numFmtId="0" fontId="8" fillId="0" borderId="4" xfId="0" applyFont="1" applyBorder="1" applyAlignment="1">
      <alignment horizontal="left" vertical="center" wrapText="1"/>
    </xf>
    <xf numFmtId="0" fontId="8" fillId="7" borderId="4" xfId="0" applyFont="1" applyFill="1" applyBorder="1" applyAlignment="1">
      <alignment horizontal="left" vertical="center" wrapText="1"/>
    </xf>
    <xf numFmtId="0" fontId="8" fillId="8" borderId="4" xfId="0" applyFont="1" applyFill="1" applyBorder="1" applyAlignment="1">
      <alignment horizontal="left" vertical="center" wrapText="1"/>
    </xf>
    <xf numFmtId="0" fontId="8" fillId="0" borderId="4" xfId="0" applyFont="1" applyBorder="1" applyAlignment="1">
      <alignment horizontal="left" vertical="center"/>
    </xf>
    <xf numFmtId="0" fontId="8" fillId="0" borderId="0" xfId="0" applyFont="1" applyAlignment="1">
      <alignment horizontal="left"/>
    </xf>
    <xf numFmtId="0" fontId="8" fillId="3" borderId="4" xfId="0" applyFont="1" applyFill="1" applyBorder="1" applyAlignment="1">
      <alignment horizontal="center" vertical="center"/>
    </xf>
    <xf numFmtId="0" fontId="17" fillId="13" borderId="4" xfId="0" applyFont="1" applyFill="1" applyBorder="1" applyAlignment="1">
      <alignment horizontal="center" vertical="center" wrapText="1"/>
    </xf>
    <xf numFmtId="0" fontId="17" fillId="13" borderId="13" xfId="0" applyFont="1" applyFill="1" applyBorder="1" applyAlignment="1">
      <alignment horizontal="center" vertical="center" wrapText="1"/>
    </xf>
    <xf numFmtId="0" fontId="17" fillId="0" borderId="1" xfId="0" applyFont="1" applyBorder="1" applyAlignment="1">
      <alignment horizontal="center" vertical="center" wrapText="1"/>
    </xf>
    <xf numFmtId="14" fontId="17" fillId="0" borderId="1" xfId="0" applyNumberFormat="1" applyFont="1" applyBorder="1" applyAlignment="1">
      <alignment horizontal="center" vertical="center" wrapText="1"/>
    </xf>
    <xf numFmtId="0" fontId="17" fillId="8" borderId="1" xfId="0" applyFont="1" applyFill="1" applyBorder="1" applyAlignment="1">
      <alignment horizontal="center" vertical="center" wrapText="1"/>
    </xf>
    <xf numFmtId="0" fontId="15" fillId="0" borderId="0" xfId="0" applyFont="1" applyAlignment="1">
      <alignment horizontal="center"/>
    </xf>
    <xf numFmtId="0" fontId="16" fillId="6" borderId="3" xfId="0" applyFont="1" applyFill="1" applyBorder="1" applyAlignment="1">
      <alignment horizontal="center" vertical="center" wrapText="1"/>
    </xf>
    <xf numFmtId="0" fontId="17" fillId="6" borderId="1" xfId="0" applyFont="1" applyFill="1" applyBorder="1" applyAlignment="1">
      <alignment horizontal="center" vertical="center" wrapText="1"/>
    </xf>
    <xf numFmtId="14" fontId="17" fillId="6" borderId="1" xfId="0" applyNumberFormat="1" applyFont="1" applyFill="1" applyBorder="1" applyAlignment="1">
      <alignment horizontal="center" vertical="center" wrapText="1"/>
    </xf>
    <xf numFmtId="0" fontId="8" fillId="6" borderId="4" xfId="0" applyFont="1" applyFill="1" applyBorder="1" applyAlignment="1">
      <alignment horizontal="left" vertical="center" wrapText="1"/>
    </xf>
    <xf numFmtId="0" fontId="8" fillId="6" borderId="4" xfId="0" applyFont="1" applyFill="1" applyBorder="1" applyAlignment="1">
      <alignment horizontal="center" vertical="center"/>
    </xf>
    <xf numFmtId="0" fontId="2" fillId="6" borderId="4" xfId="2" applyFill="1" applyBorder="1" applyAlignment="1">
      <alignment horizontal="center" vertical="center" wrapText="1"/>
    </xf>
    <xf numFmtId="0" fontId="18" fillId="6" borderId="0" xfId="2" applyFont="1" applyFill="1" applyBorder="1" applyAlignment="1">
      <alignment horizontal="center" vertical="center" wrapText="1"/>
    </xf>
    <xf numFmtId="0" fontId="15" fillId="6" borderId="0" xfId="0" applyFont="1" applyFill="1" applyAlignment="1">
      <alignment horizontal="center" vertical="center"/>
    </xf>
    <xf numFmtId="0" fontId="2" fillId="6" borderId="0" xfId="2" applyFill="1" applyAlignment="1">
      <alignment horizontal="center" vertical="center" wrapText="1"/>
    </xf>
    <xf numFmtId="0" fontId="18" fillId="6" borderId="4" xfId="2" applyFont="1" applyFill="1" applyBorder="1" applyAlignment="1">
      <alignment horizontal="center" vertical="center" wrapText="1"/>
    </xf>
    <xf numFmtId="0" fontId="16" fillId="17" borderId="3" xfId="0" applyFont="1" applyFill="1" applyBorder="1" applyAlignment="1">
      <alignment horizontal="center" vertical="center" wrapText="1"/>
    </xf>
    <xf numFmtId="0" fontId="17" fillId="17" borderId="1" xfId="0" applyFont="1" applyFill="1" applyBorder="1" applyAlignment="1">
      <alignment horizontal="left" vertical="center" wrapText="1"/>
    </xf>
    <xf numFmtId="0" fontId="17" fillId="17" borderId="1" xfId="0" applyFont="1" applyFill="1" applyBorder="1" applyAlignment="1">
      <alignment horizontal="center" vertical="center" wrapText="1"/>
    </xf>
    <xf numFmtId="0" fontId="17" fillId="17" borderId="4" xfId="0" applyFont="1" applyFill="1" applyBorder="1" applyAlignment="1">
      <alignment horizontal="left" vertical="center" wrapText="1"/>
    </xf>
    <xf numFmtId="0" fontId="8" fillId="17" borderId="4" xfId="0" applyFont="1" applyFill="1" applyBorder="1" applyAlignment="1">
      <alignment horizontal="center" vertical="center"/>
    </xf>
    <xf numFmtId="0" fontId="2" fillId="17" borderId="4" xfId="2" applyFill="1" applyBorder="1" applyAlignment="1">
      <alignment horizontal="center" vertical="center" wrapText="1"/>
    </xf>
    <xf numFmtId="0" fontId="18" fillId="17" borderId="0" xfId="2" applyFont="1" applyFill="1" applyBorder="1" applyAlignment="1">
      <alignment horizontal="center" vertical="center" wrapText="1"/>
    </xf>
    <xf numFmtId="0" fontId="15" fillId="17" borderId="0" xfId="0" applyFont="1" applyFill="1" applyAlignment="1">
      <alignment horizontal="center" vertical="center"/>
    </xf>
    <xf numFmtId="0" fontId="2" fillId="17" borderId="0" xfId="2" applyFill="1" applyAlignment="1">
      <alignment horizontal="center" vertical="center" wrapText="1"/>
    </xf>
    <xf numFmtId="0" fontId="17" fillId="6" borderId="4" xfId="0" applyFont="1" applyFill="1" applyBorder="1" applyAlignment="1">
      <alignment horizontal="left" vertical="center" wrapText="1"/>
    </xf>
    <xf numFmtId="0" fontId="17" fillId="6" borderId="3" xfId="0" applyFont="1" applyFill="1" applyBorder="1" applyAlignment="1">
      <alignment horizontal="center" vertical="center" wrapText="1"/>
    </xf>
    <xf numFmtId="0" fontId="17" fillId="6" borderId="2" xfId="0" applyFont="1" applyFill="1" applyBorder="1" applyAlignment="1">
      <alignment horizontal="left" vertical="center" wrapText="1"/>
    </xf>
    <xf numFmtId="0" fontId="18" fillId="6" borderId="4" xfId="2" applyFont="1" applyFill="1" applyBorder="1" applyAlignment="1">
      <alignment vertical="center" wrapText="1"/>
    </xf>
    <xf numFmtId="0" fontId="0" fillId="0" borderId="0" xfId="0" applyAlignment="1">
      <alignment vertical="center"/>
    </xf>
    <xf numFmtId="0" fontId="0" fillId="0" borderId="0" xfId="0" applyAlignment="1">
      <alignment horizontal="center" vertical="center" wrapText="1"/>
    </xf>
    <xf numFmtId="0" fontId="0" fillId="0" borderId="0" xfId="0" applyAlignment="1">
      <alignment horizontal="left" vertical="center" wrapText="1"/>
    </xf>
    <xf numFmtId="0" fontId="8" fillId="0" borderId="0" xfId="0" applyFont="1"/>
    <xf numFmtId="0" fontId="8" fillId="0" borderId="0" xfId="0" applyFont="1" applyAlignment="1">
      <alignment wrapText="1"/>
    </xf>
    <xf numFmtId="0" fontId="12" fillId="18" borderId="5" xfId="0" applyFont="1" applyFill="1" applyBorder="1" applyAlignment="1">
      <alignment horizontal="center" vertical="center" wrapText="1"/>
    </xf>
    <xf numFmtId="0" fontId="12" fillId="0" borderId="5" xfId="0" applyFont="1" applyBorder="1" applyAlignment="1">
      <alignment horizontal="center" vertical="center" wrapText="1"/>
    </xf>
    <xf numFmtId="0" fontId="8" fillId="0" borderId="5" xfId="0" applyFont="1" applyBorder="1" applyAlignment="1">
      <alignment horizontal="left" vertical="center" wrapText="1"/>
    </xf>
    <xf numFmtId="0" fontId="12" fillId="0" borderId="5" xfId="0" applyFont="1" applyBorder="1" applyAlignment="1">
      <alignment horizontal="left" vertical="center" wrapText="1"/>
    </xf>
    <xf numFmtId="14" fontId="8" fillId="0" borderId="5" xfId="0" applyNumberFormat="1" applyFont="1" applyBorder="1" applyAlignment="1">
      <alignment horizontal="center" vertical="center" wrapText="1"/>
    </xf>
    <xf numFmtId="0" fontId="11" fillId="4" borderId="5" xfId="0" applyFont="1" applyFill="1" applyBorder="1" applyAlignment="1">
      <alignment horizontal="center" vertical="center" wrapText="1"/>
    </xf>
    <xf numFmtId="0" fontId="0" fillId="18" borderId="14" xfId="0" applyFill="1" applyBorder="1" applyAlignment="1">
      <alignment horizontal="center" vertical="center"/>
    </xf>
    <xf numFmtId="0" fontId="20" fillId="0" borderId="0" xfId="0" applyFont="1" applyAlignment="1">
      <alignment vertical="center"/>
    </xf>
    <xf numFmtId="0" fontId="8" fillId="0" borderId="0" xfId="0" applyFont="1" applyAlignment="1">
      <alignment vertical="center"/>
    </xf>
    <xf numFmtId="0" fontId="9" fillId="11" borderId="5" xfId="0" applyFont="1" applyFill="1" applyBorder="1" applyAlignment="1">
      <alignment horizontal="center" vertical="center"/>
    </xf>
    <xf numFmtId="0" fontId="9" fillId="19" borderId="5" xfId="0" applyFont="1" applyFill="1" applyBorder="1" applyAlignment="1">
      <alignment horizontal="center" vertical="center" wrapText="1"/>
    </xf>
    <xf numFmtId="0" fontId="9" fillId="19" borderId="5" xfId="0" applyFont="1" applyFill="1" applyBorder="1" applyAlignment="1">
      <alignment horizontal="center" vertical="center"/>
    </xf>
    <xf numFmtId="0" fontId="8" fillId="11" borderId="0" xfId="0" applyFont="1" applyFill="1"/>
    <xf numFmtId="0" fontId="8" fillId="0" borderId="5" xfId="0" applyFont="1" applyBorder="1"/>
    <xf numFmtId="0" fontId="8" fillId="0" borderId="5" xfId="0" applyFont="1" applyBorder="1" applyAlignment="1">
      <alignment horizontal="center"/>
    </xf>
    <xf numFmtId="0" fontId="9" fillId="11" borderId="5" xfId="0" applyFont="1" applyFill="1" applyBorder="1" applyAlignment="1">
      <alignment horizontal="center" vertical="center" wrapText="1"/>
    </xf>
    <xf numFmtId="0" fontId="9" fillId="19" borderId="5" xfId="0" applyFont="1" applyFill="1" applyBorder="1" applyAlignment="1">
      <alignment horizontal="center"/>
    </xf>
    <xf numFmtId="0" fontId="0" fillId="15" borderId="0" xfId="0" applyFill="1" applyAlignment="1">
      <alignment vertical="center"/>
    </xf>
    <xf numFmtId="0" fontId="0" fillId="13" borderId="0" xfId="0" applyFill="1" applyAlignment="1">
      <alignment horizontal="left"/>
    </xf>
    <xf numFmtId="0" fontId="8" fillId="0" borderId="5" xfId="0" applyFont="1" applyBorder="1" applyAlignment="1">
      <alignment wrapText="1"/>
    </xf>
    <xf numFmtId="0" fontId="9" fillId="0" borderId="0" xfId="0" applyFont="1" applyAlignment="1">
      <alignment horizontal="center" vertical="center"/>
    </xf>
    <xf numFmtId="0" fontId="12" fillId="0" borderId="5" xfId="0" applyFont="1" applyBorder="1" applyAlignment="1">
      <alignment horizontal="center" vertical="center"/>
    </xf>
    <xf numFmtId="0" fontId="12" fillId="0" borderId="0" xfId="0" applyFont="1" applyAlignment="1">
      <alignment horizontal="center" vertical="center"/>
    </xf>
    <xf numFmtId="0" fontId="0" fillId="19" borderId="0" xfId="0" applyFill="1" applyAlignment="1">
      <alignment horizontal="left"/>
    </xf>
    <xf numFmtId="0" fontId="10" fillId="20" borderId="5" xfId="0" applyFont="1" applyFill="1" applyBorder="1" applyAlignment="1">
      <alignment horizontal="center"/>
    </xf>
    <xf numFmtId="0" fontId="5" fillId="0" borderId="5" xfId="0" applyFont="1" applyBorder="1" applyAlignment="1">
      <alignment horizontal="center" vertical="center"/>
    </xf>
    <xf numFmtId="0" fontId="5" fillId="0" borderId="5" xfId="0" applyFont="1" applyBorder="1" applyAlignment="1">
      <alignment horizontal="left" vertical="center" wrapText="1"/>
    </xf>
    <xf numFmtId="0" fontId="5" fillId="0" borderId="5" xfId="0" applyFont="1" applyBorder="1" applyAlignment="1">
      <alignment horizontal="center" vertical="center" wrapText="1"/>
    </xf>
    <xf numFmtId="14" fontId="5" fillId="0" borderId="5" xfId="0" applyNumberFormat="1" applyFont="1" applyBorder="1" applyAlignment="1">
      <alignment horizontal="center" vertical="center" wrapText="1"/>
    </xf>
    <xf numFmtId="0" fontId="10" fillId="20" borderId="5" xfId="0" applyFont="1" applyFill="1" applyBorder="1" applyAlignment="1">
      <alignment horizontal="center" wrapText="1"/>
    </xf>
    <xf numFmtId="0" fontId="5" fillId="0" borderId="0" xfId="0" applyFont="1" applyAlignment="1">
      <alignment horizontal="center" wrapText="1"/>
    </xf>
    <xf numFmtId="0" fontId="25" fillId="0" borderId="5" xfId="0" applyFont="1" applyBorder="1" applyAlignment="1">
      <alignment horizontal="center" vertical="center" wrapText="1"/>
    </xf>
    <xf numFmtId="0" fontId="25" fillId="0" borderId="5" xfId="0" applyFont="1" applyBorder="1" applyAlignment="1">
      <alignment horizontal="center" vertical="center"/>
    </xf>
    <xf numFmtId="0" fontId="25" fillId="0" borderId="5" xfId="0" applyFont="1" applyBorder="1" applyAlignment="1">
      <alignment horizontal="left" vertical="center" wrapText="1"/>
    </xf>
    <xf numFmtId="0" fontId="24" fillId="0" borderId="0" xfId="0" applyFont="1" applyAlignment="1">
      <alignment vertical="center"/>
    </xf>
    <xf numFmtId="0" fontId="0" fillId="13" borderId="0" xfId="0" applyFill="1" applyAlignment="1">
      <alignment horizontal="center"/>
    </xf>
    <xf numFmtId="0" fontId="0" fillId="19" borderId="0" xfId="0" applyFill="1" applyAlignment="1">
      <alignment horizontal="center"/>
    </xf>
    <xf numFmtId="0" fontId="0" fillId="0" borderId="0" xfId="0" applyAlignment="1">
      <alignment horizontal="left" vertical="center"/>
    </xf>
    <xf numFmtId="0" fontId="2" fillId="0" borderId="0" xfId="2" applyAlignment="1">
      <alignment horizontal="left" vertical="center"/>
    </xf>
    <xf numFmtId="0" fontId="2" fillId="0" borderId="0" xfId="2" applyAlignment="1">
      <alignment horizontal="left" vertical="center" wrapText="1"/>
    </xf>
    <xf numFmtId="0" fontId="11" fillId="21" borderId="3"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11" fillId="21" borderId="2" xfId="0" applyFont="1" applyFill="1" applyBorder="1" applyAlignment="1">
      <alignment horizontal="center" vertical="center" wrapText="1"/>
    </xf>
    <xf numFmtId="0" fontId="17" fillId="21" borderId="4" xfId="0" applyFont="1" applyFill="1" applyBorder="1" applyAlignment="1">
      <alignment horizontal="center" vertical="center" wrapText="1"/>
    </xf>
    <xf numFmtId="0" fontId="11" fillId="21" borderId="0" xfId="0" applyFont="1" applyFill="1" applyAlignment="1">
      <alignment horizontal="center" vertical="center" wrapText="1"/>
    </xf>
    <xf numFmtId="0" fontId="11" fillId="3" borderId="2" xfId="0" applyFont="1" applyFill="1" applyBorder="1" applyAlignment="1">
      <alignment horizontal="center" vertical="center" wrapText="1"/>
    </xf>
    <xf numFmtId="0" fontId="11" fillId="3" borderId="4" xfId="0" applyFont="1" applyFill="1" applyBorder="1" applyAlignment="1">
      <alignment horizontal="center" vertical="center" wrapText="1"/>
    </xf>
    <xf numFmtId="0" fontId="11" fillId="3" borderId="0" xfId="0" applyFont="1" applyFill="1" applyAlignment="1">
      <alignment horizontal="center" vertical="center" wrapText="1"/>
    </xf>
    <xf numFmtId="0" fontId="17" fillId="3" borderId="1" xfId="0" applyFont="1" applyFill="1" applyBorder="1" applyAlignment="1">
      <alignment horizontal="center" vertical="center" wrapText="1"/>
    </xf>
    <xf numFmtId="0" fontId="15" fillId="3" borderId="0" xfId="0" applyFont="1" applyFill="1" applyAlignment="1">
      <alignment horizontal="center"/>
    </xf>
    <xf numFmtId="14" fontId="17" fillId="3" borderId="1" xfId="0" applyNumberFormat="1" applyFont="1" applyFill="1" applyBorder="1" applyAlignment="1">
      <alignment horizontal="center" vertical="center" wrapText="1"/>
    </xf>
    <xf numFmtId="14" fontId="15" fillId="6" borderId="0" xfId="0" applyNumberFormat="1" applyFont="1" applyFill="1" applyAlignment="1">
      <alignment horizontal="center" vertical="center"/>
    </xf>
    <xf numFmtId="14" fontId="17" fillId="17" borderId="1" xfId="0" applyNumberFormat="1" applyFont="1" applyFill="1" applyBorder="1" applyAlignment="1">
      <alignment horizontal="center" vertical="center" wrapText="1"/>
    </xf>
    <xf numFmtId="14" fontId="15" fillId="17" borderId="0" xfId="0" applyNumberFormat="1" applyFont="1" applyFill="1" applyAlignment="1">
      <alignment horizontal="center" vertical="center"/>
    </xf>
    <xf numFmtId="14" fontId="17" fillId="5" borderId="1" xfId="0" applyNumberFormat="1" applyFont="1" applyFill="1" applyBorder="1" applyAlignment="1">
      <alignment horizontal="center" vertical="center" wrapText="1"/>
    </xf>
    <xf numFmtId="14" fontId="17" fillId="8" borderId="1" xfId="0" applyNumberFormat="1" applyFont="1" applyFill="1" applyBorder="1" applyAlignment="1">
      <alignment horizontal="center" vertical="center" wrapText="1"/>
    </xf>
    <xf numFmtId="14" fontId="17" fillId="3" borderId="1" xfId="0" applyNumberFormat="1" applyFont="1" applyFill="1" applyBorder="1" applyAlignment="1">
      <alignment horizontal="left" vertical="center" wrapText="1"/>
    </xf>
    <xf numFmtId="0" fontId="11" fillId="4" borderId="0" xfId="0" applyFont="1" applyFill="1" applyAlignment="1">
      <alignment horizontal="center" vertical="center" wrapText="1"/>
    </xf>
    <xf numFmtId="0" fontId="11" fillId="22" borderId="1" xfId="0" applyFont="1" applyFill="1" applyBorder="1" applyAlignment="1">
      <alignment horizontal="center" vertical="center" wrapText="1"/>
    </xf>
    <xf numFmtId="0" fontId="17" fillId="6" borderId="3" xfId="0" applyFont="1" applyFill="1" applyBorder="1" applyAlignment="1">
      <alignment horizontal="left" vertical="center" wrapText="1"/>
    </xf>
    <xf numFmtId="0" fontId="16" fillId="3" borderId="3" xfId="0" applyFont="1" applyFill="1" applyBorder="1" applyAlignment="1">
      <alignment horizontal="center" vertical="center" wrapText="1"/>
    </xf>
    <xf numFmtId="0" fontId="8" fillId="3" borderId="4" xfId="0" applyFont="1" applyFill="1" applyBorder="1" applyAlignment="1">
      <alignment horizontal="left" vertical="center" wrapText="1"/>
    </xf>
    <xf numFmtId="0" fontId="2" fillId="3" borderId="4" xfId="2" applyFill="1" applyBorder="1" applyAlignment="1">
      <alignment horizontal="center" vertical="center" wrapText="1"/>
    </xf>
    <xf numFmtId="0" fontId="18" fillId="3" borderId="0" xfId="2" applyFont="1" applyFill="1" applyBorder="1" applyAlignment="1">
      <alignment horizontal="center" vertical="center" wrapText="1"/>
    </xf>
    <xf numFmtId="0" fontId="15" fillId="3" borderId="0" xfId="0" applyFont="1" applyFill="1" applyAlignment="1">
      <alignment horizontal="center" vertical="center"/>
    </xf>
    <xf numFmtId="0" fontId="2" fillId="3" borderId="0" xfId="2" applyFill="1" applyAlignment="1">
      <alignment horizontal="center" vertical="center" wrapText="1"/>
    </xf>
    <xf numFmtId="0" fontId="15" fillId="3" borderId="0" xfId="0" applyFont="1" applyFill="1"/>
    <xf numFmtId="0" fontId="9" fillId="19" borderId="5" xfId="0" applyFont="1" applyFill="1" applyBorder="1" applyAlignment="1">
      <alignment horizontal="center"/>
    </xf>
    <xf numFmtId="0" fontId="9" fillId="11" borderId="9" xfId="0" applyFont="1" applyFill="1" applyBorder="1" applyAlignment="1">
      <alignment horizontal="center" vertical="center"/>
    </xf>
    <xf numFmtId="0" fontId="9" fillId="11" borderId="7" xfId="0" applyFont="1" applyFill="1" applyBorder="1" applyAlignment="1">
      <alignment horizontal="center" vertical="center"/>
    </xf>
    <xf numFmtId="0" fontId="8" fillId="0" borderId="5" xfId="0" applyFont="1" applyBorder="1" applyAlignment="1">
      <alignment horizontal="left" vertical="center" wrapText="1"/>
    </xf>
    <xf numFmtId="0" fontId="7" fillId="0" borderId="0" xfId="0" applyFont="1" applyAlignment="1">
      <alignment horizontal="left" vertical="top" wrapText="1"/>
    </xf>
    <xf numFmtId="0" fontId="7" fillId="0" borderId="10" xfId="0" applyFont="1" applyBorder="1" applyAlignment="1">
      <alignment horizontal="left" vertical="top" wrapText="1"/>
    </xf>
    <xf numFmtId="168" fontId="17" fillId="0" borderId="1" xfId="0" applyNumberFormat="1" applyFont="1" applyBorder="1" applyAlignment="1">
      <alignment horizontal="center" vertical="center" wrapText="1"/>
    </xf>
  </cellXfs>
  <cellStyles count="4">
    <cellStyle name="Hipervínculo" xfId="2" builtinId="8"/>
    <cellStyle name="Moneda" xfId="3" builtinId="4"/>
    <cellStyle name="Normal" xfId="0" builtinId="0"/>
    <cellStyle name="Porcentaje" xfId="1" builtinId="5"/>
  </cellStyles>
  <dxfs count="300">
    <dxf>
      <alignment horizontal="center"/>
    </dxf>
    <dxf>
      <alignment horizontal="center"/>
    </dxf>
    <dxf>
      <alignment horizontal="center"/>
    </dxf>
    <dxf>
      <alignment horizontal="center"/>
    </dxf>
    <dxf>
      <alignment horizontal="center"/>
    </dxf>
    <dxf>
      <alignment horizontal="center"/>
    </dxf>
    <dxf>
      <font>
        <b val="0"/>
        <i val="0"/>
        <strike val="0"/>
        <condense val="0"/>
        <extend val="0"/>
        <outline val="0"/>
        <shadow val="0"/>
        <u val="none"/>
        <vertAlign val="baseline"/>
        <sz val="9"/>
        <color theme="1"/>
        <name val="Arial"/>
        <family val="2"/>
        <scheme val="none"/>
      </font>
      <numFmt numFmtId="0" formatCode="General"/>
      <fill>
        <patternFill patternType="none">
          <fgColor indexed="64"/>
          <bgColor indexed="65"/>
        </patternFill>
      </fill>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theme="1"/>
        <name val="Arial"/>
        <family val="2"/>
        <scheme val="none"/>
      </font>
      <numFmt numFmtId="0" formatCode="General"/>
      <fill>
        <patternFill patternType="none">
          <fgColor indexed="64"/>
          <bgColor indexed="65"/>
        </patternFill>
      </fill>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theme="1"/>
        <name val="Arial"/>
        <family val="2"/>
        <scheme val="none"/>
      </font>
      <numFmt numFmtId="0" formatCode="General"/>
      <fill>
        <patternFill patternType="none">
          <fgColor indexed="64"/>
          <bgColor indexed="65"/>
        </patternFill>
      </fill>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theme="1"/>
        <name val="Arial"/>
        <family val="2"/>
        <scheme val="none"/>
      </font>
      <numFmt numFmtId="0" formatCode="General"/>
      <fill>
        <patternFill patternType="none">
          <fgColor indexed="64"/>
          <bgColor indexed="65"/>
        </patternFill>
      </fill>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theme="1"/>
        <name val="Arial"/>
        <family val="2"/>
        <scheme val="none"/>
      </font>
      <numFmt numFmtId="0" formatCode="General"/>
      <fill>
        <patternFill patternType="none">
          <fgColor indexed="64"/>
          <bgColor indexed="65"/>
        </patternFill>
      </fill>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theme="1"/>
        <name val="Arial"/>
        <family val="2"/>
        <scheme val="none"/>
      </font>
      <numFmt numFmtId="0" formatCode="General"/>
      <fill>
        <patternFill patternType="none">
          <fgColor indexed="64"/>
          <bgColor indexed="65"/>
        </patternFill>
      </fill>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theme="1"/>
        <name val="Arial"/>
        <family val="2"/>
        <scheme val="none"/>
      </font>
      <numFmt numFmtId="0" formatCode="General"/>
      <fill>
        <patternFill patternType="none">
          <fgColor indexed="64"/>
          <bgColor indexed="65"/>
        </patternFill>
      </fill>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horizontal/>
      </border>
    </dxf>
    <dxf>
      <font>
        <b val="0"/>
        <i val="0"/>
        <strike val="0"/>
        <condense val="0"/>
        <extend val="0"/>
        <outline val="0"/>
        <shadow val="0"/>
        <u val="none"/>
        <vertAlign val="baseline"/>
        <sz val="9"/>
        <color theme="1"/>
        <name val="Arial"/>
        <family val="2"/>
        <scheme val="none"/>
      </font>
      <alignment horizontal="center" vertical="center" textRotation="0" wrapText="0" indent="0" justifyLastLine="0" shrinkToFit="0" readingOrder="0"/>
      <border diagonalUp="0" diagonalDown="0">
        <left style="hair">
          <color auto="1"/>
        </left>
        <right/>
        <top style="hair">
          <color auto="1"/>
        </top>
        <bottom style="hair">
          <color auto="1"/>
        </bottom>
        <vertical/>
        <horizontal/>
      </border>
    </dxf>
    <dxf>
      <font>
        <b val="0"/>
        <i val="0"/>
        <strike val="0"/>
        <condense val="0"/>
        <extend val="0"/>
        <outline val="0"/>
        <shadow val="0"/>
        <u val="none"/>
        <vertAlign val="baseline"/>
        <sz val="9"/>
        <color theme="1"/>
        <name val="Arial"/>
        <family val="2"/>
        <scheme val="none"/>
      </font>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horizontal/>
      </border>
    </dxf>
    <dxf>
      <font>
        <b val="0"/>
        <i val="0"/>
        <strike val="0"/>
        <condense val="0"/>
        <extend val="0"/>
        <outline val="0"/>
        <shadow val="0"/>
        <u val="none"/>
        <vertAlign val="baseline"/>
        <sz val="9"/>
        <color theme="1"/>
        <name val="Arial"/>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horizontal/>
      </border>
    </dxf>
    <dxf>
      <font>
        <b val="0"/>
        <i val="0"/>
        <strike val="0"/>
        <condense val="0"/>
        <extend val="0"/>
        <outline val="0"/>
        <shadow val="0"/>
        <u val="none"/>
        <vertAlign val="baseline"/>
        <sz val="9"/>
        <color theme="1"/>
        <name val="Arial"/>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horizontal/>
      </border>
    </dxf>
    <dxf>
      <font>
        <b val="0"/>
        <i val="0"/>
        <strike val="0"/>
        <condense val="0"/>
        <extend val="0"/>
        <outline val="0"/>
        <shadow val="0"/>
        <u val="none"/>
        <vertAlign val="baseline"/>
        <sz val="9"/>
        <color theme="1"/>
        <name val="Arial"/>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horizontal/>
      </border>
    </dxf>
    <dxf>
      <font>
        <b val="0"/>
        <i val="0"/>
        <strike val="0"/>
        <condense val="0"/>
        <extend val="0"/>
        <outline val="0"/>
        <shadow val="0"/>
        <u val="none"/>
        <vertAlign val="baseline"/>
        <sz val="9"/>
        <color theme="1"/>
        <name val="Arial"/>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horizontal/>
      </border>
    </dxf>
    <dxf>
      <font>
        <b val="0"/>
        <i val="0"/>
        <strike val="0"/>
        <condense val="0"/>
        <extend val="0"/>
        <outline val="0"/>
        <shadow val="0"/>
        <u val="none"/>
        <vertAlign val="baseline"/>
        <sz val="9"/>
        <color theme="1"/>
        <name val="Arial"/>
        <family val="2"/>
        <scheme val="none"/>
      </font>
      <numFmt numFmtId="0" formatCode="General"/>
      <fill>
        <patternFill patternType="none">
          <fgColor indexed="64"/>
          <bgColor indexed="65"/>
        </patternFill>
      </fill>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horizontal/>
      </border>
    </dxf>
    <dxf>
      <font>
        <b val="0"/>
        <i val="0"/>
        <strike val="0"/>
        <condense val="0"/>
        <extend val="0"/>
        <outline val="0"/>
        <shadow val="0"/>
        <u val="none"/>
        <vertAlign val="baseline"/>
        <sz val="9"/>
        <color theme="1"/>
        <name val="Arial"/>
        <family val="2"/>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left style="hair">
          <color auto="1"/>
        </left>
        <right style="hair">
          <color auto="1"/>
        </right>
        <top style="hair">
          <color auto="1"/>
        </top>
        <bottom style="hair">
          <color auto="1"/>
        </bottom>
        <vertical/>
        <horizontal/>
      </border>
    </dxf>
    <dxf>
      <font>
        <b val="0"/>
        <i val="0"/>
        <strike val="0"/>
        <condense val="0"/>
        <extend val="0"/>
        <outline val="0"/>
        <shadow val="0"/>
        <u val="none"/>
        <vertAlign val="baseline"/>
        <sz val="8"/>
        <color indexed="8"/>
        <name val="Arial"/>
        <family val="2"/>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8"/>
        <color indexed="8"/>
        <name val="Arial"/>
        <family val="2"/>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8"/>
        <color indexed="8"/>
        <name val="Arial"/>
        <family val="2"/>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8"/>
        <color indexed="8"/>
        <name val="Arial"/>
        <family val="2"/>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right style="hair">
          <color auto="1"/>
        </right>
        <top style="hair">
          <color auto="1"/>
        </top>
      </border>
    </dxf>
    <dxf>
      <font>
        <b val="0"/>
        <i val="0"/>
        <strike val="0"/>
        <condense val="0"/>
        <extend val="0"/>
        <outline val="0"/>
        <shadow val="0"/>
        <u val="none"/>
        <vertAlign val="baseline"/>
        <sz val="9"/>
        <color theme="1"/>
        <name val="Arial"/>
        <family val="2"/>
        <scheme val="none"/>
      </font>
      <fill>
        <patternFill patternType="none">
          <fgColor indexed="64"/>
          <bgColor indexed="65"/>
        </patternFill>
      </fill>
      <alignment horizontal="center" vertical="center" textRotation="0" wrapText="0" indent="0" justifyLastLine="0" shrinkToFit="0" readingOrder="0"/>
    </dxf>
    <dxf>
      <border outline="0">
        <bottom style="hair">
          <color auto="1"/>
        </bottom>
      </border>
    </dxf>
    <dxf>
      <font>
        <b/>
        <i/>
        <strike val="0"/>
        <condense val="0"/>
        <extend val="0"/>
        <outline val="0"/>
        <shadow val="0"/>
        <u val="none"/>
        <vertAlign val="baseline"/>
        <sz val="9"/>
        <color indexed="8"/>
        <name val="Arial"/>
        <family val="2"/>
        <scheme val="none"/>
      </font>
      <fill>
        <patternFill patternType="solid">
          <fgColor indexed="64"/>
          <bgColor theme="4" tint="0.59999389629810485"/>
        </patternFill>
      </fill>
      <alignment horizontal="center" vertical="center" textRotation="0" wrapText="1" indent="0" justifyLastLine="0" shrinkToFit="0" readingOrder="0"/>
      <border diagonalUp="0" diagonalDown="0" outline="0">
        <left style="hair">
          <color auto="1"/>
        </left>
        <right style="hair">
          <color auto="1"/>
        </right>
        <top/>
        <bottom/>
      </border>
    </dxf>
    <dxf>
      <fill>
        <patternFill patternType="solid">
          <bgColor theme="3" tint="0.89999084444715716"/>
        </patternFill>
      </fill>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center"/>
    </dxf>
    <dxf>
      <alignment vertical="center"/>
    </dxf>
    <dxf>
      <alignment horizontal="center"/>
    </dxf>
    <dxf>
      <alignment vertical="center"/>
    </dxf>
    <dxf>
      <alignment horizontal="center"/>
    </dxf>
    <dxf>
      <alignment vertical="center"/>
    </dxf>
    <dxf>
      <alignment vertical="center"/>
    </dxf>
    <dxf>
      <alignment horizontal="center"/>
    </dxf>
    <dxf>
      <alignment wrapText="1"/>
    </dxf>
    <dxf>
      <alignment vertical="center"/>
    </dxf>
    <dxf>
      <alignment wrapText="1"/>
    </dxf>
    <dxf>
      <alignment horizontal="left"/>
    </dxf>
    <dxf>
      <alignment vertical="center"/>
    </dxf>
    <dxf>
      <alignment wrapText="1"/>
    </dxf>
    <dxf>
      <alignment horizontal="left"/>
    </dxf>
    <dxf>
      <alignment vertical="center"/>
    </dxf>
    <dxf>
      <alignment horizontal="left"/>
    </dxf>
    <dxf>
      <alignment wrapText="1"/>
    </dxf>
    <dxf>
      <alignment vertical="center"/>
    </dxf>
    <dxf>
      <alignment horizontal="center"/>
    </dxf>
    <dxf>
      <alignment vertical="center"/>
    </dxf>
    <dxf>
      <alignment horizontal="center"/>
    </dxf>
    <dxf>
      <alignment vertical="center"/>
    </dxf>
    <dxf>
      <alignment wrapText="1"/>
    </dxf>
    <dxf>
      <alignment horizontal="center"/>
    </dxf>
    <dxf>
      <alignment vertical="center"/>
    </dxf>
    <dxf>
      <alignment horizontal="center"/>
    </dxf>
    <dxf>
      <alignment horizontal="center"/>
    </dxf>
    <dxf>
      <alignment horizontal="center"/>
    </dxf>
    <dxf>
      <alignment horizontal="center"/>
    </dxf>
    <dxf>
      <alignment horizontal="center"/>
    </dxf>
    <dxf>
      <fill>
        <patternFill patternType="solid">
          <bgColor theme="3" tint="0.499984740745262"/>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none">
          <bgColor auto="1"/>
        </patternFill>
      </fill>
    </dxf>
    <dxf>
      <fill>
        <patternFill patternType="none">
          <bgColor auto="1"/>
        </patternFill>
      </fill>
    </dxf>
    <dxf>
      <alignment horizontal="lef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trike val="0"/>
        <outline val="0"/>
        <shadow val="0"/>
        <vertAlign val="baseline"/>
        <sz val="9"/>
        <family val="2"/>
      </font>
      <alignment horizontal="center" vertical="center" textRotation="0" wrapText="0" indent="0" justifyLastLine="0" shrinkToFit="0" readingOrder="0"/>
    </dxf>
    <dxf>
      <font>
        <strike val="0"/>
        <outline val="0"/>
        <shadow val="0"/>
        <vertAlign val="baseline"/>
        <sz val="9"/>
        <family val="2"/>
      </font>
      <alignment horizontal="center" vertical="center" textRotation="0" wrapText="0" indent="0" justifyLastLine="0" shrinkToFit="0" readingOrder="0"/>
    </dxf>
    <dxf>
      <font>
        <strike val="0"/>
        <outline val="0"/>
        <shadow val="0"/>
        <vertAlign val="baseline"/>
        <sz val="9"/>
        <family val="2"/>
      </font>
      <alignment horizontal="center" vertical="center" textRotation="0" wrapText="1" indent="0" justifyLastLine="0" shrinkToFit="0" readingOrder="0"/>
    </dxf>
    <dxf>
      <font>
        <strike val="0"/>
        <outline val="0"/>
        <shadow val="0"/>
        <vertAlign val="baseline"/>
        <sz val="9"/>
      </font>
      <numFmt numFmtId="0" formatCode="General"/>
      <alignment horizontal="center" vertical="center" textRotation="0" wrapText="0" indent="0" justifyLastLine="0" shrinkToFit="0" readingOrder="0"/>
    </dxf>
    <dxf>
      <font>
        <strike val="0"/>
        <outline val="0"/>
        <shadow val="0"/>
        <vertAlign val="baseline"/>
        <sz val="9"/>
      </font>
      <alignment horizontal="center" vertical="center" textRotation="0" wrapText="0" indent="0" justifyLastLine="0" shrinkToFit="0" readingOrder="0"/>
    </dxf>
    <dxf>
      <font>
        <strike val="0"/>
        <outline val="0"/>
        <shadow val="0"/>
        <vertAlign val="baseline"/>
        <sz val="9"/>
      </font>
      <alignment horizontal="center" vertical="center" textRotation="0" wrapText="0" indent="0" justifyLastLine="0" shrinkToFit="0" readingOrder="0"/>
    </dxf>
    <dxf>
      <font>
        <strike val="0"/>
        <outline val="0"/>
        <shadow val="0"/>
        <vertAlign val="baseline"/>
        <sz val="9"/>
      </font>
      <alignment horizontal="center" vertical="center" textRotation="0" wrapText="0" indent="0" justifyLastLine="0" shrinkToFit="0" readingOrder="0"/>
    </dxf>
    <dxf>
      <font>
        <strike val="0"/>
        <outline val="0"/>
        <shadow val="0"/>
        <vertAlign val="baseline"/>
        <sz val="9"/>
      </font>
      <fill>
        <patternFill patternType="none">
          <fgColor indexed="64"/>
          <bgColor indexed="65"/>
        </patternFill>
      </fill>
      <alignment horizontal="center" vertical="center" textRotation="0" wrapText="1" indent="0" justifyLastLine="0" shrinkToFit="0" readingOrder="0"/>
    </dxf>
    <dxf>
      <font>
        <strike val="0"/>
        <outline val="0"/>
        <shadow val="0"/>
        <vertAlign val="baseline"/>
        <sz val="9"/>
      </font>
      <alignment horizontal="general" vertical="center" textRotation="0" wrapText="1" indent="0" justifyLastLine="0" shrinkToFit="0" readingOrder="0"/>
      <border diagonalUp="0" diagonalDown="0" outline="0">
        <left style="hair">
          <color rgb="FF000000"/>
        </left>
        <right style="hair">
          <color rgb="FF000000"/>
        </right>
        <top style="hair">
          <color rgb="FF000000"/>
        </top>
        <bottom style="hair">
          <color rgb="FF000000"/>
        </bottom>
      </border>
    </dxf>
    <dxf>
      <font>
        <strike val="0"/>
        <outline val="0"/>
        <shadow val="0"/>
        <vertAlign val="baseline"/>
        <sz val="9"/>
      </font>
      <alignment horizontal="center" vertical="center" textRotation="0" wrapText="0" indent="0" justifyLastLine="0" shrinkToFit="0" readingOrder="0"/>
      <border diagonalUp="0" diagonalDown="0" outline="0">
        <left style="hair">
          <color rgb="FF000000"/>
        </left>
        <right style="hair">
          <color rgb="FF000000"/>
        </right>
        <top style="hair">
          <color rgb="FF000000"/>
        </top>
        <bottom style="hair">
          <color rgb="FF000000"/>
        </bottom>
      </border>
    </dxf>
    <dxf>
      <font>
        <strike val="0"/>
        <outline val="0"/>
        <shadow val="0"/>
        <vertAlign val="baseline"/>
        <sz val="9"/>
      </font>
      <alignment horizontal="general" vertical="center" textRotation="0" wrapText="1" indent="0" justifyLastLine="0" shrinkToFit="0" readingOrder="0"/>
      <border diagonalUp="0" diagonalDown="0" outline="0">
        <left style="hair">
          <color rgb="FF000000"/>
        </left>
        <right style="hair">
          <color rgb="FF000000"/>
        </right>
        <top style="hair">
          <color rgb="FF000000"/>
        </top>
        <bottom style="hair">
          <color rgb="FF000000"/>
        </bottom>
      </border>
    </dxf>
    <dxf>
      <font>
        <b val="0"/>
        <i val="0"/>
        <strike val="0"/>
        <condense val="0"/>
        <extend val="0"/>
        <outline val="0"/>
        <shadow val="0"/>
        <u val="none"/>
        <vertAlign val="baseline"/>
        <sz val="9"/>
        <color indexed="8"/>
        <name val="Arial"/>
        <family val="2"/>
        <scheme val="none"/>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indexed="8"/>
        <name val="Arial"/>
        <family val="2"/>
        <scheme val="none"/>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indexed="8"/>
        <name val="Arial"/>
        <family val="2"/>
        <scheme val="none"/>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indexed="8"/>
        <name val="Arial"/>
        <family val="2"/>
        <scheme val="none"/>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indexed="8"/>
        <name val="Arial"/>
        <family val="2"/>
        <scheme val="none"/>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indexed="8"/>
        <name val="Arial"/>
        <family val="2"/>
        <scheme val="none"/>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indexed="8"/>
        <name val="Arial"/>
        <family val="2"/>
        <scheme val="none"/>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indexed="8"/>
        <name val="Arial"/>
        <family val="2"/>
        <scheme val="none"/>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indexed="8"/>
        <name val="Arial"/>
        <family val="2"/>
        <scheme val="none"/>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indexed="8"/>
        <name val="Arial"/>
        <family val="2"/>
        <scheme val="none"/>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indexed="8"/>
        <name val="Arial"/>
        <family val="2"/>
        <scheme val="none"/>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indexed="8"/>
        <name val="Arial"/>
        <family val="2"/>
        <scheme val="none"/>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indexed="8"/>
        <name val="Arial"/>
        <family val="2"/>
        <scheme val="none"/>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indexed="8"/>
        <name val="Arial"/>
        <family val="2"/>
        <scheme val="none"/>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indexed="8"/>
        <name val="Arial"/>
        <family val="2"/>
        <scheme val="none"/>
      </font>
      <alignment horizontal="left" vertical="center" textRotation="0" wrapText="1" indent="0" justifyLastLine="0" shrinkToFit="0" readingOrder="0"/>
      <border diagonalUp="0" diagonalDown="0" outline="0">
        <left/>
        <right style="thin">
          <color rgb="FF000000"/>
        </right>
        <top style="thin">
          <color rgb="FF000000"/>
        </top>
        <bottom style="thin">
          <color rgb="FF000000"/>
        </bottom>
      </border>
    </dxf>
    <dxf>
      <font>
        <b val="0"/>
        <i val="0"/>
        <strike val="0"/>
        <condense val="0"/>
        <extend val="0"/>
        <outline val="0"/>
        <shadow val="0"/>
        <u val="none"/>
        <vertAlign val="baseline"/>
        <sz val="9"/>
        <color indexed="8"/>
        <name val="Arial"/>
        <family val="2"/>
        <scheme val="none"/>
      </font>
      <alignment horizontal="left" vertical="center" textRotation="0" wrapText="1" indent="0" justifyLastLine="0" shrinkToFit="0" readingOrder="0"/>
      <border diagonalUp="0" diagonalDown="0" outline="0">
        <left style="thin">
          <color rgb="FF000000"/>
        </left>
        <right/>
        <top style="thin">
          <color rgb="FF000000"/>
        </top>
        <bottom style="thin">
          <color rgb="FF000000"/>
        </bottom>
      </border>
    </dxf>
    <dxf>
      <font>
        <b val="0"/>
        <i val="0"/>
        <strike val="0"/>
        <condense val="0"/>
        <extend val="0"/>
        <outline val="0"/>
        <shadow val="0"/>
        <u val="none"/>
        <vertAlign val="baseline"/>
        <sz val="9"/>
        <color indexed="8"/>
        <name val="Arial"/>
        <family val="2"/>
        <scheme val="none"/>
      </font>
      <alignment horizontal="left" vertical="center" textRotation="0" wrapText="1" indent="0" justifyLastLine="0" shrinkToFit="0" readingOrder="0"/>
      <border diagonalUp="0" diagonalDown="0" outline="0">
        <left style="thin">
          <color rgb="FF000000"/>
        </left>
        <right/>
        <top style="thin">
          <color rgb="FF000000"/>
        </top>
        <bottom style="thin">
          <color rgb="FF000000"/>
        </bottom>
      </border>
    </dxf>
    <dxf>
      <font>
        <b val="0"/>
        <i val="0"/>
        <strike val="0"/>
        <condense val="0"/>
        <extend val="0"/>
        <outline val="0"/>
        <shadow val="0"/>
        <u val="none"/>
        <vertAlign val="baseline"/>
        <sz val="9"/>
        <color indexed="8"/>
        <name val="Arial"/>
        <family val="2"/>
        <scheme val="none"/>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indexed="8"/>
        <name val="Arial"/>
        <family val="2"/>
        <scheme val="none"/>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indexed="8"/>
        <name val="Arial"/>
        <family val="2"/>
        <scheme val="none"/>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indexed="8"/>
        <name val="Arial"/>
        <family val="2"/>
        <scheme val="none"/>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indexed="8"/>
        <name val="Arial"/>
        <family val="2"/>
        <scheme val="none"/>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indexed="8"/>
        <name val="Arial"/>
        <family val="2"/>
        <scheme val="none"/>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indexed="8"/>
        <name val="Arial"/>
        <family val="2"/>
        <scheme val="none"/>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indexed="8"/>
        <name val="sans-serif"/>
        <scheme val="none"/>
      </font>
      <alignment horizontal="center" vertical="center" textRotation="0" wrapText="1" indent="0" justifyLastLine="0" shrinkToFit="0" readingOrder="0"/>
      <border diagonalUp="0" diagonalDown="0" outline="0">
        <left/>
        <right style="thin">
          <color rgb="FF000000"/>
        </right>
        <top style="thin">
          <color rgb="FF000000"/>
        </top>
        <bottom style="thin">
          <color rgb="FF000000"/>
        </bottom>
      </border>
    </dxf>
    <dxf>
      <border outline="0">
        <left style="thin">
          <color rgb="FF000000"/>
        </left>
      </border>
    </dxf>
    <dxf>
      <font>
        <strike val="0"/>
        <outline val="0"/>
        <shadow val="0"/>
        <vertAlign val="baseline"/>
        <sz val="9"/>
        <family val="2"/>
      </font>
      <alignment horizontal="center" vertical="center" textRotation="0" wrapText="0" indent="0" justifyLastLine="0" shrinkToFit="0" readingOrder="0"/>
    </dxf>
    <dxf>
      <font>
        <b/>
        <i/>
        <strike val="0"/>
        <condense val="0"/>
        <extend val="0"/>
        <outline val="0"/>
        <shadow val="0"/>
        <u val="none"/>
        <vertAlign val="baseline"/>
        <sz val="9"/>
        <color indexed="8"/>
        <name val="Arial"/>
        <family val="2"/>
        <scheme val="none"/>
      </font>
      <fill>
        <patternFill patternType="solid">
          <fgColor indexed="64"/>
          <bgColor theme="4" tint="0.59999389629810485"/>
        </patternFill>
      </fill>
      <alignment horizontal="center" vertical="center" textRotation="0" wrapText="1" indent="0" justifyLastLine="0" shrinkToFit="0" readingOrder="0"/>
    </dxf>
  </dxfs>
  <tableStyles count="1" defaultTableStyle="TableStyleMedium2" defaultPivotStyle="PivotStyleLight16">
    <tableStyle name="Estilo de segmentación de datos 1" pivot="0" table="0" count="0" xr9:uid="{18A5A051-1560-4D80-B25E-FBA1F265D0EE}"/>
  </tableStyles>
  <colors>
    <mruColors>
      <color rgb="FFBEC068"/>
    </mruColors>
  </colors>
  <extLst>
    <ext xmlns:x14="http://schemas.microsoft.com/office/spreadsheetml/2009/9/main" uri="{EB79DEF2-80B8-43e5-95BD-54CBDDF9020C}">
      <x14:slicerStyles defaultSlicerStyle="SlicerStyleLight1">
        <x14:slicerStyle name="Estilo de segmentación de datos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[TABLERO_PA_C.xlsx]Cálculos!TablaDinámica7</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s-CO"/>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lumMod val="60000"/>
              <a:lumOff val="40000"/>
            </a:schemeClr>
          </a:solidFill>
          <a:ln>
            <a:noFill/>
          </a:ln>
          <a:effectLst/>
        </c:spPr>
      </c:pivotFmt>
      <c:pivotFmt>
        <c:idx val="4"/>
        <c:spPr>
          <a:solidFill>
            <a:srgbClr val="BEC068"/>
          </a:solidFill>
          <a:ln>
            <a:noFill/>
          </a:ln>
          <a:effectLst/>
        </c:spPr>
        <c:dLbl>
          <c:idx val="0"/>
          <c:layout>
            <c:manualLayout>
              <c:x val="0"/>
              <c:y val="9.1118864082443962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s-C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40000"/>
              <a:lumOff val="60000"/>
            </a:schemeClr>
          </a:solidFill>
          <a:ln>
            <a:noFill/>
          </a:ln>
          <a:effectLst/>
        </c:spPr>
      </c:pivotFmt>
    </c:pivotFmts>
    <c:plotArea>
      <c:layout>
        <c:manualLayout>
          <c:layoutTarget val="inner"/>
          <c:xMode val="edge"/>
          <c:yMode val="edge"/>
          <c:x val="3.6962365591397851E-2"/>
          <c:y val="5.837711617046118E-2"/>
          <c:w val="0.92607526881720426"/>
          <c:h val="0.87157034442498538"/>
        </c:manualLayout>
      </c:layout>
      <c:barChart>
        <c:barDir val="col"/>
        <c:grouping val="stacked"/>
        <c:varyColors val="0"/>
        <c:ser>
          <c:idx val="0"/>
          <c:order val="0"/>
          <c:tx>
            <c:strRef>
              <c:f>Cálculos!$G$13</c:f>
              <c:strCache>
                <c:ptCount val="1"/>
                <c:pt idx="0">
                  <c:v>Total</c:v>
                </c:pt>
              </c:strCache>
            </c:strRef>
          </c:tx>
          <c:spPr>
            <a:solidFill>
              <a:schemeClr val="accent1"/>
            </a:solidFill>
            <a:ln>
              <a:noFill/>
            </a:ln>
            <a:effectLst/>
          </c:spPr>
          <c:invertIfNegative val="0"/>
          <c:dPt>
            <c:idx val="0"/>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1-3638-49B7-B727-8936D66A3041}"/>
              </c:ext>
            </c:extLst>
          </c:dPt>
          <c:dPt>
            <c:idx val="1"/>
            <c:invertIfNegative val="0"/>
            <c:bubble3D val="0"/>
            <c:spPr>
              <a:solidFill>
                <a:srgbClr val="BEC068"/>
              </a:solidFill>
              <a:ln>
                <a:noFill/>
              </a:ln>
              <a:effectLst/>
            </c:spPr>
            <c:extLst>
              <c:ext xmlns:c16="http://schemas.microsoft.com/office/drawing/2014/chart" uri="{C3380CC4-5D6E-409C-BE32-E72D297353CC}">
                <c16:uniqueId val="{00000002-3638-49B7-B727-8936D66A3041}"/>
              </c:ext>
            </c:extLst>
          </c:dPt>
          <c:dPt>
            <c:idx val="2"/>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3-3638-49B7-B727-8936D66A3041}"/>
              </c:ext>
            </c:extLst>
          </c:dPt>
          <c:dLbls>
            <c:dLbl>
              <c:idx val="1"/>
              <c:layout>
                <c:manualLayout>
                  <c:x val="0"/>
                  <c:y val="9.1118864082443962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638-49B7-B727-8936D66A3041}"/>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s-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Cálculos!$F$14:$F$16</c:f>
              <c:strCache>
                <c:ptCount val="3"/>
                <c:pt idx="0">
                  <c:v>Suma de Abiertos</c:v>
                </c:pt>
                <c:pt idx="1">
                  <c:v>Suma de Vencidos</c:v>
                </c:pt>
                <c:pt idx="2">
                  <c:v>Suma de Finalizados</c:v>
                </c:pt>
              </c:strCache>
            </c:strRef>
          </c:cat>
          <c:val>
            <c:numRef>
              <c:f>Cálculos!$G$14:$G$16</c:f>
              <c:numCache>
                <c:formatCode>General</c:formatCode>
                <c:ptCount val="3"/>
                <c:pt idx="0">
                  <c:v>11</c:v>
                </c:pt>
                <c:pt idx="1">
                  <c:v>6</c:v>
                </c:pt>
                <c:pt idx="2">
                  <c:v>67</c:v>
                </c:pt>
              </c:numCache>
            </c:numRef>
          </c:val>
          <c:extLst>
            <c:ext xmlns:c16="http://schemas.microsoft.com/office/drawing/2014/chart" uri="{C3380CC4-5D6E-409C-BE32-E72D297353CC}">
              <c16:uniqueId val="{00000000-3638-49B7-B727-8936D66A3041}"/>
            </c:ext>
          </c:extLst>
        </c:ser>
        <c:dLbls>
          <c:dLblPos val="ctr"/>
          <c:showLegendKey val="0"/>
          <c:showVal val="1"/>
          <c:showCatName val="0"/>
          <c:showSerName val="0"/>
          <c:showPercent val="0"/>
          <c:showBubbleSize val="0"/>
        </c:dLbls>
        <c:gapWidth val="150"/>
        <c:overlap val="100"/>
        <c:axId val="1962026511"/>
        <c:axId val="1962027951"/>
      </c:barChart>
      <c:catAx>
        <c:axId val="1962026511"/>
        <c:scaling>
          <c:orientation val="minMax"/>
        </c:scaling>
        <c:delete val="1"/>
        <c:axPos val="b"/>
        <c:numFmt formatCode="General" sourceLinked="1"/>
        <c:majorTickMark val="none"/>
        <c:minorTickMark val="none"/>
        <c:tickLblPos val="nextTo"/>
        <c:crossAx val="1962027951"/>
        <c:crosses val="autoZero"/>
        <c:auto val="1"/>
        <c:lblAlgn val="ctr"/>
        <c:lblOffset val="100"/>
        <c:noMultiLvlLbl val="0"/>
      </c:catAx>
      <c:valAx>
        <c:axId val="1962027951"/>
        <c:scaling>
          <c:orientation val="minMax"/>
        </c:scaling>
        <c:delete val="1"/>
        <c:axPos val="l"/>
        <c:numFmt formatCode="General" sourceLinked="1"/>
        <c:majorTickMark val="none"/>
        <c:minorTickMark val="none"/>
        <c:tickLblPos val="nextTo"/>
        <c:crossAx val="1962026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v>Tabla 1</c:v>
          </c:tx>
          <c:spPr>
            <a:solidFill>
              <a:srgbClr val="00B050"/>
            </a:solidFill>
          </c:spPr>
          <c:dPt>
            <c:idx val="0"/>
            <c:bubble3D val="0"/>
            <c:spPr>
              <a:solidFill>
                <a:srgbClr val="00B050"/>
              </a:solidFill>
              <a:ln w="19050">
                <a:solidFill>
                  <a:schemeClr val="lt1"/>
                </a:solidFill>
              </a:ln>
              <a:effectLst/>
            </c:spPr>
            <c:extLst>
              <c:ext xmlns:c16="http://schemas.microsoft.com/office/drawing/2014/chart" uri="{C3380CC4-5D6E-409C-BE32-E72D297353CC}">
                <c16:uniqueId val="{00000001-E149-457F-B132-A6B7B6E9E485}"/>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E149-457F-B132-A6B7B6E9E485}"/>
              </c:ext>
            </c:extLst>
          </c:dPt>
          <c:dPt>
            <c:idx val="2"/>
            <c:bubble3D val="0"/>
            <c:spPr>
              <a:solidFill>
                <a:srgbClr val="00B050"/>
              </a:solidFill>
              <a:ln w="19050">
                <a:solidFill>
                  <a:schemeClr val="lt1"/>
                </a:solidFill>
              </a:ln>
              <a:effectLst/>
            </c:spPr>
            <c:extLst>
              <c:ext xmlns:c16="http://schemas.microsoft.com/office/drawing/2014/chart" uri="{C3380CC4-5D6E-409C-BE32-E72D297353CC}">
                <c16:uniqueId val="{00000005-E149-457F-B132-A6B7B6E9E485}"/>
              </c:ext>
            </c:extLst>
          </c:dPt>
          <c:dPt>
            <c:idx val="3"/>
            <c:bubble3D val="0"/>
            <c:spPr>
              <a:solidFill>
                <a:srgbClr val="00B050"/>
              </a:solidFill>
              <a:ln w="19050">
                <a:solidFill>
                  <a:schemeClr val="lt1"/>
                </a:solidFill>
              </a:ln>
              <a:effectLst/>
            </c:spPr>
            <c:extLst>
              <c:ext xmlns:c16="http://schemas.microsoft.com/office/drawing/2014/chart" uri="{C3380CC4-5D6E-409C-BE32-E72D297353CC}">
                <c16:uniqueId val="{00000007-E149-457F-B132-A6B7B6E9E485}"/>
              </c:ext>
            </c:extLst>
          </c:dPt>
          <c:dPt>
            <c:idx val="4"/>
            <c:bubble3D val="0"/>
            <c:spPr>
              <a:solidFill>
                <a:srgbClr val="00B050"/>
              </a:solidFill>
              <a:ln w="19050">
                <a:solidFill>
                  <a:schemeClr val="lt1"/>
                </a:solidFill>
              </a:ln>
              <a:effectLst/>
            </c:spPr>
            <c:extLst>
              <c:ext xmlns:c16="http://schemas.microsoft.com/office/drawing/2014/chart" uri="{C3380CC4-5D6E-409C-BE32-E72D297353CC}">
                <c16:uniqueId val="{00000009-E149-457F-B132-A6B7B6E9E485}"/>
              </c:ext>
            </c:extLst>
          </c:dPt>
          <c:dPt>
            <c:idx val="5"/>
            <c:bubble3D val="0"/>
            <c:spPr>
              <a:solidFill>
                <a:srgbClr val="00B050"/>
              </a:solidFill>
              <a:ln w="19050">
                <a:solidFill>
                  <a:schemeClr val="lt1"/>
                </a:solidFill>
              </a:ln>
              <a:effectLst/>
            </c:spPr>
            <c:extLst>
              <c:ext xmlns:c16="http://schemas.microsoft.com/office/drawing/2014/chart" uri="{C3380CC4-5D6E-409C-BE32-E72D297353CC}">
                <c16:uniqueId val="{0000000B-E149-457F-B132-A6B7B6E9E485}"/>
              </c:ext>
            </c:extLst>
          </c:dPt>
          <c:dPt>
            <c:idx val="6"/>
            <c:bubble3D val="0"/>
            <c:spPr>
              <a:solidFill>
                <a:srgbClr val="00B050"/>
              </a:solidFill>
              <a:ln w="19050">
                <a:solidFill>
                  <a:schemeClr val="lt1"/>
                </a:solidFill>
              </a:ln>
              <a:effectLst/>
            </c:spPr>
            <c:extLst>
              <c:ext xmlns:c16="http://schemas.microsoft.com/office/drawing/2014/chart" uri="{C3380CC4-5D6E-409C-BE32-E72D297353CC}">
                <c16:uniqueId val="{0000000D-E149-457F-B132-A6B7B6E9E485}"/>
              </c:ext>
            </c:extLst>
          </c:dPt>
          <c:dPt>
            <c:idx val="7"/>
            <c:bubble3D val="0"/>
            <c:spPr>
              <a:solidFill>
                <a:srgbClr val="00B050"/>
              </a:solidFill>
              <a:ln w="19050">
                <a:solidFill>
                  <a:schemeClr val="lt1"/>
                </a:solidFill>
              </a:ln>
              <a:effectLst/>
            </c:spPr>
            <c:extLst>
              <c:ext xmlns:c16="http://schemas.microsoft.com/office/drawing/2014/chart" uri="{C3380CC4-5D6E-409C-BE32-E72D297353CC}">
                <c16:uniqueId val="{0000000F-E149-457F-B132-A6B7B6E9E485}"/>
              </c:ext>
            </c:extLst>
          </c:dPt>
          <c:dPt>
            <c:idx val="8"/>
            <c:bubble3D val="0"/>
            <c:spPr>
              <a:solidFill>
                <a:srgbClr val="00B050"/>
              </a:solidFill>
              <a:ln w="19050">
                <a:solidFill>
                  <a:schemeClr val="lt1"/>
                </a:solidFill>
              </a:ln>
              <a:effectLst/>
            </c:spPr>
            <c:extLst>
              <c:ext xmlns:c16="http://schemas.microsoft.com/office/drawing/2014/chart" uri="{C3380CC4-5D6E-409C-BE32-E72D297353CC}">
                <c16:uniqueId val="{00000011-E149-457F-B132-A6B7B6E9E485}"/>
              </c:ext>
            </c:extLst>
          </c:dPt>
          <c:dPt>
            <c:idx val="9"/>
            <c:bubble3D val="0"/>
            <c:spPr>
              <a:solidFill>
                <a:srgbClr val="00B050"/>
              </a:solidFill>
              <a:ln w="19050">
                <a:solidFill>
                  <a:schemeClr val="lt1"/>
                </a:solidFill>
              </a:ln>
              <a:effectLst/>
            </c:spPr>
            <c:extLst>
              <c:ext xmlns:c16="http://schemas.microsoft.com/office/drawing/2014/chart" uri="{C3380CC4-5D6E-409C-BE32-E72D297353CC}">
                <c16:uniqueId val="{00000013-E149-457F-B132-A6B7B6E9E485}"/>
              </c:ext>
            </c:extLst>
          </c:dPt>
          <c:dPt>
            <c:idx val="10"/>
            <c:bubble3D val="0"/>
            <c:spPr>
              <a:solidFill>
                <a:srgbClr val="00B050"/>
              </a:solidFill>
              <a:ln w="19050">
                <a:solidFill>
                  <a:schemeClr val="lt1"/>
                </a:solidFill>
              </a:ln>
              <a:effectLst/>
            </c:spPr>
            <c:extLst>
              <c:ext xmlns:c16="http://schemas.microsoft.com/office/drawing/2014/chart" uri="{C3380CC4-5D6E-409C-BE32-E72D297353CC}">
                <c16:uniqueId val="{00000015-E149-457F-B132-A6B7B6E9E485}"/>
              </c:ext>
            </c:extLst>
          </c:dPt>
          <c:dPt>
            <c:idx val="11"/>
            <c:bubble3D val="0"/>
            <c:spPr>
              <a:solidFill>
                <a:srgbClr val="00B050"/>
              </a:solidFill>
              <a:ln w="19050">
                <a:solidFill>
                  <a:schemeClr val="lt1"/>
                </a:solidFill>
              </a:ln>
              <a:effectLst/>
            </c:spPr>
            <c:extLst>
              <c:ext xmlns:c16="http://schemas.microsoft.com/office/drawing/2014/chart" uri="{C3380CC4-5D6E-409C-BE32-E72D297353CC}">
                <c16:uniqueId val="{00000017-E149-457F-B132-A6B7B6E9E485}"/>
              </c:ext>
            </c:extLst>
          </c:dPt>
          <c:dPt>
            <c:idx val="12"/>
            <c:bubble3D val="0"/>
            <c:spPr>
              <a:solidFill>
                <a:srgbClr val="00B050"/>
              </a:solidFill>
              <a:ln w="19050">
                <a:solidFill>
                  <a:schemeClr val="lt1"/>
                </a:solidFill>
              </a:ln>
              <a:effectLst/>
            </c:spPr>
            <c:extLst>
              <c:ext xmlns:c16="http://schemas.microsoft.com/office/drawing/2014/chart" uri="{C3380CC4-5D6E-409C-BE32-E72D297353CC}">
                <c16:uniqueId val="{00000019-E149-457F-B132-A6B7B6E9E485}"/>
              </c:ext>
            </c:extLst>
          </c:dPt>
          <c:dPt>
            <c:idx val="13"/>
            <c:bubble3D val="0"/>
            <c:spPr>
              <a:solidFill>
                <a:srgbClr val="00B050"/>
              </a:solidFill>
              <a:ln w="19050">
                <a:solidFill>
                  <a:schemeClr val="lt1"/>
                </a:solidFill>
              </a:ln>
              <a:effectLst/>
            </c:spPr>
            <c:extLst>
              <c:ext xmlns:c16="http://schemas.microsoft.com/office/drawing/2014/chart" uri="{C3380CC4-5D6E-409C-BE32-E72D297353CC}">
                <c16:uniqueId val="{0000001B-E149-457F-B132-A6B7B6E9E485}"/>
              </c:ext>
            </c:extLst>
          </c:dPt>
          <c:dPt>
            <c:idx val="14"/>
            <c:bubble3D val="0"/>
            <c:spPr>
              <a:solidFill>
                <a:srgbClr val="00B050"/>
              </a:solidFill>
              <a:ln w="19050">
                <a:solidFill>
                  <a:schemeClr val="lt1"/>
                </a:solidFill>
              </a:ln>
              <a:effectLst/>
            </c:spPr>
            <c:extLst>
              <c:ext xmlns:c16="http://schemas.microsoft.com/office/drawing/2014/chart" uri="{C3380CC4-5D6E-409C-BE32-E72D297353CC}">
                <c16:uniqueId val="{0000001D-E149-457F-B132-A6B7B6E9E485}"/>
              </c:ext>
            </c:extLst>
          </c:dPt>
          <c:dPt>
            <c:idx val="15"/>
            <c:bubble3D val="0"/>
            <c:spPr>
              <a:solidFill>
                <a:srgbClr val="00B050"/>
              </a:solidFill>
              <a:ln w="19050">
                <a:solidFill>
                  <a:schemeClr val="lt1"/>
                </a:solidFill>
              </a:ln>
              <a:effectLst/>
            </c:spPr>
            <c:extLst>
              <c:ext xmlns:c16="http://schemas.microsoft.com/office/drawing/2014/chart" uri="{C3380CC4-5D6E-409C-BE32-E72D297353CC}">
                <c16:uniqueId val="{0000001F-E149-457F-B132-A6B7B6E9E485}"/>
              </c:ext>
            </c:extLst>
          </c:dPt>
          <c:dPt>
            <c:idx val="16"/>
            <c:bubble3D val="0"/>
            <c:spPr>
              <a:solidFill>
                <a:srgbClr val="00B050"/>
              </a:solidFill>
              <a:ln w="19050">
                <a:solidFill>
                  <a:schemeClr val="lt1"/>
                </a:solidFill>
              </a:ln>
              <a:effectLst/>
            </c:spPr>
            <c:extLst>
              <c:ext xmlns:c16="http://schemas.microsoft.com/office/drawing/2014/chart" uri="{C3380CC4-5D6E-409C-BE32-E72D297353CC}">
                <c16:uniqueId val="{00000021-E149-457F-B132-A6B7B6E9E485}"/>
              </c:ext>
            </c:extLst>
          </c:dPt>
          <c:dPt>
            <c:idx val="17"/>
            <c:bubble3D val="0"/>
            <c:spPr>
              <a:solidFill>
                <a:srgbClr val="00B050"/>
              </a:solidFill>
              <a:ln w="19050">
                <a:solidFill>
                  <a:schemeClr val="lt1"/>
                </a:solidFill>
              </a:ln>
              <a:effectLst/>
            </c:spPr>
            <c:extLst>
              <c:ext xmlns:c16="http://schemas.microsoft.com/office/drawing/2014/chart" uri="{C3380CC4-5D6E-409C-BE32-E72D297353CC}">
                <c16:uniqueId val="{00000023-E149-457F-B132-A6B7B6E9E485}"/>
              </c:ext>
            </c:extLst>
          </c:dPt>
          <c:dPt>
            <c:idx val="18"/>
            <c:bubble3D val="0"/>
            <c:spPr>
              <a:solidFill>
                <a:srgbClr val="00B050"/>
              </a:solidFill>
              <a:ln w="19050">
                <a:solidFill>
                  <a:schemeClr val="lt1"/>
                </a:solidFill>
              </a:ln>
              <a:effectLst/>
            </c:spPr>
            <c:extLst>
              <c:ext xmlns:c16="http://schemas.microsoft.com/office/drawing/2014/chart" uri="{C3380CC4-5D6E-409C-BE32-E72D297353CC}">
                <c16:uniqueId val="{00000025-E149-457F-B132-A6B7B6E9E485}"/>
              </c:ext>
            </c:extLst>
          </c:dPt>
          <c:dPt>
            <c:idx val="19"/>
            <c:bubble3D val="0"/>
            <c:spPr>
              <a:solidFill>
                <a:srgbClr val="00B050"/>
              </a:solidFill>
              <a:ln w="19050">
                <a:solidFill>
                  <a:schemeClr val="lt1"/>
                </a:solidFill>
              </a:ln>
              <a:effectLst/>
            </c:spPr>
            <c:extLst>
              <c:ext xmlns:c16="http://schemas.microsoft.com/office/drawing/2014/chart" uri="{C3380CC4-5D6E-409C-BE32-E72D297353CC}">
                <c16:uniqueId val="{00000027-E149-457F-B132-A6B7B6E9E485}"/>
              </c:ext>
            </c:extLst>
          </c:dPt>
          <c:val>
            <c:numLit>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Lit>
          </c:val>
          <c:extLst>
            <c:ext xmlns:c16="http://schemas.microsoft.com/office/drawing/2014/chart" uri="{C3380CC4-5D6E-409C-BE32-E72D297353CC}">
              <c16:uniqueId val="{00000028-E149-457F-B132-A6B7B6E9E485}"/>
            </c:ext>
          </c:extLst>
        </c:ser>
        <c:dLbls>
          <c:showLegendKey val="0"/>
          <c:showVal val="0"/>
          <c:showCatName val="0"/>
          <c:showSerName val="0"/>
          <c:showPercent val="0"/>
          <c:showBubbleSize val="0"/>
          <c:showLeaderLines val="1"/>
        </c:dLbls>
        <c:firstSliceAng val="0"/>
        <c:holeSize val="60"/>
      </c:doughnutChart>
      <c:doughnutChart>
        <c:varyColors val="1"/>
        <c:ser>
          <c:idx val="1"/>
          <c:order val="1"/>
          <c:tx>
            <c:v>Tabla 2</c:v>
          </c:tx>
          <c:dPt>
            <c:idx val="0"/>
            <c:bubble3D val="0"/>
            <c:spPr>
              <a:noFill/>
              <a:ln w="19050">
                <a:solidFill>
                  <a:schemeClr val="lt1"/>
                </a:solidFill>
              </a:ln>
              <a:effectLst/>
            </c:spPr>
            <c:extLst>
              <c:ext xmlns:c16="http://schemas.microsoft.com/office/drawing/2014/chart" uri="{C3380CC4-5D6E-409C-BE32-E72D297353CC}">
                <c16:uniqueId val="{0000002A-E149-457F-B132-A6B7B6E9E485}"/>
              </c:ext>
            </c:extLst>
          </c:dPt>
          <c:dPt>
            <c:idx val="1"/>
            <c:bubble3D val="0"/>
            <c:spPr>
              <a:solidFill>
                <a:schemeClr val="bg1">
                  <a:alpha val="78000"/>
                </a:schemeClr>
              </a:solidFill>
              <a:ln w="19050">
                <a:solidFill>
                  <a:schemeClr val="lt1"/>
                </a:solidFill>
              </a:ln>
              <a:effectLst/>
            </c:spPr>
            <c:extLst>
              <c:ext xmlns:c16="http://schemas.microsoft.com/office/drawing/2014/chart" uri="{C3380CC4-5D6E-409C-BE32-E72D297353CC}">
                <c16:uniqueId val="{0000002C-E149-457F-B132-A6B7B6E9E485}"/>
              </c:ext>
            </c:extLst>
          </c:dPt>
          <c:val>
            <c:numRef>
              <c:f>Cálculos!$A$34:$A$35</c:f>
              <c:numCache>
                <c:formatCode>0%</c:formatCode>
                <c:ptCount val="2"/>
                <c:pt idx="0">
                  <c:v>0.79761904761904767</c:v>
                </c:pt>
                <c:pt idx="1">
                  <c:v>0.20238095238095233</c:v>
                </c:pt>
              </c:numCache>
            </c:numRef>
          </c:val>
          <c:extLst>
            <c:ext xmlns:c16="http://schemas.microsoft.com/office/drawing/2014/chart" uri="{C3380CC4-5D6E-409C-BE32-E72D297353CC}">
              <c16:uniqueId val="{0000002D-E149-457F-B132-A6B7B6E9E485}"/>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chart" Target="../charts/chart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5.png"/><Relationship Id="rId5" Type="http://schemas.openxmlformats.org/officeDocument/2006/relationships/image" Target="../media/image4.svg"/><Relationship Id="rId4" Type="http://schemas.openxmlformats.org/officeDocument/2006/relationships/image" Target="../media/image3.png"/></Relationships>
</file>

<file path=xl/drawings/_rels/drawing2.xml.rels><?xml version="1.0" encoding="UTF-8" standalone="yes"?>
<Relationships xmlns="http://schemas.openxmlformats.org/package/2006/relationships"><Relationship Id="rId2" Type="http://schemas.openxmlformats.org/officeDocument/2006/relationships/image" Target="../media/image6.sv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9</xdr:col>
      <xdr:colOff>134589</xdr:colOff>
      <xdr:row>6</xdr:row>
      <xdr:rowOff>44699</xdr:rowOff>
    </xdr:from>
    <xdr:to>
      <xdr:col>10</xdr:col>
      <xdr:colOff>62109</xdr:colOff>
      <xdr:row>8</xdr:row>
      <xdr:rowOff>110939</xdr:rowOff>
    </xdr:to>
    <xdr:sp macro="[0]!Calcular_Enero" textlink="">
      <xdr:nvSpPr>
        <xdr:cNvPr id="32" name="CuadroTexto 31">
          <a:extLst>
            <a:ext uri="{FF2B5EF4-FFF2-40B4-BE49-F238E27FC236}">
              <a16:creationId xmlns:a16="http://schemas.microsoft.com/office/drawing/2014/main" id="{31A1FC5B-3867-995F-2FDA-ADA9539F7F5A}"/>
            </a:ext>
          </a:extLst>
        </xdr:cNvPr>
        <xdr:cNvSpPr txBox="1"/>
      </xdr:nvSpPr>
      <xdr:spPr>
        <a:xfrm>
          <a:off x="7381209" y="1141979"/>
          <a:ext cx="720000" cy="432000"/>
        </a:xfrm>
        <a:prstGeom prst="rect">
          <a:avLst/>
        </a:prstGeom>
        <a:solidFill>
          <a:schemeClr val="accent6">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O" sz="1600" b="1">
              <a:latin typeface="Arial" panose="020B0604020202020204" pitchFamily="34" charset="0"/>
              <a:cs typeface="Arial" panose="020B0604020202020204" pitchFamily="34" charset="0"/>
            </a:rPr>
            <a:t>0</a:t>
          </a:r>
        </a:p>
      </xdr:txBody>
    </xdr:sp>
    <xdr:clientData/>
  </xdr:twoCellAnchor>
  <xdr:twoCellAnchor>
    <xdr:from>
      <xdr:col>9</xdr:col>
      <xdr:colOff>152877</xdr:colOff>
      <xdr:row>9</xdr:row>
      <xdr:rowOff>108911</xdr:rowOff>
    </xdr:from>
    <xdr:to>
      <xdr:col>10</xdr:col>
      <xdr:colOff>80397</xdr:colOff>
      <xdr:row>11</xdr:row>
      <xdr:rowOff>175151</xdr:rowOff>
    </xdr:to>
    <xdr:sp macro="[0]!Calcular_Febrero" textlink="">
      <xdr:nvSpPr>
        <xdr:cNvPr id="33" name="CuadroTexto 32">
          <a:extLst>
            <a:ext uri="{FF2B5EF4-FFF2-40B4-BE49-F238E27FC236}">
              <a16:creationId xmlns:a16="http://schemas.microsoft.com/office/drawing/2014/main" id="{C39592B1-500C-4931-A135-A9EDF0F13550}"/>
            </a:ext>
          </a:extLst>
        </xdr:cNvPr>
        <xdr:cNvSpPr txBox="1"/>
      </xdr:nvSpPr>
      <xdr:spPr>
        <a:xfrm>
          <a:off x="7399497" y="1754831"/>
          <a:ext cx="720000" cy="432000"/>
        </a:xfrm>
        <a:prstGeom prst="rect">
          <a:avLst/>
        </a:prstGeom>
        <a:solidFill>
          <a:schemeClr val="accent6">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O" sz="1600" b="1">
              <a:latin typeface="Arial" panose="020B0604020202020204" pitchFamily="34" charset="0"/>
              <a:cs typeface="Arial" panose="020B0604020202020204" pitchFamily="34" charset="0"/>
            </a:rPr>
            <a:t>2</a:t>
          </a:r>
        </a:p>
      </xdr:txBody>
    </xdr:sp>
    <xdr:clientData/>
  </xdr:twoCellAnchor>
  <xdr:twoCellAnchor>
    <xdr:from>
      <xdr:col>9</xdr:col>
      <xdr:colOff>143733</xdr:colOff>
      <xdr:row>12</xdr:row>
      <xdr:rowOff>173123</xdr:rowOff>
    </xdr:from>
    <xdr:to>
      <xdr:col>10</xdr:col>
      <xdr:colOff>71253</xdr:colOff>
      <xdr:row>15</xdr:row>
      <xdr:rowOff>56483</xdr:rowOff>
    </xdr:to>
    <xdr:sp macro="[0]!Calcular_Marzo" textlink="">
      <xdr:nvSpPr>
        <xdr:cNvPr id="53" name="CuadroTexto 52">
          <a:extLst>
            <a:ext uri="{FF2B5EF4-FFF2-40B4-BE49-F238E27FC236}">
              <a16:creationId xmlns:a16="http://schemas.microsoft.com/office/drawing/2014/main" id="{D911EBC8-44DE-46F5-9826-2A8BABA3ECB8}"/>
            </a:ext>
          </a:extLst>
        </xdr:cNvPr>
        <xdr:cNvSpPr txBox="1"/>
      </xdr:nvSpPr>
      <xdr:spPr>
        <a:xfrm>
          <a:off x="7390353" y="2367683"/>
          <a:ext cx="720000" cy="432000"/>
        </a:xfrm>
        <a:prstGeom prst="rect">
          <a:avLst/>
        </a:prstGeom>
        <a:solidFill>
          <a:schemeClr val="accent6">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O" sz="1600" b="1">
              <a:latin typeface="Arial" panose="020B0604020202020204" pitchFamily="34" charset="0"/>
              <a:cs typeface="Arial" panose="020B0604020202020204" pitchFamily="34" charset="0"/>
            </a:rPr>
            <a:t>1</a:t>
          </a:r>
        </a:p>
      </xdr:txBody>
    </xdr:sp>
    <xdr:clientData/>
  </xdr:twoCellAnchor>
  <xdr:twoCellAnchor>
    <xdr:from>
      <xdr:col>9</xdr:col>
      <xdr:colOff>162021</xdr:colOff>
      <xdr:row>16</xdr:row>
      <xdr:rowOff>54455</xdr:rowOff>
    </xdr:from>
    <xdr:to>
      <xdr:col>10</xdr:col>
      <xdr:colOff>89541</xdr:colOff>
      <xdr:row>18</xdr:row>
      <xdr:rowOff>120695</xdr:rowOff>
    </xdr:to>
    <xdr:sp macro="[0]!Calcular_Abril" textlink="">
      <xdr:nvSpPr>
        <xdr:cNvPr id="54" name="CuadroTexto 53">
          <a:extLst>
            <a:ext uri="{FF2B5EF4-FFF2-40B4-BE49-F238E27FC236}">
              <a16:creationId xmlns:a16="http://schemas.microsoft.com/office/drawing/2014/main" id="{61D6D499-F33F-4A4F-B9D3-64CF2F96906D}"/>
            </a:ext>
          </a:extLst>
        </xdr:cNvPr>
        <xdr:cNvSpPr txBox="1"/>
      </xdr:nvSpPr>
      <xdr:spPr>
        <a:xfrm>
          <a:off x="7408641" y="2980535"/>
          <a:ext cx="720000" cy="432000"/>
        </a:xfrm>
        <a:prstGeom prst="rect">
          <a:avLst/>
        </a:prstGeom>
        <a:solidFill>
          <a:schemeClr val="accent6">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O" sz="1600" b="1">
              <a:latin typeface="Arial" panose="020B0604020202020204" pitchFamily="34" charset="0"/>
              <a:cs typeface="Arial" panose="020B0604020202020204" pitchFamily="34" charset="0"/>
            </a:rPr>
            <a:t>0</a:t>
          </a:r>
        </a:p>
      </xdr:txBody>
    </xdr:sp>
    <xdr:clientData/>
  </xdr:twoCellAnchor>
  <xdr:twoCellAnchor>
    <xdr:from>
      <xdr:col>9</xdr:col>
      <xdr:colOff>180309</xdr:colOff>
      <xdr:row>19</xdr:row>
      <xdr:rowOff>118667</xdr:rowOff>
    </xdr:from>
    <xdr:to>
      <xdr:col>10</xdr:col>
      <xdr:colOff>107829</xdr:colOff>
      <xdr:row>22</xdr:row>
      <xdr:rowOff>2027</xdr:rowOff>
    </xdr:to>
    <xdr:sp macro="[0]!Calcular_Mayo" textlink="">
      <xdr:nvSpPr>
        <xdr:cNvPr id="55" name="CuadroTexto 54">
          <a:extLst>
            <a:ext uri="{FF2B5EF4-FFF2-40B4-BE49-F238E27FC236}">
              <a16:creationId xmlns:a16="http://schemas.microsoft.com/office/drawing/2014/main" id="{E9A51C11-136B-4954-B2A5-9E96ABD45983}"/>
            </a:ext>
          </a:extLst>
        </xdr:cNvPr>
        <xdr:cNvSpPr txBox="1"/>
      </xdr:nvSpPr>
      <xdr:spPr>
        <a:xfrm>
          <a:off x="7426929" y="3593387"/>
          <a:ext cx="720000" cy="432000"/>
        </a:xfrm>
        <a:prstGeom prst="rect">
          <a:avLst/>
        </a:prstGeom>
        <a:solidFill>
          <a:schemeClr val="accent6">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O" sz="1600" b="1">
              <a:latin typeface="Arial" panose="020B0604020202020204" pitchFamily="34" charset="0"/>
              <a:cs typeface="Arial" panose="020B0604020202020204" pitchFamily="34" charset="0"/>
            </a:rPr>
            <a:t>4</a:t>
          </a:r>
        </a:p>
      </xdr:txBody>
    </xdr:sp>
    <xdr:clientData/>
  </xdr:twoCellAnchor>
  <xdr:twoCellAnchor>
    <xdr:from>
      <xdr:col>8</xdr:col>
      <xdr:colOff>262128</xdr:colOff>
      <xdr:row>10</xdr:row>
      <xdr:rowOff>65219</xdr:rowOff>
    </xdr:from>
    <xdr:to>
      <xdr:col>8</xdr:col>
      <xdr:colOff>845820</xdr:colOff>
      <xdr:row>11</xdr:row>
      <xdr:rowOff>129540</xdr:rowOff>
    </xdr:to>
    <xdr:sp macro="" textlink="">
      <xdr:nvSpPr>
        <xdr:cNvPr id="56" name="CuadroTexto 55">
          <a:extLst>
            <a:ext uri="{FF2B5EF4-FFF2-40B4-BE49-F238E27FC236}">
              <a16:creationId xmlns:a16="http://schemas.microsoft.com/office/drawing/2014/main" id="{A158D1DE-AE0C-4832-9FB0-F81886BA020E}"/>
            </a:ext>
          </a:extLst>
        </xdr:cNvPr>
        <xdr:cNvSpPr txBox="1"/>
      </xdr:nvSpPr>
      <xdr:spPr>
        <a:xfrm>
          <a:off x="6601968" y="1894019"/>
          <a:ext cx="583692" cy="2472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O" sz="1200" b="1">
              <a:latin typeface="Arial" panose="020B0604020202020204" pitchFamily="34" charset="0"/>
              <a:cs typeface="Arial" panose="020B0604020202020204" pitchFamily="34" charset="0"/>
            </a:rPr>
            <a:t>FEB</a:t>
          </a:r>
        </a:p>
      </xdr:txBody>
    </xdr:sp>
    <xdr:clientData/>
  </xdr:twoCellAnchor>
  <xdr:twoCellAnchor>
    <xdr:from>
      <xdr:col>9</xdr:col>
      <xdr:colOff>171165</xdr:colOff>
      <xdr:row>23</xdr:row>
      <xdr:rowOff>0</xdr:rowOff>
    </xdr:from>
    <xdr:to>
      <xdr:col>10</xdr:col>
      <xdr:colOff>98685</xdr:colOff>
      <xdr:row>25</xdr:row>
      <xdr:rowOff>66240</xdr:rowOff>
    </xdr:to>
    <xdr:sp macro="[0]!Calcular_Junio" textlink="">
      <xdr:nvSpPr>
        <xdr:cNvPr id="57" name="CuadroTexto 56">
          <a:extLst>
            <a:ext uri="{FF2B5EF4-FFF2-40B4-BE49-F238E27FC236}">
              <a16:creationId xmlns:a16="http://schemas.microsoft.com/office/drawing/2014/main" id="{4B0F223C-2B6A-45D5-B077-BD1C05041676}"/>
            </a:ext>
          </a:extLst>
        </xdr:cNvPr>
        <xdr:cNvSpPr txBox="1"/>
      </xdr:nvSpPr>
      <xdr:spPr>
        <a:xfrm>
          <a:off x="7417785" y="4206240"/>
          <a:ext cx="720000" cy="432000"/>
        </a:xfrm>
        <a:prstGeom prst="rect">
          <a:avLst/>
        </a:prstGeom>
        <a:solidFill>
          <a:schemeClr val="accent6">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O" sz="1600" b="1">
              <a:latin typeface="Arial" panose="020B0604020202020204" pitchFamily="34" charset="0"/>
              <a:cs typeface="Arial" panose="020B0604020202020204" pitchFamily="34" charset="0"/>
            </a:rPr>
            <a:t>5</a:t>
          </a:r>
        </a:p>
      </xdr:txBody>
    </xdr:sp>
    <xdr:clientData/>
  </xdr:twoCellAnchor>
  <xdr:twoCellAnchor>
    <xdr:from>
      <xdr:col>8</xdr:col>
      <xdr:colOff>289560</xdr:colOff>
      <xdr:row>6</xdr:row>
      <xdr:rowOff>141721</xdr:rowOff>
    </xdr:from>
    <xdr:to>
      <xdr:col>8</xdr:col>
      <xdr:colOff>830580</xdr:colOff>
      <xdr:row>8</xdr:row>
      <xdr:rowOff>91440</xdr:rowOff>
    </xdr:to>
    <xdr:sp macro="" textlink="">
      <xdr:nvSpPr>
        <xdr:cNvPr id="58" name="CuadroTexto 57">
          <a:extLst>
            <a:ext uri="{FF2B5EF4-FFF2-40B4-BE49-F238E27FC236}">
              <a16:creationId xmlns:a16="http://schemas.microsoft.com/office/drawing/2014/main" id="{6605B6D5-FB14-43C5-9C10-89C27236E2F1}"/>
            </a:ext>
          </a:extLst>
        </xdr:cNvPr>
        <xdr:cNvSpPr txBox="1"/>
      </xdr:nvSpPr>
      <xdr:spPr>
        <a:xfrm>
          <a:off x="6629400" y="1239001"/>
          <a:ext cx="541020" cy="3154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O" sz="1200" b="1">
              <a:latin typeface="Arial" panose="020B0604020202020204" pitchFamily="34" charset="0"/>
              <a:cs typeface="Arial" panose="020B0604020202020204" pitchFamily="34" charset="0"/>
            </a:rPr>
            <a:t>ENE</a:t>
          </a:r>
        </a:p>
      </xdr:txBody>
    </xdr:sp>
    <xdr:clientData/>
  </xdr:twoCellAnchor>
  <xdr:twoCellAnchor>
    <xdr:from>
      <xdr:col>8</xdr:col>
      <xdr:colOff>263652</xdr:colOff>
      <xdr:row>13</xdr:row>
      <xdr:rowOff>83655</xdr:rowOff>
    </xdr:from>
    <xdr:to>
      <xdr:col>8</xdr:col>
      <xdr:colOff>883920</xdr:colOff>
      <xdr:row>14</xdr:row>
      <xdr:rowOff>144780</xdr:rowOff>
    </xdr:to>
    <xdr:sp macro="" textlink="">
      <xdr:nvSpPr>
        <xdr:cNvPr id="59" name="CuadroTexto 58">
          <a:extLst>
            <a:ext uri="{FF2B5EF4-FFF2-40B4-BE49-F238E27FC236}">
              <a16:creationId xmlns:a16="http://schemas.microsoft.com/office/drawing/2014/main" id="{3DF4A1A5-C05F-42F1-B53E-617659009EEA}"/>
            </a:ext>
          </a:extLst>
        </xdr:cNvPr>
        <xdr:cNvSpPr txBox="1"/>
      </xdr:nvSpPr>
      <xdr:spPr>
        <a:xfrm>
          <a:off x="6603492" y="2461095"/>
          <a:ext cx="620268" cy="2440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O" sz="1200" b="1">
              <a:latin typeface="Arial" panose="020B0604020202020204" pitchFamily="34" charset="0"/>
              <a:cs typeface="Arial" panose="020B0604020202020204" pitchFamily="34" charset="0"/>
            </a:rPr>
            <a:t>MAR</a:t>
          </a:r>
        </a:p>
      </xdr:txBody>
    </xdr:sp>
    <xdr:clientData/>
  </xdr:twoCellAnchor>
  <xdr:twoCellAnchor>
    <xdr:from>
      <xdr:col>8</xdr:col>
      <xdr:colOff>254508</xdr:colOff>
      <xdr:row>16</xdr:row>
      <xdr:rowOff>159611</xdr:rowOff>
    </xdr:from>
    <xdr:to>
      <xdr:col>8</xdr:col>
      <xdr:colOff>845820</xdr:colOff>
      <xdr:row>18</xdr:row>
      <xdr:rowOff>53340</xdr:rowOff>
    </xdr:to>
    <xdr:sp macro="" textlink="">
      <xdr:nvSpPr>
        <xdr:cNvPr id="60" name="CuadroTexto 59">
          <a:extLst>
            <a:ext uri="{FF2B5EF4-FFF2-40B4-BE49-F238E27FC236}">
              <a16:creationId xmlns:a16="http://schemas.microsoft.com/office/drawing/2014/main" id="{C12C88D5-EE7F-48DE-A53A-87E460F8E1F7}"/>
            </a:ext>
          </a:extLst>
        </xdr:cNvPr>
        <xdr:cNvSpPr txBox="1"/>
      </xdr:nvSpPr>
      <xdr:spPr>
        <a:xfrm>
          <a:off x="6594348" y="3085691"/>
          <a:ext cx="591312" cy="2594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O" sz="1200" b="1">
              <a:latin typeface="Arial" panose="020B0604020202020204" pitchFamily="34" charset="0"/>
              <a:cs typeface="Arial" panose="020B0604020202020204" pitchFamily="34" charset="0"/>
            </a:rPr>
            <a:t>ABR</a:t>
          </a:r>
        </a:p>
      </xdr:txBody>
    </xdr:sp>
    <xdr:clientData/>
  </xdr:twoCellAnchor>
  <xdr:twoCellAnchor>
    <xdr:from>
      <xdr:col>8</xdr:col>
      <xdr:colOff>249936</xdr:colOff>
      <xdr:row>23</xdr:row>
      <xdr:rowOff>114300</xdr:rowOff>
    </xdr:from>
    <xdr:to>
      <xdr:col>8</xdr:col>
      <xdr:colOff>868680</xdr:colOff>
      <xdr:row>24</xdr:row>
      <xdr:rowOff>152400</xdr:rowOff>
    </xdr:to>
    <xdr:sp macro="" textlink="">
      <xdr:nvSpPr>
        <xdr:cNvPr id="61" name="CuadroTexto 60">
          <a:extLst>
            <a:ext uri="{FF2B5EF4-FFF2-40B4-BE49-F238E27FC236}">
              <a16:creationId xmlns:a16="http://schemas.microsoft.com/office/drawing/2014/main" id="{5F8BA486-E28B-4CF1-BDBD-8A8B53D938A3}"/>
            </a:ext>
          </a:extLst>
        </xdr:cNvPr>
        <xdr:cNvSpPr txBox="1"/>
      </xdr:nvSpPr>
      <xdr:spPr>
        <a:xfrm>
          <a:off x="6589776" y="4320540"/>
          <a:ext cx="618744"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O" sz="1200" b="1">
              <a:latin typeface="Arial" panose="020B0604020202020204" pitchFamily="34" charset="0"/>
              <a:cs typeface="Arial" panose="020B0604020202020204" pitchFamily="34" charset="0"/>
            </a:rPr>
            <a:t>JUN</a:t>
          </a:r>
        </a:p>
      </xdr:txBody>
    </xdr:sp>
    <xdr:clientData/>
  </xdr:twoCellAnchor>
  <xdr:twoCellAnchor>
    <xdr:from>
      <xdr:col>8</xdr:col>
      <xdr:colOff>205740</xdr:colOff>
      <xdr:row>20</xdr:row>
      <xdr:rowOff>70499</xdr:rowOff>
    </xdr:from>
    <xdr:to>
      <xdr:col>8</xdr:col>
      <xdr:colOff>891540</xdr:colOff>
      <xdr:row>21</xdr:row>
      <xdr:rowOff>76200</xdr:rowOff>
    </xdr:to>
    <xdr:sp macro="" textlink="">
      <xdr:nvSpPr>
        <xdr:cNvPr id="62" name="CuadroTexto 61">
          <a:extLst>
            <a:ext uri="{FF2B5EF4-FFF2-40B4-BE49-F238E27FC236}">
              <a16:creationId xmlns:a16="http://schemas.microsoft.com/office/drawing/2014/main" id="{9CB167B5-5E1F-4012-9A81-A723A3D2CB72}"/>
            </a:ext>
          </a:extLst>
        </xdr:cNvPr>
        <xdr:cNvSpPr txBox="1"/>
      </xdr:nvSpPr>
      <xdr:spPr>
        <a:xfrm>
          <a:off x="6545580" y="3728099"/>
          <a:ext cx="685800" cy="1885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O" sz="1200" b="1">
              <a:latin typeface="Arial" panose="020B0604020202020204" pitchFamily="34" charset="0"/>
              <a:cs typeface="Arial" panose="020B0604020202020204" pitchFamily="34" charset="0"/>
            </a:rPr>
            <a:t>MAY</a:t>
          </a:r>
        </a:p>
      </xdr:txBody>
    </xdr:sp>
    <xdr:clientData/>
  </xdr:twoCellAnchor>
  <xdr:twoCellAnchor>
    <xdr:from>
      <xdr:col>8</xdr:col>
      <xdr:colOff>121920</xdr:colOff>
      <xdr:row>3</xdr:row>
      <xdr:rowOff>59939</xdr:rowOff>
    </xdr:from>
    <xdr:to>
      <xdr:col>10</xdr:col>
      <xdr:colOff>320040</xdr:colOff>
      <xdr:row>6</xdr:row>
      <xdr:rowOff>0</xdr:rowOff>
    </xdr:to>
    <xdr:sp macro="" textlink="">
      <xdr:nvSpPr>
        <xdr:cNvPr id="63" name="CuadroTexto 62">
          <a:extLst>
            <a:ext uri="{FF2B5EF4-FFF2-40B4-BE49-F238E27FC236}">
              <a16:creationId xmlns:a16="http://schemas.microsoft.com/office/drawing/2014/main" id="{0861FBD5-0178-4828-967B-C0861A3B638A}"/>
            </a:ext>
          </a:extLst>
        </xdr:cNvPr>
        <xdr:cNvSpPr txBox="1"/>
      </xdr:nvSpPr>
      <xdr:spPr>
        <a:xfrm>
          <a:off x="6461760" y="608579"/>
          <a:ext cx="1897380" cy="488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1200" b="1">
              <a:latin typeface="Arial" panose="020B0604020202020204" pitchFamily="34" charset="0"/>
              <a:cs typeface="Arial" panose="020B0604020202020204" pitchFamily="34" charset="0"/>
            </a:rPr>
            <a:t>Acciones Finalizadas</a:t>
          </a:r>
        </a:p>
        <a:p>
          <a:pPr algn="ctr"/>
          <a:r>
            <a:rPr lang="es-CO" sz="1200" b="1">
              <a:latin typeface="Arial" panose="020B0604020202020204" pitchFamily="34" charset="0"/>
              <a:cs typeface="Arial" panose="020B0604020202020204" pitchFamily="34" charset="0"/>
            </a:rPr>
            <a:t>Vigencia 2026</a:t>
          </a:r>
        </a:p>
      </xdr:txBody>
    </xdr:sp>
    <xdr:clientData/>
  </xdr:twoCellAnchor>
  <xdr:twoCellAnchor>
    <xdr:from>
      <xdr:col>0</xdr:col>
      <xdr:colOff>228600</xdr:colOff>
      <xdr:row>6</xdr:row>
      <xdr:rowOff>129540</xdr:rowOff>
    </xdr:from>
    <xdr:to>
      <xdr:col>1</xdr:col>
      <xdr:colOff>45720</xdr:colOff>
      <xdr:row>11</xdr:row>
      <xdr:rowOff>22860</xdr:rowOff>
    </xdr:to>
    <xdr:grpSp>
      <xdr:nvGrpSpPr>
        <xdr:cNvPr id="46" name="Grupo 45">
          <a:extLst>
            <a:ext uri="{FF2B5EF4-FFF2-40B4-BE49-F238E27FC236}">
              <a16:creationId xmlns:a16="http://schemas.microsoft.com/office/drawing/2014/main" id="{BD8CB1C8-B47E-9224-4F7A-B03A684DDD1C}"/>
            </a:ext>
          </a:extLst>
        </xdr:cNvPr>
        <xdr:cNvGrpSpPr/>
      </xdr:nvGrpSpPr>
      <xdr:grpSpPr>
        <a:xfrm>
          <a:off x="228600" y="1226820"/>
          <a:ext cx="609600" cy="807720"/>
          <a:chOff x="2004060" y="4343400"/>
          <a:chExt cx="609600" cy="807720"/>
        </a:xfrm>
      </xdr:grpSpPr>
      <xdr:pic macro="[0]!GuardarYSalir">
        <xdr:nvPicPr>
          <xdr:cNvPr id="47" name="Gráfico 46" descr="Salir contorno">
            <a:extLst>
              <a:ext uri="{FF2B5EF4-FFF2-40B4-BE49-F238E27FC236}">
                <a16:creationId xmlns:a16="http://schemas.microsoft.com/office/drawing/2014/main" id="{D3D07E54-7DBA-1D9A-394D-01037A115F5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19300" y="4343400"/>
            <a:ext cx="594360" cy="594360"/>
          </a:xfrm>
          <a:prstGeom prst="rect">
            <a:avLst/>
          </a:prstGeom>
        </xdr:spPr>
      </xdr:pic>
      <xdr:sp macro="" textlink="">
        <xdr:nvSpPr>
          <xdr:cNvPr id="44" name="Rectángulo 43">
            <a:extLst>
              <a:ext uri="{FF2B5EF4-FFF2-40B4-BE49-F238E27FC236}">
                <a16:creationId xmlns:a16="http://schemas.microsoft.com/office/drawing/2014/main" id="{12AEC7C0-7B26-023E-24BB-65A0C1CF201F}"/>
              </a:ext>
            </a:extLst>
          </xdr:cNvPr>
          <xdr:cNvSpPr/>
        </xdr:nvSpPr>
        <xdr:spPr>
          <a:xfrm>
            <a:off x="2004060" y="4914900"/>
            <a:ext cx="533400" cy="2362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000" b="1">
                <a:solidFill>
                  <a:schemeClr val="tx1"/>
                </a:solidFill>
                <a:latin typeface="Arial" panose="020B0604020202020204" pitchFamily="34" charset="0"/>
                <a:cs typeface="Arial" panose="020B0604020202020204" pitchFamily="34" charset="0"/>
              </a:rPr>
              <a:t>Salir</a:t>
            </a:r>
          </a:p>
        </xdr:txBody>
      </xdr:sp>
    </xdr:grpSp>
    <xdr:clientData/>
  </xdr:twoCellAnchor>
  <xdr:twoCellAnchor editAs="absolute">
    <xdr:from>
      <xdr:col>3</xdr:col>
      <xdr:colOff>396240</xdr:colOff>
      <xdr:row>8</xdr:row>
      <xdr:rowOff>177053</xdr:rowOff>
    </xdr:from>
    <xdr:to>
      <xdr:col>5</xdr:col>
      <xdr:colOff>259528</xdr:colOff>
      <xdr:row>21</xdr:row>
      <xdr:rowOff>92336</xdr:rowOff>
    </xdr:to>
    <xdr:sp macro="" textlink="Cálculos!C27">
      <xdr:nvSpPr>
        <xdr:cNvPr id="2" name="Rectángulo 1">
          <a:extLst>
            <a:ext uri="{FF2B5EF4-FFF2-40B4-BE49-F238E27FC236}">
              <a16:creationId xmlns:a16="http://schemas.microsoft.com/office/drawing/2014/main" id="{DBDB39C2-CCCD-483F-A43E-B47ECBA02438}"/>
            </a:ext>
          </a:extLst>
        </xdr:cNvPr>
        <xdr:cNvSpPr/>
      </xdr:nvSpPr>
      <xdr:spPr>
        <a:xfrm>
          <a:off x="2773680" y="1640093"/>
          <a:ext cx="1448248" cy="2292723"/>
        </a:xfrm>
        <a:prstGeom prst="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A422EBB-4AA5-4F53-BD7D-C01535EF4C36}" type="TxLink">
            <a:rPr lang="en-US" sz="1800" b="1" i="0" u="none" strike="noStrike">
              <a:solidFill>
                <a:srgbClr val="000000"/>
              </a:solidFill>
              <a:latin typeface="Arial" panose="020B0604020202020204" pitchFamily="34" charset="0"/>
              <a:cs typeface="Arial" panose="020B0604020202020204" pitchFamily="34" charset="0"/>
            </a:rPr>
            <a:pPr algn="ctr"/>
            <a:t>84</a:t>
          </a:fld>
          <a:endParaRPr lang="en-US" sz="1800" b="1" i="0" u="none" strike="noStrike">
            <a:solidFill>
              <a:srgbClr val="000000"/>
            </a:solidFill>
            <a:latin typeface="Arial" panose="020B0604020202020204" pitchFamily="34" charset="0"/>
            <a:cs typeface="Arial" panose="020B0604020202020204" pitchFamily="34" charset="0"/>
          </a:endParaRPr>
        </a:p>
      </xdr:txBody>
    </xdr:sp>
    <xdr:clientData fLocksWithSheet="0"/>
  </xdr:twoCellAnchor>
  <xdr:twoCellAnchor editAs="absolute">
    <xdr:from>
      <xdr:col>3</xdr:col>
      <xdr:colOff>320040</xdr:colOff>
      <xdr:row>7</xdr:row>
      <xdr:rowOff>104439</xdr:rowOff>
    </xdr:from>
    <xdr:to>
      <xdr:col>5</xdr:col>
      <xdr:colOff>404308</xdr:colOff>
      <xdr:row>8</xdr:row>
      <xdr:rowOff>152400</xdr:rowOff>
    </xdr:to>
    <xdr:sp macro="" textlink="">
      <xdr:nvSpPr>
        <xdr:cNvPr id="3" name="Rectángulo 2">
          <a:extLst>
            <a:ext uri="{FF2B5EF4-FFF2-40B4-BE49-F238E27FC236}">
              <a16:creationId xmlns:a16="http://schemas.microsoft.com/office/drawing/2014/main" id="{F79D3299-781C-46E4-9CDB-2F98A4FD984D}"/>
            </a:ext>
          </a:extLst>
        </xdr:cNvPr>
        <xdr:cNvSpPr/>
      </xdr:nvSpPr>
      <xdr:spPr>
        <a:xfrm>
          <a:off x="2697480" y="1384599"/>
          <a:ext cx="1669228" cy="23084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050" b="1">
              <a:solidFill>
                <a:schemeClr val="tx1"/>
              </a:solidFill>
              <a:latin typeface="Arial" panose="020B0604020202020204" pitchFamily="34" charset="0"/>
              <a:cs typeface="Arial" panose="020B0604020202020204" pitchFamily="34" charset="0"/>
            </a:rPr>
            <a:t>Total Planes de Acción</a:t>
          </a:r>
        </a:p>
      </xdr:txBody>
    </xdr:sp>
    <xdr:clientData/>
  </xdr:twoCellAnchor>
  <xdr:twoCellAnchor editAs="absolute">
    <xdr:from>
      <xdr:col>3</xdr:col>
      <xdr:colOff>388620</xdr:colOff>
      <xdr:row>4</xdr:row>
      <xdr:rowOff>167640</xdr:rowOff>
    </xdr:from>
    <xdr:to>
      <xdr:col>7</xdr:col>
      <xdr:colOff>594360</xdr:colOff>
      <xdr:row>7</xdr:row>
      <xdr:rowOff>53788</xdr:rowOff>
    </xdr:to>
    <xdr:sp macro="" textlink="Cálculos!C28">
      <xdr:nvSpPr>
        <xdr:cNvPr id="4" name="Rectángulo 3">
          <a:extLst>
            <a:ext uri="{FF2B5EF4-FFF2-40B4-BE49-F238E27FC236}">
              <a16:creationId xmlns:a16="http://schemas.microsoft.com/office/drawing/2014/main" id="{2952801C-1ADE-46DA-9E56-A045178361A9}"/>
            </a:ext>
          </a:extLst>
        </xdr:cNvPr>
        <xdr:cNvSpPr>
          <a:spLocks/>
        </xdr:cNvSpPr>
      </xdr:nvSpPr>
      <xdr:spPr>
        <a:xfrm>
          <a:off x="2766060" y="899160"/>
          <a:ext cx="3375660" cy="434788"/>
        </a:xfrm>
        <a:prstGeom prst="rect">
          <a:avLst/>
        </a:prstGeom>
        <a:solidFill>
          <a:schemeClr val="tx2">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FEECB9D-8F24-4D55-80FF-794EA3705D16}" type="TxLink">
            <a:rPr lang="en-US" sz="1800" b="1" i="0" u="none" strike="noStrike">
              <a:solidFill>
                <a:srgbClr val="000000"/>
              </a:solidFill>
              <a:latin typeface="Arial" panose="020B0604020202020204" pitchFamily="34" charset="0"/>
              <a:cs typeface="Arial" panose="020B0604020202020204" pitchFamily="34" charset="0"/>
            </a:rPr>
            <a:pPr algn="ctr"/>
            <a:t>54</a:t>
          </a:fld>
          <a:endParaRPr lang="en-US" sz="1800" b="1" i="0" u="none" strike="noStrike">
            <a:solidFill>
              <a:srgbClr val="000000"/>
            </a:solidFill>
            <a:latin typeface="Arial" panose="020B0604020202020204" pitchFamily="34" charset="0"/>
            <a:cs typeface="Arial" panose="020B0604020202020204" pitchFamily="34" charset="0"/>
          </a:endParaRPr>
        </a:p>
      </xdr:txBody>
    </xdr:sp>
    <xdr:clientData fLocksWithSheet="0"/>
  </xdr:twoCellAnchor>
  <xdr:twoCellAnchor>
    <xdr:from>
      <xdr:col>6</xdr:col>
      <xdr:colOff>373008</xdr:colOff>
      <xdr:row>8</xdr:row>
      <xdr:rowOff>146573</xdr:rowOff>
    </xdr:from>
    <xdr:to>
      <xdr:col>7</xdr:col>
      <xdr:colOff>601980</xdr:colOff>
      <xdr:row>11</xdr:row>
      <xdr:rowOff>127175</xdr:rowOff>
    </xdr:to>
    <xdr:sp macro="[0]!Ver_Abiertos_Detalle" textlink="Cálculos!C29">
      <xdr:nvSpPr>
        <xdr:cNvPr id="5" name="Rectángulo 4">
          <a:extLst>
            <a:ext uri="{FF2B5EF4-FFF2-40B4-BE49-F238E27FC236}">
              <a16:creationId xmlns:a16="http://schemas.microsoft.com/office/drawing/2014/main" id="{10AED0D0-79B3-483F-BBC0-E2CE05481210}"/>
            </a:ext>
          </a:extLst>
        </xdr:cNvPr>
        <xdr:cNvSpPr/>
      </xdr:nvSpPr>
      <xdr:spPr>
        <a:xfrm>
          <a:off x="5127888" y="1609613"/>
          <a:ext cx="1021452" cy="529242"/>
        </a:xfrm>
        <a:prstGeom prst="rect">
          <a:avLst/>
        </a:prstGeom>
        <a:gradFill flip="none" rotWithShape="1">
          <a:gsLst>
            <a:gs pos="0">
              <a:schemeClr val="accent3">
                <a:lumMod val="40000"/>
                <a:lumOff val="60000"/>
                <a:shade val="30000"/>
                <a:satMod val="115000"/>
              </a:schemeClr>
            </a:gs>
            <a:gs pos="50000">
              <a:schemeClr val="accent3">
                <a:lumMod val="40000"/>
                <a:lumOff val="60000"/>
                <a:shade val="67500"/>
                <a:satMod val="115000"/>
              </a:schemeClr>
            </a:gs>
            <a:gs pos="100000">
              <a:schemeClr val="accent3">
                <a:lumMod val="40000"/>
                <a:lumOff val="60000"/>
                <a:shade val="100000"/>
                <a:satMod val="115000"/>
              </a:schemeClr>
            </a:gs>
          </a:gsLst>
          <a:lin ang="189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6E9F487-2F1D-4149-A212-2ABF6B84FA48}" type="TxLink">
            <a:rPr lang="en-US" sz="1800" b="1" i="0" u="none" strike="noStrike">
              <a:solidFill>
                <a:srgbClr val="000000"/>
              </a:solidFill>
              <a:latin typeface="Arial" panose="020B0604020202020204" pitchFamily="34" charset="0"/>
              <a:cs typeface="Arial" panose="020B0604020202020204" pitchFamily="34" charset="0"/>
            </a:rPr>
            <a:pPr algn="ctr"/>
            <a:t>11</a:t>
          </a:fld>
          <a:endParaRPr lang="en-US" sz="1800" b="1" i="0" u="none" strike="noStrike">
            <a:solidFill>
              <a:srgbClr val="000000"/>
            </a:solidFill>
            <a:latin typeface="Arial" panose="020B0604020202020204" pitchFamily="34" charset="0"/>
            <a:cs typeface="Arial" panose="020B0604020202020204" pitchFamily="34" charset="0"/>
          </a:endParaRPr>
        </a:p>
      </xdr:txBody>
    </xdr:sp>
    <xdr:clientData fLocksWithSheet="0"/>
  </xdr:twoCellAnchor>
  <xdr:twoCellAnchor>
    <xdr:from>
      <xdr:col>6</xdr:col>
      <xdr:colOff>375971</xdr:colOff>
      <xdr:row>13</xdr:row>
      <xdr:rowOff>114300</xdr:rowOff>
    </xdr:from>
    <xdr:to>
      <xdr:col>7</xdr:col>
      <xdr:colOff>594360</xdr:colOff>
      <xdr:row>16</xdr:row>
      <xdr:rowOff>94902</xdr:rowOff>
    </xdr:to>
    <xdr:sp macro="[0]!Ver_Vencidos_Detalle" textlink="Cálculos!C30">
      <xdr:nvSpPr>
        <xdr:cNvPr id="6" name="Rectángulo 5">
          <a:extLst>
            <a:ext uri="{FF2B5EF4-FFF2-40B4-BE49-F238E27FC236}">
              <a16:creationId xmlns:a16="http://schemas.microsoft.com/office/drawing/2014/main" id="{67540477-B125-4F97-8241-3F8987393055}"/>
            </a:ext>
          </a:extLst>
        </xdr:cNvPr>
        <xdr:cNvSpPr/>
      </xdr:nvSpPr>
      <xdr:spPr>
        <a:xfrm>
          <a:off x="5130851" y="2491740"/>
          <a:ext cx="1010869" cy="529242"/>
        </a:xfrm>
        <a:prstGeom prst="rect">
          <a:avLst/>
        </a:prstGeom>
        <a:gradFill flip="none" rotWithShape="1">
          <a:gsLst>
            <a:gs pos="0">
              <a:srgbClr val="FFC000">
                <a:tint val="66000"/>
                <a:satMod val="160000"/>
              </a:srgbClr>
            </a:gs>
            <a:gs pos="50000">
              <a:srgbClr val="FFC000">
                <a:tint val="44500"/>
                <a:satMod val="160000"/>
              </a:srgbClr>
            </a:gs>
            <a:gs pos="100000">
              <a:srgbClr val="FFC000">
                <a:tint val="23500"/>
                <a:satMod val="160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6621A31-3902-4D89-A123-F6CC62194062}" type="TxLink">
            <a:rPr lang="en-US" sz="1800" b="1" i="0" u="none" strike="noStrike">
              <a:solidFill>
                <a:srgbClr val="000000"/>
              </a:solidFill>
              <a:latin typeface="Arial" panose="020B0604020202020204" pitchFamily="34" charset="0"/>
              <a:cs typeface="Arial" panose="020B0604020202020204" pitchFamily="34" charset="0"/>
            </a:rPr>
            <a:pPr algn="ctr"/>
            <a:t>6</a:t>
          </a:fld>
          <a:endParaRPr lang="en-US" sz="1800" b="1" i="0" u="none" strike="noStrike">
            <a:solidFill>
              <a:srgbClr val="000000"/>
            </a:solidFill>
            <a:latin typeface="Arial" panose="020B0604020202020204" pitchFamily="34" charset="0"/>
            <a:cs typeface="Arial" panose="020B0604020202020204" pitchFamily="34" charset="0"/>
          </a:endParaRPr>
        </a:p>
      </xdr:txBody>
    </xdr:sp>
    <xdr:clientData fLocksWithSheet="0"/>
  </xdr:twoCellAnchor>
  <xdr:twoCellAnchor editAs="absolute">
    <xdr:from>
      <xdr:col>5</xdr:col>
      <xdr:colOff>240703</xdr:colOff>
      <xdr:row>9</xdr:row>
      <xdr:rowOff>150607</xdr:rowOff>
    </xdr:from>
    <xdr:to>
      <xdr:col>6</xdr:col>
      <xdr:colOff>290457</xdr:colOff>
      <xdr:row>11</xdr:row>
      <xdr:rowOff>2241</xdr:rowOff>
    </xdr:to>
    <xdr:sp macro="" textlink="">
      <xdr:nvSpPr>
        <xdr:cNvPr id="7" name="Rectángulo 6">
          <a:extLst>
            <a:ext uri="{FF2B5EF4-FFF2-40B4-BE49-F238E27FC236}">
              <a16:creationId xmlns:a16="http://schemas.microsoft.com/office/drawing/2014/main" id="{DD3C7672-18F1-4A0E-B380-3F47515D9715}"/>
            </a:ext>
          </a:extLst>
        </xdr:cNvPr>
        <xdr:cNvSpPr/>
      </xdr:nvSpPr>
      <xdr:spPr>
        <a:xfrm>
          <a:off x="4203103" y="1796527"/>
          <a:ext cx="842234" cy="21739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50" b="1" i="0" u="none" strike="noStrike">
              <a:solidFill>
                <a:srgbClr val="000000"/>
              </a:solidFill>
              <a:latin typeface="Arial"/>
              <a:cs typeface="Arial"/>
            </a:rPr>
            <a:t>Abiertos</a:t>
          </a:r>
        </a:p>
      </xdr:txBody>
    </xdr:sp>
    <xdr:clientData/>
  </xdr:twoCellAnchor>
  <xdr:twoCellAnchor>
    <xdr:from>
      <xdr:col>6</xdr:col>
      <xdr:colOff>370044</xdr:colOff>
      <xdr:row>18</xdr:row>
      <xdr:rowOff>115196</xdr:rowOff>
    </xdr:from>
    <xdr:to>
      <xdr:col>7</xdr:col>
      <xdr:colOff>609600</xdr:colOff>
      <xdr:row>21</xdr:row>
      <xdr:rowOff>95799</xdr:rowOff>
    </xdr:to>
    <xdr:sp macro="[0]!Ver_Finalizados_Detalle" textlink="Cálculos!C31">
      <xdr:nvSpPr>
        <xdr:cNvPr id="8" name="Rectángulo 7">
          <a:extLst>
            <a:ext uri="{FF2B5EF4-FFF2-40B4-BE49-F238E27FC236}">
              <a16:creationId xmlns:a16="http://schemas.microsoft.com/office/drawing/2014/main" id="{B97CD590-1748-4E8B-845A-56D0A3002260}"/>
            </a:ext>
          </a:extLst>
        </xdr:cNvPr>
        <xdr:cNvSpPr/>
      </xdr:nvSpPr>
      <xdr:spPr>
        <a:xfrm>
          <a:off x="5124924" y="3407036"/>
          <a:ext cx="1032036" cy="529243"/>
        </a:xfrm>
        <a:prstGeom prst="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026A56F-5285-43B7-B158-EFDA42062E22}" type="TxLink">
            <a:rPr lang="en-US" sz="1800" b="1" i="0" u="none" strike="noStrike">
              <a:solidFill>
                <a:srgbClr val="000000"/>
              </a:solidFill>
              <a:latin typeface="Arial" panose="020B0604020202020204" pitchFamily="34" charset="0"/>
              <a:cs typeface="Arial" panose="020B0604020202020204" pitchFamily="34" charset="0"/>
            </a:rPr>
            <a:pPr algn="ctr"/>
            <a:t>67</a:t>
          </a:fld>
          <a:endParaRPr lang="en-US" sz="1800" b="1" i="0" u="none" strike="noStrike">
            <a:solidFill>
              <a:srgbClr val="000000"/>
            </a:solidFill>
            <a:latin typeface="Arial" panose="020B0604020202020204" pitchFamily="34" charset="0"/>
            <a:cs typeface="Arial" panose="020B0604020202020204" pitchFamily="34" charset="0"/>
          </a:endParaRPr>
        </a:p>
      </xdr:txBody>
    </xdr:sp>
    <xdr:clientData fLocksWithSheet="0"/>
  </xdr:twoCellAnchor>
  <xdr:twoCellAnchor editAs="absolute">
    <xdr:from>
      <xdr:col>5</xdr:col>
      <xdr:colOff>244288</xdr:colOff>
      <xdr:row>19</xdr:row>
      <xdr:rowOff>83147</xdr:rowOff>
    </xdr:from>
    <xdr:to>
      <xdr:col>6</xdr:col>
      <xdr:colOff>458097</xdr:colOff>
      <xdr:row>20</xdr:row>
      <xdr:rowOff>110041</xdr:rowOff>
    </xdr:to>
    <xdr:sp macro="" textlink="">
      <xdr:nvSpPr>
        <xdr:cNvPr id="9" name="Rectángulo 8">
          <a:extLst>
            <a:ext uri="{FF2B5EF4-FFF2-40B4-BE49-F238E27FC236}">
              <a16:creationId xmlns:a16="http://schemas.microsoft.com/office/drawing/2014/main" id="{84283DCD-1A13-4668-93CF-CE38C74D7293}"/>
            </a:ext>
          </a:extLst>
        </xdr:cNvPr>
        <xdr:cNvSpPr/>
      </xdr:nvSpPr>
      <xdr:spPr>
        <a:xfrm>
          <a:off x="4206688" y="3557867"/>
          <a:ext cx="1006289" cy="20977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50" b="1" i="0" u="none" strike="noStrike">
              <a:solidFill>
                <a:srgbClr val="000000"/>
              </a:solidFill>
              <a:latin typeface="Arial"/>
              <a:cs typeface="Arial"/>
            </a:rPr>
            <a:t>Finalizados</a:t>
          </a:r>
        </a:p>
      </xdr:txBody>
    </xdr:sp>
    <xdr:clientData/>
  </xdr:twoCellAnchor>
  <xdr:twoCellAnchor editAs="absolute">
    <xdr:from>
      <xdr:col>5</xdr:col>
      <xdr:colOff>233083</xdr:colOff>
      <xdr:row>14</xdr:row>
      <xdr:rowOff>103094</xdr:rowOff>
    </xdr:from>
    <xdr:to>
      <xdr:col>6</xdr:col>
      <xdr:colOff>450477</xdr:colOff>
      <xdr:row>15</xdr:row>
      <xdr:rowOff>114748</xdr:rowOff>
    </xdr:to>
    <xdr:sp macro="" textlink="">
      <xdr:nvSpPr>
        <xdr:cNvPr id="10" name="Rectángulo 9">
          <a:extLst>
            <a:ext uri="{FF2B5EF4-FFF2-40B4-BE49-F238E27FC236}">
              <a16:creationId xmlns:a16="http://schemas.microsoft.com/office/drawing/2014/main" id="{DFB57B16-A774-4CE1-8E86-CB2970E7EBEA}"/>
            </a:ext>
          </a:extLst>
        </xdr:cNvPr>
        <xdr:cNvSpPr/>
      </xdr:nvSpPr>
      <xdr:spPr>
        <a:xfrm>
          <a:off x="4195483" y="2663414"/>
          <a:ext cx="1009874" cy="19453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50" b="1" i="0" u="none" strike="noStrike">
              <a:solidFill>
                <a:srgbClr val="000000"/>
              </a:solidFill>
              <a:latin typeface="Arial"/>
              <a:cs typeface="Arial"/>
            </a:rPr>
            <a:t>Vencidos</a:t>
          </a:r>
        </a:p>
      </xdr:txBody>
    </xdr:sp>
    <xdr:clientData/>
  </xdr:twoCellAnchor>
  <xdr:twoCellAnchor editAs="absolute">
    <xdr:from>
      <xdr:col>6</xdr:col>
      <xdr:colOff>575983</xdr:colOff>
      <xdr:row>7</xdr:row>
      <xdr:rowOff>96818</xdr:rowOff>
    </xdr:from>
    <xdr:to>
      <xdr:col>7</xdr:col>
      <xdr:colOff>411480</xdr:colOff>
      <xdr:row>8</xdr:row>
      <xdr:rowOff>144779</xdr:rowOff>
    </xdr:to>
    <xdr:sp macro="" textlink="">
      <xdr:nvSpPr>
        <xdr:cNvPr id="11" name="Rectángulo 10">
          <a:extLst>
            <a:ext uri="{FF2B5EF4-FFF2-40B4-BE49-F238E27FC236}">
              <a16:creationId xmlns:a16="http://schemas.microsoft.com/office/drawing/2014/main" id="{B4D2F251-78D9-4521-97EE-C35D53DC1805}"/>
            </a:ext>
          </a:extLst>
        </xdr:cNvPr>
        <xdr:cNvSpPr/>
      </xdr:nvSpPr>
      <xdr:spPr>
        <a:xfrm>
          <a:off x="5330863" y="1376978"/>
          <a:ext cx="627977" cy="23084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050" b="1">
              <a:solidFill>
                <a:schemeClr val="tx1"/>
              </a:solidFill>
              <a:latin typeface="Arial" panose="020B0604020202020204" pitchFamily="34" charset="0"/>
              <a:cs typeface="Arial" panose="020B0604020202020204" pitchFamily="34" charset="0"/>
            </a:rPr>
            <a:t>Estado</a:t>
          </a:r>
        </a:p>
      </xdr:txBody>
    </xdr:sp>
    <xdr:clientData/>
  </xdr:twoCellAnchor>
  <xdr:twoCellAnchor editAs="absolute">
    <xdr:from>
      <xdr:col>4</xdr:col>
      <xdr:colOff>502920</xdr:colOff>
      <xdr:row>0</xdr:row>
      <xdr:rowOff>91440</xdr:rowOff>
    </xdr:from>
    <xdr:to>
      <xdr:col>13</xdr:col>
      <xdr:colOff>144780</xdr:colOff>
      <xdr:row>2</xdr:row>
      <xdr:rowOff>23308</xdr:rowOff>
    </xdr:to>
    <xdr:sp macro="" textlink="">
      <xdr:nvSpPr>
        <xdr:cNvPr id="12" name="Rectángulo 11">
          <a:extLst>
            <a:ext uri="{FF2B5EF4-FFF2-40B4-BE49-F238E27FC236}">
              <a16:creationId xmlns:a16="http://schemas.microsoft.com/office/drawing/2014/main" id="{73FBD0FC-B2E7-4E25-B185-407688E291BD}"/>
            </a:ext>
          </a:extLst>
        </xdr:cNvPr>
        <xdr:cNvSpPr/>
      </xdr:nvSpPr>
      <xdr:spPr>
        <a:xfrm>
          <a:off x="3672840" y="91440"/>
          <a:ext cx="6888480" cy="29762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600" b="1">
              <a:solidFill>
                <a:schemeClr val="bg1"/>
              </a:solidFill>
              <a:latin typeface="Arial" panose="020B0604020202020204" pitchFamily="34" charset="0"/>
              <a:cs typeface="Arial" panose="020B0604020202020204" pitchFamily="34" charset="0"/>
            </a:rPr>
            <a:t>ANÁLISIS DE CUMPLIMIENTO - PLANES DE ACCIÓN</a:t>
          </a:r>
          <a:r>
            <a:rPr lang="es-CO" sz="1600" b="1" baseline="0">
              <a:solidFill>
                <a:schemeClr val="bg1"/>
              </a:solidFill>
              <a:latin typeface="Arial" panose="020B0604020202020204" pitchFamily="34" charset="0"/>
              <a:cs typeface="Arial" panose="020B0604020202020204" pitchFamily="34" charset="0"/>
            </a:rPr>
            <a:t> CONTRALORÍA</a:t>
          </a:r>
          <a:endParaRPr lang="es-CO" sz="1600" b="1">
            <a:solidFill>
              <a:schemeClr val="bg1"/>
            </a:solidFill>
            <a:latin typeface="Arial" panose="020B0604020202020204" pitchFamily="34" charset="0"/>
            <a:cs typeface="Arial" panose="020B0604020202020204" pitchFamily="34" charset="0"/>
          </a:endParaRPr>
        </a:p>
      </xdr:txBody>
    </xdr:sp>
    <xdr:clientData/>
  </xdr:twoCellAnchor>
  <xdr:twoCellAnchor>
    <xdr:from>
      <xdr:col>4</xdr:col>
      <xdr:colOff>609600</xdr:colOff>
      <xdr:row>3</xdr:row>
      <xdr:rowOff>68580</xdr:rowOff>
    </xdr:from>
    <xdr:to>
      <xdr:col>7</xdr:col>
      <xdr:colOff>46169</xdr:colOff>
      <xdr:row>4</xdr:row>
      <xdr:rowOff>99509</xdr:rowOff>
    </xdr:to>
    <xdr:sp macro="" textlink="">
      <xdr:nvSpPr>
        <xdr:cNvPr id="16" name="Rectángulo 15">
          <a:extLst>
            <a:ext uri="{FF2B5EF4-FFF2-40B4-BE49-F238E27FC236}">
              <a16:creationId xmlns:a16="http://schemas.microsoft.com/office/drawing/2014/main" id="{69DC8065-BDBD-4E83-AE66-025D51093746}"/>
            </a:ext>
          </a:extLst>
        </xdr:cNvPr>
        <xdr:cNvSpPr/>
      </xdr:nvSpPr>
      <xdr:spPr>
        <a:xfrm>
          <a:off x="3779520" y="617220"/>
          <a:ext cx="1814009" cy="21380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s-CO" sz="1200" b="1">
              <a:solidFill>
                <a:schemeClr val="tx1"/>
              </a:solidFill>
              <a:latin typeface="Arial" panose="020B0604020202020204" pitchFamily="34" charset="0"/>
              <a:cs typeface="Arial" panose="020B0604020202020204" pitchFamily="34" charset="0"/>
            </a:rPr>
            <a:t>Total Hallazgos</a:t>
          </a:r>
        </a:p>
      </xdr:txBody>
    </xdr:sp>
    <xdr:clientData/>
  </xdr:twoCellAnchor>
  <xdr:twoCellAnchor editAs="absolute">
    <xdr:from>
      <xdr:col>4</xdr:col>
      <xdr:colOff>198120</xdr:colOff>
      <xdr:row>21</xdr:row>
      <xdr:rowOff>114300</xdr:rowOff>
    </xdr:from>
    <xdr:to>
      <xdr:col>7</xdr:col>
      <xdr:colOff>175260</xdr:colOff>
      <xdr:row>23</xdr:row>
      <xdr:rowOff>22860</xdr:rowOff>
    </xdr:to>
    <xdr:sp macro="" textlink="">
      <xdr:nvSpPr>
        <xdr:cNvPr id="17" name="Rectángulo 16">
          <a:extLst>
            <a:ext uri="{FF2B5EF4-FFF2-40B4-BE49-F238E27FC236}">
              <a16:creationId xmlns:a16="http://schemas.microsoft.com/office/drawing/2014/main" id="{91429940-72E2-4D13-AF75-C2E29594EE18}"/>
            </a:ext>
          </a:extLst>
        </xdr:cNvPr>
        <xdr:cNvSpPr/>
      </xdr:nvSpPr>
      <xdr:spPr>
        <a:xfrm>
          <a:off x="3368040" y="3954780"/>
          <a:ext cx="2354580" cy="2743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s-CO" sz="1200" b="1">
              <a:solidFill>
                <a:schemeClr val="tx1"/>
              </a:solidFill>
              <a:latin typeface="Arial" panose="020B0604020202020204" pitchFamily="34" charset="0"/>
              <a:cs typeface="Arial" panose="020B0604020202020204" pitchFamily="34" charset="0"/>
            </a:rPr>
            <a:t>Acciones próximas a vencer</a:t>
          </a:r>
        </a:p>
      </xdr:txBody>
    </xdr:sp>
    <xdr:clientData/>
  </xdr:twoCellAnchor>
  <xdr:twoCellAnchor editAs="absolute">
    <xdr:from>
      <xdr:col>4</xdr:col>
      <xdr:colOff>449580</xdr:colOff>
      <xdr:row>23</xdr:row>
      <xdr:rowOff>83820</xdr:rowOff>
    </xdr:from>
    <xdr:to>
      <xdr:col>5</xdr:col>
      <xdr:colOff>269100</xdr:colOff>
      <xdr:row>25</xdr:row>
      <xdr:rowOff>42060</xdr:rowOff>
    </xdr:to>
    <xdr:sp macro="[0]!Ver_Alerta10_Detalle" textlink="Cálculos!C21">
      <xdr:nvSpPr>
        <xdr:cNvPr id="18" name="Rectángulo 17">
          <a:extLst>
            <a:ext uri="{FF2B5EF4-FFF2-40B4-BE49-F238E27FC236}">
              <a16:creationId xmlns:a16="http://schemas.microsoft.com/office/drawing/2014/main" id="{8D3AE25C-BB6C-453C-858C-CC808FA1B466}"/>
            </a:ext>
          </a:extLst>
        </xdr:cNvPr>
        <xdr:cNvSpPr/>
      </xdr:nvSpPr>
      <xdr:spPr>
        <a:xfrm>
          <a:off x="3619500" y="4290060"/>
          <a:ext cx="612000" cy="324000"/>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85F993E-E75F-4107-BDDF-BB242A434DCE}" type="TxLink">
            <a:rPr lang="en-US" sz="1600" b="1" i="0" u="none" strike="noStrike">
              <a:solidFill>
                <a:srgbClr val="000000"/>
              </a:solidFill>
              <a:latin typeface="Arial" panose="020B0604020202020204" pitchFamily="34" charset="0"/>
              <a:cs typeface="Arial" panose="020B0604020202020204" pitchFamily="34" charset="0"/>
            </a:rPr>
            <a:pPr algn="ctr"/>
            <a:t>0</a:t>
          </a:fld>
          <a:endParaRPr lang="en-US" sz="1600" b="1" i="0" u="none" strike="noStrike">
            <a:solidFill>
              <a:srgbClr val="000000"/>
            </a:solidFill>
            <a:latin typeface="Arial" panose="020B0604020202020204" pitchFamily="34" charset="0"/>
            <a:cs typeface="Arial" panose="020B0604020202020204" pitchFamily="34" charset="0"/>
          </a:endParaRPr>
        </a:p>
      </xdr:txBody>
    </xdr:sp>
    <xdr:clientData fLocksWithSheet="0"/>
  </xdr:twoCellAnchor>
  <xdr:twoCellAnchor>
    <xdr:from>
      <xdr:col>4</xdr:col>
      <xdr:colOff>464820</xdr:colOff>
      <xdr:row>25</xdr:row>
      <xdr:rowOff>27940</xdr:rowOff>
    </xdr:from>
    <xdr:to>
      <xdr:col>5</xdr:col>
      <xdr:colOff>312420</xdr:colOff>
      <xdr:row>26</xdr:row>
      <xdr:rowOff>88900</xdr:rowOff>
    </xdr:to>
    <xdr:sp macro="" textlink="">
      <xdr:nvSpPr>
        <xdr:cNvPr id="19" name="CuadroTexto 18">
          <a:extLst>
            <a:ext uri="{FF2B5EF4-FFF2-40B4-BE49-F238E27FC236}">
              <a16:creationId xmlns:a16="http://schemas.microsoft.com/office/drawing/2014/main" id="{4E75D3D5-F628-446B-9CED-DA8AB9502D46}"/>
            </a:ext>
          </a:extLst>
        </xdr:cNvPr>
        <xdr:cNvSpPr txBox="1"/>
      </xdr:nvSpPr>
      <xdr:spPr>
        <a:xfrm>
          <a:off x="3634740" y="4599940"/>
          <a:ext cx="64008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050" b="1">
              <a:latin typeface="Arial" panose="020B0604020202020204" pitchFamily="34" charset="0"/>
              <a:cs typeface="Arial" panose="020B0604020202020204" pitchFamily="34" charset="0"/>
            </a:rPr>
            <a:t>10 días </a:t>
          </a:r>
        </a:p>
      </xdr:txBody>
    </xdr:sp>
    <xdr:clientData/>
  </xdr:twoCellAnchor>
  <xdr:twoCellAnchor editAs="absolute">
    <xdr:from>
      <xdr:col>4</xdr:col>
      <xdr:colOff>629920</xdr:colOff>
      <xdr:row>26</xdr:row>
      <xdr:rowOff>68580</xdr:rowOff>
    </xdr:from>
    <xdr:to>
      <xdr:col>5</xdr:col>
      <xdr:colOff>43180</xdr:colOff>
      <xdr:row>27</xdr:row>
      <xdr:rowOff>83820</xdr:rowOff>
    </xdr:to>
    <xdr:sp macro="" textlink="">
      <xdr:nvSpPr>
        <xdr:cNvPr id="20" name="Elipse 19">
          <a:extLst>
            <a:ext uri="{FF2B5EF4-FFF2-40B4-BE49-F238E27FC236}">
              <a16:creationId xmlns:a16="http://schemas.microsoft.com/office/drawing/2014/main" id="{FDAE182E-9288-4F3D-9726-9D33CCE641F7}"/>
            </a:ext>
          </a:extLst>
        </xdr:cNvPr>
        <xdr:cNvSpPr/>
      </xdr:nvSpPr>
      <xdr:spPr>
        <a:xfrm>
          <a:off x="3799840" y="4823460"/>
          <a:ext cx="205740" cy="198120"/>
        </a:xfrm>
        <a:prstGeom prst="ellipse">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fLocksWithSheet="0"/>
  </xdr:twoCellAnchor>
  <xdr:twoCellAnchor editAs="absolute">
    <xdr:from>
      <xdr:col>5</xdr:col>
      <xdr:colOff>561975</xdr:colOff>
      <xdr:row>23</xdr:row>
      <xdr:rowOff>80010</xdr:rowOff>
    </xdr:from>
    <xdr:to>
      <xdr:col>6</xdr:col>
      <xdr:colOff>381495</xdr:colOff>
      <xdr:row>25</xdr:row>
      <xdr:rowOff>38250</xdr:rowOff>
    </xdr:to>
    <xdr:sp macro="[0]!Ver_Alerta20_Detalle" textlink="Cálculos!C22">
      <xdr:nvSpPr>
        <xdr:cNvPr id="21" name="Rectángulo 20">
          <a:extLst>
            <a:ext uri="{FF2B5EF4-FFF2-40B4-BE49-F238E27FC236}">
              <a16:creationId xmlns:a16="http://schemas.microsoft.com/office/drawing/2014/main" id="{1980CFBE-B3E9-47E2-A435-9ED2F7D87A08}"/>
            </a:ext>
          </a:extLst>
        </xdr:cNvPr>
        <xdr:cNvSpPr/>
      </xdr:nvSpPr>
      <xdr:spPr>
        <a:xfrm>
          <a:off x="4524375" y="4286250"/>
          <a:ext cx="612000" cy="324000"/>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F2E45BA-97D7-43E2-869C-6EAE08186AF3}" type="TxLink">
            <a:rPr lang="en-US" sz="1600" b="1" i="0" u="none" strike="noStrike">
              <a:solidFill>
                <a:srgbClr val="000000"/>
              </a:solidFill>
              <a:latin typeface="Arial" panose="020B0604020202020204" pitchFamily="34" charset="0"/>
              <a:cs typeface="Arial" panose="020B0604020202020204" pitchFamily="34" charset="0"/>
            </a:rPr>
            <a:pPr algn="ctr"/>
            <a:t>0</a:t>
          </a:fld>
          <a:endParaRPr lang="en-US" sz="2400" b="1" i="0" u="none" strike="noStrike">
            <a:solidFill>
              <a:srgbClr val="000000"/>
            </a:solidFill>
            <a:latin typeface="Arial" panose="020B0604020202020204" pitchFamily="34" charset="0"/>
            <a:cs typeface="Arial" panose="020B0604020202020204" pitchFamily="34" charset="0"/>
          </a:endParaRPr>
        </a:p>
      </xdr:txBody>
    </xdr:sp>
    <xdr:clientData fLocksWithSheet="0"/>
  </xdr:twoCellAnchor>
  <xdr:twoCellAnchor>
    <xdr:from>
      <xdr:col>6</xdr:col>
      <xdr:colOff>693420</xdr:colOff>
      <xdr:row>25</xdr:row>
      <xdr:rowOff>45720</xdr:rowOff>
    </xdr:from>
    <xdr:to>
      <xdr:col>7</xdr:col>
      <xdr:colOff>571500</xdr:colOff>
      <xdr:row>26</xdr:row>
      <xdr:rowOff>91440</xdr:rowOff>
    </xdr:to>
    <xdr:sp macro="" textlink="">
      <xdr:nvSpPr>
        <xdr:cNvPr id="22" name="CuadroTexto 21">
          <a:extLst>
            <a:ext uri="{FF2B5EF4-FFF2-40B4-BE49-F238E27FC236}">
              <a16:creationId xmlns:a16="http://schemas.microsoft.com/office/drawing/2014/main" id="{E50E6A15-29E3-49FC-9C9D-BA8C01E59123}"/>
            </a:ext>
          </a:extLst>
        </xdr:cNvPr>
        <xdr:cNvSpPr txBox="1"/>
      </xdr:nvSpPr>
      <xdr:spPr>
        <a:xfrm>
          <a:off x="5448300" y="4617720"/>
          <a:ext cx="670560"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050" b="1">
              <a:latin typeface="Arial" panose="020B0604020202020204" pitchFamily="34" charset="0"/>
              <a:cs typeface="Arial" panose="020B0604020202020204" pitchFamily="34" charset="0"/>
            </a:rPr>
            <a:t>30 días </a:t>
          </a:r>
        </a:p>
      </xdr:txBody>
    </xdr:sp>
    <xdr:clientData/>
  </xdr:twoCellAnchor>
  <xdr:twoCellAnchor editAs="absolute">
    <xdr:from>
      <xdr:col>7</xdr:col>
      <xdr:colOff>121920</xdr:colOff>
      <xdr:row>26</xdr:row>
      <xdr:rowOff>63500</xdr:rowOff>
    </xdr:from>
    <xdr:to>
      <xdr:col>7</xdr:col>
      <xdr:colOff>327660</xdr:colOff>
      <xdr:row>27</xdr:row>
      <xdr:rowOff>78740</xdr:rowOff>
    </xdr:to>
    <xdr:sp macro="" textlink="">
      <xdr:nvSpPr>
        <xdr:cNvPr id="23" name="Elipse 22">
          <a:extLst>
            <a:ext uri="{FF2B5EF4-FFF2-40B4-BE49-F238E27FC236}">
              <a16:creationId xmlns:a16="http://schemas.microsoft.com/office/drawing/2014/main" id="{73053A59-5580-4E61-B8E8-92C1C129EA9E}"/>
            </a:ext>
          </a:extLst>
        </xdr:cNvPr>
        <xdr:cNvSpPr/>
      </xdr:nvSpPr>
      <xdr:spPr>
        <a:xfrm>
          <a:off x="5669280" y="4818380"/>
          <a:ext cx="205740" cy="198120"/>
        </a:xfrm>
        <a:prstGeom prst="ellipse">
          <a:avLst/>
        </a:prstGeom>
        <a:solidFill>
          <a:schemeClr val="tx2">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fLocksWithSheet="0"/>
  </xdr:twoCellAnchor>
  <xdr:twoCellAnchor>
    <xdr:from>
      <xdr:col>5</xdr:col>
      <xdr:colOff>533400</xdr:colOff>
      <xdr:row>25</xdr:row>
      <xdr:rowOff>25400</xdr:rowOff>
    </xdr:from>
    <xdr:to>
      <xdr:col>6</xdr:col>
      <xdr:colOff>472440</xdr:colOff>
      <xdr:row>26</xdr:row>
      <xdr:rowOff>71120</xdr:rowOff>
    </xdr:to>
    <xdr:sp macro="" textlink="">
      <xdr:nvSpPr>
        <xdr:cNvPr id="24" name="CuadroTexto 23">
          <a:extLst>
            <a:ext uri="{FF2B5EF4-FFF2-40B4-BE49-F238E27FC236}">
              <a16:creationId xmlns:a16="http://schemas.microsoft.com/office/drawing/2014/main" id="{5FB431A9-9B2C-4687-9815-DA49980CD421}"/>
            </a:ext>
          </a:extLst>
        </xdr:cNvPr>
        <xdr:cNvSpPr txBox="1"/>
      </xdr:nvSpPr>
      <xdr:spPr>
        <a:xfrm>
          <a:off x="4495800" y="4597400"/>
          <a:ext cx="73152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050" b="1">
              <a:latin typeface="Arial" panose="020B0604020202020204" pitchFamily="34" charset="0"/>
              <a:cs typeface="Arial" panose="020B0604020202020204" pitchFamily="34" charset="0"/>
            </a:rPr>
            <a:t>20 días </a:t>
          </a:r>
        </a:p>
      </xdr:txBody>
    </xdr:sp>
    <xdr:clientData/>
  </xdr:twoCellAnchor>
  <xdr:twoCellAnchor editAs="absolute">
    <xdr:from>
      <xdr:col>6</xdr:col>
      <xdr:colOff>735330</xdr:colOff>
      <xdr:row>23</xdr:row>
      <xdr:rowOff>76200</xdr:rowOff>
    </xdr:from>
    <xdr:to>
      <xdr:col>7</xdr:col>
      <xdr:colOff>554850</xdr:colOff>
      <xdr:row>25</xdr:row>
      <xdr:rowOff>34440</xdr:rowOff>
    </xdr:to>
    <xdr:sp macro="[0]!Ver_Alerta30_Detalle" textlink="Cálculos!C23">
      <xdr:nvSpPr>
        <xdr:cNvPr id="25" name="Rectángulo 24">
          <a:extLst>
            <a:ext uri="{FF2B5EF4-FFF2-40B4-BE49-F238E27FC236}">
              <a16:creationId xmlns:a16="http://schemas.microsoft.com/office/drawing/2014/main" id="{1DF9C6B2-FB50-427A-A1EA-AE458942A163}"/>
            </a:ext>
          </a:extLst>
        </xdr:cNvPr>
        <xdr:cNvSpPr/>
      </xdr:nvSpPr>
      <xdr:spPr>
        <a:xfrm>
          <a:off x="5490210" y="4282440"/>
          <a:ext cx="612000" cy="324000"/>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3982687-6DFD-46E5-A0B3-8B4B1B26450E}" type="TxLink">
            <a:rPr lang="en-US" sz="1600" b="1" i="0" u="none" strike="noStrike">
              <a:solidFill>
                <a:srgbClr val="000000"/>
              </a:solidFill>
              <a:latin typeface="Arial" panose="020B0604020202020204" pitchFamily="34" charset="0"/>
              <a:cs typeface="Arial" panose="020B0604020202020204" pitchFamily="34" charset="0"/>
            </a:rPr>
            <a:pPr algn="ctr"/>
            <a:t>0</a:t>
          </a:fld>
          <a:endParaRPr lang="en-US" sz="2400" b="1" i="0" u="none" strike="noStrike">
            <a:solidFill>
              <a:srgbClr val="000000"/>
            </a:solidFill>
            <a:latin typeface="Arial" panose="020B0604020202020204" pitchFamily="34" charset="0"/>
            <a:cs typeface="Arial" panose="020B0604020202020204" pitchFamily="34" charset="0"/>
          </a:endParaRPr>
        </a:p>
      </xdr:txBody>
    </xdr:sp>
    <xdr:clientData fLocksWithSheet="0"/>
  </xdr:twoCellAnchor>
  <xdr:twoCellAnchor editAs="absolute">
    <xdr:from>
      <xdr:col>5</xdr:col>
      <xdr:colOff>741680</xdr:colOff>
      <xdr:row>26</xdr:row>
      <xdr:rowOff>58420</xdr:rowOff>
    </xdr:from>
    <xdr:to>
      <xdr:col>6</xdr:col>
      <xdr:colOff>154940</xdr:colOff>
      <xdr:row>27</xdr:row>
      <xdr:rowOff>73660</xdr:rowOff>
    </xdr:to>
    <xdr:sp macro="" textlink="">
      <xdr:nvSpPr>
        <xdr:cNvPr id="26" name="Elipse 25">
          <a:extLst>
            <a:ext uri="{FF2B5EF4-FFF2-40B4-BE49-F238E27FC236}">
              <a16:creationId xmlns:a16="http://schemas.microsoft.com/office/drawing/2014/main" id="{6014EE02-6163-4EC8-BE4F-848CDDCF1098}"/>
            </a:ext>
          </a:extLst>
        </xdr:cNvPr>
        <xdr:cNvSpPr/>
      </xdr:nvSpPr>
      <xdr:spPr>
        <a:xfrm>
          <a:off x="4704080" y="4813300"/>
          <a:ext cx="205740" cy="198120"/>
        </a:xfrm>
        <a:prstGeom prst="ellipse">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fLocksWithSheet="0"/>
  </xdr:twoCellAnchor>
  <xdr:twoCellAnchor editAs="absolute">
    <xdr:from>
      <xdr:col>10</xdr:col>
      <xdr:colOff>777240</xdr:colOff>
      <xdr:row>3</xdr:row>
      <xdr:rowOff>60960</xdr:rowOff>
    </xdr:from>
    <xdr:to>
      <xdr:col>14</xdr:col>
      <xdr:colOff>152400</xdr:colOff>
      <xdr:row>4</xdr:row>
      <xdr:rowOff>167640</xdr:rowOff>
    </xdr:to>
    <xdr:sp macro="" textlink="">
      <xdr:nvSpPr>
        <xdr:cNvPr id="27" name="Rectángulo 26">
          <a:extLst>
            <a:ext uri="{FF2B5EF4-FFF2-40B4-BE49-F238E27FC236}">
              <a16:creationId xmlns:a16="http://schemas.microsoft.com/office/drawing/2014/main" id="{21DC914B-9382-4D51-9255-CBC677379856}"/>
            </a:ext>
          </a:extLst>
        </xdr:cNvPr>
        <xdr:cNvSpPr/>
      </xdr:nvSpPr>
      <xdr:spPr>
        <a:xfrm>
          <a:off x="8816340" y="609600"/>
          <a:ext cx="2545080" cy="2895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s-CO" sz="1200" b="1">
              <a:solidFill>
                <a:schemeClr val="tx1"/>
              </a:solidFill>
              <a:effectLst/>
              <a:latin typeface="Arial" panose="020B0604020202020204" pitchFamily="34" charset="0"/>
              <a:ea typeface="+mn-ea"/>
              <a:cs typeface="Arial" panose="020B0604020202020204" pitchFamily="34" charset="0"/>
            </a:rPr>
            <a:t>Porcentaje de Implementación</a:t>
          </a:r>
          <a:endParaRPr lang="es-CO" sz="1400" b="1">
            <a:solidFill>
              <a:schemeClr val="tx1"/>
            </a:solidFill>
            <a:latin typeface="Arial" panose="020B0604020202020204" pitchFamily="34" charset="0"/>
            <a:cs typeface="Arial" panose="020B0604020202020204" pitchFamily="34" charset="0"/>
          </a:endParaRPr>
        </a:p>
      </xdr:txBody>
    </xdr:sp>
    <xdr:clientData/>
  </xdr:twoCellAnchor>
  <xdr:twoCellAnchor>
    <xdr:from>
      <xdr:col>10</xdr:col>
      <xdr:colOff>327660</xdr:colOff>
      <xdr:row>13</xdr:row>
      <xdr:rowOff>175260</xdr:rowOff>
    </xdr:from>
    <xdr:to>
      <xdr:col>15</xdr:col>
      <xdr:colOff>144780</xdr:colOff>
      <xdr:row>26</xdr:row>
      <xdr:rowOff>87854</xdr:rowOff>
    </xdr:to>
    <xdr:grpSp>
      <xdr:nvGrpSpPr>
        <xdr:cNvPr id="48" name="Grupo 47">
          <a:extLst>
            <a:ext uri="{FF2B5EF4-FFF2-40B4-BE49-F238E27FC236}">
              <a16:creationId xmlns:a16="http://schemas.microsoft.com/office/drawing/2014/main" id="{B6619B3A-DB46-9B1F-3765-99847B38D173}"/>
            </a:ext>
          </a:extLst>
        </xdr:cNvPr>
        <xdr:cNvGrpSpPr/>
      </xdr:nvGrpSpPr>
      <xdr:grpSpPr>
        <a:xfrm>
          <a:off x="8366760" y="2552700"/>
          <a:ext cx="3779520" cy="2290034"/>
          <a:chOff x="8900160" y="2842260"/>
          <a:chExt cx="3779520" cy="2290034"/>
        </a:xfrm>
      </xdr:grpSpPr>
      <xdr:graphicFrame macro="">
        <xdr:nvGraphicFramePr>
          <xdr:cNvPr id="34" name="Gráfico 33">
            <a:extLst>
              <a:ext uri="{FF2B5EF4-FFF2-40B4-BE49-F238E27FC236}">
                <a16:creationId xmlns:a16="http://schemas.microsoft.com/office/drawing/2014/main" id="{4D0CB255-6379-4612-80F4-54F0B472DA03}"/>
              </a:ext>
            </a:extLst>
          </xdr:cNvPr>
          <xdr:cNvGraphicFramePr>
            <a:graphicFrameLocks/>
          </xdr:cNvGraphicFramePr>
        </xdr:nvGraphicFramePr>
        <xdr:xfrm>
          <a:off x="8900160" y="2842260"/>
          <a:ext cx="3779520" cy="2175510"/>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35" name="Rectángulo 34">
            <a:extLst>
              <a:ext uri="{FF2B5EF4-FFF2-40B4-BE49-F238E27FC236}">
                <a16:creationId xmlns:a16="http://schemas.microsoft.com/office/drawing/2014/main" id="{EBA8B5C9-EEE0-459E-83BD-5525B6021E6C}"/>
              </a:ext>
            </a:extLst>
          </xdr:cNvPr>
          <xdr:cNvSpPr/>
        </xdr:nvSpPr>
        <xdr:spPr>
          <a:xfrm>
            <a:off x="9159240" y="4892040"/>
            <a:ext cx="842234" cy="21739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i="0" u="none" strike="noStrike">
                <a:solidFill>
                  <a:srgbClr val="000000"/>
                </a:solidFill>
                <a:latin typeface="Arial"/>
                <a:cs typeface="Arial"/>
              </a:rPr>
              <a:t>Abiertos</a:t>
            </a:r>
          </a:p>
        </xdr:txBody>
      </xdr:sp>
      <xdr:sp macro="" textlink="">
        <xdr:nvSpPr>
          <xdr:cNvPr id="36" name="Rectángulo 35">
            <a:extLst>
              <a:ext uri="{FF2B5EF4-FFF2-40B4-BE49-F238E27FC236}">
                <a16:creationId xmlns:a16="http://schemas.microsoft.com/office/drawing/2014/main" id="{FEF772D6-6E19-485F-B835-86B10C30FBDD}"/>
              </a:ext>
            </a:extLst>
          </xdr:cNvPr>
          <xdr:cNvSpPr/>
        </xdr:nvSpPr>
        <xdr:spPr>
          <a:xfrm>
            <a:off x="10347960" y="4899660"/>
            <a:ext cx="807720" cy="2286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i="0" u="none" strike="noStrike">
                <a:solidFill>
                  <a:srgbClr val="000000"/>
                </a:solidFill>
                <a:latin typeface="Arial"/>
                <a:cs typeface="Arial"/>
              </a:rPr>
              <a:t>Vencidos</a:t>
            </a:r>
          </a:p>
        </xdr:txBody>
      </xdr:sp>
      <xdr:sp macro="" textlink="">
        <xdr:nvSpPr>
          <xdr:cNvPr id="37" name="Rectángulo 36">
            <a:extLst>
              <a:ext uri="{FF2B5EF4-FFF2-40B4-BE49-F238E27FC236}">
                <a16:creationId xmlns:a16="http://schemas.microsoft.com/office/drawing/2014/main" id="{A3A2DBF9-7E6D-4432-94BF-CE0C3DD89721}"/>
              </a:ext>
            </a:extLst>
          </xdr:cNvPr>
          <xdr:cNvSpPr/>
        </xdr:nvSpPr>
        <xdr:spPr>
          <a:xfrm>
            <a:off x="11437620" y="4922520"/>
            <a:ext cx="1006289" cy="20977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i="0" u="none" strike="noStrike">
                <a:solidFill>
                  <a:srgbClr val="000000"/>
                </a:solidFill>
                <a:latin typeface="Arial"/>
                <a:cs typeface="Arial"/>
              </a:rPr>
              <a:t>Finalizados</a:t>
            </a:r>
          </a:p>
        </xdr:txBody>
      </xdr:sp>
    </xdr:grpSp>
    <xdr:clientData/>
  </xdr:twoCellAnchor>
  <xdr:twoCellAnchor>
    <xdr:from>
      <xdr:col>16</xdr:col>
      <xdr:colOff>647700</xdr:colOff>
      <xdr:row>0</xdr:row>
      <xdr:rowOff>22860</xdr:rowOff>
    </xdr:from>
    <xdr:to>
      <xdr:col>17</xdr:col>
      <xdr:colOff>464820</xdr:colOff>
      <xdr:row>2</xdr:row>
      <xdr:rowOff>144780</xdr:rowOff>
    </xdr:to>
    <xdr:grpSp>
      <xdr:nvGrpSpPr>
        <xdr:cNvPr id="38" name="Grupo 37">
          <a:extLst>
            <a:ext uri="{FF2B5EF4-FFF2-40B4-BE49-F238E27FC236}">
              <a16:creationId xmlns:a16="http://schemas.microsoft.com/office/drawing/2014/main" id="{966D6EA6-A911-D623-9F82-4618A873C878}"/>
            </a:ext>
          </a:extLst>
        </xdr:cNvPr>
        <xdr:cNvGrpSpPr/>
      </xdr:nvGrpSpPr>
      <xdr:grpSpPr>
        <a:xfrm>
          <a:off x="13441680" y="22860"/>
          <a:ext cx="609600" cy="487680"/>
          <a:chOff x="10988040" y="83820"/>
          <a:chExt cx="518160" cy="434340"/>
        </a:xfrm>
      </xdr:grpSpPr>
      <xdr:sp macro="[0]!ActualizarTableroMaestro" textlink="">
        <xdr:nvSpPr>
          <xdr:cNvPr id="13" name="Rectángulo 12">
            <a:extLst>
              <a:ext uri="{FF2B5EF4-FFF2-40B4-BE49-F238E27FC236}">
                <a16:creationId xmlns:a16="http://schemas.microsoft.com/office/drawing/2014/main" id="{4DFA67B4-DAA4-AC39-C56A-1E0C75EC6F4F}"/>
              </a:ext>
            </a:extLst>
          </xdr:cNvPr>
          <xdr:cNvSpPr/>
        </xdr:nvSpPr>
        <xdr:spPr>
          <a:xfrm>
            <a:off x="10988040" y="83820"/>
            <a:ext cx="518160" cy="4343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pic macro="[0]!ActualizarTableroMaestro">
        <xdr:nvPicPr>
          <xdr:cNvPr id="15" name="Gráfico 14" descr="Actualizar con relleno sólido">
            <a:extLst>
              <a:ext uri="{FF2B5EF4-FFF2-40B4-BE49-F238E27FC236}">
                <a16:creationId xmlns:a16="http://schemas.microsoft.com/office/drawing/2014/main" id="{7085759B-F879-A411-EAC5-AC2935E596F5}"/>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1056620" y="99060"/>
            <a:ext cx="403860" cy="403860"/>
          </a:xfrm>
          <a:prstGeom prst="rect">
            <a:avLst/>
          </a:prstGeom>
        </xdr:spPr>
      </xdr:pic>
    </xdr:grpSp>
    <xdr:clientData fLocksWithSheet="0"/>
  </xdr:twoCellAnchor>
  <xdr:twoCellAnchor editAs="oneCell">
    <xdr:from>
      <xdr:col>0</xdr:col>
      <xdr:colOff>30480</xdr:colOff>
      <xdr:row>0</xdr:row>
      <xdr:rowOff>30480</xdr:rowOff>
    </xdr:from>
    <xdr:to>
      <xdr:col>2</xdr:col>
      <xdr:colOff>281940</xdr:colOff>
      <xdr:row>2</xdr:row>
      <xdr:rowOff>167849</xdr:rowOff>
    </xdr:to>
    <xdr:pic>
      <xdr:nvPicPr>
        <xdr:cNvPr id="39" name="Imagen 38">
          <a:extLst>
            <a:ext uri="{FF2B5EF4-FFF2-40B4-BE49-F238E27FC236}">
              <a16:creationId xmlns:a16="http://schemas.microsoft.com/office/drawing/2014/main" id="{DBE6FB0F-0F62-48F8-A769-377D546E2226}"/>
            </a:ext>
          </a:extLst>
        </xdr:cNvPr>
        <xdr:cNvPicPr>
          <a:picLocks noChangeAspect="1"/>
        </xdr:cNvPicPr>
      </xdr:nvPicPr>
      <xdr:blipFill>
        <a:blip xmlns:r="http://schemas.openxmlformats.org/officeDocument/2006/relationships" r:embed="rId6"/>
        <a:stretch>
          <a:fillRect/>
        </a:stretch>
      </xdr:blipFill>
      <xdr:spPr>
        <a:xfrm>
          <a:off x="30480" y="30480"/>
          <a:ext cx="1836420" cy="503129"/>
        </a:xfrm>
        <a:prstGeom prst="rect">
          <a:avLst/>
        </a:prstGeom>
      </xdr:spPr>
    </xdr:pic>
    <xdr:clientData/>
  </xdr:twoCellAnchor>
  <xdr:twoCellAnchor editAs="absolute">
    <xdr:from>
      <xdr:col>3</xdr:col>
      <xdr:colOff>426720</xdr:colOff>
      <xdr:row>23</xdr:row>
      <xdr:rowOff>76200</xdr:rowOff>
    </xdr:from>
    <xdr:to>
      <xdr:col>4</xdr:col>
      <xdr:colOff>246240</xdr:colOff>
      <xdr:row>25</xdr:row>
      <xdr:rowOff>34440</xdr:rowOff>
    </xdr:to>
    <xdr:sp macro="[0]!Ver_Alerta5_Detalle" textlink="Cálculos!C20">
      <xdr:nvSpPr>
        <xdr:cNvPr id="14" name="Rectángulo 13">
          <a:extLst>
            <a:ext uri="{FF2B5EF4-FFF2-40B4-BE49-F238E27FC236}">
              <a16:creationId xmlns:a16="http://schemas.microsoft.com/office/drawing/2014/main" id="{6CEA37B9-8BED-4822-AD59-73E879108890}"/>
            </a:ext>
          </a:extLst>
        </xdr:cNvPr>
        <xdr:cNvSpPr/>
      </xdr:nvSpPr>
      <xdr:spPr>
        <a:xfrm>
          <a:off x="2804160" y="4282440"/>
          <a:ext cx="612000" cy="324000"/>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BA68A648-E4FA-4E46-969E-43B9B96D033B}" type="TxLink">
            <a:rPr lang="en-US" sz="1600" b="1" i="0" u="none" strike="noStrike">
              <a:solidFill>
                <a:srgbClr val="000000"/>
              </a:solidFill>
              <a:latin typeface="Arial" panose="020B0604020202020204" pitchFamily="34" charset="0"/>
              <a:ea typeface="+mn-ea"/>
              <a:cs typeface="Arial" panose="020B0604020202020204" pitchFamily="34" charset="0"/>
            </a:rPr>
            <a:pPr marL="0" indent="0" algn="ctr"/>
            <a:t>0</a:t>
          </a:fld>
          <a:endParaRPr lang="en-US" sz="2400" b="1" i="0" u="none" strike="noStrike">
            <a:solidFill>
              <a:srgbClr val="000000"/>
            </a:solidFill>
            <a:latin typeface="Arial" panose="020B0604020202020204" pitchFamily="34" charset="0"/>
            <a:ea typeface="+mn-ea"/>
            <a:cs typeface="Arial" panose="020B0604020202020204" pitchFamily="34" charset="0"/>
          </a:endParaRPr>
        </a:p>
      </xdr:txBody>
    </xdr:sp>
    <xdr:clientData fLocksWithSheet="0"/>
  </xdr:twoCellAnchor>
  <xdr:twoCellAnchor>
    <xdr:from>
      <xdr:col>3</xdr:col>
      <xdr:colOff>419100</xdr:colOff>
      <xdr:row>25</xdr:row>
      <xdr:rowOff>30480</xdr:rowOff>
    </xdr:from>
    <xdr:to>
      <xdr:col>4</xdr:col>
      <xdr:colOff>243840</xdr:colOff>
      <xdr:row>26</xdr:row>
      <xdr:rowOff>68580</xdr:rowOff>
    </xdr:to>
    <xdr:sp macro="" textlink="">
      <xdr:nvSpPr>
        <xdr:cNvPr id="40" name="CuadroTexto 39">
          <a:extLst>
            <a:ext uri="{FF2B5EF4-FFF2-40B4-BE49-F238E27FC236}">
              <a16:creationId xmlns:a16="http://schemas.microsoft.com/office/drawing/2014/main" id="{27D94F14-5B30-4A38-B691-DBCE8FE889B3}"/>
            </a:ext>
          </a:extLst>
        </xdr:cNvPr>
        <xdr:cNvSpPr txBox="1"/>
      </xdr:nvSpPr>
      <xdr:spPr>
        <a:xfrm>
          <a:off x="2796540" y="4602480"/>
          <a:ext cx="61722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050" b="1">
              <a:latin typeface="Arial" panose="020B0604020202020204" pitchFamily="34" charset="0"/>
              <a:cs typeface="Arial" panose="020B0604020202020204" pitchFamily="34" charset="0"/>
            </a:rPr>
            <a:t>5 días </a:t>
          </a:r>
        </a:p>
      </xdr:txBody>
    </xdr:sp>
    <xdr:clientData/>
  </xdr:twoCellAnchor>
  <xdr:twoCellAnchor editAs="absolute">
    <xdr:from>
      <xdr:col>3</xdr:col>
      <xdr:colOff>609600</xdr:colOff>
      <xdr:row>26</xdr:row>
      <xdr:rowOff>53340</xdr:rowOff>
    </xdr:from>
    <xdr:to>
      <xdr:col>4</xdr:col>
      <xdr:colOff>22860</xdr:colOff>
      <xdr:row>27</xdr:row>
      <xdr:rowOff>68580</xdr:rowOff>
    </xdr:to>
    <xdr:sp macro="" textlink="">
      <xdr:nvSpPr>
        <xdr:cNvPr id="41" name="Elipse 40">
          <a:extLst>
            <a:ext uri="{FF2B5EF4-FFF2-40B4-BE49-F238E27FC236}">
              <a16:creationId xmlns:a16="http://schemas.microsoft.com/office/drawing/2014/main" id="{1FA2E316-1B8C-440C-9BB7-0D948C4EB8AD}"/>
            </a:ext>
          </a:extLst>
        </xdr:cNvPr>
        <xdr:cNvSpPr/>
      </xdr:nvSpPr>
      <xdr:spPr>
        <a:xfrm>
          <a:off x="2987040" y="4808220"/>
          <a:ext cx="205740" cy="198120"/>
        </a:xfrm>
        <a:prstGeom prst="ellipse">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fLocksWithSheet="0"/>
  </xdr:twoCellAnchor>
  <xdr:twoCellAnchor>
    <xdr:from>
      <xdr:col>0</xdr:col>
      <xdr:colOff>175260</xdr:colOff>
      <xdr:row>3</xdr:row>
      <xdr:rowOff>68581</xdr:rowOff>
    </xdr:from>
    <xdr:to>
      <xdr:col>5</xdr:col>
      <xdr:colOff>434340</xdr:colOff>
      <xdr:row>29</xdr:row>
      <xdr:rowOff>45720</xdr:rowOff>
    </xdr:to>
    <xdr:grpSp>
      <xdr:nvGrpSpPr>
        <xdr:cNvPr id="45" name="Grupo 44" hidden="1">
          <a:extLst>
            <a:ext uri="{FF2B5EF4-FFF2-40B4-BE49-F238E27FC236}">
              <a16:creationId xmlns:a16="http://schemas.microsoft.com/office/drawing/2014/main" id="{7DD66C9C-A808-4B0B-9F5B-3589776A2DC7}"/>
            </a:ext>
          </a:extLst>
        </xdr:cNvPr>
        <xdr:cNvGrpSpPr/>
      </xdr:nvGrpSpPr>
      <xdr:grpSpPr>
        <a:xfrm>
          <a:off x="175260" y="617221"/>
          <a:ext cx="4221480" cy="4732019"/>
          <a:chOff x="152400" y="731521"/>
          <a:chExt cx="4267283" cy="4732019"/>
        </a:xfrm>
      </xdr:grpSpPr>
      <xdr:sp macro="" textlink="">
        <xdr:nvSpPr>
          <xdr:cNvPr id="42" name="Rectángulo 41" hidden="1">
            <a:extLst>
              <a:ext uri="{FF2B5EF4-FFF2-40B4-BE49-F238E27FC236}">
                <a16:creationId xmlns:a16="http://schemas.microsoft.com/office/drawing/2014/main" id="{7882EFC4-BA00-5EB4-CF2D-9EC8E0C05259}"/>
              </a:ext>
            </a:extLst>
          </xdr:cNvPr>
          <xdr:cNvSpPr/>
        </xdr:nvSpPr>
        <xdr:spPr>
          <a:xfrm>
            <a:off x="228600" y="754380"/>
            <a:ext cx="4183380" cy="46634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mc:AlternateContent xmlns:mc="http://schemas.openxmlformats.org/markup-compatibility/2006" xmlns:a14="http://schemas.microsoft.com/office/drawing/2010/main">
        <mc:Choice Requires="a14">
          <xdr:graphicFrame macro="">
            <xdr:nvGraphicFramePr>
              <xdr:cNvPr id="28" name="Vigencia" hidden="1">
                <a:extLst>
                  <a:ext uri="{FF2B5EF4-FFF2-40B4-BE49-F238E27FC236}">
                    <a16:creationId xmlns:a16="http://schemas.microsoft.com/office/drawing/2014/main" id="{A477E021-29E9-4DD5-A279-38AA205D64D8}"/>
                  </a:ext>
                </a:extLst>
              </xdr:cNvPr>
              <xdr:cNvGraphicFramePr/>
            </xdr:nvGraphicFramePr>
            <xdr:xfrm>
              <a:off x="152400" y="731521"/>
              <a:ext cx="2187560" cy="1219200"/>
            </xdr:xfrm>
            <a:graphic>
              <a:graphicData uri="http://schemas.microsoft.com/office/drawing/2010/slicer">
                <sle:slicer xmlns:sle="http://schemas.microsoft.com/office/drawing/2010/slicer" name="Vigencia"/>
              </a:graphicData>
            </a:graphic>
          </xdr:graphicFrame>
        </mc:Choice>
        <mc:Fallback xmlns="">
          <xdr:sp macro="" textlink="">
            <xdr:nvSpPr>
              <xdr:cNvPr id="0" name=""/>
              <xdr:cNvSpPr>
                <a:spLocks noTextEdit="1"/>
              </xdr:cNvSpPr>
            </xdr:nvSpPr>
            <xdr:spPr>
              <a:xfrm>
                <a:off x="175260" y="617221"/>
                <a:ext cx="2164080" cy="1219200"/>
              </a:xfrm>
              <a:prstGeom prst="rect">
                <a:avLst/>
              </a:prstGeom>
              <a:solidFill>
                <a:prstClr val="white"/>
              </a:solidFill>
              <a:ln w="1">
                <a:solidFill>
                  <a:prstClr val="green"/>
                </a:solidFill>
              </a:ln>
            </xdr:spPr>
            <xdr:txBody>
              <a:bodyPr vertOverflow="clip" horzOverflow="clip"/>
              <a:lstStyle/>
              <a:p>
                <a:r>
                  <a:rPr lang="es-CO"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mc:AlternateContent xmlns:mc="http://schemas.openxmlformats.org/markup-compatibility/2006" xmlns:a14="http://schemas.microsoft.com/office/drawing/2010/main">
        <mc:Choice Requires="a14">
          <xdr:graphicFrame macro="">
            <xdr:nvGraphicFramePr>
              <xdr:cNvPr id="29" name="Auditoría" hidden="1">
                <a:extLst>
                  <a:ext uri="{FF2B5EF4-FFF2-40B4-BE49-F238E27FC236}">
                    <a16:creationId xmlns:a16="http://schemas.microsoft.com/office/drawing/2014/main" id="{1171E5F5-C9D6-4E35-9AA3-ED395E939892}"/>
                  </a:ext>
                </a:extLst>
              </xdr:cNvPr>
              <xdr:cNvGraphicFramePr/>
            </xdr:nvGraphicFramePr>
            <xdr:xfrm>
              <a:off x="2339960" y="739140"/>
              <a:ext cx="2079723" cy="1219200"/>
            </xdr:xfrm>
            <a:graphic>
              <a:graphicData uri="http://schemas.microsoft.com/office/drawing/2010/slicer">
                <sle:slicer xmlns:sle="http://schemas.microsoft.com/office/drawing/2010/slicer" name="Auditoría"/>
              </a:graphicData>
            </a:graphic>
          </xdr:graphicFrame>
        </mc:Choice>
        <mc:Fallback xmlns="">
          <xdr:sp macro="" textlink="">
            <xdr:nvSpPr>
              <xdr:cNvPr id="0" name=""/>
              <xdr:cNvSpPr>
                <a:spLocks noTextEdit="1"/>
              </xdr:cNvSpPr>
            </xdr:nvSpPr>
            <xdr:spPr>
              <a:xfrm>
                <a:off x="2339340" y="624840"/>
                <a:ext cx="2057400" cy="1219200"/>
              </a:xfrm>
              <a:prstGeom prst="rect">
                <a:avLst/>
              </a:prstGeom>
              <a:solidFill>
                <a:prstClr val="white"/>
              </a:solidFill>
              <a:ln w="1">
                <a:solidFill>
                  <a:prstClr val="green"/>
                </a:solidFill>
              </a:ln>
            </xdr:spPr>
            <xdr:txBody>
              <a:bodyPr vertOverflow="clip" horzOverflow="clip"/>
              <a:lstStyle/>
              <a:p>
                <a:r>
                  <a:rPr lang="es-CO"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mc:AlternateContent xmlns:mc="http://schemas.openxmlformats.org/markup-compatibility/2006" xmlns:a14="http://schemas.microsoft.com/office/drawing/2010/main">
        <mc:Choice Requires="a14">
          <xdr:graphicFrame macro="">
            <xdr:nvGraphicFramePr>
              <xdr:cNvPr id="30" name="Responsable " hidden="1">
                <a:extLst>
                  <a:ext uri="{FF2B5EF4-FFF2-40B4-BE49-F238E27FC236}">
                    <a16:creationId xmlns:a16="http://schemas.microsoft.com/office/drawing/2014/main" id="{4A5A5FE4-0F09-416F-9564-633093750237}"/>
                  </a:ext>
                </a:extLst>
              </xdr:cNvPr>
              <xdr:cNvGraphicFramePr/>
            </xdr:nvGraphicFramePr>
            <xdr:xfrm>
              <a:off x="152400" y="1958340"/>
              <a:ext cx="4267283" cy="3505200"/>
            </xdr:xfrm>
            <a:graphic>
              <a:graphicData uri="http://schemas.microsoft.com/office/drawing/2010/slicer">
                <sle:slicer xmlns:sle="http://schemas.microsoft.com/office/drawing/2010/slicer" name="Responsable "/>
              </a:graphicData>
            </a:graphic>
          </xdr:graphicFrame>
        </mc:Choice>
        <mc:Fallback xmlns="">
          <xdr:sp macro="" textlink="">
            <xdr:nvSpPr>
              <xdr:cNvPr id="0" name=""/>
              <xdr:cNvSpPr>
                <a:spLocks noTextEdit="1"/>
              </xdr:cNvSpPr>
            </xdr:nvSpPr>
            <xdr:spPr>
              <a:xfrm>
                <a:off x="175260" y="1844040"/>
                <a:ext cx="4221480" cy="3505200"/>
              </a:xfrm>
              <a:prstGeom prst="rect">
                <a:avLst/>
              </a:prstGeom>
              <a:solidFill>
                <a:prstClr val="white"/>
              </a:solidFill>
              <a:ln w="1">
                <a:solidFill>
                  <a:prstClr val="green"/>
                </a:solidFill>
              </a:ln>
            </xdr:spPr>
            <xdr:txBody>
              <a:bodyPr vertOverflow="clip" horzOverflow="clip"/>
              <a:lstStyle/>
              <a:p>
                <a:r>
                  <a:rPr lang="es-CO"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grpSp>
    <xdr:clientData/>
  </xdr:twoCellAnchor>
  <xdr:twoCellAnchor>
    <xdr:from>
      <xdr:col>0</xdr:col>
      <xdr:colOff>190500</xdr:colOff>
      <xdr:row>29</xdr:row>
      <xdr:rowOff>83820</xdr:rowOff>
    </xdr:from>
    <xdr:to>
      <xdr:col>1</xdr:col>
      <xdr:colOff>396240</xdr:colOff>
      <xdr:row>30</xdr:row>
      <xdr:rowOff>129540</xdr:rowOff>
    </xdr:to>
    <xdr:sp macro="[0]!MostrarOcultarFiltros" textlink="">
      <xdr:nvSpPr>
        <xdr:cNvPr id="43" name="Rectángulo 42">
          <a:extLst>
            <a:ext uri="{FF2B5EF4-FFF2-40B4-BE49-F238E27FC236}">
              <a16:creationId xmlns:a16="http://schemas.microsoft.com/office/drawing/2014/main" id="{D458C511-BF13-53A1-5978-66C9AC69431E}"/>
            </a:ext>
          </a:extLst>
        </xdr:cNvPr>
        <xdr:cNvSpPr/>
      </xdr:nvSpPr>
      <xdr:spPr>
        <a:xfrm>
          <a:off x="190500" y="5387340"/>
          <a:ext cx="998220" cy="22860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s-CO" b="1">
              <a:latin typeface="Arial" panose="020B0604020202020204" pitchFamily="34" charset="0"/>
              <a:cs typeface="Arial" panose="020B0604020202020204" pitchFamily="34" charset="0"/>
            </a:rPr>
            <a:t>Filtro</a:t>
          </a:r>
          <a:endParaRPr lang="es-CO" sz="1100" b="1">
            <a:latin typeface="Arial" panose="020B0604020202020204" pitchFamily="34" charset="0"/>
            <a:cs typeface="Arial" panose="020B0604020202020204" pitchFamily="34" charset="0"/>
          </a:endParaRPr>
        </a:p>
      </xdr:txBody>
    </xdr:sp>
    <xdr:clientData/>
  </xdr:twoCellAnchor>
  <xdr:twoCellAnchor editAs="absolute">
    <xdr:from>
      <xdr:col>11</xdr:col>
      <xdr:colOff>83820</xdr:colOff>
      <xdr:row>13</xdr:row>
      <xdr:rowOff>111960</xdr:rowOff>
    </xdr:from>
    <xdr:to>
      <xdr:col>14</xdr:col>
      <xdr:colOff>251460</xdr:colOff>
      <xdr:row>15</xdr:row>
      <xdr:rowOff>35760</xdr:rowOff>
    </xdr:to>
    <xdr:sp macro="" textlink="">
      <xdr:nvSpPr>
        <xdr:cNvPr id="49" name="Rectángulo 48">
          <a:extLst>
            <a:ext uri="{FF2B5EF4-FFF2-40B4-BE49-F238E27FC236}">
              <a16:creationId xmlns:a16="http://schemas.microsoft.com/office/drawing/2014/main" id="{09C40918-F128-496D-934B-5945ACA2AA5B}"/>
            </a:ext>
          </a:extLst>
        </xdr:cNvPr>
        <xdr:cNvSpPr/>
      </xdr:nvSpPr>
      <xdr:spPr>
        <a:xfrm>
          <a:off x="8915400" y="2489400"/>
          <a:ext cx="2545080" cy="2895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s-CO" sz="1200" b="1">
              <a:solidFill>
                <a:schemeClr val="tx1"/>
              </a:solidFill>
              <a:latin typeface="Arial" panose="020B0604020202020204" pitchFamily="34" charset="0"/>
              <a:cs typeface="Arial" panose="020B0604020202020204" pitchFamily="34" charset="0"/>
            </a:rPr>
            <a:t>Estado de</a:t>
          </a:r>
          <a:r>
            <a:rPr lang="es-CO" sz="1200" b="1" baseline="0">
              <a:solidFill>
                <a:schemeClr val="tx1"/>
              </a:solidFill>
              <a:latin typeface="Arial" panose="020B0604020202020204" pitchFamily="34" charset="0"/>
              <a:cs typeface="Arial" panose="020B0604020202020204" pitchFamily="34" charset="0"/>
            </a:rPr>
            <a:t> Planes de Acción</a:t>
          </a:r>
          <a:endParaRPr lang="es-CO" sz="1200" b="1">
            <a:solidFill>
              <a:schemeClr val="tx1"/>
            </a:solidFill>
            <a:latin typeface="Arial" panose="020B0604020202020204" pitchFamily="34" charset="0"/>
            <a:cs typeface="Arial" panose="020B0604020202020204" pitchFamily="34" charset="0"/>
          </a:endParaRPr>
        </a:p>
      </xdr:txBody>
    </xdr:sp>
    <xdr:clientData/>
  </xdr:twoCellAnchor>
  <xdr:twoCellAnchor>
    <xdr:from>
      <xdr:col>11</xdr:col>
      <xdr:colOff>251460</xdr:colOff>
      <xdr:row>4</xdr:row>
      <xdr:rowOff>30480</xdr:rowOff>
    </xdr:from>
    <xdr:to>
      <xdr:col>13</xdr:col>
      <xdr:colOff>556260</xdr:colOff>
      <xdr:row>13</xdr:row>
      <xdr:rowOff>106680</xdr:rowOff>
    </xdr:to>
    <xdr:grpSp>
      <xdr:nvGrpSpPr>
        <xdr:cNvPr id="52" name="Grupo 51">
          <a:extLst>
            <a:ext uri="{FF2B5EF4-FFF2-40B4-BE49-F238E27FC236}">
              <a16:creationId xmlns:a16="http://schemas.microsoft.com/office/drawing/2014/main" id="{8A7B6A23-EE78-82C3-212A-D8E756FF83BD}"/>
            </a:ext>
          </a:extLst>
        </xdr:cNvPr>
        <xdr:cNvGrpSpPr/>
      </xdr:nvGrpSpPr>
      <xdr:grpSpPr>
        <a:xfrm>
          <a:off x="9083040" y="762000"/>
          <a:ext cx="1889760" cy="1722120"/>
          <a:chOff x="11460480" y="838200"/>
          <a:chExt cx="2118360" cy="1931670"/>
        </a:xfrm>
        <a:noFill/>
      </xdr:grpSpPr>
      <xdr:graphicFrame macro="">
        <xdr:nvGraphicFramePr>
          <xdr:cNvPr id="50" name="Gráfico 49">
            <a:extLst>
              <a:ext uri="{FF2B5EF4-FFF2-40B4-BE49-F238E27FC236}">
                <a16:creationId xmlns:a16="http://schemas.microsoft.com/office/drawing/2014/main" id="{765C3368-086D-457E-9C05-E0FD8EC7C115}"/>
              </a:ext>
            </a:extLst>
          </xdr:cNvPr>
          <xdr:cNvGraphicFramePr>
            <a:graphicFrameLocks/>
          </xdr:cNvGraphicFramePr>
        </xdr:nvGraphicFramePr>
        <xdr:xfrm>
          <a:off x="11460480" y="838200"/>
          <a:ext cx="2118360" cy="1931670"/>
        </xdr:xfrm>
        <a:graphic>
          <a:graphicData uri="http://schemas.openxmlformats.org/drawingml/2006/chart">
            <c:chart xmlns:c="http://schemas.openxmlformats.org/drawingml/2006/chart" xmlns:r="http://schemas.openxmlformats.org/officeDocument/2006/relationships" r:id="rId7"/>
          </a:graphicData>
        </a:graphic>
      </xdr:graphicFrame>
      <xdr:sp macro="" textlink="Cálculos!A34">
        <xdr:nvSpPr>
          <xdr:cNvPr id="51" name="CuadroTexto 50">
            <a:extLst>
              <a:ext uri="{FF2B5EF4-FFF2-40B4-BE49-F238E27FC236}">
                <a16:creationId xmlns:a16="http://schemas.microsoft.com/office/drawing/2014/main" id="{82ABC903-D736-5544-BB72-E3B9DC0445E2}"/>
              </a:ext>
            </a:extLst>
          </xdr:cNvPr>
          <xdr:cNvSpPr txBox="1"/>
        </xdr:nvSpPr>
        <xdr:spPr>
          <a:xfrm>
            <a:off x="12222480" y="1615440"/>
            <a:ext cx="655320" cy="32766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AD9C126-43D2-41DD-B13D-99AFA60A64D2}" type="TxLink">
              <a:rPr lang="en-US" sz="1800" b="1" i="0" u="none" strike="noStrike">
                <a:solidFill>
                  <a:srgbClr val="000000"/>
                </a:solidFill>
                <a:latin typeface="Arial" panose="020B0604020202020204" pitchFamily="34" charset="0"/>
                <a:cs typeface="Arial" panose="020B0604020202020204" pitchFamily="34" charset="0"/>
              </a:rPr>
              <a:pPr/>
              <a:t>80%</a:t>
            </a:fld>
            <a:endParaRPr lang="es-CO" sz="1800" b="1">
              <a:latin typeface="Arial" panose="020B0604020202020204" pitchFamily="34" charset="0"/>
              <a:cs typeface="Arial" panose="020B0604020202020204" pitchFamily="34" charset="0"/>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absolute">
    <xdr:from>
      <xdr:col>4</xdr:col>
      <xdr:colOff>525780</xdr:colOff>
      <xdr:row>0</xdr:row>
      <xdr:rowOff>91440</xdr:rowOff>
    </xdr:from>
    <xdr:to>
      <xdr:col>5</xdr:col>
      <xdr:colOff>1691640</xdr:colOff>
      <xdr:row>2</xdr:row>
      <xdr:rowOff>23308</xdr:rowOff>
    </xdr:to>
    <xdr:sp macro="" textlink="">
      <xdr:nvSpPr>
        <xdr:cNvPr id="2" name="Rectángulo 1">
          <a:extLst>
            <a:ext uri="{FF2B5EF4-FFF2-40B4-BE49-F238E27FC236}">
              <a16:creationId xmlns:a16="http://schemas.microsoft.com/office/drawing/2014/main" id="{50F09AE7-4BCB-4DD8-8E62-DD979AA5D37E}"/>
            </a:ext>
          </a:extLst>
        </xdr:cNvPr>
        <xdr:cNvSpPr/>
      </xdr:nvSpPr>
      <xdr:spPr>
        <a:xfrm>
          <a:off x="5410200" y="91440"/>
          <a:ext cx="3573780" cy="29762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600" b="1">
              <a:solidFill>
                <a:schemeClr val="bg1"/>
              </a:solidFill>
              <a:latin typeface="Arial" panose="020B0604020202020204" pitchFamily="34" charset="0"/>
              <a:cs typeface="Arial" panose="020B0604020202020204" pitchFamily="34" charset="0"/>
            </a:rPr>
            <a:t>DETALLE</a:t>
          </a:r>
          <a:r>
            <a:rPr lang="es-CO" sz="1600" b="1" baseline="0">
              <a:solidFill>
                <a:schemeClr val="bg1"/>
              </a:solidFill>
              <a:latin typeface="Arial" panose="020B0604020202020204" pitchFamily="34" charset="0"/>
              <a:cs typeface="Arial" panose="020B0604020202020204" pitchFamily="34" charset="0"/>
            </a:rPr>
            <a:t> DE PLANES DE ACCIÓN</a:t>
          </a:r>
          <a:endParaRPr lang="es-CO" sz="1600" b="1">
            <a:solidFill>
              <a:schemeClr val="bg1"/>
            </a:solidFill>
            <a:latin typeface="Arial" panose="020B0604020202020204" pitchFamily="34" charset="0"/>
            <a:cs typeface="Arial" panose="020B0604020202020204" pitchFamily="34" charset="0"/>
          </a:endParaRPr>
        </a:p>
      </xdr:txBody>
    </xdr:sp>
    <xdr:clientData/>
  </xdr:twoCellAnchor>
  <xdr:twoCellAnchor>
    <xdr:from>
      <xdr:col>9</xdr:col>
      <xdr:colOff>601980</xdr:colOff>
      <xdr:row>0</xdr:row>
      <xdr:rowOff>45720</xdr:rowOff>
    </xdr:from>
    <xdr:to>
      <xdr:col>10</xdr:col>
      <xdr:colOff>518160</xdr:colOff>
      <xdr:row>2</xdr:row>
      <xdr:rowOff>152400</xdr:rowOff>
    </xdr:to>
    <xdr:grpSp>
      <xdr:nvGrpSpPr>
        <xdr:cNvPr id="6" name="Grupo 5">
          <a:extLst>
            <a:ext uri="{FF2B5EF4-FFF2-40B4-BE49-F238E27FC236}">
              <a16:creationId xmlns:a16="http://schemas.microsoft.com/office/drawing/2014/main" id="{3CDD0B8A-35A6-281B-63B3-E3DB14F2A053}"/>
            </a:ext>
          </a:extLst>
        </xdr:cNvPr>
        <xdr:cNvGrpSpPr/>
      </xdr:nvGrpSpPr>
      <xdr:grpSpPr>
        <a:xfrm>
          <a:off x="13578840" y="45720"/>
          <a:ext cx="632460" cy="472440"/>
          <a:chOff x="11574780" y="15240"/>
          <a:chExt cx="640080" cy="472440"/>
        </a:xfrm>
      </xdr:grpSpPr>
      <xdr:sp macro="[0]!ActualizarYLimpiarTodo" textlink="">
        <xdr:nvSpPr>
          <xdr:cNvPr id="3" name="Rectángulo 2">
            <a:extLst>
              <a:ext uri="{FF2B5EF4-FFF2-40B4-BE49-F238E27FC236}">
                <a16:creationId xmlns:a16="http://schemas.microsoft.com/office/drawing/2014/main" id="{6BBE9347-0591-E05B-A3C4-74B64D7FAE9F}"/>
              </a:ext>
            </a:extLst>
          </xdr:cNvPr>
          <xdr:cNvSpPr/>
        </xdr:nvSpPr>
        <xdr:spPr>
          <a:xfrm>
            <a:off x="11574780" y="22860"/>
            <a:ext cx="640080" cy="4648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pic macro="[0]!ActualizarYLimpiarTodo">
        <xdr:nvPicPr>
          <xdr:cNvPr id="5" name="Gráfico 4" descr="Actualizar con relleno sólido">
            <a:extLst>
              <a:ext uri="{FF2B5EF4-FFF2-40B4-BE49-F238E27FC236}">
                <a16:creationId xmlns:a16="http://schemas.microsoft.com/office/drawing/2014/main" id="{0F574E76-D87A-3EED-FC87-D5B29E1CF61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673840" y="15240"/>
            <a:ext cx="457200" cy="457200"/>
          </a:xfrm>
          <a:prstGeom prst="rect">
            <a:avLst/>
          </a:prstGeom>
        </xdr:spPr>
      </xdr:pic>
    </xdr:grpSp>
    <xdr:clientData/>
  </xdr:twoCellAnchor>
  <xdr:twoCellAnchor>
    <xdr:from>
      <xdr:col>0</xdr:col>
      <xdr:colOff>152400</xdr:colOff>
      <xdr:row>0</xdr:row>
      <xdr:rowOff>83820</xdr:rowOff>
    </xdr:from>
    <xdr:to>
      <xdr:col>0</xdr:col>
      <xdr:colOff>739140</xdr:colOff>
      <xdr:row>2</xdr:row>
      <xdr:rowOff>99060</xdr:rowOff>
    </xdr:to>
    <xdr:sp macro="[0]!Volver_Al_Tablero" textlink="">
      <xdr:nvSpPr>
        <xdr:cNvPr id="4" name="Flecha: hacia la izquierda 3">
          <a:extLst>
            <a:ext uri="{FF2B5EF4-FFF2-40B4-BE49-F238E27FC236}">
              <a16:creationId xmlns:a16="http://schemas.microsoft.com/office/drawing/2014/main" id="{EB2ADC54-B976-0CE5-9096-17655578D4EE}"/>
            </a:ext>
          </a:extLst>
        </xdr:cNvPr>
        <xdr:cNvSpPr/>
      </xdr:nvSpPr>
      <xdr:spPr>
        <a:xfrm>
          <a:off x="152400" y="83820"/>
          <a:ext cx="586740" cy="381000"/>
        </a:xfrm>
        <a:prstGeom prst="leftArrow">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diego\OneDrive\Escritorio\Tableros%20de%20Control\1.%20Auditor&#237;as%20Internas\TABLERO_PA_AI.xlsm" TargetMode="External"/><Relationship Id="rId1" Type="http://schemas.openxmlformats.org/officeDocument/2006/relationships/externalLinkPath" Target="file:///C:\Users\diego\OneDrive\Escritorio\Tableros%20de%20Control\1.%20Auditor&#237;as%20Internas\TABLERO_PA_AI.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ablero"/>
      <sheetName val="Log_cambios"/>
      <sheetName val="Detalle"/>
      <sheetName val="Informe_Planes_de_Acción"/>
      <sheetName val="Compromisos 1 trimestre"/>
      <sheetName val="Calculos"/>
      <sheetName val="Resumen"/>
      <sheetName val="Base de datos"/>
      <sheetName val="Informes PDF"/>
      <sheetName val="Programa Anual de Auditoría"/>
      <sheetName val="Hoja1"/>
      <sheetName val="Hoja2"/>
      <sheetName val="CONSULTA_EDUARDO"/>
      <sheetName val="CONSULTA_FELIPE"/>
    </sheetNames>
    <sheetDataSet>
      <sheetData sheetId="0"/>
      <sheetData sheetId="1"/>
      <sheetData sheetId="2"/>
      <sheetData sheetId="3"/>
      <sheetData sheetId="4"/>
      <sheetData sheetId="5"/>
      <sheetData sheetId="6"/>
      <sheetData sheetId="7">
        <row r="1">
          <cell r="A1" t="str">
            <v xml:space="preserve"> Plan Auditoría</v>
          </cell>
          <cell r="B1" t="str">
            <v>Auditoría</v>
          </cell>
          <cell r="G1" t="str">
            <v>Responsable</v>
          </cell>
          <cell r="S1" t="str">
            <v>Fecha de cierre Auditoría</v>
          </cell>
        </row>
        <row r="2">
          <cell r="A2" t="str">
            <v>PLAN DE MEJORAMIENTO VIGENCIA 2023</v>
          </cell>
          <cell r="B2" t="str">
            <v>Proyecto ZPP (20240310026682)</v>
          </cell>
          <cell r="G2" t="str">
            <v>SUB GERENCIA DE SERVICIOS OPERACIONALES E INFRAESTRUCTURA</v>
          </cell>
          <cell r="S2"/>
        </row>
        <row r="3">
          <cell r="A3" t="str">
            <v>PLAN DE MEJORAMIENTO VIGENCIA 2023</v>
          </cell>
          <cell r="B3" t="str">
            <v>Proyecto ZPP (20240310026682)</v>
          </cell>
          <cell r="G3" t="str">
            <v>SUB GERENCIA DE SERVICIOS OPERACIONALES E INFRAESTRUCTURA</v>
          </cell>
          <cell r="S3"/>
        </row>
        <row r="4">
          <cell r="A4" t="str">
            <v>PLAN DE MEJORAMIENTO VIGENCIA 2023</v>
          </cell>
          <cell r="B4" t="str">
            <v>Proyecto ZPP (20240310026682)</v>
          </cell>
          <cell r="G4" t="str">
            <v>SUB GERENCIA DE SERVICIOS OPERACIONALES E INFRAESTRUCTURA</v>
          </cell>
          <cell r="S4"/>
        </row>
        <row r="5">
          <cell r="A5" t="str">
            <v>PLAN DE MEJORAMIENTO VIGENCIA 2023</v>
          </cell>
          <cell r="B5" t="str">
            <v>Proyecto ZPP (20240310026682)</v>
          </cell>
          <cell r="G5" t="str">
            <v>SUB GERENCIA DE SERVICIOS OPERACIONALES E INFRAESTRUCTURA</v>
          </cell>
          <cell r="S5">
            <v>46203</v>
          </cell>
        </row>
        <row r="6">
          <cell r="A6" t="str">
            <v>PLAN DE MEJORAMIENTO VIGENCIA 2023</v>
          </cell>
          <cell r="B6" t="str">
            <v>Proyecto ZPP (20240310026682)</v>
          </cell>
          <cell r="G6" t="str">
            <v>SUB GERENCIA DE SERVICIOS OPERACIONALES E INFRAESTRUCTURA</v>
          </cell>
          <cell r="S6"/>
        </row>
        <row r="7">
          <cell r="A7" t="str">
            <v>PLAN DE MEJORAMIENTO VIGENCIA 2023</v>
          </cell>
          <cell r="B7" t="str">
            <v>Proyecto ZPP (20240310026682)</v>
          </cell>
          <cell r="G7" t="str">
            <v>SUB GERENCIA DE SERVICIOS OPERACIONALES E INFRAESTRUCTURA</v>
          </cell>
          <cell r="S7"/>
        </row>
        <row r="8">
          <cell r="A8" t="str">
            <v>PLAN DE MEJORAMIENTO VIGENCIA 2023</v>
          </cell>
          <cell r="B8" t="str">
            <v>Proyecto ZPP (20240310026682)</v>
          </cell>
          <cell r="G8" t="str">
            <v>SUB GERENCIA DE SERVICIOS OPERACIONALES E INFRAESTRUCTURA</v>
          </cell>
          <cell r="S8"/>
        </row>
        <row r="9">
          <cell r="A9" t="str">
            <v>PLAN DE MEJORAMIENTO VIGENCIA 2023</v>
          </cell>
          <cell r="B9" t="str">
            <v>Proyecto ZPP (20240310026682)</v>
          </cell>
          <cell r="G9" t="str">
            <v>SUB GERENCIA DE SERVICIOS OPERACIONALES E INFRAESTRUCTURA</v>
          </cell>
          <cell r="S9"/>
        </row>
        <row r="10">
          <cell r="A10" t="str">
            <v>PLAN DE MEJORAMIENTO VIGENCIA 2023</v>
          </cell>
          <cell r="B10" t="str">
            <v>Proyecto ZPP (20240310026682)</v>
          </cell>
          <cell r="G10" t="str">
            <v>SUB GERENCIA DE SERVICIOS OPERACIONALES E INFRAESTRUCTURA</v>
          </cell>
          <cell r="S10"/>
        </row>
        <row r="11">
          <cell r="A11" t="str">
            <v>PLAN DE MEJORAMIENTO VIGENCIA 2023</v>
          </cell>
          <cell r="B11" t="str">
            <v>Proyecto ZPP (20240310026682)</v>
          </cell>
          <cell r="G11" t="str">
            <v>SUB GERENCIA DE SERVICIOS OPERACIONALES E INFRAESTRUCTURA</v>
          </cell>
          <cell r="S11"/>
        </row>
        <row r="12">
          <cell r="A12" t="str">
            <v>PLAN DE MEJORAMIENTO VIGENCIA 2023</v>
          </cell>
          <cell r="B12" t="str">
            <v>Proyecto ZPP (20240310026682)</v>
          </cell>
          <cell r="G12" t="str">
            <v>SUB GERENCIA DE SERVICIOS OPERACIONALES E INFRAESTRUCTURA</v>
          </cell>
          <cell r="S12"/>
        </row>
        <row r="13">
          <cell r="A13" t="str">
            <v>PLAN DE MEJORAMIENTO VIGENCIA 2023</v>
          </cell>
          <cell r="B13" t="str">
            <v>Proyecto ZPP (20240310026682)</v>
          </cell>
          <cell r="G13" t="str">
            <v>SUB GERENCIA DE SERVICIOS OPERACIONALES E INFRAESTRUCTURA</v>
          </cell>
          <cell r="S13"/>
        </row>
        <row r="14">
          <cell r="A14" t="str">
            <v>PLAN DE MEJORAMIENTO VIGENCIA 2023</v>
          </cell>
          <cell r="B14" t="str">
            <v>Proyecto ZPP (20240310026682)</v>
          </cell>
          <cell r="G14" t="str">
            <v>SUB GERENCIA DE SERVICIOS OPERACIONALES E INFRAESTRUCTURA</v>
          </cell>
          <cell r="S14"/>
        </row>
        <row r="15">
          <cell r="A15" t="str">
            <v>PLAN DE MEJORAMIENTO VIGENCIA 2023</v>
          </cell>
          <cell r="B15" t="str">
            <v>Proyecto ZPP (20240310026682)</v>
          </cell>
          <cell r="G15" t="str">
            <v>SUB GERENCIA DE SERVICIOS OPERACIONALES E INFRAESTRUCTURA</v>
          </cell>
          <cell r="S15"/>
        </row>
        <row r="16">
          <cell r="A16" t="str">
            <v>PLAN DE MEJORAMIENTO VIGENCIA 2023</v>
          </cell>
          <cell r="B16" t="str">
            <v>Proyecto ZPP (20240310026682)</v>
          </cell>
          <cell r="G16" t="str">
            <v>SUB GERENCIA DE SERVICIOS OPERACIONALES E INFRAESTRUCTURA</v>
          </cell>
          <cell r="S16"/>
        </row>
        <row r="17">
          <cell r="A17" t="str">
            <v>PLAN DE MEJORAMIENTO VIGENCIA 2023</v>
          </cell>
          <cell r="B17" t="str">
            <v>Proyecto ZPP (20240310026682)</v>
          </cell>
          <cell r="G17" t="str">
            <v>SUB GERENCIA DE SERVICIOS OPERACIONALES E INFRAESTRUCTURA</v>
          </cell>
          <cell r="S17"/>
        </row>
        <row r="18">
          <cell r="A18" t="str">
            <v>PLAN DE MEJORAMIENTO VIGENCIA 2023</v>
          </cell>
          <cell r="B18" t="str">
            <v>Proyecto ZPP (20240310026682)</v>
          </cell>
          <cell r="G18" t="str">
            <v>SUB GERENCIA DE SERVICIOS OPERACIONALES E INFRAESTRUCTURA</v>
          </cell>
          <cell r="S18"/>
        </row>
        <row r="19">
          <cell r="A19" t="str">
            <v>PLAN DE MEJORAMIENTO VIGENCIA 2023</v>
          </cell>
          <cell r="B19" t="str">
            <v>Proyecto ZPP (20240310026682)</v>
          </cell>
          <cell r="G19" t="str">
            <v>SUB GERENCIA DE SERVICIOS OPERACIONALES E INFRAESTRUCTURA</v>
          </cell>
          <cell r="S19"/>
        </row>
        <row r="20">
          <cell r="A20" t="str">
            <v>PLAN DE MEJORAMIENTO VIGENCIA 2023</v>
          </cell>
          <cell r="B20" t="str">
            <v>Proyecto ZPP (20240310026682)</v>
          </cell>
          <cell r="G20" t="str">
            <v>SUB GERENCIA DE SERVICIOS OPERACIONALES E INFRAESTRUCTURA</v>
          </cell>
          <cell r="S20"/>
        </row>
        <row r="21">
          <cell r="A21" t="str">
            <v>PLAN DE MEJORAMIENTO VIGENCIA 2023</v>
          </cell>
          <cell r="B21" t="str">
            <v>Proyecto ZPP (20240310026682)</v>
          </cell>
          <cell r="G21" t="str">
            <v>SUB GERENCIA DE SERVICIOS OPERACIONALES E INFRAESTRUCTURA</v>
          </cell>
          <cell r="S21"/>
        </row>
        <row r="22">
          <cell r="A22" t="str">
            <v>PLAN DE MEJORAMIENTO VIGENCIA 2023</v>
          </cell>
          <cell r="B22" t="str">
            <v>Proyecto ZPP (20240310026682)</v>
          </cell>
          <cell r="G22" t="str">
            <v>SUB GERENCIA DE SERVICIOS OPERACIONALES E INFRAESTRUCTURA</v>
          </cell>
          <cell r="S22"/>
        </row>
        <row r="23">
          <cell r="A23" t="str">
            <v>PLAN DE MEJORAMIENTO VIGENCIA 2023</v>
          </cell>
          <cell r="B23" t="str">
            <v>Proyecto ZPP (20240310026682)</v>
          </cell>
          <cell r="G23" t="str">
            <v>SUB GERENCIA DE SERVICIOS OPERACIONALES E INFRAESTRUCTURA</v>
          </cell>
          <cell r="S23"/>
        </row>
        <row r="24">
          <cell r="A24" t="str">
            <v>PLAN DE MEJORAMIENTO VIGENCIA 2023</v>
          </cell>
          <cell r="B24" t="str">
            <v>Proyecto ZPP (20240310026682)</v>
          </cell>
          <cell r="G24" t="str">
            <v>SUB GERENCIA DE SERVICIOS OPERACIONALES E INFRAESTRUCTURA</v>
          </cell>
          <cell r="S24"/>
        </row>
        <row r="25">
          <cell r="A25" t="str">
            <v>PLAN DE MEJORAMIENTO VIGENCIA 2023</v>
          </cell>
          <cell r="B25" t="str">
            <v>Proyecto ZPP (20240310026682)</v>
          </cell>
          <cell r="G25" t="str">
            <v>SUB GERENCIA DE SERVICIOS OPERACIONALES E INFRAESTRUCTURA</v>
          </cell>
          <cell r="S25"/>
        </row>
        <row r="26">
          <cell r="A26" t="str">
            <v>PLAN DE MEJORAMIENTO VIGENCIA 2023</v>
          </cell>
          <cell r="B26" t="str">
            <v>Proyecto ZPP (20240310026682)</v>
          </cell>
          <cell r="G26" t="str">
            <v>SUB GERENCIA DE SERVICIOS OPERACIONALES E INFRAESTRUCTURA</v>
          </cell>
          <cell r="S26"/>
        </row>
        <row r="27">
          <cell r="A27" t="str">
            <v>PLAN DE MEJORAMIENTO VIGENCIA 2023</v>
          </cell>
          <cell r="B27" t="str">
            <v>Proyecto ZPP (20240310026682)</v>
          </cell>
          <cell r="G27" t="str">
            <v>SUB GERENCIA DE SERVICIOS OPERACIONALES E INFRAESTRUCTURA</v>
          </cell>
          <cell r="S27"/>
        </row>
        <row r="28">
          <cell r="A28" t="str">
            <v>PLAN DE MEJORAMIENTO VIGENCIA 2024</v>
          </cell>
          <cell r="B28" t="str">
            <v>Auditoría Requerimientos (20250110002803)</v>
          </cell>
          <cell r="G28" t="str">
            <v>DIRECCIÓN DE GESTIÓN HUMANA</v>
          </cell>
          <cell r="S28"/>
        </row>
        <row r="29">
          <cell r="A29" t="str">
            <v>PLAN DE MEJORAMIENTO VIGENCIA 2024</v>
          </cell>
          <cell r="B29" t="str">
            <v>Auditoría Requerimientos (20250110002803)</v>
          </cell>
          <cell r="G29" t="str">
            <v>SUB GERENCIA JURÍDICA</v>
          </cell>
          <cell r="S29"/>
        </row>
        <row r="30">
          <cell r="A30" t="str">
            <v>PLAN DE MEJORAMIENTO VIGENCIA 2024</v>
          </cell>
          <cell r="B30" t="str">
            <v>Auditoría Requerimientos (20250110002803)</v>
          </cell>
          <cell r="G30" t="str">
            <v>SUB GERENCIA JURÍDICA</v>
          </cell>
          <cell r="S30"/>
        </row>
        <row r="31">
          <cell r="A31" t="str">
            <v>PLAN DE MEJORAMIENTO VIGENCIA 2024</v>
          </cell>
          <cell r="B31" t="str">
            <v>Auditoría Requerimientos (20250110002803)</v>
          </cell>
          <cell r="G31" t="str">
            <v>DIRECCIÓN DE INFRAESTRUCTURA</v>
          </cell>
          <cell r="S31"/>
        </row>
        <row r="32">
          <cell r="A32" t="str">
            <v>PLAN DE MEJORAMIENTO VIGENCIA 2024</v>
          </cell>
          <cell r="B32" t="str">
            <v>Auditoría Requerimientos (20250110002803)</v>
          </cell>
          <cell r="G32" t="str">
            <v>SUB GERENCIA JURÍDICA</v>
          </cell>
          <cell r="S32"/>
        </row>
        <row r="33">
          <cell r="A33" t="str">
            <v>PLAN DE MEJORAMIENTO VIGENCIA 2024</v>
          </cell>
          <cell r="B33" t="str">
            <v>Auditoría Requerimientos (20250110002803)</v>
          </cell>
          <cell r="G33" t="str">
            <v>DIRECCIÓN DE INFRAESTRUCTURA</v>
          </cell>
          <cell r="S33"/>
        </row>
        <row r="34">
          <cell r="A34" t="str">
            <v>PLAN DE MEJORAMIENTO VIGENCIA 2024</v>
          </cell>
          <cell r="B34" t="str">
            <v>Auditoría Requerimientos (20250110002803)</v>
          </cell>
          <cell r="G34" t="str">
            <v>DIRECCIÓN DE GESTIÓN HUMANA</v>
          </cell>
          <cell r="S34"/>
        </row>
        <row r="35">
          <cell r="A35" t="str">
            <v>PLAN DE MEJORAMIENTO VIGENCIA 2024</v>
          </cell>
          <cell r="B35" t="str">
            <v>Auditoría Requerimientos (20250110002803)</v>
          </cell>
          <cell r="G35" t="str">
            <v>DIRECCIÓN DE INFRAESTRUCTURA</v>
          </cell>
          <cell r="S35"/>
        </row>
        <row r="36">
          <cell r="A36" t="str">
            <v>PLAN DE MEJORAMIENTO VIGENCIA 2024</v>
          </cell>
          <cell r="B36" t="str">
            <v>Auditoría Gestión Financiera (20240110040203)</v>
          </cell>
          <cell r="G36" t="str">
            <v>DIRECCIÓN DE GESTIÓN FINANCIERA</v>
          </cell>
          <cell r="S36">
            <v>46178</v>
          </cell>
        </row>
        <row r="37">
          <cell r="A37" t="str">
            <v>PLAN DE MEJORAMIENTO VIGENCIA 2024</v>
          </cell>
          <cell r="B37" t="str">
            <v>Auditoría Gestión Financiera (20240110040203)</v>
          </cell>
          <cell r="G37" t="str">
            <v>DIRECCIÓN DE GESTIÓN FINANCIERA</v>
          </cell>
          <cell r="S37">
            <v>46178</v>
          </cell>
        </row>
        <row r="38">
          <cell r="A38" t="str">
            <v>PLAN DE MEJORAMIENTO VIGENCIA 2024</v>
          </cell>
          <cell r="B38" t="str">
            <v>Auditoría Gestión Financiera (20240110040203)</v>
          </cell>
          <cell r="G38" t="str">
            <v>DIRECCIÓN DE GESTIÓN FINANCIERA</v>
          </cell>
          <cell r="S38">
            <v>46178</v>
          </cell>
        </row>
        <row r="39">
          <cell r="A39" t="str">
            <v>PLAN DE MEJORAMIENTO VIGENCIA 2024</v>
          </cell>
          <cell r="B39" t="str">
            <v>Auditoría Gestión Financiera (20240110040203)</v>
          </cell>
          <cell r="G39" t="str">
            <v>DIRECCIÓN DE RECURSOS TECNOLÓGICOS</v>
          </cell>
          <cell r="S39"/>
        </row>
        <row r="40">
          <cell r="A40" t="str">
            <v>PLAN DE MEJORAMIENTO VIGENCIA 2024</v>
          </cell>
          <cell r="B40" t="str">
            <v>Auditoría Gestión Financiera (20240110040203)</v>
          </cell>
          <cell r="G40" t="str">
            <v>DIRECCIÓN DE RECURSOS TECNOLÓGICOS</v>
          </cell>
          <cell r="S40"/>
        </row>
        <row r="41">
          <cell r="A41" t="str">
            <v>PLAN DE MEJORAMIENTO VIGENCIA 2024</v>
          </cell>
          <cell r="B41" t="str">
            <v>Auditoría Gestión Financiera (20240110040203)</v>
          </cell>
          <cell r="G41" t="str">
            <v>DIRECCIÓN DE RECURSOS TECNOLÓGICOS</v>
          </cell>
          <cell r="S41"/>
        </row>
        <row r="42">
          <cell r="A42" t="str">
            <v>PLAN DE MEJORAMIENTO VIGENCIA 2024</v>
          </cell>
          <cell r="B42" t="str">
            <v>Auditoría Contratación (20250110007093)</v>
          </cell>
          <cell r="G42" t="str">
            <v>DIRECCIÓN DE GESTIÓN HUMANA</v>
          </cell>
          <cell r="S42">
            <v>46128</v>
          </cell>
        </row>
        <row r="43">
          <cell r="A43" t="str">
            <v>PLAN DE MEJORAMIENTO VIGENCIA 2024</v>
          </cell>
          <cell r="B43" t="str">
            <v>Auditoría Contratación (20250110007093)</v>
          </cell>
          <cell r="G43" t="str">
            <v>DIRECCIÓN DE GESTIÓN HUMANA</v>
          </cell>
          <cell r="S43">
            <v>46080</v>
          </cell>
        </row>
        <row r="44">
          <cell r="A44" t="str">
            <v>PLAN DE MEJORAMIENTO VIGENCIA 2024</v>
          </cell>
          <cell r="B44" t="str">
            <v>Auditoría Contratación (20250110007093)</v>
          </cell>
          <cell r="G44" t="str">
            <v>SUB GERENCIA JURÍDICA</v>
          </cell>
          <cell r="S44"/>
        </row>
        <row r="45">
          <cell r="A45" t="str">
            <v>PLAN DE MEJORAMIENTO VIGENCIA 2024</v>
          </cell>
          <cell r="B45" t="str">
            <v>Auditoría Contratación (20250110007093)</v>
          </cell>
          <cell r="G45" t="str">
            <v>DIRECCIÓN DE RECURSOS TECNOLÓGICOS</v>
          </cell>
          <cell r="S45"/>
        </row>
        <row r="46">
          <cell r="A46" t="str">
            <v>PLAN DE MEJORAMIENTO VIGENCIA 2024</v>
          </cell>
          <cell r="B46" t="str">
            <v>Auditoría Contratación (20250110007093)</v>
          </cell>
          <cell r="G46" t="str">
            <v>DIRECCIÓN DE RECURSOS TECNOLÓGICOS</v>
          </cell>
          <cell r="S46"/>
        </row>
        <row r="47">
          <cell r="A47" t="str">
            <v>PLAN DE MEJORAMIENTO VIGENCIA 2024</v>
          </cell>
          <cell r="B47" t="str">
            <v>Auditoría Contratación (20250110007093)</v>
          </cell>
          <cell r="G47" t="str">
            <v>SUB GERENCIA CORPORATIVA</v>
          </cell>
          <cell r="S47">
            <v>46023</v>
          </cell>
        </row>
        <row r="48">
          <cell r="A48" t="str">
            <v>PLAN DE MEJORAMIENTO VIGENCIA 2025</v>
          </cell>
          <cell r="B48" t="str">
            <v>Auditoría Servicios Conexos (20250110018563)</v>
          </cell>
          <cell r="G48" t="str">
            <v>DIRECCIÓN DE GESTIÓN FINANCIERA</v>
          </cell>
          <cell r="S48">
            <v>46081</v>
          </cell>
        </row>
        <row r="49">
          <cell r="A49" t="str">
            <v>PLAN DE MEJORAMIENTO VIGENCIA 2025</v>
          </cell>
          <cell r="B49" t="str">
            <v>Auditoría Servicios Conexos (20250110018563)</v>
          </cell>
          <cell r="G49" t="str">
            <v>DIRECCIÓN DE RECURSOS FÍSICOS Y NEGOCIOS</v>
          </cell>
          <cell r="S49"/>
        </row>
        <row r="50">
          <cell r="A50" t="str">
            <v>PLAN DE MEJORAMIENTO VIGENCIA 2025</v>
          </cell>
          <cell r="B50" t="str">
            <v>Auditoría Servicios Conexos (20250110018563)</v>
          </cell>
          <cell r="G50" t="str">
            <v>DIRECCIÓN DE RECURSOS FÍSICOS Y NEGOCIOS</v>
          </cell>
          <cell r="S50"/>
        </row>
        <row r="51">
          <cell r="A51" t="str">
            <v>PLAN DE MEJORAMIENTO VIGENCIA 2025</v>
          </cell>
          <cell r="B51" t="str">
            <v>Auditoría Servicios Conexos (20250110018563)</v>
          </cell>
          <cell r="G51" t="str">
            <v>DIRECCIÓN DE RECURSOS FÍSICOS Y NEGOCIOS/
DIRECCIÓN DE SERVICIO AL CIUDADANO</v>
          </cell>
          <cell r="S51">
            <v>46178</v>
          </cell>
        </row>
        <row r="52">
          <cell r="A52" t="str">
            <v>PLAN DE MEJORAMIENTO VIGENCIA 2025</v>
          </cell>
          <cell r="B52" t="str">
            <v>Auditoría Servicios Conexos (20250110018563)</v>
          </cell>
          <cell r="G52" t="str">
            <v>DIRECCIÓN DE RECURSOS FÍSICOS Y NEGOCIOS/
DIRECCIÓN DE SERVICIO AL CIUDADANO/
SUB GERENCIA DE PLANEACIÓN Y PROYECTOS/
DIRECCIÓN DE GESTIÓN FINANCIERA</v>
          </cell>
          <cell r="S52"/>
        </row>
        <row r="53">
          <cell r="A53" t="str">
            <v>PLAN DE MEJORAMIENTO VIGENCIA 2025</v>
          </cell>
          <cell r="B53" t="str">
            <v>Auditoría Servicios Conexos (20250110018563)</v>
          </cell>
          <cell r="G53" t="str">
            <v>DIRECCIÓN DE RECURSOS TECNOLÓGICOS</v>
          </cell>
          <cell r="S53"/>
        </row>
        <row r="54">
          <cell r="A54" t="str">
            <v>PLAN DE MEJORAMIENTO VIGENCIA 2025</v>
          </cell>
          <cell r="B54" t="str">
            <v>Auditoría Servicios Conexos (20250110018563)</v>
          </cell>
          <cell r="G54" t="str">
            <v>DIRECCIÓN DE SERVICIO AL CIUDADANO</v>
          </cell>
          <cell r="S54">
            <v>46079</v>
          </cell>
        </row>
        <row r="55">
          <cell r="A55" t="str">
            <v>PLAN DE MEJORAMIENTO VIGENCIA 2025</v>
          </cell>
          <cell r="B55" t="str">
            <v>Auditoría Servicios Conexos (20250110018563)</v>
          </cell>
          <cell r="G55" t="str">
            <v>DIRECCIÓN DE SERVICIO AL CIUDADANO</v>
          </cell>
          <cell r="S55"/>
        </row>
        <row r="56">
          <cell r="A56" t="str">
            <v>PLAN DE MEJORAMIENTO VIGENCIA 2025</v>
          </cell>
          <cell r="B56" t="str">
            <v>Auditoría Servicios Conexos (20250110018563)</v>
          </cell>
          <cell r="G56" t="str">
            <v>DIRECCIÓN DE SERVICIO AL CIUDADANO</v>
          </cell>
          <cell r="S56"/>
        </row>
        <row r="57">
          <cell r="A57" t="str">
            <v>PLAN DE MEJORAMIENTO VIGENCIA 2025</v>
          </cell>
          <cell r="B57" t="str">
            <v>Auditoría Servicios Conexos (20250110018563)</v>
          </cell>
          <cell r="G57" t="str">
            <v>DIRECCIÓN DE SERVICIO AL CIUDADANO</v>
          </cell>
          <cell r="S57"/>
        </row>
        <row r="58">
          <cell r="A58" t="str">
            <v>PLAN DE MEJORAMIENTO VIGENCIA 2025</v>
          </cell>
          <cell r="B58" t="str">
            <v>Auditoría Servicios Conexos (20250110018563)</v>
          </cell>
          <cell r="G58" t="str">
            <v>DIRECCIÓN DE SERVICIO AL CIUDADANO</v>
          </cell>
          <cell r="S58"/>
        </row>
        <row r="59">
          <cell r="A59" t="str">
            <v>PLAN DE MEJORAMIENTO VIGENCIA 2025</v>
          </cell>
          <cell r="B59" t="str">
            <v>Auditoría Servicios Conexos (20250110018563)</v>
          </cell>
          <cell r="G59" t="str">
            <v>DIRECCIÓN DE SERVICIO AL CIUDADANO</v>
          </cell>
          <cell r="S59"/>
        </row>
        <row r="60">
          <cell r="A60" t="str">
            <v>PLAN DE MEJORAMIENTO VIGENCIA 2025</v>
          </cell>
          <cell r="B60" t="str">
            <v>Auditoría Servicios Conexos (20250110018563)</v>
          </cell>
          <cell r="G60" t="str">
            <v>DIRECCIÓN DE SERVICIO AL CIUDADANO</v>
          </cell>
          <cell r="S60"/>
        </row>
        <row r="61">
          <cell r="A61" t="str">
            <v>PLAN DE MEJORAMIENTO VIGENCIA 2025</v>
          </cell>
          <cell r="B61" t="str">
            <v>Auditoría Servicios Conexos (20250110018563)</v>
          </cell>
          <cell r="G61" t="str">
            <v>SUB GERENCIA CORPORATIVA/
SUB GERENCIA DE PLANEACIÓN Y PROYECTOS</v>
          </cell>
          <cell r="S61"/>
        </row>
        <row r="62">
          <cell r="A62" t="str">
            <v>PLAN DE MEJORAMIENTO VIGENCIA 2025</v>
          </cell>
          <cell r="B62" t="str">
            <v>Auditoría Servicios Conexos (20250110018563)</v>
          </cell>
          <cell r="G62" t="str">
            <v>SUB GERENCIA DE PLANEACIÓN Y PROYECTOS</v>
          </cell>
          <cell r="S62"/>
        </row>
        <row r="63">
          <cell r="A63" t="str">
            <v>PLAN DE MEJORAMIENTO VIGENCIA 2025</v>
          </cell>
          <cell r="B63" t="str">
            <v>Auditoría Servicios Conexos (20250110018563)</v>
          </cell>
          <cell r="G63" t="str">
            <v>SUB GERENCIA DE PLANEACIÓN Y PROYECTOS</v>
          </cell>
          <cell r="S63">
            <v>46032</v>
          </cell>
        </row>
        <row r="64">
          <cell r="A64" t="str">
            <v>PLAN DE MEJORAMIENTO VIGENCIA 2025</v>
          </cell>
          <cell r="B64" t="str">
            <v>Auditoría Servicios Conexos (20250110018563)</v>
          </cell>
          <cell r="G64" t="str">
            <v>SUB GERENCIA DE PLANEACIÓN Y PROYECTOS</v>
          </cell>
          <cell r="S64">
            <v>46052</v>
          </cell>
        </row>
        <row r="65">
          <cell r="A65" t="str">
            <v>PLAN DE MEJORAMIENTO VIGENCIA 2025</v>
          </cell>
          <cell r="B65" t="str">
            <v>Auditoría al Programa de Seguridad Vial (20250110031663)</v>
          </cell>
          <cell r="G65" t="str">
            <v>DIRECCIÓN DE SERVICIO AL TRANSPORTADOR</v>
          </cell>
          <cell r="S65"/>
        </row>
        <row r="66">
          <cell r="A66" t="str">
            <v>PLAN DE MEJORAMIENTO VIGENCIA 2025</v>
          </cell>
          <cell r="B66" t="str">
            <v>Auditoría al Programa de Seguridad Vial (20250110031663)</v>
          </cell>
          <cell r="G66" t="str">
            <v>SUB GERENCIA DE SERVICIOS OPERACIONALES E INFRAESTRUCTURA</v>
          </cell>
          <cell r="S66"/>
        </row>
        <row r="67">
          <cell r="A67" t="str">
            <v>PLAN DE MEJORAMIENTO VIGENCIA 2025</v>
          </cell>
          <cell r="B67" t="str">
            <v>Auditoría al Programa de Seguridad Vial (20250110031663)</v>
          </cell>
          <cell r="G67" t="str">
            <v>DIRECCIÓN DE RECURSOS TECNOLÓGICOS</v>
          </cell>
          <cell r="S67"/>
        </row>
        <row r="68">
          <cell r="A68" t="str">
            <v>PLAN DE MEJORAMIENTO VIGENCIA 2025</v>
          </cell>
          <cell r="B68" t="str">
            <v>Auditoría al Programa de Seguridad Vial (20250110031663)</v>
          </cell>
          <cell r="G68" t="str">
            <v>SUB GERENCIA DE SERVICIOS OPERACIONALES E INFRAESTRUCTURA</v>
          </cell>
          <cell r="S68"/>
        </row>
        <row r="69">
          <cell r="A69" t="str">
            <v>PLAN DE MEJORAMIENTO VIGENCIA 2025</v>
          </cell>
          <cell r="B69" t="str">
            <v>Auditoría al Programa de Seguridad Vial (20250110031663)</v>
          </cell>
          <cell r="G69" t="str">
            <v>SUB GERENCIA DE SERVICIOS OPERACIONALES E INFRAESTRUCTURA/
DIRECCIÓN DE RECURSOS TECNOLÓGICOS</v>
          </cell>
          <cell r="S69">
            <v>46053</v>
          </cell>
        </row>
        <row r="70">
          <cell r="A70" t="str">
            <v>PLAN DE MEJORAMIENTO VIGENCIA 2025</v>
          </cell>
          <cell r="B70" t="str">
            <v>Auditoría al Programa de Seguridad Vial (20250110031663)</v>
          </cell>
          <cell r="G70" t="str">
            <v>SUB GERENCIA DE SERVICIOS OPERACIONALES E INFRAESTRUCTURA/
DIRECCIÓN DE SERVICIO AL TRANSPORTADOR</v>
          </cell>
          <cell r="S70">
            <v>46053</v>
          </cell>
        </row>
        <row r="71">
          <cell r="A71" t="str">
            <v>PLAN DE MEJORAMIENTO VIGENCIA 2025</v>
          </cell>
          <cell r="B71" t="str">
            <v>Auditoría al Programa de Seguridad Vial (20250110031663)</v>
          </cell>
          <cell r="G71" t="str">
            <v>DIRECCIÓN DE SERVICIO AL TRANSPORTADOR</v>
          </cell>
          <cell r="S71">
            <v>46053</v>
          </cell>
        </row>
        <row r="72">
          <cell r="A72" t="str">
            <v>PLAN DE MEJORAMIENTO VIGENCIA 2025</v>
          </cell>
          <cell r="B72" t="str">
            <v>Auditoría al Programa de Seguridad Vial (20250110031663)</v>
          </cell>
          <cell r="G72" t="str">
            <v>DIRECCIÓN DE SERVICIO AL TRANSPORTADOR</v>
          </cell>
          <cell r="S72"/>
        </row>
        <row r="73">
          <cell r="A73" t="str">
            <v>PLAN DE MEJORAMIENTO VIGENCIA 2025</v>
          </cell>
          <cell r="B73" t="str">
            <v>Auditoría al Programa de Seguridad Vial (20250110031663)</v>
          </cell>
          <cell r="G73" t="str">
            <v>SUB GERENCIA DE SERVICIOS OPERACIONALES E INFRAESTRUCTURA</v>
          </cell>
          <cell r="S73"/>
        </row>
        <row r="74">
          <cell r="A74" t="str">
            <v>PLAN DE MEJORAMIENTO VIGENCIA 2025</v>
          </cell>
          <cell r="B74" t="str">
            <v>Auditoría al Programa de Seguridad Vial (20250110031663)</v>
          </cell>
          <cell r="G74" t="str">
            <v>SUB GERENCIA DE SERVICIOS OPERACIONALES E INFRAESTRUCTURA/
DIRECCIÓN DE RECURSOS TECNOLÓGICOS</v>
          </cell>
          <cell r="S74">
            <v>46053</v>
          </cell>
        </row>
        <row r="75">
          <cell r="A75" t="str">
            <v>PLAN DE MEJORAMIENTO VIGENCIA 2025</v>
          </cell>
          <cell r="B75" t="str">
            <v>Auditoría al Programa de Seguridad Vial (20250110031663)</v>
          </cell>
          <cell r="G75" t="str">
            <v>DIRECCIÓN DE RECURSOS TECNOLÓGICOS</v>
          </cell>
          <cell r="S75">
            <v>46025</v>
          </cell>
        </row>
        <row r="76">
          <cell r="A76" t="str">
            <v>PLAN DE MEJORAMIENTO VIGENCIA 2025</v>
          </cell>
          <cell r="B76" t="str">
            <v>Auditoría al Programa de Seguridad Vial (20250110031663)</v>
          </cell>
          <cell r="G76" t="str">
            <v>DIRECCIÓN DE SERVICIO AL TRANSPORTADOR</v>
          </cell>
          <cell r="S76">
            <v>46053</v>
          </cell>
        </row>
        <row r="77">
          <cell r="A77" t="str">
            <v>PLAN DE MEJORAMIENTO VIGENCIA 2025</v>
          </cell>
          <cell r="B77" t="str">
            <v>Auditoría – Índice de Transparencia y Acceso a la Información –ITA (20250110033183)</v>
          </cell>
          <cell r="G77" t="str">
            <v>OFICINA DE COMUNICACIONES</v>
          </cell>
          <cell r="S77"/>
        </row>
        <row r="78">
          <cell r="A78" t="str">
            <v>PLAN DE MEJORAMIENTO VIGENCIA 2025</v>
          </cell>
          <cell r="B78" t="str">
            <v>Auditoría – Índice de Transparencia y Acceso a la Información –ITA (20250110033183)</v>
          </cell>
          <cell r="G78" t="str">
            <v>OFICINA DE COMUNICACIONES</v>
          </cell>
          <cell r="S78"/>
        </row>
        <row r="79">
          <cell r="A79" t="str">
            <v>PLAN DE MEJORAMIENTO VIGENCIA 2025</v>
          </cell>
          <cell r="B79" t="str">
            <v>Auditoría – Índice de Transparencia y Acceso a la Información –ITA (20250110033183)</v>
          </cell>
          <cell r="G79" t="str">
            <v>OFICINA DE COMUNICACIONES</v>
          </cell>
          <cell r="S79"/>
        </row>
        <row r="80">
          <cell r="A80" t="str">
            <v>PLAN DE MEJORAMIENTO VIGENCIA 2025</v>
          </cell>
          <cell r="B80" t="str">
            <v>Auditoría – Índice de Transparencia y Acceso a la Información –ITA (20250110033183)</v>
          </cell>
          <cell r="G80" t="str">
            <v>OFICINA DE COMUNICACIONES</v>
          </cell>
          <cell r="S80"/>
        </row>
        <row r="81">
          <cell r="A81" t="str">
            <v>PLAN DE MEJORAMIENTO VIGENCIA 2025</v>
          </cell>
          <cell r="B81" t="str">
            <v>Auditoría – Índice de Transparencia y Acceso a la Información –ITA (20250110033183)</v>
          </cell>
          <cell r="G81" t="str">
            <v>SUB GERENCIA DE PLANEACIÓN Y PROYECTOS</v>
          </cell>
          <cell r="S81">
            <v>46129</v>
          </cell>
        </row>
        <row r="82">
          <cell r="A82" t="str">
            <v>PLAN DE MEJORAMIENTO VIGENCIA 2025</v>
          </cell>
          <cell r="B82" t="str">
            <v>Auditoría – Índice de Transparencia y Acceso a la Información –ITA (20250110033183)</v>
          </cell>
          <cell r="G82" t="str">
            <v>SUB GERENCIA DE PLANEACIÓN Y PROYECTOS</v>
          </cell>
          <cell r="S82"/>
        </row>
        <row r="83">
          <cell r="A83" t="str">
            <v>PLAN DE MEJORAMIENTO VIGENCIA 2025</v>
          </cell>
          <cell r="B83" t="str">
            <v>Operativos de Control Externo (20250110018323)</v>
          </cell>
          <cell r="G83" t="str">
            <v>DIRECCIÓN DE SERVICIO AL TRANSPORTADOR</v>
          </cell>
          <cell r="S83"/>
        </row>
        <row r="84">
          <cell r="A84" t="str">
            <v>PLAN DE MEJORAMIENTO VIGENCIA 2025</v>
          </cell>
          <cell r="B84" t="str">
            <v>Operativos de Control Externo (20250110018323)</v>
          </cell>
          <cell r="G84" t="str">
            <v>DIRECCIÓN DE SERVICIO AL TRANSPORTADOR</v>
          </cell>
          <cell r="S84"/>
        </row>
        <row r="85">
          <cell r="A85" t="str">
            <v>PLAN DE MEJORAMIENTO VIGENCIA 2025</v>
          </cell>
          <cell r="B85" t="str">
            <v>Operativos de Control Externo (20250110018323)</v>
          </cell>
          <cell r="G85" t="str">
            <v>DIRECCIÓN DE SERVICIO AL TRANSPORTADOR</v>
          </cell>
          <cell r="S85"/>
        </row>
        <row r="86">
          <cell r="A86" t="str">
            <v>PLAN DE MEJORAMIENTO VIGENCIA 2025</v>
          </cell>
          <cell r="B86" t="str">
            <v>Operativos de Control Externo (20250110018323)</v>
          </cell>
          <cell r="G86" t="str">
            <v>DIRECCIÓN DE SERVICIO AL TRANSPORTADOR</v>
          </cell>
          <cell r="S86"/>
        </row>
        <row r="87">
          <cell r="A87" t="str">
            <v>PLAN DE MEJORAMIENTO VIGENCIA 2025</v>
          </cell>
          <cell r="B87" t="str">
            <v>Operativos de Control Externo (20250110018323)</v>
          </cell>
          <cell r="G87" t="str">
            <v>DIRECCIÓN DE SERVICIO AL TRANSPORTADOR</v>
          </cell>
          <cell r="S87"/>
        </row>
        <row r="88">
          <cell r="A88" t="str">
            <v>PLAN DE MEJORAMIENTO VIGENCIA 2025</v>
          </cell>
          <cell r="B88" t="str">
            <v>Operativos de Control Externo (20250110018323)</v>
          </cell>
          <cell r="G88" t="str">
            <v>DIRECCIÓN DE SERVICIO AL TRANSPORTADOR</v>
          </cell>
          <cell r="S88"/>
        </row>
        <row r="89">
          <cell r="A89" t="str">
            <v>PLAN DE MEJORAMIENTO VIGENCIA 2025</v>
          </cell>
          <cell r="B89" t="str">
            <v>Operativos de Control Externo (20250110018323)</v>
          </cell>
          <cell r="G89" t="str">
            <v>DIRECCIÓN DE SERVICIO AL TRANSPORTADOR</v>
          </cell>
          <cell r="S89"/>
        </row>
        <row r="90">
          <cell r="A90" t="str">
            <v>PLAN DE MEJORAMIENTO VIGENCIA 2025</v>
          </cell>
          <cell r="B90" t="str">
            <v>Operativos de Control Externo (20250110018323)</v>
          </cell>
          <cell r="G90" t="str">
            <v>DIRECCIÓN DE SERVICIO AL TRANSPORTADOR</v>
          </cell>
          <cell r="S90"/>
        </row>
        <row r="91">
          <cell r="A91" t="str">
            <v>PLAN DE MEJORAMIENTO VIGENCIA 2025</v>
          </cell>
          <cell r="B91" t="str">
            <v>Servicio al Ciudadano (20250110042183)</v>
          </cell>
          <cell r="G91" t="str">
            <v>DIRECCIÓN DE SERVICIO AL CIUDADANO</v>
          </cell>
          <cell r="S91">
            <v>46063</v>
          </cell>
        </row>
        <row r="92">
          <cell r="A92" t="str">
            <v>PLAN DE MEJORAMIENTO VIGENCIA 2025</v>
          </cell>
          <cell r="B92" t="str">
            <v>Servicio al Ciudadano (20250110042183)</v>
          </cell>
          <cell r="G92" t="str">
            <v>DIRECCIÓN DE SERVICIO AL CIUDADANO</v>
          </cell>
          <cell r="S92">
            <v>46081</v>
          </cell>
        </row>
        <row r="93">
          <cell r="A93" t="str">
            <v>PLAN DE MEJORAMIENTO VIGENCIA 2025</v>
          </cell>
          <cell r="B93" t="str">
            <v>Servicio al Ciudadano (20250110042183)</v>
          </cell>
          <cell r="G93" t="str">
            <v>DIRECCIÓN DE SERVICIO AL CIUDADANO/
SUB GERENCIA DE PLANEACIÓN Y PROYECTOS</v>
          </cell>
          <cell r="S93"/>
        </row>
        <row r="94">
          <cell r="A94" t="str">
            <v>PLAN DE MEJORAMIENTO VIGENCIA 2025</v>
          </cell>
          <cell r="B94" t="str">
            <v>Servicio al Ciudadano (20250110042183)</v>
          </cell>
          <cell r="G94" t="str">
            <v>DIRECCIÓN DE SERVICIO AL CIUDADANO/
SUB GERENCIA DE PLANEACIÓN Y PROYECTOS</v>
          </cell>
          <cell r="S94">
            <v>46178</v>
          </cell>
        </row>
        <row r="95">
          <cell r="A95" t="str">
            <v>PLAN DE MEJORAMIENTO VIGENCIA 2025</v>
          </cell>
          <cell r="B95" t="str">
            <v>Servicio al Ciudadano (20250110042183)</v>
          </cell>
          <cell r="G95" t="str">
            <v>DIRECCIÓN DE SERVICIO AL CIUDADANO</v>
          </cell>
          <cell r="S95">
            <v>46142</v>
          </cell>
        </row>
        <row r="96">
          <cell r="A96" t="str">
            <v>PLAN DE MEJORAMIENTO VIGENCIA 2025</v>
          </cell>
          <cell r="B96" t="str">
            <v>Servicio al Ciudadano (20250110042183)</v>
          </cell>
          <cell r="G96" t="str">
            <v>DIRECCIÓN DE SERVICIO AL CIUDADANO</v>
          </cell>
          <cell r="S96">
            <v>46178</v>
          </cell>
        </row>
        <row r="97">
          <cell r="A97" t="str">
            <v>PLAN DE MEJORAMIENTO VIGENCIA 2025</v>
          </cell>
          <cell r="B97" t="str">
            <v>Servicio al Ciudadano (20250110042183)</v>
          </cell>
          <cell r="G97" t="str">
            <v>DIRECCIÓN DE SERVICIO AL CIUDADANO</v>
          </cell>
          <cell r="S97">
            <v>46178</v>
          </cell>
        </row>
        <row r="98">
          <cell r="A98" t="str">
            <v>PLAN DE MEJORAMIENTO VIGENCIA 2025</v>
          </cell>
          <cell r="B98" t="str">
            <v>Servicio al Ciudadano (20250110042183)</v>
          </cell>
          <cell r="G98" t="str">
            <v>DIRECCIÓN DE SERVICIO AL CIUDADANO</v>
          </cell>
          <cell r="S98"/>
        </row>
        <row r="99">
          <cell r="A99" t="str">
            <v>PLAN DE MEJORAMIENTO VIGENCIA 2025</v>
          </cell>
          <cell r="B99" t="str">
            <v>Servicio al Ciudadano (20250110042183)</v>
          </cell>
          <cell r="G99" t="str">
            <v>DIRECCIÓN DE SERVICIO AL CIUDADANO</v>
          </cell>
          <cell r="S99"/>
        </row>
        <row r="100">
          <cell r="A100" t="str">
            <v>PLAN DE MEJORAMIENTO VIGENCIA 2025</v>
          </cell>
          <cell r="B100" t="str">
            <v>Servicio al Ciudadano (20250110042183)</v>
          </cell>
          <cell r="G100" t="str">
            <v>DIRECCIÓN DE SERVICIO AL CIUDADANO</v>
          </cell>
          <cell r="S100">
            <v>46178</v>
          </cell>
        </row>
        <row r="101">
          <cell r="A101" t="str">
            <v>PLAN DE MEJORAMIENTO VIGENCIA 2025</v>
          </cell>
          <cell r="B101" t="str">
            <v>Servicio al Ciudadano (20250110042183)</v>
          </cell>
          <cell r="G101" t="str">
            <v>DIRECCIÓN DE SERVICIO AL CIUDADANO</v>
          </cell>
          <cell r="S101">
            <v>46178</v>
          </cell>
        </row>
        <row r="102">
          <cell r="A102" t="str">
            <v>PLAN DE MEJORAMIENTO VIGENCIA 2025</v>
          </cell>
          <cell r="B102" t="str">
            <v>Auditoría al Cierre del Almacén (20250110045533)</v>
          </cell>
          <cell r="G102" t="str">
            <v>SUB GERENCIA CORPORATIVA</v>
          </cell>
          <cell r="S102">
            <v>46178</v>
          </cell>
        </row>
        <row r="103">
          <cell r="A103" t="str">
            <v>PLAN DE MEJORAMIENTO VIGENCIA 2025</v>
          </cell>
          <cell r="B103" t="str">
            <v>Auditoría al Cierre del Almacén (20250110045533)</v>
          </cell>
          <cell r="G103" t="str">
            <v>SUB GERENCIA DE SERVICIOS OPERACIONALES E INFRAESTRUCTURA</v>
          </cell>
          <cell r="S103">
            <v>46178</v>
          </cell>
        </row>
        <row r="104">
          <cell r="A104" t="str">
            <v>PLAN DE MEJORAMIENTO VIGENCIA 2025</v>
          </cell>
          <cell r="B104" t="str">
            <v>Auditoría al Cierre del Almacén (20250110045533)</v>
          </cell>
          <cell r="G104" t="str">
            <v>SUB GERENCIA CORPORATIVA</v>
          </cell>
          <cell r="S104"/>
        </row>
        <row r="105">
          <cell r="A105" t="str">
            <v>PLAN DE MEJORAMIENTO VIGENCIA 2025</v>
          </cell>
          <cell r="B105" t="str">
            <v>Auditoría al Cierre del Almacén (20250110045533)</v>
          </cell>
          <cell r="G105" t="str">
            <v>SUB GERENCIA CORPORATIVA</v>
          </cell>
          <cell r="S105">
            <v>46304</v>
          </cell>
        </row>
        <row r="106">
          <cell r="A106" t="str">
            <v>PLAN DE MEJORAMIENTO VIGENCIA 2025</v>
          </cell>
          <cell r="B106" t="str">
            <v>Auditoría al Cierre del Almacén (20250110045533)</v>
          </cell>
          <cell r="G106" t="str">
            <v>SUB GERENCIA JURÍDICA</v>
          </cell>
          <cell r="S106"/>
        </row>
        <row r="107">
          <cell r="A107" t="str">
            <v>PLAN DE MEJORAMIENTO VIGENCIA 2025</v>
          </cell>
          <cell r="B107" t="str">
            <v>Auditoría al Cierre del Almacén (20250110045533)</v>
          </cell>
          <cell r="G107" t="str">
            <v>SUB GERENCIA JURÍDICA/
SUB GERENCIA CORPORATIVA/
SUB GERENCIA DE SERVICIOS OPERACIONALES E INFRAESTRUCTURA</v>
          </cell>
          <cell r="S107"/>
        </row>
        <row r="108">
          <cell r="A108" t="str">
            <v>PLAN DE MEJORAMIENTO VIGENCIA 2025</v>
          </cell>
          <cell r="B108" t="str">
            <v>Auditoría al Cierre del Almacén (20250110045533)</v>
          </cell>
          <cell r="G108" t="str">
            <v>SUB GERENCIA CORPORATIVA</v>
          </cell>
          <cell r="S108">
            <v>46304</v>
          </cell>
        </row>
        <row r="109">
          <cell r="A109" t="str">
            <v>PLAN DE MEJORAMIENTO VIGENCIA 2025</v>
          </cell>
          <cell r="B109" t="str">
            <v>Auditoría al Cierre del Almacén (20250110045533)</v>
          </cell>
          <cell r="G109" t="str">
            <v>SUB GERENCIA CORPORATIVA</v>
          </cell>
          <cell r="S109">
            <v>46178</v>
          </cell>
        </row>
        <row r="110">
          <cell r="A110" t="str">
            <v>PLAN DE MEJORAMIENTO VIGENCIA 2025</v>
          </cell>
          <cell r="B110" t="str">
            <v>Auditoría Gobierno Corporativo, Transparencia y Conflicto de Intereses (20250110041653)</v>
          </cell>
          <cell r="G110" t="str">
            <v>SUB GERENCIA DE PLANEACIÓN Y PROYECTOS</v>
          </cell>
          <cell r="S110">
            <v>46302</v>
          </cell>
        </row>
        <row r="111">
          <cell r="A111" t="str">
            <v>PLAN DE MEJORAMIENTO VIGENCIA 2025</v>
          </cell>
          <cell r="B111" t="str">
            <v>Auditoría Gobierno Corporativo, Transparencia y Conflicto de Intereses (20250110041653)</v>
          </cell>
          <cell r="G111" t="str">
            <v>SUB GERENCIA DE PLANEACIÓN Y PROYECTOS</v>
          </cell>
          <cell r="S111">
            <v>46302</v>
          </cell>
        </row>
        <row r="112">
          <cell r="A112" t="str">
            <v>PLAN DE MEJORAMIENTO VIGENCIA 2025</v>
          </cell>
          <cell r="B112" t="str">
            <v>Auditoría Gobierno Corporativo, Transparencia y Conflicto de Intereses (20250110041653)</v>
          </cell>
          <cell r="G112" t="str">
            <v>SUB GERENCIA DE PLANEACIÓN Y PROYECTOS</v>
          </cell>
          <cell r="S112">
            <v>46302</v>
          </cell>
        </row>
        <row r="113">
          <cell r="A113" t="str">
            <v>PLAN DE MEJORAMIENTO VIGENCIA 2025</v>
          </cell>
          <cell r="B113" t="str">
            <v>Auditoría Gobierno Corporativo, Transparencia y Conflicto de Intereses (20250110041653)</v>
          </cell>
          <cell r="G113" t="str">
            <v>SUB GERENCIA DE PLANEACIÓN Y PROYECTOS</v>
          </cell>
          <cell r="S113">
            <v>46302</v>
          </cell>
        </row>
        <row r="114">
          <cell r="A114" t="str">
            <v>PLAN DE MEJORAMIENTO VIGENCIA 2025</v>
          </cell>
          <cell r="B114" t="str">
            <v>Auditoría Gobierno Corporativo, Transparencia y Conflicto de Intereses (20250110041653)</v>
          </cell>
          <cell r="G114" t="str">
            <v>SUB GERENCIA DE PLANEACIÓN Y PROYECTOS</v>
          </cell>
          <cell r="S114">
            <v>46302</v>
          </cell>
        </row>
        <row r="115">
          <cell r="A115" t="str">
            <v>PLAN DE MEJORAMIENTO VIGENCIA 2025</v>
          </cell>
          <cell r="B115" t="str">
            <v>Auditoría Gobierno Corporativo, Transparencia y Conflicto de Intereses (20250110041653)</v>
          </cell>
          <cell r="G115" t="str">
            <v>SUB GERENCIA DE PLANEACIÓN Y PROYECTOS</v>
          </cell>
          <cell r="S115">
            <v>46302</v>
          </cell>
        </row>
        <row r="116">
          <cell r="A116" t="str">
            <v>PLAN DE MEJORAMIENTO VIGENCIA 2025</v>
          </cell>
          <cell r="B116" t="str">
            <v>Auditoría Gobierno Corporativo, Transparencia y Conflicto de Intereses (20250110041653)</v>
          </cell>
          <cell r="G116" t="str">
            <v>OFICIAL DE CUMPLIMIENTO/
DIRECCIÓN DE GESTIÓN HUMANA</v>
          </cell>
          <cell r="S116"/>
        </row>
        <row r="117">
          <cell r="A117" t="str">
            <v>PLAN DE MEJORAMIENTO VIGENCIA 2025</v>
          </cell>
          <cell r="B117" t="str">
            <v>Auditoría Gobierno Corporativo, Transparencia y Conflicto de Intereses (20250110041653)</v>
          </cell>
          <cell r="G117" t="str">
            <v>OFICIAL DE CUMPLIMIENTO/
DIRECCIÓN DE GESTIÓN HUMANA</v>
          </cell>
          <cell r="S117"/>
        </row>
        <row r="118">
          <cell r="A118" t="str">
            <v>PLAN DE MEJORAMIENTO VIGENCIA 2025</v>
          </cell>
          <cell r="B118" t="str">
            <v>Auditoría Gobierno Corporativo, Transparencia y Conflicto de Intereses (20250110041653)</v>
          </cell>
          <cell r="G118" t="str">
            <v>OFICIAL DE CUMPLIMIENTO/
DIRECCIÓN DE GESTIÓN HUMANA</v>
          </cell>
          <cell r="S118"/>
        </row>
        <row r="119">
          <cell r="A119" t="str">
            <v>PLAN DE MEJORAMIENTO VIGENCIA 2025</v>
          </cell>
          <cell r="B119" t="str">
            <v>Auditoría Gobierno Corporativo, Transparencia y Conflicto de Intereses (20250110041653)</v>
          </cell>
          <cell r="G119" t="str">
            <v>OFICIAL DE CUMPLIMIENTO/
DIRECCIÓN DE GESTIÓN HUMANA</v>
          </cell>
          <cell r="S119"/>
        </row>
        <row r="120">
          <cell r="A120" t="str">
            <v>PLAN DE MEJORAMIENTO VIGENCIA 2025</v>
          </cell>
          <cell r="B120" t="str">
            <v>Auditoría Gobierno Corporativo, Transparencia y Conflicto de Intereses (20250110041653)</v>
          </cell>
          <cell r="G120" t="str">
            <v>DIRECCIÓN DE GESTIÓN HUMANA</v>
          </cell>
          <cell r="S120"/>
        </row>
        <row r="121">
          <cell r="A121" t="str">
            <v>PLAN DE MEJORAMIENTO VIGENCIA 2025</v>
          </cell>
          <cell r="B121" t="str">
            <v>Auditoría Gobierno Corporativo, Transparencia y Conflicto de Intereses (20250110041653)</v>
          </cell>
          <cell r="G121" t="str">
            <v>DIRECCIÓN DE GESTIÓN HUMANA</v>
          </cell>
          <cell r="S121"/>
        </row>
        <row r="122">
          <cell r="A122" t="str">
            <v>PLAN DE MEJORAMIENTO VIGENCIA 2025</v>
          </cell>
          <cell r="B122" t="str">
            <v>Auditoría Gobierno Corporativo, Transparencia y Conflicto de Intereses (20250110041653)</v>
          </cell>
          <cell r="G122" t="str">
            <v>DIRECCIÓN DE GESTIÓN HUMANA</v>
          </cell>
          <cell r="S122"/>
        </row>
        <row r="123">
          <cell r="A123" t="str">
            <v>PLAN DE MEJORAMIENTO VIGENCIA 2025</v>
          </cell>
          <cell r="B123" t="str">
            <v>Auditoría Gobierno Corporativo, Transparencia y Conflicto de Intereses (20250110041653)</v>
          </cell>
          <cell r="G123" t="str">
            <v>DIRECCIÓN DE GESTIÓN HUMANA</v>
          </cell>
          <cell r="S123"/>
        </row>
        <row r="124">
          <cell r="A124" t="str">
            <v>PLAN DE MEJORAMIENTO VIGENCIA 2025</v>
          </cell>
          <cell r="B124" t="str">
            <v>Auditoría Gobierno Corporativo, Transparencia y Conflicto de Intereses (20250110041653)</v>
          </cell>
          <cell r="G124" t="str">
            <v>DIRECCIÓN DE GESTIÓN HUMANA</v>
          </cell>
          <cell r="S124"/>
        </row>
        <row r="125">
          <cell r="A125" t="str">
            <v>PLAN DE MEJORAMIENTO VIGENCIA 2025</v>
          </cell>
          <cell r="B125" t="str">
            <v>Auditoría Gobierno Corporativo, Transparencia y Conflicto de Intereses (20250110041653)</v>
          </cell>
          <cell r="G125" t="str">
            <v>SUB GERENCIA JURÍDICA/
SUB GERENCIA DE PLANEACIÓN Y PROYECTOS</v>
          </cell>
          <cell r="S125"/>
        </row>
        <row r="126">
          <cell r="A126" t="str">
            <v>PLAN DE MEJORAMIENTO VIGENCIA 2025</v>
          </cell>
          <cell r="B126" t="str">
            <v>Auditoría Gobierno Corporativo, Transparencia y Conflicto de Intereses (20250110041653)</v>
          </cell>
          <cell r="G126" t="str">
            <v>SUB GERENCIA JURÍDICA/
SUB GERENCIA DE PLANEACIÓN Y PROYECTOS</v>
          </cell>
          <cell r="S126"/>
        </row>
        <row r="127">
          <cell r="A127" t="str">
            <v>PLAN DE MEJORAMIENTO VIGENCIA 2025</v>
          </cell>
          <cell r="B127" t="str">
            <v>Auditoría Gobierno Corporativo, Transparencia y Conflicto de Intereses (20250110041653)</v>
          </cell>
          <cell r="G127" t="str">
            <v>SUB GERENCIA JURÍDICA/
SUB GERENCIA DE PLANEACIÓN Y PROYECTOS</v>
          </cell>
          <cell r="S127"/>
        </row>
        <row r="128">
          <cell r="A128" t="str">
            <v>PLAN DE MEJORAMIENTO VIGENCIA 2025</v>
          </cell>
          <cell r="B128" t="str">
            <v>Auditoría AIU - Temporales (20250110024753)</v>
          </cell>
          <cell r="G128" t="str">
            <v>SUB GERENCIA CORPORATIVA</v>
          </cell>
          <cell r="S128"/>
        </row>
        <row r="129">
          <cell r="A129" t="str">
            <v>PLAN DE MEJORAMIENTO VIGENCIA 2025</v>
          </cell>
          <cell r="B129" t="str">
            <v>Auditoría AIU - Temporales (20250110024753)</v>
          </cell>
          <cell r="G129" t="str">
            <v>DIRECCIÓN DE GESTIÓN HUMANA</v>
          </cell>
          <cell r="S129"/>
        </row>
        <row r="130">
          <cell r="A130" t="str">
            <v>PLAN DE MEJORAMIENTO VIGENCIA 2025</v>
          </cell>
          <cell r="B130" t="str">
            <v>Auditoría AIU - Temporales (20250110024753)</v>
          </cell>
          <cell r="G130" t="str">
            <v>DIRECCIÓN DE GESTIÓN HUMANA</v>
          </cell>
          <cell r="S130"/>
        </row>
        <row r="131">
          <cell r="A131" t="str">
            <v>PLAN DE MEJORAMIENTO VIGENCIA 2025</v>
          </cell>
          <cell r="B131" t="str">
            <v>Auditoría AIU - Temporales (20250110024753)</v>
          </cell>
          <cell r="G131" t="str">
            <v>SUB GERENCIA JURÍDICA</v>
          </cell>
          <cell r="S131">
            <v>46118</v>
          </cell>
        </row>
        <row r="132">
          <cell r="A132" t="str">
            <v>PLAN DE MEJORAMIENTO VIGENCIA 2025</v>
          </cell>
          <cell r="B132" t="str">
            <v>Auditoría Evaluación al Ambiente de TI (20250110045483)</v>
          </cell>
          <cell r="G132" t="str">
            <v>DIRECCIÓN DE RECURSOS TECNOLÓGICOS</v>
          </cell>
          <cell r="S132"/>
        </row>
        <row r="133">
          <cell r="A133" t="str">
            <v>PLAN DE MEJORAMIENTO VIGENCIA 2025</v>
          </cell>
          <cell r="B133" t="str">
            <v>Auditoría Evaluación al Ambiente de TI (20250110045483)</v>
          </cell>
          <cell r="G133" t="str">
            <v>DIRECCIÓN DE RECURSOS TECNOLÓGICOS</v>
          </cell>
          <cell r="S133"/>
        </row>
        <row r="134">
          <cell r="A134" t="str">
            <v>PLAN DE MEJORAMIENTO VIGENCIA 2025</v>
          </cell>
          <cell r="B134" t="str">
            <v>Auditoría Evaluación al Ambiente de TI (20250110045483)</v>
          </cell>
          <cell r="G134" t="str">
            <v>DIRECCIÓN DE RECURSOS TECNOLÓGICOS</v>
          </cell>
          <cell r="S134"/>
        </row>
        <row r="135">
          <cell r="A135" t="str">
            <v>PLAN DE MEJORAMIENTO VIGENCIA 2025</v>
          </cell>
          <cell r="B135" t="str">
            <v>Auditoría Evaluación al Ambiente de TI (20250110045483)</v>
          </cell>
          <cell r="G135" t="str">
            <v>DIRECCIÓN DE RECURSOS TECNOLÓGICOS</v>
          </cell>
          <cell r="S135"/>
        </row>
        <row r="136">
          <cell r="A136" t="str">
            <v>PLAN DE MEJORAMIENTO VIGENCIA 2025</v>
          </cell>
          <cell r="B136" t="str">
            <v>Auditoría Evaluación al Ambiente de TI (20250110045483)</v>
          </cell>
          <cell r="G136" t="str">
            <v>DIRECCIÓN DE RECURSOS TECNOLÓGICOS</v>
          </cell>
          <cell r="S136"/>
        </row>
        <row r="137">
          <cell r="A137" t="str">
            <v>PLAN DE MEJORAMIENTO VIGENCIA 2025</v>
          </cell>
          <cell r="B137" t="str">
            <v>Auditoría – Investigación Interna – Queja recibida de la Oficina de Control Interno de la Secretaría Distrital de Movilidad (20250110037763)</v>
          </cell>
          <cell r="G137" t="str">
            <v>SUB GERENCIA CORPORATIVA</v>
          </cell>
          <cell r="S137"/>
        </row>
        <row r="138">
          <cell r="A138" t="str">
            <v>PLAN DE MEJORAMIENTO VIGENCIA 2025</v>
          </cell>
          <cell r="B138" t="str">
            <v>Auditoría – Investigación Interna – Queja recibida de la Oficina de Control Interno de la Secretaría Distrital de Movilidad (20250110037763)</v>
          </cell>
          <cell r="G138" t="str">
            <v>SUB GERENCIA CORPORATIVA</v>
          </cell>
          <cell r="S138"/>
        </row>
        <row r="139">
          <cell r="A139" t="str">
            <v>PLAN DE MEJORAMIENTO VIGENCIA 2025</v>
          </cell>
          <cell r="B139" t="str">
            <v>Auditoría – Investigación Interna – Queja recibida de la Oficina de Control Interno de la Secretaría Distrital de Movilidad (20250110037763)</v>
          </cell>
          <cell r="G139" t="str">
            <v>SUB GERENCIA JURÍDICA</v>
          </cell>
          <cell r="S139"/>
        </row>
        <row r="140">
          <cell r="A140" t="str">
            <v>PLAN DE MEJORAMIENTO VIGENCIA 2025</v>
          </cell>
          <cell r="B140" t="str">
            <v>Seguimiento al Derecho de Petición
radicado 20250310114332</v>
          </cell>
          <cell r="G140" t="str">
            <v>DIRECCIÓN DE RECURSOS FÍSICOS Y NEGOCIOS</v>
          </cell>
          <cell r="S140">
            <v>46052</v>
          </cell>
        </row>
        <row r="141">
          <cell r="A141" t="str">
            <v>PLAN DE MEJORAMIENTO VIGENCIA 2025</v>
          </cell>
          <cell r="B141" t="str">
            <v>Seguimiento al Derecho de Petición
radicado 20250310114332</v>
          </cell>
          <cell r="G141" t="str">
            <v>DIRECCIÓN DE RECURSOS FÍSICOS Y NEGOCIOS</v>
          </cell>
          <cell r="S141">
            <v>46052</v>
          </cell>
        </row>
        <row r="142">
          <cell r="A142" t="str">
            <v>PLAN DE MEJORAMIENTO VIGENCIA 2025</v>
          </cell>
          <cell r="B142" t="str">
            <v>Informe de Auditoría al Proceso Gestión de Parqueaderos en Vía (ZPP) 20260110007943</v>
          </cell>
          <cell r="G142" t="str">
            <v>SUB GERENCIA DE SERVICIOS OPERACIONALES E INFRAESTRUCTURA</v>
          </cell>
          <cell r="S142">
            <v>46203</v>
          </cell>
        </row>
        <row r="143">
          <cell r="A143" t="str">
            <v>PLAN DE MEJORAMIENTO VIGENCIA 2025</v>
          </cell>
          <cell r="B143" t="str">
            <v>Informe de Auditoría al Proceso Gestión de Parqueaderos en Vía (ZPP) 20260110007943</v>
          </cell>
          <cell r="G143" t="str">
            <v>SUB GERENCIA DE SERVICIOS OPERACIONALES E INFRAESTRUCTURA</v>
          </cell>
          <cell r="S143">
            <v>46203</v>
          </cell>
        </row>
        <row r="144">
          <cell r="A144" t="str">
            <v>PLAN DE MEJORAMIENTO VIGENCIA 2025</v>
          </cell>
          <cell r="B144" t="str">
            <v>Informe de Auditoría al Proceso Gestión de Parqueaderos en Vía (ZPP) 20260110007943</v>
          </cell>
          <cell r="G144" t="str">
            <v>SUB GERENCIA DE SERVICIOS OPERACIONALES E INFRAESTRUCTURA</v>
          </cell>
          <cell r="S144"/>
        </row>
        <row r="145">
          <cell r="A145" t="str">
            <v>PLAN DE MEJORAMIENTO VIGENCIA 2025</v>
          </cell>
          <cell r="B145" t="str">
            <v>Informe de Auditoría al Proceso Gestión de Parqueaderos en Vía (ZPP) 20260110007943</v>
          </cell>
          <cell r="G145" t="str">
            <v>SUB GERENCIA DE SERVICIOS OPERACIONALES E INFRAESTRUCTURA</v>
          </cell>
          <cell r="S145">
            <v>46203</v>
          </cell>
        </row>
        <row r="146">
          <cell r="A146" t="str">
            <v>PLAN DE MEJORAMIENTO VIGENCIA 2025</v>
          </cell>
          <cell r="B146" t="str">
            <v>Informe de Auditoría al Proceso Gestión de Parqueaderos en Vía (ZPP) 20260110007943</v>
          </cell>
          <cell r="G146" t="str">
            <v>SUB GERENCIA DE SERVICIOS OPERACIONALES E INFRAESTRUCTURA</v>
          </cell>
          <cell r="S146">
            <v>46203</v>
          </cell>
        </row>
        <row r="147">
          <cell r="A147" t="str">
            <v>PLAN DE MEJORAMIENTO VIGENCIA 2025</v>
          </cell>
          <cell r="B147" t="str">
            <v>Informe de Auditoría al Proceso Gestión de Parqueaderos en Vía (ZPP) 20260110007943</v>
          </cell>
          <cell r="G147" t="str">
            <v>SUB GERENCIA DE SERVICIOS OPERACIONALES E INFRAESTRUCTURA</v>
          </cell>
          <cell r="S147"/>
        </row>
        <row r="148">
          <cell r="A148" t="str">
            <v>PLAN DE MEJORAMIENTO VIGENCIA 2025</v>
          </cell>
          <cell r="B148" t="str">
            <v>Auditoría – Proceso de Contratación, Supervisión e Interventoría 20261200015083</v>
          </cell>
          <cell r="G148" t="str">
            <v>DIRECCIÓN DE GESTIÓN HUMANA</v>
          </cell>
          <cell r="S148"/>
        </row>
        <row r="149">
          <cell r="A149" t="str">
            <v>PLAN DE MEJORAMIENTO VIGENCIA 2025</v>
          </cell>
          <cell r="B149" t="str">
            <v>Auditoría – Proceso de Contratación, Supervisión e Interventoría 20261200015083</v>
          </cell>
          <cell r="G149" t="str">
            <v>DIRECCIÓN DE SEGURIDAD OPERACIONAL</v>
          </cell>
          <cell r="S149">
            <v>46161</v>
          </cell>
        </row>
        <row r="150">
          <cell r="A150" t="str">
            <v>PLAN DE MEJORAMIENTO VIGENCIA 2025</v>
          </cell>
          <cell r="B150" t="str">
            <v>Auditoría – Proceso de Contratación, Supervisión e Interventoría 20261200015083</v>
          </cell>
          <cell r="G150" t="str">
            <v>DIRECCIÓN DE RECURSOS FÍSICOS Y NEGOCIOS</v>
          </cell>
          <cell r="S150"/>
        </row>
        <row r="151">
          <cell r="A151" t="str">
            <v>PLAN DE MEJORAMIENTO VIGENCIA 2025</v>
          </cell>
          <cell r="B151" t="str">
            <v>Auditoría – Proceso de Contratación, Supervisión e Interventoría 20261200015083</v>
          </cell>
          <cell r="G151" t="str">
            <v>DIRECCIÓN DE GESTIÓN HUMANA</v>
          </cell>
          <cell r="S151"/>
        </row>
        <row r="152">
          <cell r="A152" t="str">
            <v>PLAN DE MEJORAMIENTO VIGENCIA 2026</v>
          </cell>
          <cell r="B152" t="str">
            <v xml:space="preserve">Migración de datos a la nube 20261200022073 </v>
          </cell>
          <cell r="G152" t="str">
            <v>DIRECCIÓN DE RECURSOS TECNOLÓGICOS</v>
          </cell>
          <cell r="S152"/>
        </row>
        <row r="153">
          <cell r="A153" t="str">
            <v>PLAN DE MEJORAMIENTO VIGENCIA 2026</v>
          </cell>
          <cell r="B153" t="str">
            <v xml:space="preserve">Migración de datos a la nube 20261200022073 </v>
          </cell>
          <cell r="G153" t="str">
            <v>DIRECCIÓN DE RECURSOS TECNOLÓGICOS</v>
          </cell>
          <cell r="S153"/>
        </row>
        <row r="154">
          <cell r="A154" t="str">
            <v>PLAN DE MEJORAMIENTO VIGENCIA 2026</v>
          </cell>
          <cell r="B154" t="str">
            <v xml:space="preserve">Migración de datos a la nube 20261200022073 </v>
          </cell>
          <cell r="G154" t="str">
            <v>DIRECCIÓN DE RECURSOS TECNOLÓGICOS</v>
          </cell>
          <cell r="S154"/>
        </row>
        <row r="155">
          <cell r="A155" t="str">
            <v>PLAN DE MEJORAMIENTO VIGENCIA 2026</v>
          </cell>
          <cell r="B155" t="str">
            <v xml:space="preserve">Migración de datos a la nube 20261200022073 </v>
          </cell>
          <cell r="G155" t="str">
            <v>DIRECCIÓN DE RECURSOS TECNOLÓGICOS/
SUB GERENCIA DE PLANEACIÓN Y PROYECTOS</v>
          </cell>
          <cell r="S155"/>
        </row>
        <row r="156">
          <cell r="A156" t="str">
            <v>PLAN DE MEJORAMIENTO VIGENCIA 2026</v>
          </cell>
          <cell r="B156" t="str">
            <v xml:space="preserve">Migración de datos a la nube 20261200022073 </v>
          </cell>
          <cell r="G156" t="str">
            <v>DIRECCIÓN DE RECURSOS TECNOLÓGICOS</v>
          </cell>
          <cell r="S156"/>
        </row>
        <row r="157">
          <cell r="A157" t="str">
            <v>PLAN DE MEJORAMIENTO VIGENCIA 2026</v>
          </cell>
          <cell r="B157" t="str">
            <v xml:space="preserve">Migración de datos a la nube 20261200022073 </v>
          </cell>
          <cell r="G157" t="str">
            <v>DIRECCIÓN DE RECURSOS TECNOLÓGICOS/
SUB GERENCIA DE PLANEACIÓN Y PROYECTOS</v>
          </cell>
          <cell r="S157"/>
        </row>
        <row r="158">
          <cell r="A158" t="str">
            <v>PLAN DE MEJORAMIENTO VIGENCIA 2026</v>
          </cell>
          <cell r="B158" t="str">
            <v xml:space="preserve">Migración de datos a la nube 20261200022073 </v>
          </cell>
          <cell r="G158" t="str">
            <v>DIRECCIÓN DE RECURSOS TECNOLÓGICOS</v>
          </cell>
          <cell r="S158"/>
        </row>
        <row r="159">
          <cell r="A159" t="str">
            <v>PLAN DE MEJORAMIENTO VIGENCIA 2026</v>
          </cell>
          <cell r="B159" t="str">
            <v xml:space="preserve">Migración de datos a la nube 20261200022073 </v>
          </cell>
          <cell r="G159" t="str">
            <v>DIRECCIÓN DE RECURSOS TECNOLÓGICOS</v>
          </cell>
          <cell r="S159"/>
        </row>
        <row r="160">
          <cell r="A160" t="str">
            <v>PLAN DE MEJORAMIENTO VIGENCIA 2026</v>
          </cell>
          <cell r="B160" t="str">
            <v xml:space="preserve">Migración de datos a la nube 20261200022073 </v>
          </cell>
          <cell r="G160" t="str">
            <v>DIRECCIÓN DE RECURSOS TECNOLÓGICOS</v>
          </cell>
          <cell r="S160"/>
        </row>
        <row r="161">
          <cell r="A161" t="str">
            <v>PLAN DE MEJORAMIENTO VIGENCIA 2026</v>
          </cell>
          <cell r="B161" t="str">
            <v xml:space="preserve">Migración de datos a la nube 20261200022073 </v>
          </cell>
          <cell r="G161" t="str">
            <v>DIRECCIÓN DE RECURSOS TECNOLÓGICOS</v>
          </cell>
          <cell r="S161"/>
        </row>
        <row r="162">
          <cell r="A162" t="str">
            <v>PLAN DE MEJORAMIENTO VIGENCIA 2026</v>
          </cell>
          <cell r="B162" t="str">
            <v xml:space="preserve">Migración de datos a la nube 20261200022073 </v>
          </cell>
          <cell r="G162" t="str">
            <v>DIRECCIÓN DE RECURSOS TECNOLÓGICOS</v>
          </cell>
          <cell r="S162"/>
        </row>
        <row r="163">
          <cell r="A163" t="str">
            <v>PLAN DE MEJORAMIENTO VIGENCIA 2026</v>
          </cell>
          <cell r="B163" t="str">
            <v xml:space="preserve">Migración de datos a la nube 20261200022073 </v>
          </cell>
          <cell r="G163" t="str">
            <v>DIRECCIÓN DE RECURSOS TECNOLÓGICOS</v>
          </cell>
          <cell r="S163"/>
        </row>
        <row r="164">
          <cell r="A164" t="str">
            <v>PLAN DE MEJORAMIENTO VIGENCIA 2026</v>
          </cell>
          <cell r="B164" t="str">
            <v xml:space="preserve">Migración de datos a la nube 20261200022073 </v>
          </cell>
          <cell r="G164" t="str">
            <v>DIRECCIÓN DE RECURSOS TECNOLÓGICOS</v>
          </cell>
          <cell r="S164"/>
        </row>
        <row r="165">
          <cell r="A165" t="str">
            <v>PLAN DE MEJORAMIENTO VIGENCIA 2026</v>
          </cell>
          <cell r="B165" t="str">
            <v xml:space="preserve">Migración de datos a la nube 20261200022073 </v>
          </cell>
          <cell r="G165" t="str">
            <v>DIRECCIÓN DE RECURSOS TECNOLÓGICOS</v>
          </cell>
          <cell r="S165"/>
        </row>
      </sheetData>
      <sheetData sheetId="8"/>
      <sheetData sheetId="9"/>
      <sheetData sheetId="10"/>
      <sheetData sheetId="11"/>
      <sheetData sheetId="12"/>
      <sheetData sheetId="13"/>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ego vasquez osorio" refreshedDate="46230.433536458331" createdVersion="8" refreshedVersion="8" minRefreshableVersion="3" recordCount="67" xr:uid="{803D31BB-5CF7-4675-82DF-A71EB1553E2E}">
  <cacheSource type="worksheet">
    <worksheetSource name="Tabla1"/>
  </cacheSource>
  <cacheFields count="19">
    <cacheField name="Vigencia" numFmtId="0">
      <sharedItems containsSemiMixedTypes="0" containsString="0" containsNumber="1" containsInteger="1" minValue="2023" maxValue="2025" count="3">
        <n v="2025"/>
        <n v="2024"/>
        <n v="2023"/>
      </sharedItems>
    </cacheField>
    <cacheField name="Auditoría" numFmtId="0">
      <sharedItems containsSemiMixedTypes="0" containsString="0" containsNumber="1" containsInteger="1" minValue="88" maxValue="90" count="2">
        <n v="90"/>
        <n v="88"/>
      </sharedItems>
    </cacheField>
    <cacheField name="No. Hallazgo" numFmtId="0">
      <sharedItems/>
    </cacheField>
    <cacheField name="Responsable " numFmtId="0">
      <sharedItems count="53">
        <s v="DIRECCIÓNDEGESTIÓNFINANCIERA/DIRECCIÓNDERECURSOSFÍSICOSYNEGOCIOS"/>
        <s v="DIRECCIÓNDEGESTIÓNFINANCIERA"/>
        <s v="DIRECCIÓNDERECURSOSFÍSICOSYNEGOCIOS"/>
        <s v="DIRECCIÓNDEGESTIÓNHUMANA"/>
        <s v="DIRECCIÓNDERECURSOSFÍSICOSYNEGOCIOS/SUBGERENCIAJURÍDICA"/>
        <s v="SUBGERENCIAJURÍDICA"/>
        <s v="DIRECCIÓNDEGESTIÓNFINANCIERA/SUBGERENCIAJURÍDICA"/>
        <s v="SUBGERENCIACORPORATIVA/DIRECCIÓNDEGESTIÓNFINANCIERA"/>
        <s v="SUBGERENCIADESERVICIOSOPERACIONALESEINFRAESTRUCTURA"/>
        <s v="DIRECCIÓNDESERVICIOALTRANSPORTADOR/DIRECCIÓNDERECURSOSTECNOLÓGICOS"/>
        <s v="SUBGERENCIACORPORATIVA"/>
        <s v="DIRECCIÓNDEINFRAESTRUCTURA"/>
        <s v="DIRECCIÓNDERECURSOSTECNOLÓGICOS_x000a_DIRECCIÓNDEGESTIÓNFINANCIERA"/>
        <s v="SUBGERENCIACORPORATIVA/DIRECCIÓNDERECURSOSTECNOLÓGICOS"/>
        <s v="SUBGERENCIADEPLANEACIÓNYPROYECTOS"/>
        <s v="DIRECCIÓNDESERVICIOALTRANSPORTADOR"/>
        <s v="DIRECCIÓNDERECURSOSFÍSICOS"/>
        <s v="DIRECCIÓNDESEGURIDADOPERACIONAL"/>
        <s v="SUBGERENCIAJURÍDICADIRECCIÓNDEGESTIÓNHUMANA"/>
        <s v="SUBGERENCIADEPLANEACIÓNYPROYECTOSDIRECCIÓNDERECURSOSFÍSICOSYNEGOCIOS"/>
        <s v="SUBGERENCIACORPORATIVADIRECCIÓNDEGESTIÓNFINANCIERADIRECCIÓNDERECURSOSTECNOLÓGICOS"/>
        <s v="OFICINADEAUDITORÍAINTERNASUBGERENCIAJURÍDICADIRECCIÓNFINANCIERA"/>
        <s v="SUBGERENCIAPLANEACIÓNYPROYECTOS"/>
        <s v="SUBGERENCIAPLANEACIÓNYPROYECTOS(ZPP)"/>
        <s v="SUBGERENCIADEPLANEACIÓNYPROYECTOSDIRECCIÓNDEGESTIÓNHUMANA"/>
        <s v="DIRECCIÓN DE GESTIÓN  FINANCIERA Y DIRECCIÓN DE RECURSOS FÍSICOS Y NEGOCIOS" u="1"/>
        <s v="DIRECCIÓN DE GESTIÓN FINANCIERA" u="1"/>
        <s v="DIRECCIÓN DE RECURSOS FÍSICOS Y NEGOCIOS" u="1"/>
        <s v="DIRECCIÓN DE GESTIÓN HUMANA" u="1"/>
        <s v="DIRECCIÓN DE RECURSOS FÍSICOS Y NEGOCIOS  SUBGERENCIA JURÍDICA" u="1"/>
        <s v="SUBGERENCIA JURÍDICA" u="1"/>
        <s v="DIRECCIÓN DE GESTIÓN FINANCIERA  SUBGERENCIA JURÍDICA" u="1"/>
        <s v="SUBGERENCIA CORPORATIVA  DIRECCIÓN DE GESTIÓN FINANCIERA" u="1"/>
        <s v="SUBGERENCIA DE SERVICIOS OPERACIONALES E INFRAESTRUCTURA" u="1"/>
        <s v="DIRECCIÓN DE SERVICIO AL TRANSPORTADOR DIRECCIÓN DE RECURSOS TECNOLÓGICOS" u="1"/>
        <s v="SUBGERENCIA CORPORATIVA" u="1"/>
        <s v="DIRECCIÓN DE INFRAESTRUCTURA" u="1"/>
        <s v="SUBGERENCIA DE PLANEACIÓN Y PROYECTOS ZONA DE PARQUEO PAGO" u="1"/>
        <s v="DIRECCIÓN DE RECURSOS TECNOLÓGICOS_x000a_DIRECCIÓN DE GESTIÓN FINANCIERA" u="1"/>
        <s v="SUBGERENCIA CORPORATIVA DIRECCIÓN DE RECURSOS TECNOLÓGICOS" u="1"/>
        <s v="SUBGERENCIA DE PLANEACIÓN Y PROYECTOS" u="1"/>
        <s v="DIRECCIÓN DE SERVICIO AL TRANSPORTADOR   " u="1"/>
        <s v="DIRECCIÓN DE RECURSOS FÍSICOS" u="1"/>
        <s v="DIRECCIÓN DE SEGURIDAD OPERACIONAL" u="1"/>
        <s v="SUBGERENCIA JURÍDICA DIRECCIÓN DE GESTIÓN HUMANA" u="1"/>
        <s v="SUBGERENCIA DE PLANEACIÓN Y PROYECTOS  DIRECCIÓN DE RECURSOS FÍSICOS Y NEGOCIOS" u="1"/>
        <s v="SUB GERENCIA DE PLANEACIÓN Y PROYECTOS" u="1"/>
        <s v="SUBGERENCIA CORPORATIVA  DIRECCIÓN DE GESTIÓN FINANCIERA DIRECCIÓN DE RECURSOS TECNOLÓGICOS" u="1"/>
        <s v="OFICINA DE AUDITORÍA INTERNA SUBGERENCIA JURÍDICA DIRECCIÓN  FINANCIERA" u="1"/>
        <s v="SUB GERENCIA PLANEACIÓN Y PROYECTOS" u="1"/>
        <s v="SUB GERENCIA PLANEACIÓN Y PROYECTOS (ZPP)" u="1"/>
        <s v="SUBGERENCIA DE PLANEACIÓN Y PROYECTOS DIRECCIÓN DE GESTIÓN HUMANA" u="1"/>
        <s v="SUB GERENCIA JURÍDICA" u="1"/>
      </sharedItems>
    </cacheField>
    <cacheField name="Total hallazgos" numFmtId="0">
      <sharedItems containsSemiMixedTypes="0" containsString="0" containsNumber="1" containsInteger="1" minValue="0" maxValue="1"/>
    </cacheField>
    <cacheField name="Total Planes de acción" numFmtId="0">
      <sharedItems containsSemiMixedTypes="0" containsString="0" containsNumber="1" containsInteger="1" minValue="1" maxValue="3"/>
    </cacheField>
    <cacheField name="Abiertos" numFmtId="0">
      <sharedItems containsSemiMixedTypes="0" containsString="0" containsNumber="1" containsInteger="1" minValue="0" maxValue="2"/>
    </cacheField>
    <cacheField name="Vencidos" numFmtId="0">
      <sharedItems containsSemiMixedTypes="0" containsString="0" containsNumber="1" containsInteger="1" minValue="0" maxValue="1"/>
    </cacheField>
    <cacheField name="Finalizados" numFmtId="0">
      <sharedItems containsSemiMixedTypes="0" containsString="0" containsNumber="1" containsInteger="1" minValue="0" maxValue="3"/>
    </cacheField>
    <cacheField name="Alerta 10" numFmtId="0">
      <sharedItems containsSemiMixedTypes="0" containsString="0" containsNumber="1" containsInteger="1" minValue="0" maxValue="0"/>
    </cacheField>
    <cacheField name="Alerta 20" numFmtId="0">
      <sharedItems containsSemiMixedTypes="0" containsString="0" containsNumber="1" containsInteger="1" minValue="0" maxValue="0"/>
    </cacheField>
    <cacheField name="Alerta 30" numFmtId="0">
      <sharedItems containsSemiMixedTypes="0" containsString="0" containsNumber="1" containsInteger="1" minValue="0" maxValue="0"/>
    </cacheField>
    <cacheField name="Alerta 5" numFmtId="0">
      <sharedItems containsSemiMixedTypes="0" containsString="0" containsNumber="1" containsInteger="1" minValue="0" maxValue="0"/>
    </cacheField>
    <cacheField name="Ene" numFmtId="0">
      <sharedItems containsSemiMixedTypes="0" containsString="0" containsNumber="1" containsInteger="1" minValue="0" maxValue="0"/>
    </cacheField>
    <cacheField name="Feb" numFmtId="0">
      <sharedItems containsSemiMixedTypes="0" containsString="0" containsNumber="1" containsInteger="1" minValue="0" maxValue="1"/>
    </cacheField>
    <cacheField name="Marzo" numFmtId="0">
      <sharedItems containsSemiMixedTypes="0" containsString="0" containsNumber="1" containsInteger="1" minValue="0" maxValue="1"/>
    </cacheField>
    <cacheField name="Abr" numFmtId="0">
      <sharedItems containsSemiMixedTypes="0" containsString="0" containsNumber="1" containsInteger="1" minValue="0" maxValue="0"/>
    </cacheField>
    <cacheField name="May" numFmtId="0">
      <sharedItems containsSemiMixedTypes="0" containsString="0" containsNumber="1" containsInteger="1" minValue="0" maxValue="1"/>
    </cacheField>
    <cacheField name="Jun"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200843751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ego vasquez osorio" refreshedDate="46230.433537500001" createdVersion="8" refreshedVersion="8" minRefreshableVersion="3" recordCount="84" xr:uid="{923AB43B-14D8-4DA2-88DB-5724DDEBC2DE}">
  <cacheSource type="worksheet">
    <worksheetSource name="Tabla2"/>
  </cacheSource>
  <cacheFields count="36">
    <cacheField name="No." numFmtId="0">
      <sharedItems containsSemiMixedTypes="0" containsString="0" containsNumber="1" containsInteger="1" minValue="117" maxValue="281"/>
    </cacheField>
    <cacheField name="FECHA REPORTE DE LA INFORMACIÓN" numFmtId="0">
      <sharedItems/>
    </cacheField>
    <cacheField name="SECTORIAL" numFmtId="0">
      <sharedItems/>
    </cacheField>
    <cacheField name="NOMBRE DE LA ENTIDAD" numFmtId="0">
      <sharedItems/>
    </cacheField>
    <cacheField name="CÓDIGO ENTIDAD" numFmtId="0">
      <sharedItems containsMixedTypes="1" containsNumber="1" containsInteger="1" minValue="311" maxValue="311"/>
    </cacheField>
    <cacheField name="VIGENCIA DE LA AUDITORÍA O VISITA" numFmtId="0">
      <sharedItems containsSemiMixedTypes="0" containsString="0" containsNumber="1" containsInteger="1" minValue="2023" maxValue="2025" count="3">
        <n v="2025"/>
        <n v="2024"/>
        <n v="2023"/>
      </sharedItems>
    </cacheField>
    <cacheField name="CODIGO AUDITORÍA SEGÚN PAD DE LA VIGENCIA" numFmtId="0">
      <sharedItems containsSemiMixedTypes="0" containsString="0" containsNumber="1" containsInteger="1" minValue="88" maxValue="90" count="2">
        <n v="90"/>
        <n v="88"/>
      </sharedItems>
    </cacheField>
    <cacheField name="No. HALLAZGO" numFmtId="0">
      <sharedItems count="39">
        <s v="3.1.1"/>
        <s v="3.1.2"/>
        <s v="3.2.1.1.1"/>
        <s v="3.2.1.1.2"/>
        <s v="3.2.1.1.3"/>
        <s v="3.2.1.1.4"/>
        <s v="3.2.1.5.1"/>
        <s v="3.2.1.6.1"/>
        <s v="3.2.1.7.1"/>
        <s v="3.2.1.7.2"/>
        <s v="3.2.1.7.3"/>
        <s v="3.3.1.1"/>
        <s v="3.3.2.2"/>
        <s v="3.3.2.3.1"/>
        <s v="3.4.2.1.1"/>
        <s v="3.4.2.2.1"/>
        <s v="3.4.2.3.1"/>
        <s v="3.4.2.3.2"/>
        <s v="3.4.2.3.3"/>
        <s v="3.4.2.4.1"/>
        <s v="4.2.1"/>
        <s v="3.2.1.1"/>
        <s v="3.2.1.2"/>
        <s v="3.2.1.3"/>
        <s v="3.4.1.2"/>
        <s v="3.4.1.4"/>
        <s v="3.4.2.5.1"/>
        <s v="3.5.1"/>
        <s v="4.1.1"/>
        <s v="3.1.1.1"/>
        <s v="3.1.2.1"/>
        <s v="3.1.3.1"/>
        <s v="3.4.1.1.1"/>
        <s v="3.4.2.2.2"/>
        <s v="3.4.2.4.2"/>
        <s v="3.4.2.4.3"/>
        <s v="3.4.2.4.4"/>
        <s v="3.4.2.5.2"/>
        <s v="3.4.2.6.1"/>
      </sharedItems>
    </cacheField>
    <cacheField name="CODIGO ACCION" numFmtId="0">
      <sharedItems containsSemiMixedTypes="0" containsString="0" containsNumber="1" containsInteger="1" minValue="1" maxValue="3"/>
    </cacheField>
    <cacheField name="SECTORIAL QUE GENERO LA AUDITORÍA " numFmtId="0">
      <sharedItems containsMixedTypes="1" containsNumber="1" containsInteger="1" minValue="0" maxValue="0"/>
    </cacheField>
    <cacheField name="Columna1" numFmtId="0">
      <sharedItems containsNonDate="0" containsString="0" containsBlank="1"/>
    </cacheField>
    <cacheField name="MODALIDAD" numFmtId="0">
      <sharedItems/>
    </cacheField>
    <cacheField name="COMPONENTE" numFmtId="0">
      <sharedItems containsBlank="1"/>
    </cacheField>
    <cacheField name="FACTOR" numFmtId="0">
      <sharedItems containsBlank="1"/>
    </cacheField>
    <cacheField name="DESCRIPCIÓN HALLAZGO" numFmtId="0">
      <sharedItems count="54" longText="1">
        <s v="HALLAZGO ADMINISTRATIVO CON PRESUNTA INCIDENCIA DISCIPLINARIA POR INCONSISTENCIAS EN LA ENTREGA DE INFORMACIÓN REQUERIDA POR EL ORGANISMO DE CONTROL"/>
        <s v="HALLAZGO ADMINISTRATIVO CON INCIDENCIA FISCAL POR VALOR DE CINCO MILLONES DOSCIENTOS CUARENTA Y SEIS MIL TREINTA PESOS M/CTE $5.246.030, Y PRESUNTA INCIDENCIA DISCIPLINARIA POR EL PAGO DE INTERESES CON OCASIÓN DE LOS CONTRATOS INTERADMINISTRATIVOS NOS. 1724/2021 Y 1684/2022, SUSCRITOS ENTRE LA TTSA Y EL INSTITUTO DE DESARROLLO URBANO – IDU."/>
        <s v="HALLAZGO ADMINISTRATIVO CON INCIDENCIA FISCAL POR VALOR DE CIENTO VEINTISÉIS MILLONES NOVECIENTOS NOVENTA MIL DOSCIENTOS CINCUENTA Y TRES PESOS M/CTE $126.990.253 Y PRESUNTA INCIDENCIA DISCIPLINARIA POR LA PRESCRIPCIÓN DE LA ACCIÓN DE COBRO POR PARTE DE LA TTSA ANTE LAS ENTIDADES PROMOTORAS DE SALUD – EPS POR CONCEPTO DE INCAPACIDADES LABORALES."/>
        <s v="HALLAZGO ADMINISTRATIVO CON PRESUNTA INCIDENCIA DISCIPLINARIA POR DEFICIENCIAS EN EL COBRO DE LOS CÁNONES DE ARRENDAMIENTO CAUSADOS DURANTE LA EJECUCIÓN DE LOS CONTRATOS DE ARRENDAMIENTO A-027-TQLL-2003; A-024-P.D.-2003; T-S.-2009 CÓDIGO A – L.3 EN Z.T.; Y TT NO. 90 DE 2015."/>
        <s v="HALLAZGO ADMINISTRATIVO CON PRESUNTA INCIDENCIA DISCIPLINARIA POR LA GESTIÓN INEFICIENTE DE LA TERMINAL DE TRANSPORTE S.A. DURANTE DEL PROCESO DE EXPROPIACIÓN ADMINISTRATIVA ADELANTADO POR LA EMPRESA FÉRREA REGIONAL S.A.S. RESPECTO DEL PREDIO DENOMINADO “SANTA HELENA”, IDENTIFICADO CON LA MATRÍCULA INMOBILIARIA 051-191183, ASÍ COMO SU GESTIÓN INOPORTUNA EN LA DEFENSA DE LOS INTERESES DE LA ENTIDAD RESPECTO DEL COBRO DEL IMPUESTO PREDIAL"/>
        <s v="HALLAZGO ADMINISTRATIVO CON PRESUNTA INCIDENCIA DISCIPLINARIA POR INCONSISTENCIAS ENTRE LOS REGISTROS CONTABLES Y LOS SOPORTES ALLEGADOS POR LA TTSA EN REFERENCIA A LA INFORMACIÓN CONTABLE DEL INMUEBLE IDENTIFICADO COMO “LOTE SOACHA”"/>
        <s v="HALLAZGO ADMINISTRATIVO CON INCIDENCIA FISCAL POR LA SUMA DE CUATRO MIL OCHOCIENTOS NOVENTA Y SEIS MILLONES OCHOCIENTOS VEINTIDÓS MIL OCHOCIENTOS VEINTINUEVE PESOS M/CTE $4.896.822.829 Y PRESUNTA INCIDENCIA DISCIPLINARIA POR FALTA DE GESTIÓN OPORTUNA EN LA PRESENTACIÓN DE LAS DECLARACIONES DEL IMPUESTO PREDIAL UNIFICADO DEL INMUEBLE IDENTIFICADO CON CHIP AAA0077FYUH, VIGENCIAS 2015, 2016, 2017, 2020,2021, 2022 Y 2023"/>
        <s v="HALLAZGO ADMINISTRATIVO POR DIFERENCIAS ENTRE LOS REGISTROS CONTABLES DE LA CUENTA 9120 – LITIGIOS Y MECANISMOS ALTERNATIVOS DE SOLUCIÓN DE CONFLICTOS Y EL APLICATIVO SIPROJ WEB CON CORTE A 31 DE DICIEMBRE DE 2024."/>
        <s v="HALLAZGO ADMINISTRATIVO POR FALTA DE IDENTIFICACIÓN OPORTUNA DE CONSIGNACIONES EFECTUADAS POR TERCEROS A FAVOR DE LA EMPRESA."/>
        <s v="HALLAZGO ADMINISTRATIVO POR DEFICIENCIAS EN EL PROCESO DE CONCILIACIÓN DE LAS OPERACIONES RECÍPROCAS DE LA EMPRESA."/>
        <s v="HALLAZGO ADMINISTRATIVO POR DEFICIENCIAS EN LA CONCILIACIÓN DE SALDOS ENTRE EL ÁREA CONTABLE Y LAS DEMÁS DEPENDENCIAS DE LA EMPRESA."/>
        <s v="HALLAZGO ADMINISTRATIVO POR EL INCUMPLIMIENTO DE ALGUNAS ACTIVIDADES DEL LINEAMIENTO PRESUPUESTAL ORDENADO EN SU MANUAL DE PRESUPUESTO. CÓDIGO: GAF-MN06 VERSIÓN 7, AGOSTO DE 2018."/>
        <s v="HALLAZGO ADMINISTRATIVO CON PRESUNTA INCIDENCIA DISCIPLINARIA, POR CUANTO LA TERMINAL DE TRANSPORTE, POSEE DOS TIPOS DE REGISTROS DE EXPEDICIÓN DE CDP Y CRP, QUE PRESENTAN INCONSISTENCIAS."/>
        <s v="HALLAZGO ADMINISTRATIVO POR CUANTO LA TERMINAL PRESENTA SALDOS SIN PAGO EN LAS CXP VIGENCIA 2023 A PAGAR EN ENERO DE 2024 Y 2024 A PAGAR EN ENERO DE 2025, INCUMPLIENDO LO SEÑALADO EN SU PROCEDIMIENTO INTERNO."/>
        <s v="HALLAZGO ADMINISTRATIVO CON INCIDENCIA FISCAL EN CUANTÍA DE $1.482.567.858 Y PRESUNTA INCIDENCIA DISCIPLINARIA TODA VEZ QUE, EN DESARROLLO DEL CONTRATO 99 DE 2019 SUSCRITO ENTRE LA TERMINAL DE TRANSPORTE S.A. Y PROTECH INGENIERÍA S.A.S, SE PRODUJO UNA GESTIÓN FISCAL ANTIECONÓMICA, INEFICAZ, INEFICIENTE, PORQUE EL SISTEMA ADQUIRIDO NO CUMPLE CON EL OBJETO DEL CONTRATO, NO ES FUNCIONAL."/>
        <s v="HALLAZGO ADMINISTRATIVO CON INCIDENCIA FISCAL EN CUANTÍA DE SEISCIENTOS CINCO MILLONES QUINIENTOS SETENTA MIL CIENTO NOVENTA Y DOS PESOS M/CTE $605.570.192, Y PRESUNTA INCIDENCIA DISCIPLINARIA, POR EL PAGO INJUSTIFICADO DEL AIU Y PARTE DEL IVA EN EL MARCO DEL CONTRATO TT-034-2024."/>
        <s v="HALLAZGO ADMINISTRATIVO CON PRESUNTA INCIDENCIA DISCIPLINARIA POR NO APLICAR EL PRINCIPIO DE PLANEACIÓN YA QUE SE EVIDENCIA LA ACTUALIZACIÓN DE PRECIOS SEGÚN LA OFERTA COMERCIAL, PARA EL CONTRATO TT 172 DE 2024 SIN QUE EL MISMO TUVIESE FORMULA DE REAJUSTE."/>
        <s v="HALLAZGO ADMINISTRATIVO, POR EL INCUMPLIMIENTO EN LA OBLIGACIÓN DE LA ENTIDAD DE PUBLICAR INFORMACIÓN CONTRACTUAL EN LA PLATAFORMA SECOP II, PARA LOS CONTRATOS TT 172 Y TT 112 DE 2024."/>
        <s v="HALLAZGO ADMINISTRATIVO POR NO APLICAR EL PRINCIPIO DE PLANEACIÓN YA QUE SE EVIDENCIA EL PAGO DE LOS ÍTEMS NO PREVISTOS ANTES DE SER APROBADOS POR EL SUPERVISOR DEL CONTRATO TT 112 DE 2024, EVIDENCIANDO UN INCUMPLIMIENTO EN LAS OBLIGACIONES DE LA ENTIDAD."/>
        <s v="HALLAZGO ADMINISTRATIVO CON PRESUNTA INCIDENCIA DISCIPLINARIA Y PENAL DEBIDO A QUE DE LOS RECURSOS INICIALMENTE ASIGNADOS AL CONTRATO 135 DE 2023 FUERON DISMINUIDOS EN LA SUMA $9.000.00 MILLONES, SIN LA EXPEDICIÓN DEL CORRESPONDIENTE ACTO ADMINISTRATIVO QUE PERMITIERA LA LIBERACIÓN DE ESTOS RECURSOS, GENERANDO LA DESFINANCIACIÓN DEL MISMO."/>
        <s v="HALLAZGO ADMINISTRATIVO CON PRESUNTA INCIDENCIA DISCIPLINARIA POR FALTA DE DILIGENCIA Y GESTIÓN OPORTUNA DE LOS REGISTROS “NO PAGOS” EN EL ESTACIONAMIENTO EN VÍA (ZONAS DE PARQUEO PAGO – ZPP) POR PARTE DE LA TERMINAL DE TRANSPORTE S.A. (TTSA)."/>
        <s v="HALLAZGO ADMINISTRATIVA CON PRESUNTA INCIDENCIA DISCIPLINARIA POR FALTA DE GESTIÓN OPORTUNA EN EL PAGO DEL IMPUESTO PREDIAL DEL INMUEBLE IDENTIFICADO CON CHIP AAA0077HWWW AÑO GRAVABLE 2013, ANTE LA SECRETARÍA DISTRITAL DE HACIENDA"/>
        <s v="HALLAZGO ADMINISTRATIVA CON PRESUNTA INCIDENCIA DISCIPLINARIA Y FISCAL EN CUANTÍA DE $2.124.470, POR PAGO DE SANCIONES E INTERESES DE MORA ANTE LA SECRETARÍA DISTRITAL DE HACIENDA DURANTE LA VIGENCIA 2023"/>
        <s v="HALLAZGO ADMINISTRATIVA CON PRESUNTA INCIDENCIA DISCIPLINARIA Y FISCAL EN CUANTÍA DE $3.902.504, POR PAGO DE SANCIONES E INTERESES DE MORA ANTE LA DIRECCIÓN DE IMPUESTOS Y ADUANAS NACIONALES – DIAN"/>
        <s v="HALLAZGO ADMINISTRATIVA POR BAJO AVANCE FÍSICO E INCUMPLIMIENTO DE LA META 16. “DEFINIR E IMPLEMENTAR EL 100% EL MODELO DE AUTOMATIZACIÓN DE LA TASA DE USO DE LA TERMINAL -TUT, A 31 DE DICIEMBRE DE 2023” DEL OBJETIVO ESTRATÉGICO NO. 3 MEJORAR EL SERVICIO A LOS USUARIOS."/>
        <s v="HALLAZGO ADMINISTRATIVA POR BAJO AVANCE FÍSICO E INCUMPLIMIENTO DE LA META “REALIZAR 12 MEDICIONES DE PARÁMETROS IN SITU EN LA PTAR DEL MÓDULO DE EXCRETAS”; DEL PLAN INSTITUCIONAL DE GESTIÓN AMBIENTAL – PIGA EN LA VIGENCIA 2023; ASÍ COMO INCONSISTENCIA EN EL RESPECTIVO INDICADOR DE RESULTADO"/>
        <s v="HALLAZGO ADMINISTRATIVA CON PRESUNTA INCIDENCIA DISCIPLINARIA Y FISCAL POR VALOR DE $48.799.985 POR EL PAGO DE INTERESES, CON OCASIÓN DE LOS CONTRATOS INTERADMINISTRATIVOS NOS. 1724/2021 Y 1684/2022, SUSCRITOS ENTRE LA TERMINAL DE TRANSPORTE S.A. Y EL INSTITUTO DE DESARROLLO URBANO – IDU."/>
        <s v="HALLAZGO ADMINISTRATIVA CON PRESUNTA INCIDENCIA DISCIPLINARIA, PORQUE LA TTSA NO REALIZÓ EL DESCUENTO POR ANS DEL CONTRATO DE PRESTACIÓN DE SERVICIOS TT-82-2023, POR LA AUSENCIA DE PERSONAL EN LOS MESES DE ABRIL Y MAYO DE 2024."/>
        <s v="HALLAZGO ADMINISTRATIVA CON PRESUNTA INCIDENCIA DISCIPLINARIA Y FISCAL EN CUANTÍA DE $9.603.776, POR PÉRDIDA Y HURTO DE CEPOS SIN QUE SE ADELANTEN LAS GESTIONES OPORTUNAS Y EFECTIVAS PARA LA RECUPERACIÓN DE LOS DINEROS INVERTIDOS, POR PARTE DEL OPERADOR DE LAS ZONAS DE PARQUEO PAGO."/>
        <s v="HALLAZGO ADMINISTRATIVA CON PRESUNTA INCIDENCIA DISCIPLINARIA POR INCUMPLIMIENTO DE LAS OBLIGACIONES CONTRACTUALES ESPECÍFICAS DE LA TERMINAL, CLÁUSULA 4. LITERALES A Y J, PACTADAS EN EL CONTRATO INTERADMINISTRATIVO NO. 2470 DE 2021."/>
        <s v="HALLAZGO ADMINISTRATIVA POR INCUMPLIMIENTO DEL ANEXO 1 “ESPECIFICACIONES TÉCNICAS” QUE HACE PARTE DEL CONTRATO INTERADMINISTRATIVO 2470 DE 2021, EN VIRTUD DEL PROCESO DE ESTRUCTURACIÓN Y PARTICULARMENTE, DE LA HABILITACIÓN DE LOS SEGMENTOS VIALES."/>
        <s v="HALLAZGO ADMINISTRATIVA CON PRESUNTA INCIDENCIA DISCIPLINARIA, POR DEFICIENCIAS EN LA PLANEACIÓN DE LOS ACTOS MODIFICATORIOS DEL CONTRATO DE SUMINISTRO NO.73 DE 2024 Y DIFERENCIAS EN DOCUMENTOS PRECONTRACTUALES."/>
        <s v="HALLAZGO ADMINISTRATIVA CON PRESUNTA INCIDENCIA DISCIPLINARIA Y FISCAL, EN CUANTÍA DE $54.608.743, POR EL PAGO POR PARTE DE LA TERMINAL DE TRANSPORTE S.A. A LA EMPRESA DE TELECOMUNICACIONES DE BOGOTÁ - ETB DE, CORRESPONDIENTES A 3.099 CELDAS DE PARQUEO EN VÍA QUE NO REGISTRARON NINGÚN INGRESO EN LOS MESES FACTURADOS DEL CONTRATO NO. 081 DE 2023."/>
        <s v="HALLAZGO ADMINISTRATIVA CON PRESUNTA INCIDENCIA DISCIPLINARIA POR LA FORMULACIÓN DE ACCIONES INEFECTIVAS EN EL PLAN DE MEJORAMIENTO INSTITUCIONAL."/>
        <s v="HALLAZGO ADMINISTRATIVA CON PRESUNTA INCIDENCIA DISCIPLINARIA POR INCUMPLIMIENTO DE LAS RESPONSABILIDADES DE LA TERMINAL EN SU CALIDAD DE OPERADOR Y ADMINISTRADOR DE LAS ZPP Y ESTACIONAMIENTOS FUERA DE VÍA, POR DEFICIENCIAS EN EL CONTROL DE LOS USUARIOS QUE TOMAN NUMEROSAS RESERVAS, CON TIEMPOS PROLONGADOS Y PARA UN GRAN NÚMERO DE VEHÍCULOS Y CONTROL DEL USO DE LOS ESTACIONAMIENTOS."/>
        <s v="HALLAZGO ADMINISTRATIVO, PORQUE EN EL ARCHIVO DIGITAL DEL MANUAL DE SUPERVISIÓN E INTERVENTORÍA V.2 Y MANUAL DE CONTRATACIÓN V.3, NO SE INCLUYE EL CONTROL DE CAMBIOS, LO QUE DIFICULTA TENER LA TRAZABILIDAD DE LOS CAMBIOS REALIZADOS Y LA FECHA DE IMPLEMENTACIÓN DE LOS MISMOS, COMO SE DETERMINA EN EL NUMERAL 7.5.3 DE LA NORMA ISO:9001:2015"/>
        <s v="HALLAZGO ADMINISTRATIVO, POR INCONSISTENCIAS EN LA INFORMACIÓN ENTREGADA POR LA TERMINAL DE TRANSPORTE S.A., EN RELACIÓN CON LA GESTIÓN CONTRACTUAL EN LA VIGENCIA 2022 VULNERANDO EL PRINCIPIO DE TRANSPARENCIA SEGÚN LO DETERMINADO POR EL ART. 3., DEL DECRETO 403 DE 2020."/>
        <s v="HALLAZGO ADMINISTRATIVO, POR INCONSISTENCIAS EN LA INFORMACIÓN REPORTADA POR LA EMPRESA TERMINAL DE TRANSPORTE S.A., EN EL SISTEMA DE VIGILANCIA Y CONTROL FISCAL – SIVICOF."/>
        <s v="HALLAZGO ADMINISTRATIVO, POR FALTA DE LINEAMIENTOS E IDENTIFICACIÓN OPORTUNA DE LAS CONSIGNACIONES EFECTUADAS POR TERCEROS A FAVOR DE LA EMPRESA"/>
        <s v="HALLAZGO ADMINISTRATIVO, POR FALENCIAS EN LA ACTUALIZACIÓN Y EN LAS NOTAS A LOS ESTADOS FINANCIEROS DE LOS ACTIVOS Y PASIVOS POR IMPUESTO DIFERIDO."/>
        <s v="HALLAZGO ADMINISTRATIVO, POR DEFICIENCIAS EN LA CONCILIACIÓN DE SALDOS ENTRE EL ÁREA CONTABLE Y LAS DEMÁS DEPENDENCIAS DE LA EMPRESA."/>
        <s v="HALLAZGO ADMINISTRATIVO, POR DEFICIENCIAS EN EL PROCESO DE CONCILIACIÓN DE LAS OPERACIONES RECÍPROCAS DE LA EMPRESA Y EN LAS NOTAS A LOS ESTADOS FINANCIEROS."/>
        <s v="HALLAZGO ADMINISTRATIVO, POR FALENCIAS EN LA ALINEACIÓN ESTRATÉGICA DE LA TERMINAL DE TRANSPORTES S.A. INOBSERVANDO EL PRINCIPIO DE EFICACIA EN SU CONTRATACIÓN."/>
        <s v="HALLAZGO ADMINISTRATIVO CON PRESUNTA INCIDENCIA DISCIPLINARIA, POR INCUMPLIMIENTO DE LA CLÁUSULA 4. OBLIGACIONES ESPECÍFICAS DE LA TERMINAL, PACTADA EN EL CONTRATO INTERADMINISTRATIVO NO.2470 DE 2021, CELEBRADO ENTRE LA SECRETARÍA DISTRITAL DE MOVILIDAD Y LA TERMINAL DE TRANSPORTE S.A."/>
        <s v="HALLAZGO ADMINISTRATIVO, POR LA NO ADMINISTRACIÓN DE LOS RECURSOS A TRAVÉS DE SUBCUENTAS INDEPENDIENTES DE LAS FUENTES DE PAGOS Y PAGOS INCUMPLIENDO LAS CLÁUSULAS PRIMERA Y TERCERA DEL CONTRATO FIDUCIA MERCANTIL NO. 14532 DE 2021, POR SER VIOLATORIO A LOS PRINCIPIOS DE TRANSPARENCIA Y EFICACIA."/>
        <s v="HALLAZGO ADMINISTRATIVO, POR NO CONTAR CON UN PROCEDIMIENTO DE COBRO DE CARTERA POR CONCEPTO DE ESTACIONAMIENTO EN VÍA, FACILITANDO EL ALTO VOLUMEN DE ESTAS EN CUANTÍA DE $321,45 MILLONES DE LAS VIGENCIAS 2021, 2022 Y 2023., VULNERANDO LOS PRINCIPIOS DE EFICIENCIA Y EFICACIA."/>
        <s v="HALLAZGO ADMINISTRATIVO CON PRESUNTA INCIDENCIA DISCIPLINARIA, POR EL INCUMPLIMIENTO DEL NUMERAL SEGUNDO (2º) DE LA CLÁUSULA DÉCIMA SEGUNDA, INDEBIDA PERMANENCIA DE LA LABOR CONTRATADA, IRREGULARIDADES E INCONSISTENCIAS EN LA EJECUCIÓN DEL CONTRATO DE PRESTACIÓN DE SERVICIOS NO. 47 DE 2021. SUSCRITO CON LA FIRMA TEMPOCOLBA S.A.S."/>
        <s v="HALLAZGO ADMINISTRATIVO CON PRESUNTA INCIDENCIA DISCIPLINARIA PORQUE LA TERMINAL DE TRANSPORTE S.A., NO ENTREGA DE MANERA OPORTUNA LOS ELEMENTOS DE PROTECCIÓN PERSONAL-EPP A LOS TRABAJADORES EN MISIÓN DE LAS ZONAS DE PARQUEO PAGO-ZPP Y PARQUEADEROS, OBLIGACIÓN A CARGO DE LA TERMINAL, COMO QUEDÓ DEFINIDO EN EL PLIEGO DE CONDICIONES DEL PROCESO DE SELECCIÓN NO. TT-SPO-05-2022"/>
        <s v="HALLAZGO ADMINISTRATIVO CON PRESUNTA INCIDENCIA DISCIPLINARIA, PORQUE EN LAS ZONAS DE PARQUEO PAGO-ZPP Y PARQUEADEROS, SE EXTRAVIARON $8,38 MILLONES, DINERO QUE NO HA SIDO RECUPERADO POR FALTA DE GESTIÓN DE LA TERMINAL, INCUMPLIENDO LO ESTABLECIDO EN EL NUMERAL 22 DE LA CLÁUSULA NOVENA DEL CPS NO. TT-67-2022"/>
        <s v="HALLAZGO ADMINISTRATIVO CON PRESUNTA INCIDENCIA DISCIPLINARIA, PORQUE LA FIRMA SERVICIOS &amp; ASESORÍAS S.A.S. EN EL MARCO DEL CONTRATO DE PRESTACIÓN DE SERVICIOS NO. TT-67-2022, NO REALIZÓ VISITAS DOMICILIARIAS DESDE EL 31 DE MARZO FECHA EN QUE INICIÓ LA EJECUCIÓN DEL CONTRATO HASTA EL 21 DE DICIEMBRE DE 2022, INCUMPLIENDO LO ESTABLECIDO EN EL NUMERAL 4 DE LA CLÁUSULA NOVENA."/>
        <s v="HALLAZGO ADMINISTRATIVO CON PRESUNTA INCIDENCIA DISCIPLINARIA, PORQUE LA TERMINAL DE TRANSPORTE S.A., MEDIANTE OTROSÍ NO. 3 DEL 15 DE AGOSTO DE 2023, AJUSTA LOS PRECIOS DE LA DOTACIÓN VESTIDO LABOR ENTREGADA EN FEBRERO, ABRIL Y MAYO DE 2023 EN EL MARCO DEL CONTRATO DE PRESTACIÓN DE SERVICIOS NO. TT-67-2022, DESCONOCIENDO LOS PRECIOS PACTADOS EN EL OTROSÍ NO. 1 SUSCRITO EL 5 DE OCTUBRE DE 2022, OCASIONANDO UN INCREMENTO DE $72,65 MILLONES."/>
        <s v="HALLAZGO ADMINISTRATIVO CON PRESUNTA INCIDENCIA DISCIPLINARIA, POR DEFICIENCIAS EN LA PLANEACIÓN DEL CONTRATO TT-55-2022, CUYO OBJETO ES “MANTENIMIENTO Y ADECUACIONES A LOS PARQUEADEROS Y ESPACIOS PÚBLICOS QUE SE ENCUENTRAN A CARGO DEL DADEP, EN VIRTUD DEL CONTRATO INTERADMINISTRATIVO NO. 110-00129-359-0-2019”"/>
        <s v="HALLAZGO ADMINISTRATIVO CON PRESUNTA INCIDENCIA DISCIPLINARIA, POR LA EJECUCIÓN DEL CONTRATO TT-55-2022, QUE TIENE POR OBJETO “MANTENIMIENTO Y ADECUACIONES A LOS PARQUEADEROS Y ESPACIOS PÚBLICOS QUE SE ENCUENTRAN A CARGO DEL DADEP, EN VIRTUD DEL CONTRATO INTERADMINISTRATIVO NO. 110-00129-359-0-2019”"/>
        <s v="HALLAZGO ADMINISTRATIVO, PORQUE EL SUPERVISOR DEL CONTRATO TT-47-2022, PRESENTÓ EL INFORME FINAL DE SUPERVISIÓN CUANDO LOS AMPAROS DE CUMPLIMIENTO Y CALIDAD DEL CONTRATO YA HABÍAN EXPIRADO."/>
      </sharedItems>
    </cacheField>
    <cacheField name="CAUSA HALLAZGO" numFmtId="0">
      <sharedItems longText="1"/>
    </cacheField>
    <cacheField name="DESCRIPCIÓN ACCIÓN" numFmtId="0">
      <sharedItems count="81" longText="1">
        <s v="DEFINICIÓN DE LA POLITICA CONTABLE QUE INCLUYA DIFERENCIAS DE CONCEPTO ENTRE UN ACTIVO Y EL MANEJO DE LOS PREDIOS PROPIEDAD DE TTSA"/>
        <s v="DEFINICIÓN Y/O ACTUALIZACIÓN DE PROCEDIMIETNO DE CONCILIACIÓN QUE INCLUYA LA LÍNEA DE ZPP, QUE DESCRIBIRÁ LA INFORMACIÓN A CONCILIAR DEL RECAUDO EN EFECTIVO COMO DEL RECAUDO ELECTRÓNICO"/>
        <s v="ELABORAR Y PRESENTAR A IDU PROPUESTA DE UNA NUEVA ESTRUCTURA DE CONTRATO EN LA QUE SE ELIMINA LA OBLIGACIÓN DE PAGOS DE INTERESES CON OCASIÓN DE RETRIBUCIÓN"/>
        <s v="AJUSTE DE METODOLOGÍA PARA LA REVISIÓN DE LA RETRIBUCIÓN AL IDU"/>
        <s v="ELABORACIÓN PROCEDIMIENTO DEL SEGUIMIENTO A LAS INCAPACIDADES"/>
        <s v="CONTRATACIÓN DE UNA PERSONA PARA EJECUTAR LA ACTIVIDAD DE SEGUIMIENTO AL COBRO DE INCAPACIDADES"/>
        <s v="PRESENTACIÓN DE DEMANDA EN GESTIÓN DE RECOBRO EN CONTRA DE LAS EPS"/>
        <s v="ACTUALIZACIÓN DEL PROCEDIMIENTO DE GESTIÓN INMOBILIARIA QUE DEFINA LOS CONTROLES PARA EJERCER LAS ACCIONES DE COBRO DE CANONES DE ARRENDAMIENTO, EL PROCESO Y RESPONSABLES DE DECLARATORIA DE SINIESTRO EN LOS CASOS EN LOS QUE SE CUENTE CON GARANTÍAS DE ARRENDAMIENTO, O, LOS REQUISITOS, PROCEDIMIENTO Y RESPONSABLES PARA EL EJERCICIO DE ACCIONES DE COBRO COACTIVO"/>
        <s v="GESTIÓN PARA LA MODIFICACIÓN DE LA RESOLUCIÓN NO. 25-75400001616-2025 EXPEDIDA POR EL MUNICIPIO DE SOACHA, CON EL FIN DE QUE SE AJUSTE EL ÁREA DEL PREDIO"/>
        <s v="RELIQUIDACIÓN DE IMPUESTOS CON FUNDAMENTO EN LA REDEFINICIÓN DEL ÁREA DEL PREDIO, CONFORME A LA MODIFICACIÓN DE LA RESOLUCIÓN CITADA"/>
        <s v="CREACIÓN DE PROCEDIMIENTO PARA TRÁMITE DE EXPROPIACIONES DE LOS BIENES DE LA TTSA"/>
        <s v="AVALÚO Y SOPORTES QUE SUSTENTAN EL REGISTRO CONTABLE DEL LOTE SOACHA, EN EL REPOSITORIO DE LA DIRECCIÓN FINANCIERA"/>
        <s v="ELABORACIÓN DE ANÁLISIS DE AJUSTE EN RECONOCIMIETO DEL ACTIVO DENOMINADO &quot; LOTE SOACHA&quot; CON LA ACTUALIZACION  POR AVALUO DEL AÑO 2023 COMO NOS INDICA EL MARCO NORMATIVO PARA LAS EMPRESAS QUE NO COTIZAN EN BOLSA DE VALORES Y NO RECAUDAN DINERO PUBLICO"/>
        <s v="ELABORACIÓN DE  MANUAL, PROCEDIMIENTO E INSTRUCTIVO PARA PAGO DE TODOS LOS IMPUESTOS EN LOS QUE LA TERMINAL DE TRANSPORTE S.A. ES SUJETO PASIVO, DEFINICIÓN DE LAS RESPONSABILIDADES Y ACTUACIONES FRENTE A CADA TIPO DE TRIBUTO"/>
        <s v="DECISIÓN DE LA DEMANDA INTERPUESTA EL 12/MARZ/2025 CON RADICADO NO. 25000234100020250038300, EN EL TRIBUNAL ADMINISTRATIVO DE CUNDINAMARCA"/>
        <s v="ELABORACIÓN INSTRUCTIVO DE LA CONCILIACION DE LOS PROCESOS JUDICIALES DE LA TTSA REPORTADOS EN LA PALATAFORMA SIPROJ WED"/>
        <s v="DEFINICIÓN Y/O ACTUALIZACIÓN DE PROCESO DE CONCILIACIÓN QUE INCLUYA LAS CONCILIACIONES REALIZADAS CON LAS DIFERENTES ÁREAS DE LA TTSA"/>
        <s v="EMISIÓN DE COMUNICACIÓN OFICIAL DE LA TTSA, DIRIGIDA A LAS ENTIDADES CON LAS QUE LA CONTADURÍA GENERAL ESTABLEZCA REALIZAR LAS CONCILIACIONES, Y DE LAS CUALES SE IDENTIFIQUEN PARTIDAS CON DIFERENCIAS POR OPERACIONES RECIPROCAS"/>
        <s v="ACTUALIZACIÓN DEL MANUAL DEL PRESUPUESTO"/>
        <s v="PRESENTACIÓN POR PARTE DE LOS SUPERVISORES DEL CONTRATO, DE INFORME QUE DETALLE Y EXPLIQUE EL FUNCIONAMIENTO DE CADA UNO DE LOS COMPONENTES DE LA SOLUCIÓN, Y EVIDENCIA DE LAS PRUEBAS EFECTUADAS PARA EL RECIBO DE LA MISMA. ADEMÁS, DEL FUNCIONAMIENTO ACTUAL DE LA SOLUCIÓN TECNOLÓGICA Y EL ESTADO DE LAS RECLAMACIONES GESTIONADAS ANTE LA ASEGURADORA"/>
        <s v="ACTUALIZACIÓN DEL PROCEDIMIENTO MANTENIMIENTO PREVENTIVO CORRECTIVO FTI-PR08, Y DEL PLAN DE MANTENIMENTO CORRECTIVO Y PREVENTIVO FTI-PL01 DE LA TTSA, QUE REFERENCIE LA INFRAESTRUCTURA DEL CONTROL DE TIEMPOS DE PERMANECIA"/>
        <s v="ANEXO AL ESTUDIO DE MERCADO DE LOS PROCESOS DE SELECCIÓN PARA LA CONTRATACIÓN DE SERVICIOS DE VIGILANCIA, QUE DETALLE LOS COSTOS E IMPUESTOS GENERADOS POR ÉSTE SERVICIO"/>
        <s v="CONCEPTOS TÉCNICOS DE COLOMBIA COMPRA EFICIENTE Y DE LOS ENTES REGULADORES Y/O DE CONTROL SOBRE EL TRATAMIENTO DE AIU"/>
        <s v="INCORPORACIÓN CONTRACTUAL DE CLÁUSULA DE ACTUALIZACIÓN DE PRECIOS UNITARIOS POR CAMBIO DE VIGENCIA, EN LOS CONTRATOS QUE APLIQUE"/>
        <s v="MEMORANDO DE LINEAMIENTOS EMITIDO POR LA SUB GERENCIA JURÍDICA SOBRE EL PROCEDIMIENTO DE PUBLICACIÓN EN LA PLATAFORMA SECOP, LA DEFINICIÓN DE RESPONSABLES, PLAZOS, PUBLICACIONES OBLIGATORIAS Y OPCIONALES"/>
        <s v="INFORME DE SUPERVISIÓN Y/O INTERVENTORÍA, QUE CONTENGA LA TRAZABILIDAD DE LA EJECUCIÓN Y APROBACIÓN DE LOS ITEMS NO PREVISTOS"/>
        <s v="CAPACITACIÓN POR PARTE DE LA SUBGERENCIA JURÍDICA, SOBRE LA SUPERVISIÓN DE CONTRATOS, QUE INCLUYA ÍTEMS NO PREVISTOS Y RECONOCIMIENTO PARA EL PAGO"/>
        <s v="ACTUALIZACIÓN DEL MANUAL DE PRESUPUESTO PARA LA VALIDACIÓN DE REQUISITOS PARA LA MODIFICACIÓN DE CDP"/>
        <s v="INFORME DE LA DIRECCIÓN FINANCIERA PARA INDICAR EL MANEJO DE LOS CDP"/>
        <s v="LIQUIDACIÓN DEL CONTRATO"/>
        <s v="ACTUALIZACIÓN DEL PROCEDIMIENTO GPE-PRO2 GESTIÓN Y RECUPERACIÓN DE LOS REGISTROS SUSCEPTIBLES DE GESTIÓN DE ZPP QUE INCLUYA EL CONTROL AUTOMÁTICO DE LAS ALERTAS QUE GENERA EL APLICATIVO RESPECTO A LOS USOS DE LOS USUARIOS CUANDO PRESETAN REGISTROS &quot;NO PAGOS&quot; PARA QUE EL PERSONAL EN VÍA REALICE EL COBRO Ó EL USUARIO REALICE EL PAGO DEL MISMO PARA PODER HACER USO DE LAS ZONAS DE PARQUEO PAGO"/>
        <s v="SE DEFINIRÁ UN CALENDARIO PARA CUMPLIMIENTO DE OBLIGACIONES  TRIBUTARIAS, CON LAS  ÁREAS RESPONSABLES DE GENERACIÓN DE LA INFORMACIÓN BASE,  CON FECHAS ANTICIPADAS A LAS FECHAS DE VENCIMIENTO PARA UNA GESTIÓN OPORTUNA DE LAS POSIBLES CONTIGENCIAS QUE SE PRESENTEN"/>
        <s v="SE REVISARÁ Y ACTUALIZARÁN LOS CORREOS REGISTRADOS EN LA DIAN (RUT) Y EN LA SECRETARÍA DE HACIENDA DEL DISTRITO SHD (RIT), ASIGNANDO LOS RESPONSABLES DE CADA UNO. LA ASIGNACIÓN Y MANEJO DE LOS CORREOS SERÁ VALIDADA POR EL OFICIAL DE SEGURIDAD DE LA INFORMACIÓN"/>
        <s v="LAS COMUNICACIONES RECIBIDAS A TRAVÉS DEL CORREO INSTITUCIONAL,  SERÁN REASIGNADAS CONFORME A UN INSTRUCTIVO CON EL OBJETIVO DE REMITIR POR MEDIO DE ORFEO A LOS RESPONSABLES CORRESPONDIENTES PARA SU GESTIÓN Y RESPUESTA"/>
        <s v="SE ESTABLECERAN INTERFACES CON LOS DIFERENTES PROGRAMAS DE MANEJO DE INGRESOS, QUE REDUZCAN PROCESOS MANUALES QUE MINIMICEN LA INTERVENCIÓN HUMANA EN EL REGISTRO DE LA INFORMACIÓN"/>
        <s v="SE DEFINIRÁ UN PROCEDIMIENTO QUE ESTABLEZCA LOS LINEAMIENTOS PARA EL PAGO POR COMPENSACIÓN DE TALA DE ÁRBOLES EN LOS TIEMPOS ESTABLECIDOS POR EL ENTE DE CONTROL"/>
        <s v="SE REALIZARÁ UN PROCESO DE RE-INDUCCIÓN DE LAS NORMAS DE TRÁNSITO Y LA RESPONSABILIDAD FRENTE A LA TERMINAL DE TRANSPORTE"/>
        <s v="IMPLEMENTAR UN CONTROLDE CONFIRMACIÓN DE PAGOS REALIZADOS A TRAVÉS DE PLATAFORMAS BANCARIAS"/>
        <s v="SE ESTABLECERÁN INTERFACES CON LOS DIFERENTES PROGRAMAS DE MANEJO DE INGRESOS, QUE REDUZCAN PROCESOS MANUALES QUE MINIMICEN LA INTERVENCIÓN HUMANA EN EL REGISTRO DE LA INFORMACIÓN"/>
        <s v="SE REDEFINIRÁ EL MODELO MÁS ADECUADO PRESENTANDO E IDENTIFICANDO A LOS DIFERENTES ALIADOS ESTRATEGICOS, TENIENDO EN CUENTA LA VIABILIDAD TÉCNICA, JURÍDICA, FINANCIERA Y FUNCIONAL"/>
        <s v="SE REVISARÁ Y SE REDIFINIRÁ LA META ESTRATÉGICA 16"/>
        <s v="LAS MEDICIONES SE DOCUMENTARÁN EN UN FORMATO ESTANDARIZADO, Y SE ANALIZARÁN PARA EVALUAR EL DESEMPEÑO DE LA PTAR"/>
        <s v="SOCIALIZAR CON EL COMITE DE SOSTENIBILIDAD EL RESULTADO DEL PROCESO DE MEDICIONES PARA IDENTIFICAR OPORTUNIDADES DE MEJORA"/>
        <s v="DEFINIR E IMPLEMENTAR EL PLAN DE MANTENIMIENTO DE LA PTAR"/>
        <s v="FORTALECER EL PROCESO DE ELABORACIÓN DE INFORMES MENSUALES CONTRACTUALES DE PARQUEADEROS"/>
        <s v="SOLICITAR A LA ENTIDAD CONTRATANTE LA DEFINICION DE UNA ESTIPULACIÓN CONTRACTUAL QUE PERMITA EFECTUAR LOS PAGOS A CARGO DE LA TERMINAL, SIN ESTAR SUPEDITADO A LA REVISIÓN DE LOS INFORMES POR PARTE DEL IDU"/>
        <s v="INCLUIR EN EL INFORME DE SUPERVISIÓN LAS POSIBLES SITUACIONES IDENTIFICADAS QUE SE ENCUENTRAN EN SEGUIMIENTO PARA ACTIVACIÓN OPORTUNA DE LOS ANS"/>
        <s v="ACTUALIZAR EL PROCEDIMIENTO EVG-PR04 - REPORTE Y RECUPERACIÓN DE DINEROS Y BIENES PERDIDOS PROPIEDAD DE LA TERMINAL DE TRANSPORTE S.A"/>
        <s v="ACTUALIZAR EL INSTRUCTIVO ZPP-IN07 - REPORTE DE BLOQUEADORES VEHICULARES AVERIADOS"/>
        <s v="ELABORAR UN INFORME DE CONTROL TRIMESTRAL DE LA SITUACION DE LOS CEPOS INDICANDO LOS CASOS EN TRÁMITE DE REPORTE Y DE RECUPERACIÓN ANTE LA ASEGURADORA"/>
        <s v="FORTALECER  EL SEGUIMIENTO EN LOS COMITÉS TÉCNICOS, INCLUYENDO DENTRO DE LA AGENDA DE ESTE COMITÉ UN ANÁLISIS TRIMESTRAL DE LA SITUACION DE CADA UNA DE LAS ÁREAS DE IMPLENTACIÓN EN EL QUE SE MUESTRE: % OCUPACIÓN Y COMPORTAMIENTO DE LOS INGRESOS VS GASTOS CON EL FIN DE GENERAR RECOMENDACIONES EN CUANTO A ACCIONES A IMPULSAR PARA EL FORTALECIMIENTO DEL PROYECTO"/>
        <s v="INCLUÍR DENTRO DE LA AGENDA DE LOS COMITÉS TÉCNICOS LA REVISIÓN TRIMESTRAL DE LOS SECTORES QUE REQUIEREN   LA PRIORIZACIÓN DE OPERATIVOS DE CONTROL POR PARQUEO IRREGULAR QUE LLEVEN A LA RESTRICCIÓN DEL FLUJO VEHICULAR EN LAS ÁREAS DE IMPLEMENTACIÓN. LO ANTERIOR, DE ACUERDO A LAS OBIGACIONES DE SDM EN LA CLAUSULA 5 LITERAL C."/>
        <s v="SE REALIZARÁ CAPACITACIÓN SOBRE LA MODIFICACIÓN DE LOS CONTRATOS"/>
        <s v="GARANTIZAR QUE EN LOS PRÓXIMOS PROCESOS DE CONTRATACION, TANTO EN LOS ESTUDIOS PREVIOS COMO EN LAS MINUTAS SE DESCRIBAN LAS SIGLAS DE CADA UNO DE LOS ITEMS QUE CONFORMAN LAS FÓRMULAS PARA EL CÁLCULO DE LOS RESPECTIVOS PAGOS"/>
        <s v="DEFINIR E IMPLEMENTAR UNA ESTRATEGIA INTEGRAL PARA EL AUMENTO DE LOS INGRESOS Y LA DISMINUCION DE COSTOS Y GASTOS QUE PROPENDAN AL LOGRO DEL PUNTO DE EQUILIBRIO DEL PROYECTO"/>
        <s v="DEFINIR UNA POLÍTICA PARA LA GESTIÓN DE LOS REGISTROS OPERATIVOS"/>
        <s v="ESTABLECER UN PROCEDIMIENTO DE INGRESO DE VEHÍCULOS CON RESERVA A TRAVÉS DE ACUERDOS COMERCIALES"/>
        <s v="MODIFICAR Y SOCIALIZAR EL PROCEDIMIENTO SMC-PR02 CONTROL DE DOCUMENTOS PARA QUE SE VINCULE LA DIRECTRIZ DE PUBLICAR EL CONTROL DE CAMBIOS EN LOS DOCUMENTOS QUE SE CARGAN EN LA INTRANET."/>
        <s v="ELABORAR UN REPORTE AUTOMATIZADO DE GESTIÓN FINANCIERA CONSOLIDADA DE LOS CONTRATOS A PARTIR DE LA INFORMACIÓN DE LOS  SUPERVISORES Y ÁREAS QUE INTERVIENEN EN LA CONTRATACIÓN. ACTUALIZANDO EL INSTRUCTIVO GAF-IN04 PARA LA GENERACIÓN DEL REPORTE AUTOMATIZADO DEL ESTADO FINANCIERO DE LOS CONTRATOS A PARTIR DE LA INFORMACIÓN DEL ERP."/>
        <s v="REVISAR EL PROCEDIMIENTO “RELACIÓN CON ENTES EXTERNOS Y EVALUACIÓN DE CONTROL INTERNO CONTABLE&quot;, Y LOS REQUISITOS E INFORMACIÓN DE CADA UNO DE LOS REPORTES."/>
        <s v="DOCUMENTAR EL PROCEDIMIENTO DE CONCILIACIÓN DE CONSIGNACIONES RECIBIDAS POR TERCEROS, EN EL CUÁL SE IDENTFICARÁN LOS RESPONSABLES DE CADA UNO DE LOS CONCEPTOS PARA SU CONTROL Y SEGUIMIENTO."/>
        <s v="A PARTIR DEL  AVALUO DE LA PROPIEDAD, PLANTA Y EQUIPO  SE REALIZARÁ UNA ACTUALIZACIÓN DEL CALCULO DE LOS ACTIVOS Y PASIVOS DIFERIDO."/>
        <s v="INCLUIR EN EL SISTEMA DE GESTIÓN UN FORMATO DE VERFICACIÓN DE LA CONCILIACIÓN REALIZADA ENTRE LAS ÁREAS. PARA GESTION JURÍDICA (SIPROJ) Y PARA GESTIONES ADMINISTRATIVAS (ALMACÉN)"/>
        <s v="SE DOCUMENTARÁ MEDIANTE PROCEDIMIENTO LA DEPURACIÓN Y CONCILIACIÓN DE OPERACIONES RECIPROCAS."/>
        <s v="ACTUALIZAR EL FORMATO DE ESTUDIO PREVIO CON EL FIN DE INCLUIR LA JUSTIFICACIÓN DEL OBJETIVO ESTRATÉGICO AL QUE SE ALÍNEA LA RESPECTIVA CONTRATACIÓN, LA CUAL DEBERÁ SER VALIDADA POR PARTE DE LA SUBGERENCIA DE PLANEACIÓN"/>
        <s v="FORTALECER EL SEGUIMIENTO DE DATOS CUANTITATIVOS Y CUALITATIVOS PARA CONTRIBUIR A LA SOSTENIBILIDAD DEL PROYECTO"/>
        <s v="SE GESTIONARÁN LAS MODIFICACIONES DE LOS CONTRATOS DE FIDUCIA E INTERADMINISTRATIVO PARA LO CUAL SE REMITIRAN COMUNICACIONES A LA FIDUCIARIA Y A LA SECRETARIA DISTRITAL DE MOVILIDAD."/>
        <s v="SE DOCUMENTARÁ DE FORMA INDEPENDIENTE,  EL PROCEDIMIENTO PARA LA GESTIÓN Y COBRO DE CARTERA, E INCLUIRÁ LAS ACCIONES PROCEDENTES Y LAS INSTANCIAS PARA LA TOMA DE DECISIONES SOBRE LA MISMA."/>
        <s v="DADO QUE EL CONTRATO YA FINALIZÓ, SE FORTALECERÁ EN EVENTUALES CONTRATACIONES, EL SEGUIMIENTO DE VINCULACIÓN AL PERSONAL SUMINISTRADO POR LA EMPRESA TEMPORAL CONFORME A LO ESTABLECIDO A LA NORMATIVIDAD VIGENTE."/>
        <s v="FORTALECER EL SEGUIMIENTO A LA ENTREGA DE SUMINISTROS DE EPP MEDIANTE LA CREACIÓN DE UN PROCEDIMIENTO EN EL SIG, QUE VINCULE EL REPORTE MENSUAL DESDE LA OPERACIÓN SOBRE LA NECESIDAD DE SUMINISTRO DE LOS EPP, LA VERIFICACIÓN DESDE EL COMPONENTE DE SST Y LA  ENTREGA EFECTIVA A LOS TRABAJADORES EN MISIÓN. ASI MISMO LA COMUNICACIÓN Y SOCIALIZACIÓN DEL PROCEDIMIENTO A TODAS LAS AREAS DEFINIENDO LOS TIEMPOS Y FORMATOS DE REPORTE Y ENTREGA."/>
        <s v="FORTALECER EL PROCESO DE REPORTE DE PRESUNTOS HURTOS QUE SE IDENTIFIQUEN EN LA OPERACIÓN."/>
        <s v="EN LA ETAPA DE LIQUIDACIÓN DEL CONTRATO TT-67-2022  ACORDAR CON EL CONTRATISTA EL PAGO A FAVOR DE LA TERMINAL DE TRANSPORTE DE LA SUMA DE $8,38 MILLONES CON OCASIÓN DEL HURTO REPORTADO DURANTE LA EJECUCIÓN  DEL CONTRATO.   EN CASO DE NO LOGRAR ACUERDO CON EL CONTRATISTA PARA EL PAGO  DE LA SUMA DE $8,38 MILLONES CON OCASIÓN DEL HURTO, INCLUIR EN EL ACTA DE LIQUIDACIÓN DEL CONTRATO TT-67-2022 UNA GLOSA DE RECONOCIMIENTO Y RETENCIÓN A FAVOR DE LA TERMINAL DE TRANSPORTE DE LA SUMA DE $8,38 MILLONES"/>
        <s v="FORTALECER EL SEGUIMIENTO A LAS ACTIVIDADES DE SELECCIÓN Y CONTRATACIÓN DEL PERSONAL EN MISIÓN."/>
        <s v="EN EL CONTRATO TT-67-2022 SE SOLICITARÁ POR LA SUPERVISIÓN A LA EST, REMITIR DENTRO DEL INFORME MENSUAL CON LA RELACIÓN Y ANALISIS DE LAS VISITAS DOMICILIARIAS REALIZADAS EN TODOS LOS PROCESOS DE INGRESO."/>
        <s v="ESTABLECER EN PRÓXIMOS CONTRATOS QUE PUEDAN SER SUSCRITOS CON UNA EMPRESA DE SERVICIOS TEMPORALES, LA OBLIGACIÓN DEL SUMINISTRO DE LA DOTACIÓN DE VESTIDO LABOR A CARGO DE LA EST COMO EMPLEADOR."/>
        <s v="EXPEDICIÓN DE DIRECTRIZ DE INCLUIR CRONOGRAMA DEL PROCESO CONTRACTUAL EN LOS DOCUMENTOS MÍNIMOS QUE SON PUESTOS A CONSIDERACIÓN DEL COMITE DE CONTRATACIÓN."/>
        <s v="ELABORACIÓN DE UNA LISTA DE CHEQUEO EN EL SIG DE LOS DOCUMENTOS MINIMOS QUE SON LLEVADOS AL COMITE DE OCNTRATACIÓN QUE INCLUYA EL CRONOGRAMA DE LOS PROCESOS CONTRACTUALES DE CADA PROCESO."/>
        <s v="MODIFICACIÓN Y ACTUALIZACION DEL MANUAL DE SUPERVISIÓN E INTERVENTORIA DURANTE VIGENCIA 2023, CON EL PROPÓSITO DE FORTALECER LOS MECANISMOS DE SEGUIMIENTO, DETERMINANDO OBLIGACIONES DE SUPERVISIÓN Y DE APOYO A LA SUPERVISI"/>
        <s v="FORTALECIMIENTO DE LOS PROCESOS DE SUPERVISIÓN CONTRACTUAL, MEDIANTE LA REALIZACION DE DOS (2) CAPACITACIONES DURANTE LA VIGENCIA DEL PLAN DE MEJORAMIENTO EN RELACIÓN CON EL ALCANCE Y RESPONSABILIDADES DE LA SUPERVISIÓN."/>
        <s v="MODIFICACIÓN Y ACTUALIZACION DEL MANUAL DE SUPERVISIÓN E INTERVENTORIA DURANTE VIGENCIA 2023 DEFINIENDO TIEMPOS DE PRESENTACIÓN DEL INFORME FINAL DE EJECUCIÓN CONTRACTUAL."/>
        <s v="FORTALECIMIENTO DE LOS PROCESOS DE SUPERVISIÓN CONTRACTUAL, MEDIANTE LA REALIZACION DE DOS (2) CAPACITACIONES DURANTE LA VIGENCIA DEL PLAN DE MEJORAMIENTO."/>
      </sharedItems>
    </cacheField>
    <cacheField name="NOMBRE INDICADOR" numFmtId="0">
      <sharedItems/>
    </cacheField>
    <cacheField name="FORMULA INDICADOR" numFmtId="0">
      <sharedItems/>
    </cacheField>
    <cacheField name="VALOR META" numFmtId="0">
      <sharedItems containsSemiMixedTypes="0" containsString="0" containsNumber="1" containsInteger="1" minValue="100" maxValue="100"/>
    </cacheField>
    <cacheField name="AREA RESPONSABLE" numFmtId="0">
      <sharedItems count="61">
        <s v="DIRECCIÓNDEGESTIÓNFINANCIERA/DIRECCIÓNDERECURSOSFÍSICOSYNEGOCIOS"/>
        <s v="DIRECCIÓNDEGESTIÓNFINANCIERA"/>
        <s v="DIRECCIÓNDERECURSOSFÍSICOSYNEGOCIOS"/>
        <s v="DIRECCIÓNDEGESTIÓNHUMANA"/>
        <s v="DIRECCIÓNDERECURSOSFÍSICOSYNEGOCIOS/SUBGERENCIAJURÍDICA"/>
        <s v="SUBGERENCIAJURÍDICA"/>
        <s v="DIRECCIÓNDEGESTIÓNFINANCIERA/SUBGERENCIAJURÍDICA"/>
        <s v="SUBGERENCIACORPORATIVA/DIRECCIÓNDEGESTIÓNFINANCIERA"/>
        <s v="SUBGERENCIADESERVICIOSOPERACIONALESEINFRAESTRUCTURA"/>
        <s v="DIRECCIÓNDESERVICIOALTRANSPORTADOR/DIRECCIÓNDERECURSOSTECNOLÓGICOS"/>
        <s v="SUBGERENCIACORPORATIVA"/>
        <s v="DIRECCIÓNDEINFRAESTRUCTURA"/>
        <s v="DIRECCIÓNDERECURSOSTECNOLÓGICOS_x000a_DIRECCIÓNDEGESTIÓNFINANCIERA"/>
        <s v="SUBGERENCIACORPORATIVA/DIRECCIÓNDERECURSOSTECNOLÓGICOS"/>
        <s v="SUBGERENCIADEPLANEACIÓNYPROYECTOS"/>
        <s v="DIRECCIÓNDESERVICIOALTRANSPORTADOR"/>
        <s v="DIRECCIÓNDERECURSOSFÍSICOS"/>
        <s v="DIRECCIÓNDESEGURIDADOPERACIONAL"/>
        <s v="SUBGERENCIAJURÍDICADIRECCIÓNDEGESTIÓNHUMANA"/>
        <s v="SUBGERENCIADEPLANEACIÓNYPROYECTOSDIRECCIÓNDERECURSOSFÍSICOSYNEGOCIOS"/>
        <s v="SUBGERENCIACORPORATIVADIRECCIÓNDEGESTIÓNFINANCIERADIRECCIÓNDERECURSOSTECNOLÓGICOS"/>
        <s v="OFICINADEAUDITORÍAINTERNASUBGERENCIAJURÍDICADIRECCIÓNFINANCIERA"/>
        <s v="SUBGERENCIAPLANEACIÓNYPROYECTOS"/>
        <s v="SUBGERENCIAPLANEACIÓNYPROYECTOS(ZPP)"/>
        <s v="SUBGERENCIADEPLANEACIÓNYPROYECTOSDIRECCIÓNDEGESTIÓNHUMANA"/>
        <s v="DIRECCIÓN DE GESTIÓN  FINANCIERA / DIRECCIÓN DE RECURSOS FÍSICOS Y NEGOCIOS" u="1"/>
        <s v="DIRECCIÓN DE GESTIÓN FINANCIERA" u="1"/>
        <s v="DIRECCIÓN DE RECURSOS FÍSICOS Y NEGOCIOS" u="1"/>
        <s v="DIRECCIÓN DE GESTIÓN HUMANA" u="1"/>
        <s v="DIRECCIÓN DE RECURSOS FÍSICOS Y NEGOCIOS / SUBGERENCIA JURÍDICA" u="1"/>
        <s v="SUBGERENCIA JURÍDICA" u="1"/>
        <s v="DIRECCIÓN DE GESTIÓN FINANCIERA / SUBGERENCIA JURÍDICA" u="1"/>
        <s v="SUBGERENCIA CORPORATIVA  / DIRECCIÓN DE GESTIÓN FINANCIERA" u="1"/>
        <s v="SUBGERENCIA CORPORATIVA / DIRECCIÓN DE GESTIÓN FINANCIERA" u="1"/>
        <s v="SUBGERENCIA DE SERVICIOS OPERACIONALES E INFRAESTRUCTURA" u="1"/>
        <s v="DIRECCIÓN DE SERVICIO AL TRANSPORTADOR / DIRECCIÓN DE RECURSOS TECNOLÓGICOS" u="1"/>
        <s v="SUBGERENCIA CORPORATIVA" u="1"/>
        <s v="DIRECCIÓN DE INFRAESTRUCTURA" u="1"/>
        <s v="DIRECCIÓN DE RECURSOS TECNOLÓGICOS_x000a_DIRECCIÓN DE GESTIÓN FINANCIERA" u="1"/>
        <s v="SUBGERENCIA CORPORATIVA /DIRECCIÓN DE RECURSOS TECNOLÓGICOS" u="1"/>
        <s v="SUBGERENCIA DE PLANEACIÓN Y PROYECTOS" u="1"/>
        <s v="SUBGERENCIA CORPORATIVA / DIRECCIÓN DE RECURSOS TECNOLÓGICOS" u="1"/>
        <s v="DIRECCIÓN DE SERVICIO AL TRANSPORTADOR   " u="1"/>
        <s v="DIRECCIÓN DE RECURSOS FÍSICOS" u="1"/>
        <s v="DIRECCIÓN DE SEGURIDAD OPERACIONAL" u="1"/>
        <s v="SUBGERENCIA JURÍDICA DIRECCIÓN DE GESTIÓN HUMANA" u="1"/>
        <s v="SUBGERENCIA DE PLANEACIÓN Y PROYECTOS  DIRECCIÓN DE RECURSOS FÍSICOS Y NEGOCIOS" u="1"/>
        <s v="SUB GERENCIA DE PLANEACIÓN Y PROYECTOS" u="1"/>
        <s v="SUBGERENCIA CORPORATIVA  DIRECCIÓN DE GESTIÓN FINANCIERA DIRECCIÓN DE RECURSOS TECNOLÓGICOS" u="1"/>
        <s v="OFICINA DE AUDITORÍA INTERNA SUBGERENCIA JURÍDICA DIRECCIÓN  FINANCIERA" u="1"/>
        <s v="SUB GERENCIA PLANEACIÓN Y PROYECTOS" u="1"/>
        <s v="SUB GERENCIA PLANEACIÓN Y PROYECTOS (ZPP)" u="1"/>
        <s v="SUBGERENCIA DE PLANEACIÓN Y PROYECTOS DIRECCIÓN DE GESTIÓN HUMANA" u="1"/>
        <s v="SUB GERENCIA JURÍDICA" u="1"/>
        <s v="DIRECCIÓN DE GESTIÓN  FINANCIERA Y DIRECCIÓN DE RECURSOS FÍSICOS Y NEGOCIOS" u="1"/>
        <s v="DIRECCIÓN DE RECURSOS FÍSICOS Y NEGOCIOS  SUBGERENCIA JURÍDICA" u="1"/>
        <s v="DIRECCIÓN DE GESTIÓN FINANCIERA  SUBGERENCIA JURÍDICA" u="1"/>
        <s v="SUBGERENCIA CORPORATIVA  DIRECCIÓN DE GESTIÓN FINANCIERA" u="1"/>
        <s v="DIRECCIÓN DE SERVICIO AL TRANSPORTADOR DIRECCIÓN DE RECURSOS TECNOLÓGICOS" u="1"/>
        <s v="SUBGERENCIA DE PLANEACIÓN Y PROYECTOS ZONA DE PARQUEO PAGO" u="1"/>
        <s v="SUBGERENCIA CORPORATIVA DIRECCIÓN DE RECURSOS TECNOLÓGICOS" u="1"/>
      </sharedItems>
    </cacheField>
    <cacheField name="FECHA DE INICIO" numFmtId="0">
      <sharedItems/>
    </cacheField>
    <cacheField name="FECHA DE TERMINACIÓN" numFmtId="0">
      <sharedItems containsDate="1" containsMixedTypes="1" minDate="2024-07-31T00:00:00" maxDate="2026-05-01T00:00:00" count="28">
        <s v="2026-06-30"/>
        <s v="2026-05-30"/>
        <d v="2025-11-30T00:00:00"/>
        <s v="2025-11-30"/>
        <s v="2026-03-31"/>
        <s v="2025-12-31"/>
        <s v="2026-10-13"/>
        <s v="2026-02-15"/>
        <s v="2026-02-28"/>
        <s v="30/04/2026"/>
        <s v="2026-04-30"/>
        <s v="28/02/2026"/>
        <s v="2024-11-30"/>
        <s v="2024-12-31"/>
        <s v="2025-06-30"/>
        <s v="2025-02-28"/>
        <s v="2025-09-30"/>
        <s v="2025-01-31"/>
        <s v="2025-04-30"/>
        <s v="2025-08-30"/>
        <s v="2025-05-31"/>
        <s v="2024-09-30"/>
        <s v="2024-07-31"/>
        <s v="2024-05-31"/>
        <s v="2024-03-31"/>
        <s v="2024-10-01"/>
        <d v="2024-07-31T00:00:00"/>
        <d v="2026-04-30T00:00:00" u="1"/>
      </sharedItems>
    </cacheField>
    <cacheField name="ESTADO ENTIDAD" numFmtId="0">
      <sharedItems/>
    </cacheField>
    <cacheField name="ESTADO AUDITOR" numFmtId="0">
      <sharedItems/>
    </cacheField>
    <cacheField name="OBSERVACIÓN" numFmtId="0">
      <sharedItems containsBlank="1" longText="1"/>
    </cacheField>
    <cacheField name="ESTADO" numFmtId="0">
      <sharedItems count="3">
        <s v="Abierta"/>
        <s v="Finalizada"/>
        <s v="Vencida"/>
      </sharedItems>
    </cacheField>
    <cacheField name="ENLACE PARA CARGAR EVIDENCIAS" numFmtId="0">
      <sharedItems/>
    </cacheField>
    <cacheField name="Vencimiento" numFmtId="0">
      <sharedItems containsMixedTypes="1" containsNumber="1" containsInteger="1" minValue="-27" maxValue="78"/>
    </cacheField>
    <cacheField name="Alerta 10" numFmtId="0">
      <sharedItems containsSemiMixedTypes="0" containsString="0" containsNumber="1" containsInteger="1" minValue="0" maxValue="1" count="2">
        <n v="0"/>
        <n v="1" u="1"/>
      </sharedItems>
    </cacheField>
    <cacheField name="Alerta 20" numFmtId="0">
      <sharedItems containsSemiMixedTypes="0" containsString="0" containsNumber="1" containsInteger="1" minValue="0" maxValue="1" count="2">
        <n v="0"/>
        <n v="1" u="1"/>
      </sharedItems>
    </cacheField>
    <cacheField name="Alerta 30" numFmtId="0">
      <sharedItems containsSemiMixedTypes="0" containsString="0" containsNumber="1" containsInteger="1" minValue="0" maxValue="1" count="2">
        <n v="0"/>
        <n v="1" u="1"/>
      </sharedItems>
    </cacheField>
    <cacheField name="Alerta 5" numFmtId="0">
      <sharedItems containsSemiMixedTypes="0" containsString="0" containsNumber="1" containsInteger="1" minValue="0" maxValue="0" count="1">
        <n v="0"/>
      </sharedItems>
    </cacheField>
    <cacheField name="Correo Responsables" numFmtId="0">
      <sharedItems containsBlank="1"/>
    </cacheField>
    <cacheField name="Fecha cierre x Auditoría" numFmtId="0">
      <sharedItems containsNonDate="0" containsDate="1" containsString="0" containsBlank="1" minDate="2026-02-11T00:00:00" maxDate="2026-03-31T00:00:00"/>
    </cacheField>
    <cacheField name="Fecha de cierre Auditoría" numFmtId="0">
      <sharedItems containsNonDate="0" containsDate="1" containsString="0" containsBlank="1" minDate="2026-02-15T00:00:00" maxDate="2026-06-06T00:00:00"/>
    </cacheField>
  </cacheFields>
  <extLst>
    <ext xmlns:x14="http://schemas.microsoft.com/office/spreadsheetml/2009/9/main" uri="{725AE2AE-9491-48be-B2B4-4EB974FC3084}">
      <x14:pivotCacheDefinition pivotCacheId="14244778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7">
  <r>
    <x v="0"/>
    <x v="0"/>
    <s v="3.1.1"/>
    <x v="0"/>
    <n v="1"/>
    <n v="1"/>
    <n v="1"/>
    <n v="0"/>
    <n v="0"/>
    <n v="0"/>
    <n v="0"/>
    <n v="0"/>
    <n v="0"/>
    <n v="0"/>
    <n v="0"/>
    <n v="0"/>
    <n v="0"/>
    <n v="0"/>
    <n v="0"/>
  </r>
  <r>
    <x v="0"/>
    <x v="0"/>
    <s v="3.1.1"/>
    <x v="1"/>
    <n v="0"/>
    <n v="1"/>
    <n v="0"/>
    <n v="0"/>
    <n v="1"/>
    <n v="0"/>
    <n v="0"/>
    <n v="0"/>
    <n v="0"/>
    <n v="0"/>
    <n v="0"/>
    <n v="0"/>
    <n v="0"/>
    <n v="0"/>
    <n v="1"/>
  </r>
  <r>
    <x v="0"/>
    <x v="0"/>
    <s v="3.1.2"/>
    <x v="2"/>
    <n v="1"/>
    <n v="2"/>
    <n v="0"/>
    <n v="0"/>
    <n v="2"/>
    <n v="0"/>
    <n v="0"/>
    <n v="0"/>
    <n v="0"/>
    <n v="0"/>
    <n v="0"/>
    <n v="0"/>
    <n v="0"/>
    <n v="0"/>
    <n v="0"/>
  </r>
  <r>
    <x v="0"/>
    <x v="0"/>
    <s v="3.2.1.1.1"/>
    <x v="3"/>
    <n v="1"/>
    <n v="3"/>
    <n v="0"/>
    <n v="0"/>
    <n v="3"/>
    <n v="0"/>
    <n v="0"/>
    <n v="0"/>
    <n v="0"/>
    <n v="0"/>
    <n v="0"/>
    <n v="0"/>
    <n v="0"/>
    <n v="1"/>
    <n v="0"/>
  </r>
  <r>
    <x v="0"/>
    <x v="0"/>
    <s v="3.2.1.1.2"/>
    <x v="4"/>
    <n v="1"/>
    <n v="1"/>
    <n v="1"/>
    <n v="0"/>
    <n v="0"/>
    <n v="0"/>
    <n v="0"/>
    <n v="0"/>
    <n v="0"/>
    <n v="0"/>
    <n v="0"/>
    <n v="0"/>
    <n v="0"/>
    <n v="0"/>
    <n v="0"/>
  </r>
  <r>
    <x v="0"/>
    <x v="0"/>
    <s v="3.2.1.1.3"/>
    <x v="2"/>
    <n v="1"/>
    <n v="1"/>
    <n v="1"/>
    <n v="0"/>
    <n v="0"/>
    <n v="0"/>
    <n v="0"/>
    <n v="0"/>
    <n v="0"/>
    <n v="0"/>
    <n v="0"/>
    <n v="0"/>
    <n v="0"/>
    <n v="0"/>
    <n v="0"/>
  </r>
  <r>
    <x v="0"/>
    <x v="0"/>
    <s v="3.2.1.1.3"/>
    <x v="1"/>
    <n v="0"/>
    <n v="1"/>
    <n v="1"/>
    <n v="0"/>
    <n v="0"/>
    <n v="0"/>
    <n v="0"/>
    <n v="0"/>
    <n v="0"/>
    <n v="0"/>
    <n v="0"/>
    <n v="0"/>
    <n v="0"/>
    <n v="0"/>
    <n v="0"/>
  </r>
  <r>
    <x v="0"/>
    <x v="0"/>
    <s v="3.2.1.1.3"/>
    <x v="5"/>
    <n v="0"/>
    <n v="1"/>
    <n v="1"/>
    <n v="0"/>
    <n v="0"/>
    <n v="0"/>
    <n v="0"/>
    <n v="0"/>
    <n v="0"/>
    <n v="0"/>
    <n v="0"/>
    <n v="0"/>
    <n v="0"/>
    <n v="0"/>
    <n v="0"/>
  </r>
  <r>
    <x v="0"/>
    <x v="0"/>
    <s v="3.2.1.1.4"/>
    <x v="2"/>
    <n v="1"/>
    <n v="1"/>
    <n v="0"/>
    <n v="0"/>
    <n v="1"/>
    <n v="0"/>
    <n v="0"/>
    <n v="0"/>
    <n v="0"/>
    <n v="0"/>
    <n v="1"/>
    <n v="0"/>
    <n v="0"/>
    <n v="0"/>
    <n v="0"/>
  </r>
  <r>
    <x v="0"/>
    <x v="0"/>
    <s v="3.2.1.1.4"/>
    <x v="1"/>
    <n v="0"/>
    <n v="1"/>
    <n v="0"/>
    <n v="0"/>
    <n v="1"/>
    <n v="0"/>
    <n v="0"/>
    <n v="0"/>
    <n v="0"/>
    <n v="0"/>
    <n v="1"/>
    <n v="0"/>
    <n v="0"/>
    <n v="0"/>
    <n v="0"/>
  </r>
  <r>
    <x v="0"/>
    <x v="0"/>
    <s v="3.2.1.5.1"/>
    <x v="1"/>
    <n v="1"/>
    <n v="1"/>
    <n v="0"/>
    <n v="0"/>
    <n v="1"/>
    <n v="0"/>
    <n v="0"/>
    <n v="0"/>
    <n v="0"/>
    <n v="0"/>
    <n v="0"/>
    <n v="0"/>
    <n v="0"/>
    <n v="0"/>
    <n v="1"/>
  </r>
  <r>
    <x v="0"/>
    <x v="0"/>
    <s v="3.2.1.5.1"/>
    <x v="5"/>
    <n v="0"/>
    <n v="1"/>
    <n v="1"/>
    <n v="0"/>
    <n v="0"/>
    <n v="0"/>
    <n v="0"/>
    <n v="0"/>
    <n v="0"/>
    <n v="0"/>
    <n v="0"/>
    <n v="0"/>
    <n v="0"/>
    <n v="0"/>
    <n v="0"/>
  </r>
  <r>
    <x v="0"/>
    <x v="0"/>
    <s v="3.2.1.6.1"/>
    <x v="6"/>
    <n v="1"/>
    <n v="1"/>
    <n v="0"/>
    <n v="0"/>
    <n v="1"/>
    <n v="0"/>
    <n v="0"/>
    <n v="0"/>
    <n v="0"/>
    <n v="0"/>
    <n v="0"/>
    <n v="0"/>
    <n v="0"/>
    <n v="0"/>
    <n v="1"/>
  </r>
  <r>
    <x v="0"/>
    <x v="0"/>
    <s v="3.2.1.7.1"/>
    <x v="1"/>
    <n v="1"/>
    <n v="1"/>
    <n v="0"/>
    <n v="0"/>
    <n v="1"/>
    <n v="0"/>
    <n v="0"/>
    <n v="0"/>
    <n v="0"/>
    <n v="0"/>
    <n v="0"/>
    <n v="0"/>
    <n v="0"/>
    <n v="0"/>
    <n v="1"/>
  </r>
  <r>
    <x v="0"/>
    <x v="0"/>
    <s v="3.2.1.7.2"/>
    <x v="1"/>
    <n v="1"/>
    <n v="1"/>
    <n v="0"/>
    <n v="0"/>
    <n v="1"/>
    <n v="0"/>
    <n v="0"/>
    <n v="0"/>
    <n v="0"/>
    <n v="0"/>
    <n v="0"/>
    <n v="0"/>
    <n v="0"/>
    <n v="1"/>
    <n v="0"/>
  </r>
  <r>
    <x v="0"/>
    <x v="0"/>
    <s v="3.2.1.7.3"/>
    <x v="1"/>
    <n v="1"/>
    <n v="1"/>
    <n v="0"/>
    <n v="0"/>
    <n v="1"/>
    <n v="0"/>
    <n v="0"/>
    <n v="0"/>
    <n v="0"/>
    <n v="0"/>
    <n v="0"/>
    <n v="0"/>
    <n v="0"/>
    <n v="0"/>
    <n v="1"/>
  </r>
  <r>
    <x v="0"/>
    <x v="0"/>
    <s v="3.3.1.1"/>
    <x v="7"/>
    <n v="1"/>
    <n v="1"/>
    <n v="0"/>
    <n v="1"/>
    <n v="0"/>
    <n v="0"/>
    <n v="0"/>
    <n v="0"/>
    <n v="0"/>
    <n v="0"/>
    <n v="0"/>
    <n v="0"/>
    <n v="0"/>
    <n v="0"/>
    <n v="0"/>
  </r>
  <r>
    <x v="0"/>
    <x v="0"/>
    <s v="3.3.2.2"/>
    <x v="7"/>
    <n v="1"/>
    <n v="1"/>
    <n v="0"/>
    <n v="1"/>
    <n v="0"/>
    <n v="0"/>
    <n v="0"/>
    <n v="0"/>
    <n v="0"/>
    <n v="0"/>
    <n v="0"/>
    <n v="0"/>
    <n v="0"/>
    <n v="0"/>
    <n v="0"/>
  </r>
  <r>
    <x v="0"/>
    <x v="0"/>
    <s v="3.3.2.3.1"/>
    <x v="7"/>
    <n v="1"/>
    <n v="1"/>
    <n v="0"/>
    <n v="1"/>
    <n v="0"/>
    <n v="0"/>
    <n v="0"/>
    <n v="0"/>
    <n v="0"/>
    <n v="0"/>
    <n v="0"/>
    <n v="0"/>
    <n v="0"/>
    <n v="0"/>
    <n v="0"/>
  </r>
  <r>
    <x v="0"/>
    <x v="0"/>
    <s v="3.4.2.1.1"/>
    <x v="8"/>
    <n v="1"/>
    <n v="1"/>
    <n v="0"/>
    <n v="0"/>
    <n v="1"/>
    <n v="0"/>
    <n v="0"/>
    <n v="0"/>
    <n v="0"/>
    <n v="0"/>
    <n v="0"/>
    <n v="0"/>
    <n v="0"/>
    <n v="0"/>
    <n v="0"/>
  </r>
  <r>
    <x v="0"/>
    <x v="0"/>
    <s v="3.4.2.1.1"/>
    <x v="9"/>
    <n v="0"/>
    <n v="1"/>
    <n v="0"/>
    <n v="0"/>
    <n v="1"/>
    <n v="0"/>
    <n v="0"/>
    <n v="0"/>
    <n v="0"/>
    <n v="0"/>
    <n v="0"/>
    <n v="0"/>
    <n v="0"/>
    <n v="1"/>
    <n v="0"/>
  </r>
  <r>
    <x v="0"/>
    <x v="0"/>
    <s v="3.4.2.2.1"/>
    <x v="10"/>
    <n v="1"/>
    <n v="2"/>
    <n v="2"/>
    <n v="0"/>
    <n v="0"/>
    <n v="0"/>
    <n v="0"/>
    <n v="0"/>
    <n v="0"/>
    <n v="0"/>
    <n v="0"/>
    <n v="0"/>
    <n v="0"/>
    <n v="0"/>
    <n v="0"/>
  </r>
  <r>
    <x v="0"/>
    <x v="0"/>
    <s v="3.4.2.3.1"/>
    <x v="11"/>
    <n v="1"/>
    <n v="1"/>
    <n v="1"/>
    <n v="0"/>
    <n v="0"/>
    <n v="0"/>
    <n v="0"/>
    <n v="0"/>
    <n v="0"/>
    <n v="0"/>
    <n v="0"/>
    <n v="0"/>
    <n v="0"/>
    <n v="0"/>
    <n v="0"/>
  </r>
  <r>
    <x v="0"/>
    <x v="0"/>
    <s v="3.4.2.3.2"/>
    <x v="5"/>
    <n v="1"/>
    <n v="1"/>
    <n v="1"/>
    <n v="0"/>
    <n v="0"/>
    <n v="0"/>
    <n v="0"/>
    <n v="0"/>
    <n v="0"/>
    <n v="0"/>
    <n v="0"/>
    <n v="0"/>
    <n v="0"/>
    <n v="0"/>
    <n v="0"/>
  </r>
  <r>
    <x v="0"/>
    <x v="0"/>
    <s v="3.4.2.3.3"/>
    <x v="11"/>
    <n v="1"/>
    <n v="1"/>
    <n v="0"/>
    <n v="0"/>
    <n v="1"/>
    <n v="0"/>
    <n v="0"/>
    <n v="0"/>
    <n v="0"/>
    <n v="0"/>
    <n v="0"/>
    <n v="0"/>
    <n v="0"/>
    <n v="1"/>
    <n v="0"/>
  </r>
  <r>
    <x v="0"/>
    <x v="0"/>
    <s v="3.4.2.3.3"/>
    <x v="5"/>
    <n v="0"/>
    <n v="1"/>
    <n v="0"/>
    <n v="0"/>
    <n v="1"/>
    <n v="0"/>
    <n v="0"/>
    <n v="0"/>
    <n v="0"/>
    <n v="0"/>
    <n v="0"/>
    <n v="0"/>
    <n v="0"/>
    <n v="0"/>
    <n v="0"/>
  </r>
  <r>
    <x v="0"/>
    <x v="0"/>
    <s v="3.4.2.4.1"/>
    <x v="1"/>
    <n v="1"/>
    <n v="2"/>
    <n v="0"/>
    <n v="1"/>
    <n v="1"/>
    <n v="0"/>
    <n v="0"/>
    <n v="0"/>
    <n v="0"/>
    <n v="0"/>
    <n v="0"/>
    <n v="0"/>
    <n v="0"/>
    <n v="0"/>
    <n v="0"/>
  </r>
  <r>
    <x v="0"/>
    <x v="0"/>
    <s v="3.4.2.4.1"/>
    <x v="3"/>
    <n v="0"/>
    <n v="1"/>
    <n v="0"/>
    <n v="0"/>
    <n v="1"/>
    <n v="0"/>
    <n v="0"/>
    <n v="0"/>
    <n v="0"/>
    <n v="0"/>
    <n v="0"/>
    <n v="1"/>
    <n v="0"/>
    <n v="0"/>
    <n v="0"/>
  </r>
  <r>
    <x v="0"/>
    <x v="0"/>
    <s v="4.2.1"/>
    <x v="8"/>
    <n v="1"/>
    <n v="1"/>
    <n v="1"/>
    <n v="0"/>
    <n v="0"/>
    <n v="0"/>
    <n v="0"/>
    <n v="0"/>
    <n v="0"/>
    <n v="0"/>
    <n v="0"/>
    <n v="0"/>
    <n v="0"/>
    <n v="0"/>
    <n v="0"/>
  </r>
  <r>
    <x v="1"/>
    <x v="0"/>
    <s v="3.2.1.1"/>
    <x v="1"/>
    <n v="1"/>
    <n v="1"/>
    <n v="0"/>
    <n v="0"/>
    <n v="1"/>
    <n v="0"/>
    <n v="0"/>
    <n v="0"/>
    <n v="0"/>
    <n v="0"/>
    <n v="0"/>
    <n v="0"/>
    <n v="0"/>
    <n v="0"/>
    <n v="0"/>
  </r>
  <r>
    <x v="1"/>
    <x v="0"/>
    <s v="3.2.1.1"/>
    <x v="12"/>
    <n v="0"/>
    <n v="1"/>
    <n v="0"/>
    <n v="0"/>
    <n v="1"/>
    <n v="0"/>
    <n v="0"/>
    <n v="0"/>
    <n v="0"/>
    <n v="0"/>
    <n v="0"/>
    <n v="0"/>
    <n v="0"/>
    <n v="0"/>
    <n v="0"/>
  </r>
  <r>
    <x v="1"/>
    <x v="0"/>
    <s v="3.2.1.1"/>
    <x v="10"/>
    <n v="0"/>
    <n v="1"/>
    <n v="0"/>
    <n v="0"/>
    <n v="1"/>
    <n v="0"/>
    <n v="0"/>
    <n v="0"/>
    <n v="0"/>
    <n v="0"/>
    <n v="0"/>
    <n v="0"/>
    <n v="0"/>
    <n v="0"/>
    <n v="0"/>
  </r>
  <r>
    <x v="1"/>
    <x v="0"/>
    <s v="3.2.1.2"/>
    <x v="13"/>
    <n v="1"/>
    <n v="1"/>
    <n v="0"/>
    <n v="1"/>
    <n v="0"/>
    <n v="0"/>
    <n v="0"/>
    <n v="0"/>
    <n v="0"/>
    <n v="0"/>
    <n v="0"/>
    <n v="0"/>
    <n v="0"/>
    <n v="0"/>
    <n v="0"/>
  </r>
  <r>
    <x v="1"/>
    <x v="0"/>
    <s v="3.2.1.2"/>
    <x v="14"/>
    <n v="0"/>
    <n v="1"/>
    <n v="0"/>
    <n v="0"/>
    <n v="1"/>
    <n v="0"/>
    <n v="0"/>
    <n v="0"/>
    <n v="0"/>
    <n v="0"/>
    <n v="0"/>
    <n v="0"/>
    <n v="0"/>
    <n v="0"/>
    <n v="0"/>
  </r>
  <r>
    <x v="1"/>
    <x v="0"/>
    <s v="3.2.1.2"/>
    <x v="3"/>
    <n v="0"/>
    <n v="1"/>
    <n v="0"/>
    <n v="0"/>
    <n v="1"/>
    <n v="0"/>
    <n v="0"/>
    <n v="0"/>
    <n v="0"/>
    <n v="0"/>
    <n v="0"/>
    <n v="0"/>
    <n v="0"/>
    <n v="0"/>
    <n v="0"/>
  </r>
  <r>
    <x v="1"/>
    <x v="0"/>
    <s v="3.2.1.3"/>
    <x v="1"/>
    <n v="1"/>
    <n v="1"/>
    <n v="0"/>
    <n v="0"/>
    <n v="1"/>
    <n v="0"/>
    <n v="0"/>
    <n v="0"/>
    <n v="0"/>
    <n v="0"/>
    <n v="0"/>
    <n v="0"/>
    <n v="0"/>
    <n v="0"/>
    <n v="0"/>
  </r>
  <r>
    <x v="1"/>
    <x v="0"/>
    <s v="3.2.1.3"/>
    <x v="13"/>
    <n v="0"/>
    <n v="1"/>
    <n v="0"/>
    <n v="1"/>
    <n v="0"/>
    <n v="0"/>
    <n v="0"/>
    <n v="0"/>
    <n v="0"/>
    <n v="0"/>
    <n v="0"/>
    <n v="0"/>
    <n v="0"/>
    <n v="0"/>
    <n v="0"/>
  </r>
  <r>
    <x v="1"/>
    <x v="0"/>
    <s v="3.4.1.2"/>
    <x v="15"/>
    <n v="1"/>
    <n v="2"/>
    <n v="0"/>
    <n v="0"/>
    <n v="2"/>
    <n v="0"/>
    <n v="0"/>
    <n v="0"/>
    <n v="0"/>
    <n v="0"/>
    <n v="0"/>
    <n v="0"/>
    <n v="0"/>
    <n v="0"/>
    <n v="0"/>
  </r>
  <r>
    <x v="1"/>
    <x v="0"/>
    <s v="3.4.1.4"/>
    <x v="14"/>
    <n v="1"/>
    <n v="3"/>
    <n v="0"/>
    <n v="0"/>
    <n v="3"/>
    <n v="0"/>
    <n v="0"/>
    <n v="0"/>
    <n v="0"/>
    <n v="0"/>
    <n v="0"/>
    <n v="0"/>
    <n v="0"/>
    <n v="0"/>
    <n v="0"/>
  </r>
  <r>
    <x v="1"/>
    <x v="0"/>
    <s v="3.4.2.1.1"/>
    <x v="16"/>
    <n v="1"/>
    <n v="2"/>
    <n v="0"/>
    <n v="0"/>
    <n v="2"/>
    <n v="0"/>
    <n v="0"/>
    <n v="0"/>
    <n v="0"/>
    <n v="0"/>
    <n v="0"/>
    <n v="0"/>
    <n v="0"/>
    <n v="0"/>
    <n v="0"/>
  </r>
  <r>
    <x v="1"/>
    <x v="0"/>
    <s v="3.4.2.2.1"/>
    <x v="17"/>
    <n v="1"/>
    <n v="1"/>
    <n v="0"/>
    <n v="0"/>
    <n v="1"/>
    <n v="0"/>
    <n v="0"/>
    <n v="0"/>
    <n v="0"/>
    <n v="0"/>
    <n v="0"/>
    <n v="0"/>
    <n v="0"/>
    <n v="0"/>
    <n v="0"/>
  </r>
  <r>
    <x v="1"/>
    <x v="0"/>
    <s v="3.4.2.3.1"/>
    <x v="14"/>
    <n v="1"/>
    <n v="3"/>
    <n v="0"/>
    <n v="0"/>
    <n v="3"/>
    <n v="0"/>
    <n v="0"/>
    <n v="0"/>
    <n v="0"/>
    <n v="0"/>
    <n v="0"/>
    <n v="0"/>
    <n v="0"/>
    <n v="0"/>
    <n v="0"/>
  </r>
  <r>
    <x v="1"/>
    <x v="0"/>
    <s v="3.4.2.3.2"/>
    <x v="14"/>
    <n v="1"/>
    <n v="1"/>
    <n v="0"/>
    <n v="0"/>
    <n v="1"/>
    <n v="0"/>
    <n v="0"/>
    <n v="0"/>
    <n v="0"/>
    <n v="0"/>
    <n v="0"/>
    <n v="0"/>
    <n v="0"/>
    <n v="0"/>
    <n v="0"/>
  </r>
  <r>
    <x v="1"/>
    <x v="0"/>
    <s v="3.4.2.3.3"/>
    <x v="14"/>
    <n v="1"/>
    <n v="1"/>
    <n v="0"/>
    <n v="0"/>
    <n v="1"/>
    <n v="0"/>
    <n v="0"/>
    <n v="0"/>
    <n v="0"/>
    <n v="0"/>
    <n v="0"/>
    <n v="0"/>
    <n v="0"/>
    <n v="0"/>
    <n v="0"/>
  </r>
  <r>
    <x v="1"/>
    <x v="0"/>
    <s v="3.4.2.4.1"/>
    <x v="18"/>
    <n v="1"/>
    <n v="1"/>
    <n v="0"/>
    <n v="0"/>
    <n v="1"/>
    <n v="0"/>
    <n v="0"/>
    <n v="0"/>
    <n v="0"/>
    <n v="0"/>
    <n v="0"/>
    <n v="0"/>
    <n v="0"/>
    <n v="0"/>
    <n v="0"/>
  </r>
  <r>
    <x v="1"/>
    <x v="0"/>
    <s v="3.4.2.5.1"/>
    <x v="14"/>
    <n v="1"/>
    <n v="1"/>
    <n v="0"/>
    <n v="0"/>
    <n v="1"/>
    <n v="0"/>
    <n v="0"/>
    <n v="0"/>
    <n v="0"/>
    <n v="0"/>
    <n v="0"/>
    <n v="0"/>
    <n v="0"/>
    <n v="0"/>
    <n v="0"/>
  </r>
  <r>
    <x v="1"/>
    <x v="0"/>
    <s v="3.5.1"/>
    <x v="14"/>
    <n v="1"/>
    <n v="2"/>
    <n v="0"/>
    <n v="0"/>
    <n v="2"/>
    <n v="0"/>
    <n v="0"/>
    <n v="0"/>
    <n v="0"/>
    <n v="0"/>
    <n v="0"/>
    <n v="0"/>
    <n v="0"/>
    <n v="0"/>
    <n v="0"/>
  </r>
  <r>
    <x v="1"/>
    <x v="0"/>
    <s v="4.1.1"/>
    <x v="19"/>
    <n v="1"/>
    <n v="1"/>
    <n v="0"/>
    <n v="0"/>
    <n v="1"/>
    <n v="0"/>
    <n v="0"/>
    <n v="0"/>
    <n v="0"/>
    <n v="0"/>
    <n v="0"/>
    <n v="0"/>
    <n v="0"/>
    <n v="0"/>
    <n v="0"/>
  </r>
  <r>
    <x v="2"/>
    <x v="1"/>
    <s v="3.1.1.1"/>
    <x v="14"/>
    <n v="1"/>
    <n v="1"/>
    <n v="0"/>
    <n v="0"/>
    <n v="1"/>
    <n v="0"/>
    <n v="0"/>
    <n v="0"/>
    <n v="0"/>
    <n v="0"/>
    <n v="0"/>
    <n v="0"/>
    <n v="0"/>
    <n v="0"/>
    <n v="0"/>
  </r>
  <r>
    <x v="2"/>
    <x v="1"/>
    <s v="3.1.2.1"/>
    <x v="20"/>
    <n v="1"/>
    <n v="1"/>
    <n v="0"/>
    <n v="0"/>
    <n v="1"/>
    <n v="0"/>
    <n v="0"/>
    <n v="0"/>
    <n v="0"/>
    <n v="0"/>
    <n v="0"/>
    <n v="0"/>
    <n v="0"/>
    <n v="0"/>
    <n v="0"/>
  </r>
  <r>
    <x v="2"/>
    <x v="1"/>
    <s v="3.1.3.1"/>
    <x v="21"/>
    <n v="1"/>
    <n v="1"/>
    <n v="0"/>
    <n v="0"/>
    <n v="1"/>
    <n v="0"/>
    <n v="0"/>
    <n v="0"/>
    <n v="0"/>
    <n v="0"/>
    <n v="0"/>
    <n v="0"/>
    <n v="0"/>
    <n v="0"/>
    <n v="0"/>
  </r>
  <r>
    <x v="2"/>
    <x v="1"/>
    <s v="3.2.1.1.1"/>
    <x v="1"/>
    <n v="1"/>
    <n v="1"/>
    <n v="0"/>
    <n v="0"/>
    <n v="1"/>
    <n v="0"/>
    <n v="0"/>
    <n v="0"/>
    <n v="0"/>
    <n v="0"/>
    <n v="0"/>
    <n v="0"/>
    <n v="0"/>
    <n v="0"/>
    <n v="0"/>
  </r>
  <r>
    <x v="2"/>
    <x v="1"/>
    <s v="3.2.1.1.2"/>
    <x v="1"/>
    <n v="1"/>
    <n v="1"/>
    <n v="0"/>
    <n v="0"/>
    <n v="1"/>
    <n v="0"/>
    <n v="0"/>
    <n v="0"/>
    <n v="0"/>
    <n v="0"/>
    <n v="0"/>
    <n v="0"/>
    <n v="0"/>
    <n v="0"/>
    <n v="0"/>
  </r>
  <r>
    <x v="2"/>
    <x v="1"/>
    <s v="3.2.1.1.3"/>
    <x v="1"/>
    <n v="1"/>
    <n v="1"/>
    <n v="0"/>
    <n v="0"/>
    <n v="1"/>
    <n v="0"/>
    <n v="0"/>
    <n v="0"/>
    <n v="0"/>
    <n v="0"/>
    <n v="0"/>
    <n v="0"/>
    <n v="0"/>
    <n v="0"/>
    <n v="0"/>
  </r>
  <r>
    <x v="2"/>
    <x v="1"/>
    <s v="3.2.1.1.4"/>
    <x v="1"/>
    <n v="1"/>
    <n v="1"/>
    <n v="0"/>
    <n v="0"/>
    <n v="1"/>
    <n v="0"/>
    <n v="0"/>
    <n v="0"/>
    <n v="0"/>
    <n v="0"/>
    <n v="0"/>
    <n v="0"/>
    <n v="0"/>
    <n v="0"/>
    <n v="0"/>
  </r>
  <r>
    <x v="2"/>
    <x v="1"/>
    <s v="3.4.1.1.1"/>
    <x v="22"/>
    <n v="1"/>
    <n v="1"/>
    <n v="0"/>
    <n v="0"/>
    <n v="1"/>
    <n v="0"/>
    <n v="0"/>
    <n v="0"/>
    <n v="0"/>
    <n v="0"/>
    <n v="0"/>
    <n v="0"/>
    <n v="0"/>
    <n v="0"/>
    <n v="0"/>
  </r>
  <r>
    <x v="2"/>
    <x v="1"/>
    <s v="3.4.2.1.1"/>
    <x v="23"/>
    <n v="1"/>
    <n v="1"/>
    <n v="0"/>
    <n v="0"/>
    <n v="1"/>
    <n v="0"/>
    <n v="0"/>
    <n v="0"/>
    <n v="0"/>
    <n v="0"/>
    <n v="0"/>
    <n v="0"/>
    <n v="0"/>
    <n v="0"/>
    <n v="0"/>
  </r>
  <r>
    <x v="2"/>
    <x v="1"/>
    <s v="3.4.2.2.1"/>
    <x v="23"/>
    <n v="1"/>
    <n v="1"/>
    <n v="0"/>
    <n v="0"/>
    <n v="1"/>
    <n v="0"/>
    <n v="0"/>
    <n v="0"/>
    <n v="0"/>
    <n v="0"/>
    <n v="0"/>
    <n v="0"/>
    <n v="0"/>
    <n v="0"/>
    <n v="0"/>
  </r>
  <r>
    <x v="2"/>
    <x v="1"/>
    <s v="3.4.2.2.2"/>
    <x v="23"/>
    <n v="1"/>
    <n v="1"/>
    <n v="0"/>
    <n v="0"/>
    <n v="1"/>
    <n v="0"/>
    <n v="0"/>
    <n v="0"/>
    <n v="0"/>
    <n v="0"/>
    <n v="0"/>
    <n v="0"/>
    <n v="0"/>
    <n v="0"/>
    <n v="0"/>
  </r>
  <r>
    <x v="2"/>
    <x v="1"/>
    <s v="3.4.2.3.1"/>
    <x v="3"/>
    <n v="1"/>
    <n v="1"/>
    <n v="0"/>
    <n v="0"/>
    <n v="1"/>
    <n v="0"/>
    <n v="0"/>
    <n v="0"/>
    <n v="0"/>
    <n v="0"/>
    <n v="0"/>
    <n v="0"/>
    <n v="0"/>
    <n v="0"/>
    <n v="0"/>
  </r>
  <r>
    <x v="2"/>
    <x v="1"/>
    <s v="3.4.2.4.1"/>
    <x v="3"/>
    <n v="1"/>
    <n v="1"/>
    <n v="0"/>
    <n v="0"/>
    <n v="1"/>
    <n v="0"/>
    <n v="0"/>
    <n v="0"/>
    <n v="0"/>
    <n v="0"/>
    <n v="0"/>
    <n v="0"/>
    <n v="0"/>
    <n v="0"/>
    <n v="0"/>
  </r>
  <r>
    <x v="2"/>
    <x v="1"/>
    <s v="3.4.2.4.2"/>
    <x v="24"/>
    <n v="1"/>
    <n v="2"/>
    <n v="0"/>
    <n v="0"/>
    <n v="2"/>
    <n v="0"/>
    <n v="0"/>
    <n v="0"/>
    <n v="0"/>
    <n v="0"/>
    <n v="0"/>
    <n v="0"/>
    <n v="0"/>
    <n v="0"/>
    <n v="0"/>
  </r>
  <r>
    <x v="2"/>
    <x v="1"/>
    <s v="3.4.2.4.3"/>
    <x v="3"/>
    <n v="1"/>
    <n v="2"/>
    <n v="0"/>
    <n v="0"/>
    <n v="2"/>
    <n v="0"/>
    <n v="0"/>
    <n v="0"/>
    <n v="0"/>
    <n v="0"/>
    <n v="0"/>
    <n v="0"/>
    <n v="0"/>
    <n v="0"/>
    <n v="0"/>
  </r>
  <r>
    <x v="2"/>
    <x v="1"/>
    <s v="3.4.2.4.4"/>
    <x v="3"/>
    <n v="1"/>
    <n v="1"/>
    <n v="0"/>
    <n v="0"/>
    <n v="1"/>
    <n v="0"/>
    <n v="0"/>
    <n v="0"/>
    <n v="0"/>
    <n v="0"/>
    <n v="0"/>
    <n v="0"/>
    <n v="0"/>
    <n v="0"/>
    <n v="0"/>
  </r>
  <r>
    <x v="2"/>
    <x v="1"/>
    <s v="3.4.2.5.1"/>
    <x v="5"/>
    <n v="1"/>
    <n v="2"/>
    <n v="0"/>
    <n v="0"/>
    <n v="2"/>
    <n v="0"/>
    <n v="0"/>
    <n v="0"/>
    <n v="0"/>
    <n v="0"/>
    <n v="0"/>
    <n v="0"/>
    <n v="0"/>
    <n v="0"/>
    <n v="0"/>
  </r>
  <r>
    <x v="2"/>
    <x v="1"/>
    <s v="3.4.2.5.2"/>
    <x v="5"/>
    <n v="1"/>
    <n v="2"/>
    <n v="0"/>
    <n v="0"/>
    <n v="2"/>
    <n v="0"/>
    <n v="0"/>
    <n v="0"/>
    <n v="0"/>
    <n v="0"/>
    <n v="0"/>
    <n v="0"/>
    <n v="0"/>
    <n v="0"/>
    <n v="0"/>
  </r>
  <r>
    <x v="2"/>
    <x v="1"/>
    <s v="3.4.2.6.1"/>
    <x v="5"/>
    <n v="1"/>
    <n v="2"/>
    <n v="0"/>
    <n v="0"/>
    <n v="2"/>
    <n v="0"/>
    <n v="0"/>
    <n v="0"/>
    <n v="0"/>
    <n v="0"/>
    <n v="0"/>
    <n v="0"/>
    <n v="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
  <r>
    <n v="117"/>
    <s v="2025-10-10"/>
    <s v="MOVILIDAD"/>
    <s v="TERMINAL DE TRANSPORTE S.A."/>
    <s v="311"/>
    <x v="0"/>
    <x v="0"/>
    <x v="0"/>
    <n v="1"/>
    <s v="DIRECCIÓN SECTOR MOVILIDAD"/>
    <m/>
    <s v="AUDITORÍA FINANCIERA Y DE GESTIÓN Y RESULTADOS"/>
    <m/>
    <m/>
    <x v="0"/>
    <s v="FALENCIAS EN LA COMUNICACIÓN Y CONCILIACIÓN  DE LA INFORMACIÓN DE LAS DIFERENTES DEPENDENCIAS CON DESTINO A LOS ESTADOS FINANCIEROS DE LA TTSA"/>
    <x v="0"/>
    <s v="POLITICA CONTABLE PROPIEDAD PLANTA Y EQUIPO"/>
    <s v="PUBLICAR EN EL SIG - POLÍTICA  PROPIEDAD PLANTA Y EQUIPO PUBLICADO"/>
    <n v="100"/>
    <x v="0"/>
    <s v="2025-10-27"/>
    <x v="0"/>
    <s v=""/>
    <s v="ABIERTA"/>
    <m/>
    <x v="0"/>
    <s v="https://drive.google.com/drive/u/0/folders/1bmZSYTZPlrSq234glXYiTJCO48SccgqJ"/>
    <n v="-27"/>
    <x v="0"/>
    <x v="0"/>
    <x v="0"/>
    <x v="0"/>
    <s v="manuel.cifuentes@terminaldetransporte.gov.co,edgar.ortiz@terminaldetransporte.gov.co,roberto.bermudez@terminaldetransporte.gov.co,miguel.salina@terminaldetransporte.gov.co"/>
    <m/>
    <m/>
  </r>
  <r>
    <n v="118"/>
    <s v="2025-10-10"/>
    <s v="MOVILIDAD"/>
    <s v="TERMINAL DE TRANSPORTE S.A."/>
    <n v="311"/>
    <x v="0"/>
    <x v="0"/>
    <x v="0"/>
    <n v="2"/>
    <s v="DIRECCIÓN SECTOR MOVILIDAD"/>
    <m/>
    <s v="AUDITORÍA FINANCIERA Y DE GESTIÓN Y RESULTADOS"/>
    <m/>
    <m/>
    <x v="0"/>
    <s v="FALENCIAS EN LA COMUNICACIÓN Y CONCILIACIÓN  DE LA INFORMACIÓN DE LAS DIFERENTES DEPENDENCIAS CON DESTINO A LOS ESTADOS FINANCIEROS DE LA TTSA"/>
    <x v="1"/>
    <s v="PROCEDIMIENTO DE CONCILIACIÓN QUE INCLUYA COMPONENTE DEL RECAUDO ZONA DE PARQUEO PAGO"/>
    <s v="PUBLICAR EN EL SIG - PROCEDIMIENTO DE CONCILIACIÓN DEL RECAUDO ZPP, ACTUALIZADO Y PUBLICADO"/>
    <n v="100"/>
    <x v="1"/>
    <s v="2025-10-27"/>
    <x v="1"/>
    <s v=""/>
    <s v="ABIERTA"/>
    <s v="Se implementa el Procedimiento Conciliación Contable entre Dependencias CÓDIGO: GFI-PR12, el cual establece los lineamientos técnicos para la ejecución del procedimiento de conciliación contable entre dependencias y módulos del sistema."/>
    <x v="1"/>
    <s v="https://drive.google.com/drive/u/0/folders/1CI3HiTEJGC17Z1LFphzunlSzJ1WBkwbD"/>
    <s v=""/>
    <x v="0"/>
    <x v="0"/>
    <x v="0"/>
    <x v="0"/>
    <s v="roberto.bermudez@terminaldetransporte.gov.co,miguel.salina@terminaldetransporte.gov.co"/>
    <m/>
    <d v="2026-06-05T00:00:00"/>
  </r>
  <r>
    <n v="123"/>
    <s v="2025-10-10"/>
    <s v="MOVILIDAD"/>
    <s v="TERMINAL DE TRANSPORTE S.A."/>
    <s v="311"/>
    <x v="0"/>
    <x v="0"/>
    <x v="1"/>
    <n v="1"/>
    <s v="DIRECCIÓN SECTOR MOVILIDAD"/>
    <m/>
    <s v="AUDITORÍA FINANCIERA Y DE GESTIÓN Y RESULTADOS"/>
    <m/>
    <m/>
    <x v="1"/>
    <s v="FALTA DE SEGUIMIENTO Y CUMPLIMIENTO  OPORTUNO DE LOS TÉRMINOS ESTABLECIDOS EN LAS CLÁUSULAS CONTRACTUALES, Y DE LAS  OBLIGACIONES A CARGO DE LA TTSA"/>
    <x v="2"/>
    <s v="PROPUESTA DE NEGOCIO"/>
    <s v="RADICACIÓN DE LA PROPUESTA ENTREGADA AL IDU"/>
    <n v="100"/>
    <x v="2"/>
    <s v="2025-10-27"/>
    <x v="2"/>
    <s v=""/>
    <s v="ABIERTA"/>
    <s v="Mediante la solicitud de modificación y prórroga al Contrato Interadministrativo 1684 de 2022 con radicado 20250310109791 se solicita la eliminación de la obligación de pagos_x000a_de intereses con ocasión de retribución toda vez que, con la nueva metodología ya no_x000a_existiría aplicabilidad de estas obligaciones."/>
    <x v="1"/>
    <s v="https://drive.google.com/drive/u/0/folders/13AEf4WR13iErgZmA4pnPJeQYbfGTDHtV"/>
    <s v=""/>
    <x v="0"/>
    <x v="0"/>
    <x v="0"/>
    <x v="0"/>
    <s v="manuel.cifuentes@terminaldetransporte.gov.coedgar.ortiz@terminaldetransporte.gov.co"/>
    <m/>
    <m/>
  </r>
  <r>
    <n v="124"/>
    <s v="2025-10-10"/>
    <s v="MOVILIDAD"/>
    <s v="TERMINAL DE TRANSPORTE S.A."/>
    <s v="311"/>
    <x v="0"/>
    <x v="0"/>
    <x v="1"/>
    <n v="2"/>
    <s v="DIRECCIÓN SECTOR MOVILIDAD"/>
    <m/>
    <s v="AUDITORÍA FINANCIERA Y DE GESTIÓN Y RESULTADOS"/>
    <m/>
    <m/>
    <x v="1"/>
    <s v="FALTA DE SEGUIMIENTO Y CUMPLIMIENTO  OPORTUNO DE LOS TÉRMINOS ESTABLECIDOS EN LAS CLÁUSULAS CONTRACTUALES, Y DE LAS  OBLIGACIONES A CARGO DE LA TTSA"/>
    <x v="3"/>
    <s v="OTROSÍ A LOS CONTRATOS"/>
    <s v="ACEPTACIÓN DEL AJUSTE DE LA METODOLOGÍA POR PARTE DEL IDU A LOS CONTRATOS"/>
    <n v="100"/>
    <x v="2"/>
    <s v="2025-10-27"/>
    <x v="3"/>
    <s v=""/>
    <s v="ABIERTA"/>
    <s v="Mediante la prórroga 3 y modificación 3 al contrato interadministrativo  IDU - 1684 - 2022 se realiza ajuste de metodología para el pago y revisión de la retribución al IDU."/>
    <x v="1"/>
    <s v="https://drive.google.com/drive/u/0/folders/1_mR8Cs1sgxiV3mkUbPhb1XH-SO4cn6b9"/>
    <s v=""/>
    <x v="0"/>
    <x v="0"/>
    <x v="0"/>
    <x v="0"/>
    <m/>
    <m/>
    <m/>
  </r>
  <r>
    <n v="189"/>
    <s v="2025-10-10"/>
    <s v="MOVILIDAD"/>
    <s v="TERMINAL DE TRANSPORTE S.A."/>
    <s v="311"/>
    <x v="0"/>
    <x v="0"/>
    <x v="2"/>
    <n v="1"/>
    <s v="DIRECCIÓN SECTOR MOVILIDAD"/>
    <m/>
    <s v="AUDITORÍA FINANCIERA Y DE GESTIÓN Y RESULTADOS"/>
    <m/>
    <m/>
    <x v="2"/>
    <s v="AUSENCIA DE CONTROLES EFECTIVOS, SEGUIMIENTO OPORTUNO, DEFICIENTE COMUNICACIÓN ENTRE LAS DEPENDENCIAS DE LA  ENTIDAD, FALTA DE CONCILIACIÓN Y COBRO DE LAS INCAPACIDADES"/>
    <x v="4"/>
    <s v="PROCEDIMIENTO DE COBRO DE LAS INCAPACIDADES"/>
    <s v="PUBLICAR EN SIG - PROCEDIMIENTO DE COBRO DE INCAPACIDADES"/>
    <n v="100"/>
    <x v="3"/>
    <s v="2025-10-27"/>
    <x v="4"/>
    <s v=""/>
    <s v="ABIERTA"/>
    <s v="Se implementa el Procedimiento Trámite de Incapacidades CÓDIGO: GTS-PR22, el cual establece los lineamientos para el trámite de reconocimiento, liquidación, pago, cobro y conciliación de las incapacidades y licencias del personal de la Terminal de Transporte S.A."/>
    <x v="1"/>
    <s v="https://drive.google.com/drive/u/0/folders/1JnOu0yV7hzMBf-kTsas1TYZS8BWLGu6l"/>
    <s v=""/>
    <x v="0"/>
    <x v="0"/>
    <x v="0"/>
    <x v="0"/>
    <s v="diana.ortiz@terminaldetransporte.gov.co,linda.florez@terminaldetransporte.gov.co"/>
    <m/>
    <d v="2026-05-30T00:00:00"/>
  </r>
  <r>
    <n v="190"/>
    <s v="2025-10-10"/>
    <s v="MOVILIDAD"/>
    <s v="TERMINAL DE TRANSPORTE S.A."/>
    <s v="311"/>
    <x v="0"/>
    <x v="0"/>
    <x v="2"/>
    <n v="2"/>
    <s v="DIRECCIÓN SECTOR MOVILIDAD"/>
    <m/>
    <s v="AUDITORÍA FINANCIERA Y DE GESTIÓN Y RESULTADOS"/>
    <m/>
    <m/>
    <x v="2"/>
    <s v="AUSENCIA DE CONTROLES EFECTIVOS, SEGUIMIENTO OPORTUNO, DEFICIENTE COMUNICACIÓN ENTRE LAS DEPENDENCIAS DE LA  ENTIDAD, FALTA DE CONCILIACIÓN Y COBRO DE LAS INCAPACIDADES"/>
    <x v="5"/>
    <s v="CONTRATACIÓN DE PROFESIONAL PARA RECOBRO"/>
    <s v="CONTRATO DEL PERSONAL ASIGNADO PARA EL PROCESO DE COBRO A LAS EPS"/>
    <n v="100"/>
    <x v="3"/>
    <s v="2025-10-27"/>
    <x v="3"/>
    <s v=""/>
    <s v="ABIERTA"/>
    <s v="Se evidencia el cumplimiento de la acción, toda vez que se aportó el contrato de trabajo mediante el cual se vinculó una persona para el desempeño de funciones como Profesional de Seguridad Social y Cartera, cargo que guarda relación directa con la actividad de seguimiento al cobro de incapacidades, conforme al objeto contractual aportado."/>
    <x v="1"/>
    <s v="https://drive.google.com/drive/u/0/folders/1JnOu0yV7hzMBf-kTsas1TYZS8BWLGu6l"/>
    <s v=""/>
    <x v="0"/>
    <x v="0"/>
    <x v="0"/>
    <x v="0"/>
    <s v="diana.ortiz@terminaldetransporte.gov.co,linda.florez@terminaldetransporte.gov.co"/>
    <m/>
    <m/>
  </r>
  <r>
    <n v="191"/>
    <s v="2025-10-10"/>
    <s v="MOVILIDAD"/>
    <s v="TERMINAL DE TRANSPORTE S.A."/>
    <s v="311"/>
    <x v="0"/>
    <x v="0"/>
    <x v="2"/>
    <n v="3"/>
    <s v="DIRECCIÓN SECTOR MOVILIDAD"/>
    <m/>
    <s v="AUDITORÍA FINANCIERA Y DE GESTIÓN Y RESULTADOS"/>
    <m/>
    <m/>
    <x v="2"/>
    <s v="AUSENCIA DE CONTROLES EFECTIVOS, SEGUIMIENTO OPORTUNO, DEFICIENTE COMUNICACIÓN ENTRE LAS DEPENDENCIAS DE LA  ENTIDAD, FALTA DE CONCILIACIÓN Y COBRO DE LAS INCAPACIDADES"/>
    <x v="6"/>
    <s v="DEMANDA DE GESTIÓN DE RECOBRO"/>
    <s v="DEMANDAS PRESENTADAS RADICADAS EN LAS EPS"/>
    <n v="100"/>
    <x v="3"/>
    <s v="2025-10-27"/>
    <x v="5"/>
    <s v=""/>
    <s v="ABIERTA"/>
    <s v="Se presentan demandas a las EPS Compensar, Sanitas, Famisanar, Nueva EPS,Salud Total EPS, Alianza Salud EPS y Sura."/>
    <x v="1"/>
    <s v="https://drive.google.com/drive/u/0/folders/1LP5j8uUh8jyIwVIk_TVn3HdU5R3Ej52K"/>
    <s v=""/>
    <x v="0"/>
    <x v="0"/>
    <x v="0"/>
    <x v="0"/>
    <s v="diana.ortiz@terminaldetransporte.gov.co,linda.florez@terminaldetransporte.gov.co"/>
    <m/>
    <m/>
  </r>
  <r>
    <n v="193"/>
    <s v="2025-10-10"/>
    <s v="MOVILIDAD"/>
    <s v="TERMINAL DE TRANSPORTE S.A."/>
    <s v="311"/>
    <x v="0"/>
    <x v="0"/>
    <x v="3"/>
    <n v="1"/>
    <s v="DIRECCIÓN SECTOR MOVILIDAD"/>
    <m/>
    <s v="AUDITORÍA FINANCIERA Y DE GESTIÓN Y RESULTADOS"/>
    <m/>
    <m/>
    <x v="3"/>
    <s v="DEBILIDADES EN EL COBRO DE CÁNONES DE ARRENDAMIENTO DURANTE LA EJECUCIÓN DE CONTRATOS DE ARRENDAMIENTO"/>
    <x v="7"/>
    <s v="PROCEDIMIENTO DE GESTIÓN INMOBILIARIA"/>
    <s v="PUBLICACIÓN EN EL SIG - PROCEDIMIENTO DE GESTIÓN INMOBILIARIA"/>
    <n v="100"/>
    <x v="4"/>
    <s v="2025-10-27"/>
    <x v="6"/>
    <s v=""/>
    <s v="ABIERTA"/>
    <m/>
    <x v="0"/>
    <s v="https://drive.google.com/drive/u/0/folders/1QT49y1L5HwPHxc-EwvXz5gLce7HGc71K"/>
    <n v="78"/>
    <x v="0"/>
    <x v="0"/>
    <x v="0"/>
    <x v="0"/>
    <s v="manuel.cifuentes@terminaldetransporte.gov.co,edgar.ortiz@terminaldetransporte.gov.co,carlos.salcedo@terminaldetransporte.gov.co,juan.alviz@terminaldetransporte.gov.co,omar.gamboa@terminaldetransporte.gov.co"/>
    <m/>
    <m/>
  </r>
  <r>
    <n v="196"/>
    <s v="2025-10-10"/>
    <s v="MOVILIDAD"/>
    <s v="TERMINAL DE TRANSPORTE S.A."/>
    <s v="311"/>
    <x v="0"/>
    <x v="0"/>
    <x v="4"/>
    <n v="1"/>
    <s v="DIRECCIÓN SECTOR MOVILIDAD"/>
    <m/>
    <s v="AUDITORÍA FINANCIERA Y DE GESTIÓN Y RESULTADOS"/>
    <m/>
    <m/>
    <x v="4"/>
    <s v="DEBILIDADES DE GESTIÓN Y CONTROL POR PARTE DE LA TTSA A LO LARGO DEL CICLO DE ADQUISICIÓN/EXPROPIACIÓN Y EN LA FASE POSTERIOR DE DEPURACIÓN REGISTRAL, CATASTRAL Y TRIBUTARIA DEL INMUEBLE CON MATRÍCULA 051-191183"/>
    <x v="8"/>
    <s v="COMUNICACIONES DE GESTIÓN DE LA TTS.A. Y/O RESOLUCIÓN DEL MUNICIPIO DE SOACHA"/>
    <s v="RADICADOS DE LAS COMUNICACIONES Y/O RESOLUCIÓN EXPEDIDA POR EL MUNICIPIO SOACHA"/>
    <n v="100"/>
    <x v="2"/>
    <s v="2025-10-27"/>
    <x v="6"/>
    <s v=""/>
    <s v="ABIERTA"/>
    <m/>
    <x v="0"/>
    <s v="https://drive.google.com/drive/u/0/folders/1kilX7Bb9sV8Qh-eNoVoUyX1WaRol3HVN"/>
    <n v="78"/>
    <x v="0"/>
    <x v="0"/>
    <x v="0"/>
    <x v="0"/>
    <s v="manuel.cifuentes@terminaldetransporte.gov.co,edgar.ortiz@terminaldetransporte.gov.co"/>
    <m/>
    <m/>
  </r>
  <r>
    <n v="197"/>
    <s v="2025-10-10"/>
    <s v="MOVILIDAD"/>
    <s v="TERMINAL DE TRANSPORTE S.A."/>
    <s v="311"/>
    <x v="0"/>
    <x v="0"/>
    <x v="4"/>
    <n v="2"/>
    <s v="DIRECCIÓN SECTOR MOVILIDAD"/>
    <m/>
    <s v="AUDITORÍA FINANCIERA Y DE GESTIÓN Y RESULTADOS"/>
    <m/>
    <m/>
    <x v="4"/>
    <s v="DEBILIDADES DE GESTIÓN Y CONTROL POR PARTE DE LA TTSA A LO LARGO DEL CICLO DE ADQUISICIÓN/EXPROPIACIÓN Y EN LA FASE POSTERIOR DE DEPURACIÓN REGISTRAL, CATASTRAL Y TRIBUTARIA DEL INMUEBLE CON MATRÍCULA 051-191183"/>
    <x v="9"/>
    <s v="RELIQUIDACIÓN  PAGO IMPUESTOS"/>
    <s v="RECIBOS DE PAGO IMPUESTOS"/>
    <n v="100"/>
    <x v="1"/>
    <s v="2025-10-27"/>
    <x v="6"/>
    <s v=""/>
    <s v="ABIERTA"/>
    <m/>
    <x v="0"/>
    <s v="https://drive.google.com/drive/u/0/folders/1EubnA9GmEsmbl7UFcOUTjsykCzJiqONA"/>
    <n v="78"/>
    <x v="0"/>
    <x v="0"/>
    <x v="0"/>
    <x v="0"/>
    <s v="roberto.bermudez@terminaldetransporte.gov.co,miguel.salina@terminaldetransporte.gov.co"/>
    <m/>
    <m/>
  </r>
  <r>
    <n v="198"/>
    <s v="2025-10-10"/>
    <s v="MOVILIDAD"/>
    <s v="TERMINAL DE TRANSPORTE S.A."/>
    <s v="311"/>
    <x v="0"/>
    <x v="0"/>
    <x v="4"/>
    <n v="3"/>
    <s v="DIRECCIÓN SECTOR MOVILIDAD"/>
    <m/>
    <s v="AUDITORÍA FINANCIERA Y DE GESTIÓN Y RESULTADOS"/>
    <m/>
    <m/>
    <x v="4"/>
    <s v="DEBILIDADES DE GESTIÓN Y CONTROL POR PARTE DE LA TTSA A LO LARGO DEL CICLO DE ADQUISICIÓN/EXPROPIACIÓN Y EN LA FASE POSTERIOR DE DEPURACIÓN REGISTRAL, CATASTRAL Y TRIBUTARIA DEL INMUEBLE CON MATRÍCULA 051-191183"/>
    <x v="10"/>
    <s v="PROCEDIMIENTO PARA GESTIONAR EXPROPIACIONES"/>
    <s v="PUBLICACIÓN EN SIG - PROCEDIMIENTO PARA GESTIONAR EXPROPIACIONES"/>
    <n v="100"/>
    <x v="5"/>
    <s v="2025-10-27"/>
    <x v="6"/>
    <s v=""/>
    <s v="ABIERTA"/>
    <m/>
    <x v="0"/>
    <s v="https://drive.google.com/drive/u/0/folders/1RljHJeJbF-CMMxCEgzMTaJzp2W7ejDiQ"/>
    <n v="78"/>
    <x v="0"/>
    <x v="0"/>
    <x v="0"/>
    <x v="0"/>
    <s v="carlos.salcedo@terminaldetransporte.gov.co,juan.alviz@terminaldetransporte.gov.co,omar.gamboa@terminaldetransporte.gov.co"/>
    <m/>
    <m/>
  </r>
  <r>
    <n v="199"/>
    <s v="2025-10-10"/>
    <s v="MOVILIDAD"/>
    <s v="TERMINAL DE TRANSPORTE S.A."/>
    <s v="311"/>
    <x v="0"/>
    <x v="0"/>
    <x v="5"/>
    <n v="1"/>
    <s v="DIRECCIÓN SECTOR MOVILIDAD"/>
    <m/>
    <s v="AUDITORÍA FINANCIERA Y DE GESTIÓN Y RESULTADOS"/>
    <m/>
    <m/>
    <x v="5"/>
    <s v="FALTA DE VERIFICACIÓN Y ANÁLISIS OPORTUNOS DE LOS HECHOS ECONÓMICOS OBJETO DE REGISTRO EN LOS ESTADOS FINANCIEROS DE LA EMPRESA"/>
    <x v="11"/>
    <s v="REPOSITORIO DE DOCUMENTOS DIRECCIÓN FINANCIERA"/>
    <s v="REPOSITORIO CON LA DOCUMENTACIÓN DE CONSULTA"/>
    <n v="100"/>
    <x v="2"/>
    <s v="2025-10-27"/>
    <x v="7"/>
    <s v=""/>
    <s v="ABIERTA"/>
    <s v="Se adjuntan los soportes que sustentan el registro contable del lote soacha"/>
    <x v="1"/>
    <s v="https://drive.google.com/drive/u/0/folders/1BUliexC8UzwR6MWBai4BqV4CPPVNLOo_"/>
    <s v=""/>
    <x v="0"/>
    <x v="0"/>
    <x v="0"/>
    <x v="0"/>
    <s v="manuel.cifuentes@terminaldetransporte.gov.co,edgar.ortiz@terminaldetransporte.gov.co"/>
    <d v="2026-03-19T00:00:00"/>
    <d v="2026-02-15T00:00:00"/>
  </r>
  <r>
    <n v="200"/>
    <s v="2025-10-10"/>
    <s v="MOVILIDAD"/>
    <s v="TERMINAL DE TRANSPORTE S.A."/>
    <s v="311"/>
    <x v="0"/>
    <x v="0"/>
    <x v="5"/>
    <n v="2"/>
    <s v="DIRECCIÓN SECTOR MOVILIDAD"/>
    <m/>
    <s v="AUDITORÍA FINANCIERA Y DE GESTIÓN Y RESULTADOS"/>
    <m/>
    <m/>
    <x v="5"/>
    <s v="FALTA DE VERIFICACIÓN Y ANÁLISIS OPORTUNOS DE LOS HECHOS ECONÓMICOS OBJETO DE REGISTRO EN LOS ESTADOS FINANCIEROS DE LA EMPRESA"/>
    <x v="12"/>
    <s v="INFORME DE ANÁLISIS DEL AJUSTE DEL DETERIORO DEL ACTIVO DENOMINADO  &quot;LOTE SOACHA &quot;"/>
    <s v="INFORME DE ANÁLISIS DEL AJUSTE DEL DETERIORO DEL ACTIVO DENOMINADO  &quot;LOTE SOACHA &quot; PRESENTADO A LA REVISORÍA"/>
    <n v="100"/>
    <x v="1"/>
    <s v="2025-10-27"/>
    <x v="7"/>
    <s v=""/>
    <s v="ABIERTA"/>
    <s v="Se adjunta trazabilidad lote soacha"/>
    <x v="1"/>
    <s v="https://drive.google.com/drive/u/0/folders/1LrFlVUaxg4S1i_lDBuFwT2tUX6bRFlsT"/>
    <s v=""/>
    <x v="0"/>
    <x v="0"/>
    <x v="0"/>
    <x v="0"/>
    <s v="roberto.bermudez@terminaldetransporte.gov.co,miguel.salina@terminaldetransporte.gov.co"/>
    <d v="2026-02-11T00:00:00"/>
    <d v="2026-02-15T00:00:00"/>
  </r>
  <r>
    <n v="213"/>
    <s v="2025-10-10"/>
    <s v="MOVILIDAD"/>
    <s v="TERMINAL DE TRANSPORTE S.A."/>
    <s v="311"/>
    <x v="0"/>
    <x v="0"/>
    <x v="6"/>
    <n v="1"/>
    <s v="DIRECCIÓN SECTOR MOVILIDAD"/>
    <m/>
    <s v="AUDITORÍA FINANCIERA Y DE GESTIÓN Y RESULTADOS"/>
    <m/>
    <m/>
    <x v="6"/>
    <s v="FALTA DE SEGUIMIENTO, GESTIONES OPORTUNAS Y EFECTIVAS POR PARTE DE LA EMPRESA A FIN DE CUMPLIR CON LAS OBLIGACIONES EN MATERIA TRIBUTARIA Y SANEAR LA SITUACIÓN DE LA EMPRESA ANTE LA ADMINISTRACIÓN DE IMPUESTOS DISTRITALES"/>
    <x v="13"/>
    <s v="MANUAL, PROCEDIMIENTO E INSTRUCTIVO DE PAGO DE LOS IMPUESTOS A CARGO DE LA TTSA"/>
    <s v="PUBLICACIÓN MANUAL, PROCEDIMIENTO E INSTRUCTIVO DE PAGO DE LOS IMPUESTOS A CARGO DE LA TTSA"/>
    <n v="100"/>
    <x v="1"/>
    <s v="2025-10-27"/>
    <x v="8"/>
    <s v=""/>
    <s v="ABIERTA"/>
    <s v="Se implementa el Manual de Cumplimiento Tributario Nacional y Territorial CÓDIGO: GFI-MN02, el cual establece los lineamientos para la identificación, determinación, presentación y pago oportuno de las obligaciones tributarias del orden nacional y territorial de la Terminal de Transporte S.A.."/>
    <x v="1"/>
    <s v="https://drive.google.com/drive/u/0/folders/1IS9BzI07vze98OgBUC7T6wwNdSXGpNkr"/>
    <s v=""/>
    <x v="0"/>
    <x v="0"/>
    <x v="0"/>
    <x v="0"/>
    <s v="roberto.bermudez@terminaldetransporte.gov.co,miguel.salina@terminaldetransporte.gov.co"/>
    <m/>
    <d v="2026-06-05T00:00:00"/>
  </r>
  <r>
    <n v="214"/>
    <s v="2025-10-10"/>
    <s v="MOVILIDAD"/>
    <s v="TERMINAL DE TRANSPORTE S.A."/>
    <s v="311"/>
    <x v="0"/>
    <x v="0"/>
    <x v="6"/>
    <n v="2"/>
    <s v="DIRECCIÓN SECTOR MOVILIDAD"/>
    <m/>
    <s v="AUDITORÍA FINANCIERA Y DE GESTIÓN Y RESULTADOS"/>
    <m/>
    <m/>
    <x v="6"/>
    <s v="FALTA DE SEGUIMIENTO, GESTIONES OPORTUNAS Y EFECTIVAS POR PARTE DE LA EMPRESA A FIN DE CUMPLIR CON LAS OBLIGACIONES EN MATERIA TRIBUTARIA Y SANEAR LA SITUACIÓN DE LA EMPRESA ANTE LA ADMINISTRACIÓN DE IMPUESTOS DISTRITALES"/>
    <x v="14"/>
    <s v="ADMISIÓN DE LA DEMANDA"/>
    <s v="DECISIÓN DE LA DEMANDA"/>
    <n v="100"/>
    <x v="5"/>
    <s v="2025-10-27"/>
    <x v="6"/>
    <s v=""/>
    <s v="ABIERTA"/>
    <m/>
    <x v="0"/>
    <s v="https://drive.google.com/drive/u/0/folders/1IS9BzI07vze98OgBUC7T6wwNdSXGpNkr"/>
    <n v="78"/>
    <x v="0"/>
    <x v="0"/>
    <x v="0"/>
    <x v="0"/>
    <s v="carlos.salcedo@terminaldetransporte.gov.co,juan.alviz@terminaldetransporte.gov.co,omar.gamboa@terminaldetransporte.gov.co"/>
    <m/>
    <m/>
  </r>
  <r>
    <n v="215"/>
    <s v="2025-10-10"/>
    <s v="MOVILIDAD"/>
    <s v="TERMINAL DE TRANSPORTE S.A."/>
    <s v="311"/>
    <x v="0"/>
    <x v="0"/>
    <x v="7"/>
    <n v="1"/>
    <s v="DIRECCIÓN SECTOR MOVILIDAD"/>
    <m/>
    <s v="AUDITORÍA FINANCIERA Y DE GESTIÓN Y RESULTADOS"/>
    <m/>
    <m/>
    <x v="7"/>
    <s v="FALTA DE SEGUIMIENTO Y COORDINACIÓN OPORTUNOS ENTRE LAS DEPENDENCIAS INVOLUCRADAS EN LA ACTUALIZACIÓN DE LOS PROCESOS Y SU PRESENTACIÓN EN LOS ESTADOS FINANCIEROS A FIN DE GARANTIZAR FIABILIDAD DE LA INFORMACIÓN; ASÍ COMO FALLAS EN EL PROCESO DE VERIFICACIÓN Y CONCILIACIÓN DE LA INFORMACIÓN CONTABLE REGISTRADA EN LAS CUENTAS DE ORDEN A FIN DE EFECTUAR EL REGISTRO DE LOS HECHOS ECONÓMICOS"/>
    <x v="15"/>
    <s v="CONCILIACIÓN FINANCIERA Y JURÍDICA TRIMESTRAL"/>
    <s v="CONCILIACIÓN FINANCIERA Y JURÍDICA REVISADA Y APROBADA A TRAVÉS DE UN ACTA"/>
    <n v="100"/>
    <x v="6"/>
    <s v="2025-10-27"/>
    <x v="7"/>
    <s v=""/>
    <s v="ABIERTA"/>
    <s v="Se implementa el Procedimiento Conciliación Contable entre Dependencias CÓDIGO: GFI-PR12, el cual establece los lineamientos técnicos para la ejecución del procedimiento de conciliación contable entre dependencias y módulos del sistema."/>
    <x v="1"/>
    <s v="https://drive.google.com/drive/u/0/folders/1aHFBvgTk-FT0bdoX0QmHymE66qf1IFR_"/>
    <s v=""/>
    <x v="0"/>
    <x v="0"/>
    <x v="0"/>
    <x v="0"/>
    <s v="roberto.bermudez@terminaldetransporte.gov.co,miguel.salina@terminaldetransporte.gov.co,carlos.salcedo@terminaldetransporte.gov.co,juan.alviz@terminaldetransporte.gov.co,omar.gamboa@terminaldetransporte.gov.co"/>
    <m/>
    <d v="2026-06-05T00:00:00"/>
  </r>
  <r>
    <n v="221"/>
    <s v="2025-10-10"/>
    <s v="MOVILIDAD"/>
    <s v="TERMINAL DE TRANSPORTE S.A."/>
    <s v="311"/>
    <x v="0"/>
    <x v="0"/>
    <x v="8"/>
    <n v="1"/>
    <s v="DIRECCIÓN SECTOR MOVILIDAD"/>
    <m/>
    <s v="AUDITORÍA FINANCIERA Y DE GESTIÓN Y RESULTADOS"/>
    <m/>
    <m/>
    <x v="8"/>
    <s v="FALTA DE GESTIÓN EFECTIVA PARA LA IDENTIFICACIÓN OPORTUNA DE LAS CONSIGNACIONES A FAVOR DE LA EMPRESA"/>
    <x v="16"/>
    <s v="PROCEDIMIENTO DE CONCILIACIÓN"/>
    <s v="PUBLICACIÓN EN EL SIG - PROCEDIMIENTO DE CONCILIACIÓN"/>
    <n v="100"/>
    <x v="1"/>
    <s v="2025-10-27"/>
    <x v="7"/>
    <s v=""/>
    <s v="ABIERTA"/>
    <s v="Se implementa el Procedimiento Conciliación Contable entre Dependencias CÓDIGO: GFI-PR12, el cual establece los lineamientos técnicos para la ejecución del procedimiento de conciliación contable entre dependencias y módulos del sistema."/>
    <x v="1"/>
    <s v="https://drive.google.com/drive/u/0/folders/1oUoOnifZqp3W4mYrOW68kzU0GpYJ3nxT"/>
    <s v=""/>
    <x v="0"/>
    <x v="0"/>
    <x v="0"/>
    <x v="0"/>
    <s v="roberto.bermudez@terminaldetransporte.gov.co,miguel.salina@terminaldetransporte.gov.co"/>
    <m/>
    <d v="2026-06-05T00:00:00"/>
  </r>
  <r>
    <n v="222"/>
    <s v="2025-10-10"/>
    <s v="MOVILIDAD"/>
    <s v="TERMINAL DE TRANSPORTE S.A."/>
    <s v="311"/>
    <x v="0"/>
    <x v="0"/>
    <x v="9"/>
    <n v="1"/>
    <s v="DIRECCIÓN SECTOR MOVILIDAD"/>
    <m/>
    <s v="AUDITORÍA FINANCIERA Y DE GESTIÓN Y RESULTADOS"/>
    <m/>
    <m/>
    <x v="9"/>
    <s v="FALTA DE VERIFICACIÓN, SEGUIMIENTO, CONCILIACIÓN Y COMUNICACIÓN OPORTUNOS Y EFECTIVOS EN RELACIÓN CON LAS OPERACIONES RECÍPROCAS DE LA TTSA"/>
    <x v="17"/>
    <s v="ELABORACIÓN DE COMUNICACIÓNES TRIMESTRALES CON LAS ENTIDADES QUE SE PRESENTEN DIFERENCIAS"/>
    <s v="RADICACIÓN DE LAS COMUNICACIONES MEDIANTE LOS CANALES OFICIALES"/>
    <n v="100"/>
    <x v="1"/>
    <s v="2025-10-27"/>
    <x v="7"/>
    <s v=""/>
    <s v="ABIERTA"/>
    <s v="Se adjuntan como soportes el intercambio de correos entre la Terminal y las diferentes entidades, donde se evidencia el inicio del proceso de conciliación."/>
    <x v="1"/>
    <s v="https://drive.google.com/drive/u/0/folders/1-rp0F0Qm5cHNCs9njGSGW2S5ygoSrWrO"/>
    <s v=""/>
    <x v="0"/>
    <x v="0"/>
    <x v="0"/>
    <x v="0"/>
    <s v="roberto.bermudez@terminaldetransporte.gov.co,miguel.salina@terminaldetransporte.gov.co"/>
    <m/>
    <d v="2026-05-30T00:00:00"/>
  </r>
  <r>
    <n v="223"/>
    <s v="2025-10-10"/>
    <s v="MOVILIDAD"/>
    <s v="TERMINAL DE TRANSPORTE S.A."/>
    <s v="311"/>
    <x v="0"/>
    <x v="0"/>
    <x v="10"/>
    <n v="1"/>
    <s v="DIRECCIÓN SECTOR MOVILIDAD"/>
    <m/>
    <s v="AUDITORÍA FINANCIERA Y DE GESTIÓN Y RESULTADOS"/>
    <m/>
    <m/>
    <x v="10"/>
    <s v="FALENCIAS EN LA APLICACIÓN DE CONTROLES OPORTUNOS PARA EL SEGUIMIENTO DE LOS SALDOS OBTENIDOS POR LAS ÁREAS PROVEEDORAS DE INFORMACIÓN CONTABLE Y LOS ESTADOS FINANCIEROS A TRAVÉS DE LAS CONCILIACIONES ENTRE LAS DEPENDENCIAS DURANTE LA VIGENCIA 2024"/>
    <x v="16"/>
    <s v="PROCEDIMIENTO DE CONCILIACIÓN"/>
    <s v="PUBLICACIÓN EN EL SIG - PROCEDIMIENTO DE CONCILIACIÓN"/>
    <n v="100"/>
    <x v="1"/>
    <s v="2025-10-27"/>
    <x v="7"/>
    <s v=""/>
    <s v="ABIERTA"/>
    <s v="Se implementa el Procedimiento Conciliación Contable entre Dependencias CÓDIGO: GFI-PR12, el cual establece los lineamientos técnicos para la ejecución del procedimiento de conciliación contable entre dependencias y módulos del sistema."/>
    <x v="1"/>
    <s v="https://drive.google.com/drive/u/0/folders/1nYr8Nyhz_mddLH5Y5iHfsLpVSFIotB0g"/>
    <s v=""/>
    <x v="0"/>
    <x v="0"/>
    <x v="0"/>
    <x v="0"/>
    <s v="roberto.bermudez@terminaldetransporte.gov.co,miguel.salina@terminaldetransporte.gov.co"/>
    <m/>
    <d v="2026-06-05T00:00:00"/>
  </r>
  <r>
    <n v="230"/>
    <s v="2025-10-10"/>
    <s v="MOVILIDAD"/>
    <s v="TERMINAL DE TRANSPORTE S.A."/>
    <s v="311"/>
    <x v="0"/>
    <x v="0"/>
    <x v="11"/>
    <n v="1"/>
    <s v="DIRECCIÓN SECTOR MOVILIDAD"/>
    <m/>
    <s v="AUDITORÍA FINANCIERA Y DE GESTIÓN Y RESULTADOS"/>
    <m/>
    <m/>
    <x v="11"/>
    <s v="INCUMPLIMIENTO DE ALGUNAS ACTIVIDADES DEL LINEAMIENTO PRESUPUESTAL ESTABLECIDO EN EL MANUAL DE PRESUPUESTO INSTITUCIONAL"/>
    <x v="18"/>
    <s v="CUMPLIMIENTO DEL PLAN DE ACTUALIZACIÓN DEL MANUAL DE PRESUPUESTO"/>
    <s v="PUBLICACIÓN EN EL SIG- MANUAL DEL PRESUPUESTO"/>
    <n v="100"/>
    <x v="7"/>
    <s v="2025-10-27"/>
    <x v="9"/>
    <s v=""/>
    <s v="ABIERTA"/>
    <m/>
    <x v="2"/>
    <s v="https://drive.google.com/drive/u/0/folders/14P1qKtAiC-YzKemPT5X0iBzfxnAFb5ip"/>
    <s v=""/>
    <x v="0"/>
    <x v="0"/>
    <x v="0"/>
    <x v="0"/>
    <s v="roberto.bermudez@terminaldetransporte.gov.co,miguel.salina@terminaldetransporte.gov.co"/>
    <m/>
    <m/>
  </r>
  <r>
    <n v="232"/>
    <s v="2025-10-10"/>
    <s v="MOVILIDAD"/>
    <s v="TERMINAL DE TRANSPORTE S.A."/>
    <s v="311"/>
    <x v="0"/>
    <x v="0"/>
    <x v="12"/>
    <n v="1"/>
    <s v="DIRECCIÓN SECTOR MOVILIDAD"/>
    <m/>
    <s v="AUDITORÍA FINANCIERA Y DE GESTIÓN Y RESULTADOS"/>
    <m/>
    <m/>
    <x v="12"/>
    <s v="EXISTENCIA DE DOS TIPOS DE REGISTROS DE EXPEDICIÓN DE CDP Y CRP CON INCONSISTENCIAS"/>
    <x v="18"/>
    <s v="CUMPLIMIENTO DEL PLAN DE ACTUALIZACIÓN DEL MANUAL DE PRESUPUESTO"/>
    <s v="PUBLICACIÓN EN EL SIG- MANUAL DEL PRESUPUESTO"/>
    <n v="100"/>
    <x v="7"/>
    <s v="2025-10-27"/>
    <x v="10"/>
    <s v=""/>
    <s v="ABIERTA"/>
    <m/>
    <x v="2"/>
    <s v="https://drive.google.com/drive/u/0/folders/1gFWUgRMGQMoMIs5t5-wrGMmiUXXbS50u"/>
    <s v=""/>
    <x v="0"/>
    <x v="0"/>
    <x v="0"/>
    <x v="0"/>
    <s v="roberto.bermudez@terminaldetransporte.gov.co,miguel.salina@terminaldetransporte.gov.co"/>
    <m/>
    <m/>
  </r>
  <r>
    <n v="233"/>
    <s v="2025-10-10"/>
    <s v="MOVILIDAD"/>
    <s v="TERMINAL DE TRANSPORTE S.A."/>
    <s v="311"/>
    <x v="0"/>
    <x v="0"/>
    <x v="13"/>
    <n v="1"/>
    <s v="DIRECCIÓN SECTOR MOVILIDAD"/>
    <m/>
    <s v="AUDITORÍA FINANCIERA Y DE GESTIÓN Y RESULTADOS"/>
    <m/>
    <m/>
    <x v="13"/>
    <s v="INCUMPLIMIENTO DEL PROCEDIMIENTO INTERNO DE PAGO DE CUENTAS POR PAGAR DENTRO DEL PLAZO SEÑALADO"/>
    <x v="18"/>
    <s v="CUMPLIMIENTO DEL PLAN DE ACTUALIZACIÓN DEL MANUAL DE PRESUPUESTO"/>
    <s v="PUBLICACIÓN EN EL SIG- MANUAL DEL PRESUPUESTO"/>
    <n v="100"/>
    <x v="7"/>
    <s v="2025-10-27"/>
    <x v="10"/>
    <s v=""/>
    <s v="ABIERTA"/>
    <m/>
    <x v="2"/>
    <s v="https://drive.google.com/drive/u/0/folders/1S5KdfBLYx-YHAeqUV10IyafbWn3tAV6c"/>
    <s v=""/>
    <x v="0"/>
    <x v="0"/>
    <x v="0"/>
    <x v="0"/>
    <s v="roberto.bermudez@terminaldetransporte.gov.co,miguel.salina@terminaldetransporte.gov.co"/>
    <m/>
    <m/>
  </r>
  <r>
    <n v="244"/>
    <s v="2025-10-10"/>
    <s v="MOVILIDAD"/>
    <s v="TERMINAL DE TRANSPORTE S.A."/>
    <s v="311"/>
    <x v="0"/>
    <x v="0"/>
    <x v="14"/>
    <n v="1"/>
    <s v="DIRECCIÓN SECTOR MOVILIDAD"/>
    <m/>
    <s v="AUDITORÍA FINANCIERA Y DE GESTIÓN Y RESULTADOS"/>
    <m/>
    <m/>
    <x v="14"/>
    <s v="PLANEACIÓN PRECONTRACTUAL INSUFICIENTE  GESTIÓN CONTRACTUAL DEFICIENTE AL MOMENTO DE LA ACEPTACIÓN   SUPERVISIÓN DÉBIL  GOBERNANZA TECNOLÓGICA INSUFICIENTE"/>
    <x v="19"/>
    <s v="INFORME DE FUNCIONALIDAD DEL SISTEMA"/>
    <s v="PRESENTACIÓN DE INFORME"/>
    <n v="100"/>
    <x v="8"/>
    <s v="2025-10-27"/>
    <x v="5"/>
    <s v=""/>
    <s v="ABIERTA"/>
    <s v="Se adjunta Informe que detalla y explica el funcionamiento de cada uno de los componentes de la solución, y evidencia de las pruebas efectuadas para el recibo de esta. además, del funcionamiento actual de la solución tecnológica y el estado de las reclamaciones gestionadas ante la aseguradora"/>
    <x v="1"/>
    <s v="https://drive.google.com/drive/u/0/folders/1FtPipptfNQSnRuDzBLHttv5QsFbt4_i4"/>
    <s v=""/>
    <x v="0"/>
    <x v="0"/>
    <x v="0"/>
    <x v="0"/>
    <s v="leonardo.vasquez@terminaldetransporte.gov.co,manuel.salgado@terminaldetransporte.gov.co,edgar.guzman@terminaldetransporte.gov.co,julio.mosquera@terminaldetransporte.gov.co"/>
    <m/>
    <m/>
  </r>
  <r>
    <n v="245"/>
    <s v="2025-10-10"/>
    <s v="MOVILIDAD"/>
    <s v="TERMINAL DE TRANSPORTE S.A."/>
    <s v="311"/>
    <x v="0"/>
    <x v="0"/>
    <x v="14"/>
    <n v="2"/>
    <s v="DIRECCIÓN SECTOR MOVILIDAD"/>
    <m/>
    <s v="AUDITORÍA FINANCIERA Y DE GESTIÓN Y RESULTADOS"/>
    <m/>
    <m/>
    <x v="14"/>
    <s v="PLANEACIÓN PRECONTRACTUAL INSUFICIENTE  GESTIÓN CONTRACTUAL DEFICIENTE AL MOMENTO DE LA ACEPTACIÓN   SUPERVISIÓN DÉBIL  GOBERNANZA TECNOLÓGICA INSUFICIENTE"/>
    <x v="20"/>
    <s v="PROCEDIMIENTO MANTENIMIENTO PREVENTIVO CORRECTIVO Y PLAN DE MANTENIMENTO CORRECTIVO Y PREVENTIVO"/>
    <s v="PUBLICACIÓN EN EL SIG - PROCEDIMIENTO MANTENIMIENTO PREVENTIVO CORRECTIVO FTI-PR08, Y DEL PLAN DE MANTENIMENTO CORRECTIVO Y PREVENTIVO FTI-PL01 DE LA TTSA"/>
    <n v="100"/>
    <x v="9"/>
    <s v="2025-10-27"/>
    <x v="8"/>
    <s v=""/>
    <s v="ABIERTA"/>
    <s v="Se actualzian los Procedimeintos MANTENIMIENTO PREVENTIVO CORRECTIVO FTI-PR08, Y DEL PLAN DE MANTENIMENTO CORRECTIVO Y PREVENTIVO FTI-PL01 DE LA TTSA, referncuiando la infraestructura del control de tiempos de permanencia"/>
    <x v="1"/>
    <s v="https://drive.google.com/drive/u/0/folders/1FtPipptfNQSnRuDzBLHttv5QsFbt4_i4"/>
    <s v=""/>
    <x v="0"/>
    <x v="0"/>
    <x v="0"/>
    <x v="0"/>
    <s v="julio.mosquera@terminaldetransporte.gov.co,manuel.salgado@terminaldetransporte.gov.co,edgar.guzman@terminaldetransporte.gov.co,Jesus.duarte@terminaldetransporte.gov.co"/>
    <d v="2026-03-01T00:00:00"/>
    <d v="2026-05-30T00:00:00"/>
  </r>
  <r>
    <n v="246"/>
    <s v="2025-10-10"/>
    <s v="MOVILIDAD"/>
    <s v="TERMINAL DE TRANSPORTE S.A."/>
    <s v="311"/>
    <x v="0"/>
    <x v="0"/>
    <x v="15"/>
    <n v="1"/>
    <s v="DIRECCIÓN SECTOR MOVILIDAD"/>
    <m/>
    <s v="AUDITORÍA FINANCIERA Y DE GESTIÓN Y RESULTADOS"/>
    <m/>
    <m/>
    <x v="15"/>
    <s v="PAGO INJUSTIFICADO DEL AIU Y PARTE DEL IVA"/>
    <x v="21"/>
    <s v="ANEXO DETALLADO DEL ESTUDIO DE MERCADO DE LOS COSTOS CONTRACTUALES DE LOS SERVICIOS DE VIGILANCIA"/>
    <s v="ANEXO DETALLADO DEL ESTUDIO DE MERCADO DE LOS CONTRATOS DE VIGILANCIA"/>
    <n v="100"/>
    <x v="10"/>
    <s v="2025-10-27"/>
    <x v="6"/>
    <s v=""/>
    <s v="ABIERTA"/>
    <m/>
    <x v="0"/>
    <s v="https://drive.google.com/drive/u/0/folders/1QycXzX7KEyRWZIzCiZduAkCCQ4bGJsSg"/>
    <n v="78"/>
    <x v="0"/>
    <x v="0"/>
    <x v="0"/>
    <x v="0"/>
    <s v="eduardo.gonzalez@terminaldetransporte.gov.co,manuel.santamaria@terminaldetransporte.gov.co"/>
    <m/>
    <m/>
  </r>
  <r>
    <n v="247"/>
    <s v="2025-10-10"/>
    <s v="MOVILIDAD"/>
    <s v="TERMINAL DE TRANSPORTE S.A."/>
    <s v="311"/>
    <x v="0"/>
    <x v="0"/>
    <x v="15"/>
    <n v="2"/>
    <s v="DIRECCIÓN SECTOR MOVILIDAD"/>
    <m/>
    <s v="AUDITORÍA FINANCIERA Y DE GESTIÓN Y RESULTADOS"/>
    <m/>
    <m/>
    <x v="15"/>
    <s v="PAGO INJUSTIFICADO DEL AIU Y PARTE DEL IVA"/>
    <x v="22"/>
    <s v="CONCEPTO C-065-2025 DE COLOMBIA COMPRA EFICIENTE CONCEPTO 083-2022  CONTRALORÍA GENERAL"/>
    <s v="IDENTIFICACIÓN DE LOS CONCEPTOS DE COLOMBIA COMPRA EFICIENTE, LOS ENTES REGULADORES Y/O DE CONTROL RELACIONADOS CON EL AIU EN CONTRATOS DE VIGILANCIA"/>
    <n v="100"/>
    <x v="10"/>
    <s v="2025-10-27"/>
    <x v="6"/>
    <s v=""/>
    <s v="ABIERTA"/>
    <m/>
    <x v="0"/>
    <s v="https://drive.google.com/drive/u/0/folders/1tuZORUcxjX6PVP3fksW0wknXGprxA46m"/>
    <n v="78"/>
    <x v="0"/>
    <x v="0"/>
    <x v="0"/>
    <x v="0"/>
    <s v="eduardo.gonzalez@terminaldetransporte.gov.co,manuel.santamaria@terminaldetransporte.gov.co"/>
    <m/>
    <m/>
  </r>
  <r>
    <n v="255"/>
    <s v="2025-10-10"/>
    <s v="MOVILIDAD"/>
    <s v="TERMINAL DE TRANSPORTE S.A."/>
    <s v="311"/>
    <x v="0"/>
    <x v="0"/>
    <x v="16"/>
    <n v="1"/>
    <s v="DIRECCIÓN SECTOR MOVILIDAD"/>
    <m/>
    <s v="AUDITORÍA FINANCIERA Y DE GESTIÓN Y RESULTADOS"/>
    <m/>
    <m/>
    <x v="16"/>
    <s v="NO APLICACIÓN DEL PRINCIPIO DE PLANEACIÓN AL ACTUALIZAR PRECIOS SIN FÓRMULA DE REAJUSTE"/>
    <x v="23"/>
    <s v="REDACCIÓN DE CLÁUSULA"/>
    <s v="FORMALIZACIÓN DE CONTRATOS"/>
    <n v="100"/>
    <x v="11"/>
    <s v="2025-10-27"/>
    <x v="6"/>
    <s v=""/>
    <s v="ABIERTA"/>
    <m/>
    <x v="0"/>
    <s v="https://drive.google.com/drive/u/0/folders/1f-eEYBbHrafzNrQi8Fnv29rVPz4-XqL_"/>
    <n v="78"/>
    <x v="0"/>
    <x v="0"/>
    <x v="0"/>
    <x v="0"/>
    <s v="fabian.silva@terminaldetransporte.gov.co,anderson.reyes@terminaldetransporte.gov.co,leonardo.vasquez@terminaldetransporte.gov.co"/>
    <m/>
    <m/>
  </r>
  <r>
    <n v="256"/>
    <s v="2025-10-10"/>
    <s v="MOVILIDAD"/>
    <s v="TERMINAL DE TRANSPORTE S.A."/>
    <s v="311"/>
    <x v="0"/>
    <x v="0"/>
    <x v="17"/>
    <n v="1"/>
    <s v="DIRECCIÓN SECTOR MOVILIDAD"/>
    <m/>
    <s v="AUDITORÍA FINANCIERA Y DE GESTIÓN Y RESULTADOS"/>
    <m/>
    <m/>
    <x v="17"/>
    <s v="INCUMPLIMIENTO EN LA PUBLICACIÓN DE INFORMACIÓN CONTRACTUAL EN LA PLATAFORMA SECOP II"/>
    <x v="24"/>
    <s v="LINEAMIENTOS DE PUBLICACIÓN"/>
    <s v="SOCIALIZACIÓN Y FORMALIZACIÓN DE LOS LINEAMIENTOS A TRAVÉS DEL GESTOR DOCUMENTAL"/>
    <n v="100"/>
    <x v="5"/>
    <s v="2025-10-27"/>
    <x v="6"/>
    <s v=""/>
    <s v="ABIERTA"/>
    <m/>
    <x v="0"/>
    <s v="https://drive.google.com/drive/u/0/folders/1dsZmy5um6-qhZPvusn_XKe0f6iNeojJy"/>
    <n v="78"/>
    <x v="0"/>
    <x v="0"/>
    <x v="0"/>
    <x v="0"/>
    <s v="carlos.salcedo@terminaldetransporte.gov.co,juan.alviz@terminaldetransporte.gov.co,omar.gamboa@terminaldetransporte.gov.co"/>
    <m/>
    <m/>
  </r>
  <r>
    <n v="259"/>
    <s v="2025-10-10"/>
    <s v="MOVILIDAD"/>
    <s v="TERMINAL DE TRANSPORTE S.A."/>
    <s v="311"/>
    <x v="0"/>
    <x v="0"/>
    <x v="18"/>
    <n v="1"/>
    <s v="DIRECCIÓN SECTOR MOVILIDAD"/>
    <m/>
    <s v="AUDITORÍA FINANCIERA Y DE GESTIÓN Y RESULTADOS"/>
    <m/>
    <m/>
    <x v="18"/>
    <s v="PAGO DE ÍTEMS NO PREVISTOS SIN APROBACIÓN PREVIA DEL SUPERVISOR"/>
    <x v="25"/>
    <s v="INFORME DE SUPERVISIÓN"/>
    <s v="FORMALIZACIÓN DE LOS INFORMES DE SUPERVISIÓN"/>
    <n v="100"/>
    <x v="11"/>
    <s v="2025-10-27"/>
    <x v="0"/>
    <s v=""/>
    <s v="ABIERTA"/>
    <s v="Se adjunta el informe "/>
    <x v="1"/>
    <s v="https://drive.google.com/drive/u/0/folders/1kRM93V6KZcKh3MbJu1wBUaeaP3zmW_Zx"/>
    <s v=""/>
    <x v="0"/>
    <x v="0"/>
    <x v="0"/>
    <x v="0"/>
    <s v="fabian.silva@terminaldetransporte.gov.co,anderson.reyes@terminaldetransporte.gov.co,leonardo.vasquez@terminaldetransporte.gov.co"/>
    <m/>
    <d v="2026-05-30T00:00:00"/>
  </r>
  <r>
    <n v="260"/>
    <s v="2025-10-10"/>
    <s v="MOVILIDAD"/>
    <s v="TERMINAL DE TRANSPORTE S.A."/>
    <s v="311"/>
    <x v="0"/>
    <x v="0"/>
    <x v="18"/>
    <n v="2"/>
    <s v="DIRECCIÓN SECTOR MOVILIDAD"/>
    <m/>
    <s v="AUDITORÍA FINANCIERA Y DE GESTIÓN Y RESULTADOS"/>
    <m/>
    <m/>
    <x v="18"/>
    <s v="PAGO DE ÍTEMS NO PREVISTOS SIN APROBACIÓN PREVIA DEL SUPERVISOR"/>
    <x v="26"/>
    <s v="CAPACITACIÓN JURÍDICA - ITEMS NO PREVISTOS"/>
    <s v="REGISTRO DE CAPACITACIÓN"/>
    <n v="100"/>
    <x v="5"/>
    <s v="2025-10-27"/>
    <x v="11"/>
    <s v=""/>
    <s v="ABIERTA"/>
    <s v="Se adjunta evidencia respecto a capacitación por parte de la subgerencia jurídica, sobre la supervisión de contratos."/>
    <x v="1"/>
    <s v="https://drive.google.com/drive/u/0/folders/1ur2Auhsr5t-nA4bZISLNcN9eQ8lGYGY-"/>
    <s v=""/>
    <x v="0"/>
    <x v="0"/>
    <x v="0"/>
    <x v="0"/>
    <s v="carlos.salcedo@terminaldetransporte.gov.co,juan.alviz@terminaldetransporte.gov.co,omar.gamboa@terminaldetransporte.gov.co"/>
    <m/>
    <m/>
  </r>
  <r>
    <n v="261"/>
    <s v="2025-10-10"/>
    <s v="MOVILIDAD"/>
    <s v="TERMINAL DE TRANSPORTE S.A."/>
    <s v="311"/>
    <x v="0"/>
    <x v="0"/>
    <x v="19"/>
    <n v="1"/>
    <s v="DIRECCIÓN SECTOR MOVILIDAD"/>
    <m/>
    <s v="AUDITORÍA FINANCIERA Y DE GESTIÓN Y RESULTADOS"/>
    <m/>
    <m/>
    <x v="19"/>
    <s v="DISMINUCIÓN DE RECURSOS SIN ACTO ADMINISTRATIVO DE LIBERACIÓN"/>
    <x v="27"/>
    <s v="MANUAL DE PRESUPUESTO"/>
    <s v="PUBLICACIÓN EN EL SIG DEL MANUAL DE PRESUPUESTO"/>
    <n v="100"/>
    <x v="1"/>
    <s v="2025-10-27"/>
    <x v="10"/>
    <s v=""/>
    <s v="ABIERTA"/>
    <m/>
    <x v="2"/>
    <s v="https://drive.google.com/drive/u/0/folders/16uXFDMuYgvGjkp-JJgwIwXgpK9vORInY"/>
    <s v=""/>
    <x v="0"/>
    <x v="0"/>
    <x v="0"/>
    <x v="0"/>
    <s v="roberto.bermudez@terminaldetransporte.gov.co,miguel.salina@terminaldetransporte.gov.co"/>
    <m/>
    <m/>
  </r>
  <r>
    <n v="262"/>
    <s v="2025-10-10"/>
    <s v="MOVILIDAD"/>
    <s v="TERMINAL DE TRANSPORTE S.A."/>
    <s v="311"/>
    <x v="0"/>
    <x v="0"/>
    <x v="19"/>
    <n v="2"/>
    <s v="DIRECCIÓN SECTOR MOVILIDAD"/>
    <m/>
    <s v="AUDITORÍA FINANCIERA Y DE GESTIÓN Y RESULTADOS"/>
    <m/>
    <m/>
    <x v="19"/>
    <s v="DISMINUCIÓN DE RECURSOS SIN ACTO ADMINISTRATIVO DE LIBERACIÓN"/>
    <x v="28"/>
    <s v="INFORME DE MANEJO DE LOS CDP"/>
    <s v="INFORME DE MANEJO DE LOS CDP ENTREGADO A LA SUBGERENCIA CORPORATIVA"/>
    <n v="100"/>
    <x v="1"/>
    <s v="2025-10-27"/>
    <x v="9"/>
    <s v=""/>
    <s v="ABIERTA"/>
    <s v="Se adjunta oficio de la dirección financiera para indicar el manejo de los CDP"/>
    <x v="1"/>
    <s v="https://drive.google.com/drive/u/0/folders/1qaiBaFOogRrmDOJAIqv0IVPFCZcfZjnf"/>
    <s v=""/>
    <x v="0"/>
    <x v="0"/>
    <x v="0"/>
    <x v="0"/>
    <s v="roberto.bermudez@terminaldetransporte.gov.co,miguel.salina@terminaldetransporte.gov.co"/>
    <m/>
    <m/>
  </r>
  <r>
    <n v="263"/>
    <s v="2025-10-10"/>
    <s v="MOVILIDAD"/>
    <s v="TERMINAL DE TRANSPORTE S.A."/>
    <s v="311"/>
    <x v="0"/>
    <x v="0"/>
    <x v="19"/>
    <n v="3"/>
    <s v="DIRECCIÓN SECTOR MOVILIDAD"/>
    <m/>
    <s v="AUDITORÍA FINANCIERA Y DE GESTIÓN Y RESULTADOS"/>
    <m/>
    <m/>
    <x v="19"/>
    <s v="DISMINUCIÓN DE RECURSOS SIN ACTO ADMINISTRATIVO DE LIBERACIÓN"/>
    <x v="29"/>
    <s v="LIQUIDACIÓN DEL CONTRATO"/>
    <s v="DOCUMENTO LIQUIDACIÓN DE CONTRATO"/>
    <n v="100"/>
    <x v="3"/>
    <s v="2025-10-27"/>
    <x v="8"/>
    <s v=""/>
    <s v="ABIERTA"/>
    <m/>
    <x v="1"/>
    <s v="https://drive.google.com/drive/u/0/folders/1mHjndAYe9eGwF7LiRkeRwpseJoGEOg57"/>
    <s v=""/>
    <x v="0"/>
    <x v="0"/>
    <x v="0"/>
    <x v="0"/>
    <s v="diana.ortiz@terminaldetransporte.gov.co,linda.florez@terminaldetransporte.gov.co"/>
    <d v="2026-03-30T00:00:00"/>
    <d v="2026-03-31T00:00:00"/>
  </r>
  <r>
    <n v="281"/>
    <s v="2025-10-10"/>
    <s v="MOVILIDAD"/>
    <s v="TERMINAL DE TRANSPORTE S.A."/>
    <s v="311"/>
    <x v="0"/>
    <x v="0"/>
    <x v="20"/>
    <n v="1"/>
    <s v="DIRECCIÓN SECTOR MOVILIDAD"/>
    <m/>
    <s v="AUDITORÍA FINANCIERA Y DE GESTIÓN Y RESULTADOS"/>
    <m/>
    <m/>
    <x v="20"/>
    <s v="FALTA DE DILIGENCIA Y GESTIÓN OPORTUNA EN EL REGISTRO Y GESTIÓN DE ‘NO PAGOS’ EN EL PROYECTO ZONAS DE PARQUEO PAGO (ZPP)"/>
    <x v="30"/>
    <s v="PROCEDIMIENTO GPE-PRO2 GESTIÓN Y RECUPERACIÓN DE LOS REGISTROS SUSCEPTIBLES DE GESTIÓN DE ZPP"/>
    <s v="PUBLICACIÓN EN EL SIG -PROCEDIMIENTO GPE-PRO2 GESTIÓN Y RECUPERACIÓN DE LOS REGISTROS SUSCEPTIBLES DE GESTIÓN DE ZPP"/>
    <n v="100"/>
    <x v="8"/>
    <s v="2025-10-27"/>
    <x v="0"/>
    <s v=""/>
    <s v="ABIERTA"/>
    <m/>
    <x v="0"/>
    <s v="https://drive.google.com/drive/u/0/folders/1ob0EHj5xccHYorw-3njw11UNR-cvSjI2"/>
    <n v="-27"/>
    <x v="0"/>
    <x v="0"/>
    <x v="0"/>
    <x v="0"/>
    <s v="leonardo.vasquez@terminaldetransporte.gov.co,andrea.lievano@terminaldetransporte.gov.co,gerson.lugo@terminaldetransporte.gov.co"/>
    <m/>
    <m/>
  </r>
  <r>
    <n v="181"/>
    <s v="2024-10-11"/>
    <s v="MOVILIDAD"/>
    <s v="TERMINAL DE TRANSPORTE S.A."/>
    <s v="311"/>
    <x v="1"/>
    <x v="0"/>
    <x v="21"/>
    <n v="1"/>
    <s v="DIRECCIÓN SECTOR MOVILIDAD"/>
    <m/>
    <s v="AUDITORÍA FINANCIERA Y DE GESTIÓN"/>
    <m/>
    <m/>
    <x v="21"/>
    <s v="LIQUIDACIÓN POR CAMBIO DE DESTINO HACENDARIO POR TRATARSE DE BIENES DOTACIONALES, FALTO SEGUIMIENTO PARA DAR CONTESTACIÓN A LOS REQUERIMIENTOS"/>
    <x v="31"/>
    <s v="CALENDARIO CUMPLIMIENTO DE OBLIGACIONES TRIBUTARIAS"/>
    <s v="PRESENTACIÓN DEL SEGUIMIENTO Y CUMPLIMIENTO MENSUAL DEL CALENDARIO TRIBUTARIO A LA GERENCIA GENERAL"/>
    <n v="100"/>
    <x v="1"/>
    <s v="2024-11-01"/>
    <x v="12"/>
    <s v=""/>
    <s v="ABIERTA"/>
    <s v="Se verificó la elaboración del calendario para el cumplimiento de obligaciones tributarias, el cual incluye las fechas anticipadas y las áreas responsables de la generación de la información base. Dicho calendario fue socializado oportunamente mediante correo electrónico a los funcionarios de la Dirección de Gestión Financiera, en cumplimiento de la acción establecida"/>
    <x v="1"/>
    <s v="https://drive.google.com/drive/folders/1katVY8yeDBX9LsIlfQPK9s6D467AKdxx"/>
    <s v=""/>
    <x v="0"/>
    <x v="0"/>
    <x v="0"/>
    <x v="0"/>
    <s v="roberto.bermudez@terminaldetransporte.gov.co,miguel.salina@terminaldetransporte.gov.co"/>
    <m/>
    <m/>
  </r>
  <r>
    <n v="182"/>
    <s v="2024-10-11"/>
    <s v="MOVILIDAD"/>
    <s v="TERMINAL DE TRANSPORTE S.A."/>
    <s v="311"/>
    <x v="1"/>
    <x v="0"/>
    <x v="21"/>
    <n v="2"/>
    <s v="DIRECCIÓN SECTOR MOVILIDAD"/>
    <m/>
    <s v="AUDITORÍA FINANCIERA Y DE GESTIÓN"/>
    <m/>
    <m/>
    <x v="21"/>
    <s v="LIQUIDACIÓN POR CAMBIO DE DESTINO HACENDARIO POR TRATARSE DE BIENES DOTACIONALES, FALTO SEGUIMIENTO PARA DAR CONTESTACIÓN A LOS REQUERIMIENTOS"/>
    <x v="32"/>
    <s v="CORREO INSTITUCIONAL DEFINIDO PARA LAS OBLIGACIONES TRIBUTARIAS"/>
    <s v="VERIFICACIÓN CORREO INSTITUCIONAL REGISTRADO EN EL RUT Y EN EL RIT"/>
    <n v="100"/>
    <x v="12"/>
    <s v="2024-11-01"/>
    <x v="12"/>
    <s v=""/>
    <s v="ABIERTA"/>
    <s v="Se verificó que los correos electrónicos registrados ante la DIAN (RUT) y la Secretaría de Hacienda Distrital (RIT) fueron actualizados correctamente."/>
    <x v="1"/>
    <s v="https://drive.google.com/drive/folders/1Th6WHE8JzXPf1Y75VwTOJFlO_-tLpyu5"/>
    <s v=""/>
    <x v="0"/>
    <x v="0"/>
    <x v="0"/>
    <x v="0"/>
    <m/>
    <m/>
    <m/>
  </r>
  <r>
    <n v="183"/>
    <s v="2024-10-11"/>
    <s v="MOVILIDAD"/>
    <s v="TERMINAL DE TRANSPORTE S.A."/>
    <s v="311"/>
    <x v="1"/>
    <x v="0"/>
    <x v="21"/>
    <n v="3"/>
    <s v="DIRECCIÓN SECTOR MOVILIDAD"/>
    <m/>
    <s v="AUDITORÍA FINANCIERA Y DE GESTIÓN"/>
    <m/>
    <m/>
    <x v="21"/>
    <s v="LIQUIDACIÓN POR CAMBIO DE DESTINO HACENDARIO POR TRATARSE DE BIENES DOTACIONALES, FALTO SEGUIMIENTO PARA DAR CONTESTACIÓN A LOS REQUERIMIENTOS"/>
    <x v="33"/>
    <s v="INSTRUCTIVO DE GESTIÓN DE COMUNICACIONES CON ENTES DE CONTROL"/>
    <s v="INSTRUCTIVO DE COMUNICACIONES DE ENTES DE CONTROL PUBLICADO EN EL SISTEMA INTEGRADO DE GESTIÓN"/>
    <n v="100"/>
    <x v="10"/>
    <s v="2024-11-01"/>
    <x v="13"/>
    <s v=""/>
    <s v="ABIERTA"/>
    <s v="Se establecen los lineamientos para facilitar la interacción con los entes de control externos y la terminal de Transporte S.A, mediante el Procedimiento &quot;Relación con Entes Externos&quot; Código: EVG-PR03"/>
    <x v="1"/>
    <s v="https://drive.google.com/drive/folders/1ysifagca3rJF1aTSms9Rl1eUuwU182KW"/>
    <s v=""/>
    <x v="0"/>
    <x v="0"/>
    <x v="0"/>
    <x v="0"/>
    <m/>
    <m/>
    <m/>
  </r>
  <r>
    <n v="189"/>
    <s v="2024-10-11"/>
    <s v="MOVILIDAD"/>
    <s v="TERMINAL DE TRANSPORTE S.A."/>
    <s v="311"/>
    <x v="1"/>
    <x v="0"/>
    <x v="22"/>
    <n v="1"/>
    <n v="0"/>
    <m/>
    <s v="AUDITORÍA FINANCIERA Y DE GESTIÓN"/>
    <m/>
    <m/>
    <x v="22"/>
    <s v="CORRECIÓN DEL IMPUESTO DE INDUSTRIA Y COMERCIO POR LA INCLUSIÓN DE INGRESOS NO REGISTRADOS CON OPORTUNIDAD"/>
    <x v="34"/>
    <s v="INTERFACES CON LOS DIFERENTES PROGRAMAS DE MANEJO DE INGRESOS"/>
    <s v="INTERFACES CON LOS DIFERENTES PROGRAMAS DE MANEJO DE INGRESOS, QUE REDUZCAN LOS PROCEDIMIENTOS MANUALES"/>
    <n v="100"/>
    <x v="13"/>
    <s v="2024-11-01"/>
    <x v="14"/>
    <s v=""/>
    <s v="ABIERTA"/>
    <s v="Se evidencia el desarrollo de actividades orientadas al establecimiento de interfaces con los programas de manejo de ingresos, reflejadas en los documentos de planeación, reportes de interoperabilidad y seguimientos de sincronización. Estas acciones demuestran avances en la reducción de procesos manuales y en la minimización de la intervención humana en el registro de la información, cumpliendo con lo establecido en el plan de acción"/>
    <x v="2"/>
    <s v="https://drive.google.com/drive/folders/1rVN9dCAaOu7HPMZfk_8Ipi4TNEITP1m_"/>
    <s v=""/>
    <x v="0"/>
    <x v="0"/>
    <x v="0"/>
    <x v="0"/>
    <s v="eduardo.gonzalez@terminaldetransporte.gov.co,manuel.santamaria@terminaldetransporte.gov.co,julio.mosquera@terminaldetransporte.gov.co,Jesus.duarte@terminaldetransporte.gov.co"/>
    <m/>
    <m/>
  </r>
  <r>
    <n v="190"/>
    <s v="2024-10-11"/>
    <s v="MOVILIDAD"/>
    <s v="TERMINAL DE TRANSPORTE S.A."/>
    <s v="311"/>
    <x v="1"/>
    <x v="0"/>
    <x v="22"/>
    <n v="2"/>
    <s v="DIRECCIÓN SECTOR MOVILIDAD"/>
    <m/>
    <s v="AUDITORÍA FINANCIERA Y DE GESTIÓN"/>
    <m/>
    <m/>
    <x v="22"/>
    <s v="PAGO DE INTERESES POR COBRO COACTIVO SECRETARÍA DE AMBIENTE POR TALA DE ARBOLES"/>
    <x v="35"/>
    <s v="PROCEDIMIENTO DE GESTIÓN AMBIENTAL PARA EL MANTENIMIENTO Y TALA DE ÁRBOLES"/>
    <s v="PROCEDIMIENTO DE GESTIÓN AMBIENTAL PARA EL MANTENIMIENTO Y TALA DE ÁRBOLES, PUBLICADO EN EL SISTEMA INTEGRADO DE GESTIÓN"/>
    <n v="100"/>
    <x v="14"/>
    <s v="2024-11-01"/>
    <x v="15"/>
    <s v=""/>
    <s v="ABIERTA"/>
    <s v="Se evidencia el cumplimiento de la acción, mediante la implementación del Procedimiento para el Pago por Compensación de Tala de Árboles con código GAM PR-04, el cual se encuentra publicado y disponible en el Sistema Integrado de Gestión (SIG)"/>
    <x v="1"/>
    <s v="https://drive.google.com/drive/folders/1rVN9dCAaOu7HPMZfk_8Ipi4TNEITP1m_"/>
    <s v=""/>
    <x v="0"/>
    <x v="0"/>
    <x v="0"/>
    <x v="0"/>
    <m/>
    <m/>
    <m/>
  </r>
  <r>
    <n v="191"/>
    <s v="2024-10-11"/>
    <s v="MOVILIDAD"/>
    <s v="TERMINAL DE TRANSPORTE S.A."/>
    <s v="311"/>
    <x v="1"/>
    <x v="0"/>
    <x v="22"/>
    <n v="3"/>
    <s v="DIRECCIÓN SECTOR MOVILIDAD"/>
    <m/>
    <s v="AUDITORÍA FINANCIERA Y DE GESTIÓN"/>
    <m/>
    <m/>
    <x v="22"/>
    <s v="PAGO DE COMPARENDOS DE VEHÍCULOS E INTERESES DE MORA"/>
    <x v="36"/>
    <s v="PROGRAMA DE CAPACITACIÓN ANUAL Y ACTAS DE ASISTENCIA"/>
    <s v="PROGRAMA DE CAPACITACIÓN DE NORMAS DE TRÁNSITO Y DE RESPONSABILIDAD"/>
    <n v="100"/>
    <x v="3"/>
    <s v="2024-11-01"/>
    <x v="16"/>
    <s v=""/>
    <s v="ABIERTA"/>
    <s v="Se adjunta pdf con el enlace que contiene las carpetas con la presentación y los listados de asistencia de la capacitación."/>
    <x v="1"/>
    <s v="https://drive.google.com/drive/folders/1Z4BgPfMMf9TWkJtchS5ng1xoCHXSNHK8"/>
    <s v=""/>
    <x v="0"/>
    <x v="0"/>
    <x v="0"/>
    <x v="0"/>
    <s v="diana.ortiz@terminaldetransporte.gov.co,linda.florez@terminaldetransporte.gov.co"/>
    <m/>
    <m/>
  </r>
  <r>
    <n v="194"/>
    <s v="2024-10-11"/>
    <s v="MOVILIDAD"/>
    <s v="TERMINAL DE TRANSPORTE S.A."/>
    <s v="311"/>
    <x v="1"/>
    <x v="0"/>
    <x v="23"/>
    <n v="1"/>
    <s v="DIRECCIÓN SECTOR MOVILIDAD"/>
    <m/>
    <s v="AUDITORÍA FINANCIERA Y DE GESTIÓN"/>
    <m/>
    <m/>
    <x v="23"/>
    <s v="PAGO EXTEMPORANEO A LA DIAN DE LAS DECLARACIONES DE IVA Y RETENCIÓN POR RECHAZO EN LA PLATAFORMA BANCARIA"/>
    <x v="37"/>
    <s v="CONTROL CONFIRMACIÓN DE PAGOS"/>
    <s v="CONTROL DE CONFIRMACIÓN DE PAGOS, REALIZADOS A TRAVÉS DE PLATAFORMAS BANCARIAS"/>
    <n v="100"/>
    <x v="1"/>
    <s v="2024-11-01"/>
    <x v="17"/>
    <s v=""/>
    <s v="ABIERTA"/>
    <s v="Respecto a la acción &quot;IMPLEMENTAR UN CONTROL DE CONFIRMACIÓN DE PAGOS REALIZADOS A TRAVÉS DE PLATAFORMAS BANCARIAS&quot;, se identificó que el Contador actualmente realiza la revisión y descarga de la constancia de declaración y/o referencia de recaudo del pago del impuesto de retenciones de Industria y Comercio, la cual es enviada posteriormente a la Tesorera para su archivo. No obstante, dicho procedimiento no se encuentra documentado formalmente"/>
    <x v="1"/>
    <s v="https://drive.google.com/drive/folders/1dWHLZvVx3dWrHlfG1qALbAqY-VP21Tsm"/>
    <s v=""/>
    <x v="0"/>
    <x v="0"/>
    <x v="0"/>
    <x v="0"/>
    <s v="roberto.bermudez@terminaldetransporte.gov.co,miguel.salina@terminaldetransporte.gov.co"/>
    <m/>
    <m/>
  </r>
  <r>
    <n v="195"/>
    <s v="2024-10-11"/>
    <s v="MOVILIDAD"/>
    <s v="TERMINAL DE TRANSPORTE S.A."/>
    <s v="311"/>
    <x v="1"/>
    <x v="0"/>
    <x v="23"/>
    <n v="2"/>
    <s v="DIRECCIÓN SECTOR MOVILIDAD"/>
    <m/>
    <s v="AUDITORÍA FINANCIERA Y DE GESTIÓN"/>
    <m/>
    <m/>
    <x v="23"/>
    <s v="INGRESOS NO REGISTRADOS QUE GENERARON LA CORRECIÓN DE LA DECLARACIÓN YA PRESENTADA"/>
    <x v="38"/>
    <s v="INTERFACES CON LOS DIFERENTES PROGRAMAS DE MANEJO DE INGRESOS"/>
    <s v="INTERFACES CON LOS DIFERENTES PROGRAMAS DE MANEJO DE INGRESOS, PARA REDUCIR LOS PROCEDIMIENTOS MANUALES"/>
    <n v="100"/>
    <x v="13"/>
    <s v="2024-11-01"/>
    <x v="14"/>
    <s v=""/>
    <s v="ABIERTA"/>
    <s v="Se evidencia el desarrollo de actividades orientadas al establecimiento de interfaces con los programas de manejo de ingresos, reflejadas en los documentos de planeación, reportes de interoperabilidad y seguimientos de sincronización. Estas acciones demuestran avances en la reducción de procesos manuales y en la minimización de la intervención humana en el registro de la información, cumpliendo con lo establecido en el plan de acción"/>
    <x v="2"/>
    <s v="https://drive.google.com/drive/folders/1dWHLZvVx3dWrHlfG1qALbAqY-VP21Tsm"/>
    <s v=""/>
    <x v="0"/>
    <x v="0"/>
    <x v="0"/>
    <x v="0"/>
    <s v="eduardo.gonzalez@terminaldetransporte.gov.co,manuel.santamaria@terminaldetransporte.gov.co,julio.mosquera@terminaldetransporte.gov.co,Jesus.duarte@terminaldetransporte.gov.co"/>
    <m/>
    <m/>
  </r>
  <r>
    <n v="214"/>
    <s v="2024-10-11"/>
    <s v="MOVILIDAD"/>
    <s v="TERMINAL DE TRANSPORTE S.A."/>
    <s v="311"/>
    <x v="1"/>
    <x v="0"/>
    <x v="24"/>
    <n v="1"/>
    <s v="DIRECCIÓN SECTOR MOVILIDAD"/>
    <m/>
    <s v="AUDITORÍA FINANCIERA Y DE GESTIÓN"/>
    <m/>
    <m/>
    <x v="24"/>
    <s v="DEBILIDADES PRESENTADAS EN LA VIABILIDAD ECONOMICA DEL PROYECTO"/>
    <x v="39"/>
    <s v="REVISIÓN DEL MODELO DE AUTOMATIZACIÓN"/>
    <s v="REVISIÓN DE LA VIABILIDAD TÉCNICA, JURÍDICA Y FINANCIERA DEL MODELO DE AUTOMATIZACIÓN DE LA TASA DE USO"/>
    <n v="100"/>
    <x v="15"/>
    <s v="2024-11-01"/>
    <x v="18"/>
    <s v=""/>
    <s v="ABIERTA"/>
    <s v="Se evidencia la redefinición del modelo más adecuado para la automatización del recaudo de la Tasa de Uso, abordando de forma integral la viabilidad técnica, jurídica, financiera y funcional del proyecto. Asimismo, se identificaron y evaluaron diferentes aliados estratégicos, culminando con la selección del proveedor más idóneo, en un proceso que incluyó análisis comparativos, presentaciones ante el comité directivo y decisiones articuladas con las distintas unidades de negocio. Todo este proceso se desarrolló en el marco del contrato TT-15-2025, cuyo objeto es “Prestar servicios profesionales para apoyar la realización de la estructuración e implementación del proyecto para la automatización de la Tasa de Uso y sus derivados en la Terminal de Transporte S.A.” El documento permite verificar la trazabilidad, el soporte técnico y las decisiones adoptadas, cumpliendo con el objetivo propuesto en el plan."/>
    <x v="1"/>
    <s v="https://drive.google.com/drive/folders/1QlolVh59Eg_xQ0ceH2YDovZcWYczDgel"/>
    <s v=""/>
    <x v="0"/>
    <x v="0"/>
    <x v="0"/>
    <x v="0"/>
    <m/>
    <m/>
    <m/>
  </r>
  <r>
    <n v="215"/>
    <s v="2024-10-11"/>
    <s v="MOVILIDAD"/>
    <s v="TERMINAL DE TRANSPORTE S.A."/>
    <s v="311"/>
    <x v="1"/>
    <x v="0"/>
    <x v="24"/>
    <n v="2"/>
    <s v="DIRECCIÓN SECTOR MOVILIDAD"/>
    <m/>
    <s v="AUDITORÍA FINANCIERA Y DE GESTIÓN"/>
    <m/>
    <m/>
    <x v="24"/>
    <s v="DEBILIDADES PRESENTADAS EN LA VIABILIDAD ECONOMICA DEL PROYECTO"/>
    <x v="40"/>
    <s v="REDEFINICIÓN DE LA META ESTRATÉGICA 16"/>
    <s v="REVISIÓN Y AJUSTE DE LA META ESTATÉGICA 16 DE ACUERDO AL PROCEDIMIENTO DE PLANEACIÓN ESTRATÉGICA"/>
    <n v="100"/>
    <x v="15"/>
    <s v="2024-11-01"/>
    <x v="19"/>
    <s v=""/>
    <s v="ABIERTA"/>
    <s v="Se evidencia cumplimiento, en la medida en que dentro del Plan Estratégico 2024, Eje Estratégico 3 – Fortalecer el servicio a los usuarios, la entidad redefinió la meta 16, estableciendo como nuevo compromiso obtener el 30% del recaudo digital en la tasa de uso a partir de la implementación de la automatización del recaudo, lo cual atiende el plan de acción formulado frente al hallazgo administrativo"/>
    <x v="1"/>
    <s v="https://drive.google.com/drive/folders/1QlolVh59Eg_xQ0ceH2YDovZcWYczDgel"/>
    <s v=""/>
    <x v="0"/>
    <x v="0"/>
    <x v="0"/>
    <x v="0"/>
    <m/>
    <m/>
    <m/>
  </r>
  <r>
    <n v="216"/>
    <s v="2024-10-11"/>
    <s v="MOVILIDAD"/>
    <s v="TERMINAL DE TRANSPORTE S.A."/>
    <s v="311"/>
    <x v="1"/>
    <x v="0"/>
    <x v="25"/>
    <n v="1"/>
    <s v="DIRECCIÓN SECTOR MOVILIDAD"/>
    <m/>
    <s v="AUDITORÍA FINANCIERA Y DE GESTIÓN"/>
    <m/>
    <m/>
    <x v="25"/>
    <s v="SE REGISTRARON DEFICIENCIAS EN EL FUNCIONAMIENTO Y EN EL CUMPLIMIENTO DE LAS METAS DE MONITOREO ESTABLECIDAS"/>
    <x v="41"/>
    <s v="FORMATO PARA DOCUMENTAR LAS MEDICIONES"/>
    <s v="FORMATO PARA DOCUMENTAR LAS MEDICIONES PARA EVALUAR EL DESEMPEÑO DE LA PTAR"/>
    <n v="100"/>
    <x v="14"/>
    <s v="2024-11-01"/>
    <x v="16"/>
    <s v=""/>
    <s v="ABIERTA"/>
    <s v="Se evidencia la implementación del plan de acción mediante la actualización del formato GAM-FT11 a la Versión 2 (septiembre 2025), incorporando los campos y ajustes definidos."/>
    <x v="1"/>
    <s v="https://drive.google.com/drive/folders/1mJhbsa4U9YnVzQjFjBkGwoxynWPWlvHB"/>
    <s v=""/>
    <x v="0"/>
    <x v="0"/>
    <x v="0"/>
    <x v="0"/>
    <m/>
    <m/>
    <m/>
  </r>
  <r>
    <n v="217"/>
    <s v="2024-10-11"/>
    <s v="MOVILIDAD"/>
    <s v="TERMINAL DE TRANSPORTE S.A."/>
    <s v="311"/>
    <x v="1"/>
    <x v="0"/>
    <x v="25"/>
    <n v="2"/>
    <s v="DIRECCIÓN SECTOR MOVILIDAD"/>
    <m/>
    <s v="AUDITORÍA FINANCIERA Y DE GESTIÓN"/>
    <m/>
    <m/>
    <x v="25"/>
    <s v="SE REGISTRARON DEFICIENCIAS EN EL FUNCIONAMIENTO Y EN EL CUMPLIMIENTO DE LAS METAS DE MONITOREO ESTABLECIDAS"/>
    <x v="42"/>
    <s v="SOCIALIZACIÓN DEL RESULTADO DEL PROCESOS DE MEDICIONESCON EL COMITÉ DE SOSTENIBILIDAD"/>
    <s v="SOCIALIZACIÓN DEL RESULTADO DEL PROCESOS DE MEDICIONESCON EL COMITÉ DE SOSTENIBILIDAD, CON EL FIN DE IDENTIFICAR OPORTUNIDADES DE MEJORA"/>
    <n v="100"/>
    <x v="14"/>
    <s v="2024-11-01"/>
    <x v="16"/>
    <s v=""/>
    <s v="ABIERTA"/>
    <s v="Se verifica el cumplimiento del compromiso. El proceso adjuntó el acta del Comité de Sostenibilidad como evidencia solicitada y la cargó en la carpeta correspondiente del plan de acción."/>
    <x v="1"/>
    <s v="https://drive.google.com/drive/folders/1HXqkh8y75f_MaWyyHHVJbViig4p3NJYP"/>
    <s v=""/>
    <x v="0"/>
    <x v="0"/>
    <x v="0"/>
    <x v="0"/>
    <m/>
    <m/>
    <m/>
  </r>
  <r>
    <n v="218"/>
    <s v="2024-10-11"/>
    <s v="MOVILIDAD"/>
    <s v="TERMINAL DE TRANSPORTE S.A."/>
    <s v="311"/>
    <x v="1"/>
    <x v="0"/>
    <x v="25"/>
    <n v="3"/>
    <s v="DIRECCIÓN SECTOR MOVILIDAD"/>
    <m/>
    <s v="AUDITORÍA FINANCIERA Y DE GESTIÓN"/>
    <m/>
    <m/>
    <x v="25"/>
    <s v="NO SE REALIZARON MANTENIMIENTOS PREVENTIVOS Y CORRECTIVOS ADECUADOS DE MANERA OPORTUNA, LO QUE LLEVÓ A UN DETERIORO EN EL RENDIMIENTO DE LOS EQUIPOS"/>
    <x v="43"/>
    <s v="PLAN DE MANTENIMIENTO DE LA PTAR"/>
    <s v="ELABORACIÓN DEL PLAN DE MANTENIMIENTO DE LA PTAR"/>
    <n v="100"/>
    <x v="14"/>
    <s v="2024-11-01"/>
    <x v="16"/>
    <s v=""/>
    <s v="ABIERTA"/>
    <s v="Se implementa el Plan Anual de Operación y Mnatenimiento de la Planta de Tratamiento de Aguas Residuales (PTAR) Módulo Excretas - Terminal de Transporte S.A. CÓDIGO: GAM-PL02, el cual define, programa y controla las actividades de mantenimiento preventivo, predictivo y correctivo de la Planta de Tratamiento de Aguas Residuales – PTAR del Módulo de Excretas del Terminal de Transporte de Bogotá – Sede Salitre, con el fin de garantizar la continuidad operativa del sistema."/>
    <x v="1"/>
    <s v="https://drive.google.com/drive/folders/1MhMjTVMvc20tXzGWuZvwaFVVNBrvA5oP"/>
    <s v=""/>
    <x v="0"/>
    <x v="0"/>
    <x v="0"/>
    <x v="0"/>
    <s v="estefania.guzman@terminaldetransporte.gov.co,adriana.mojica@terminaldetransporte.gov.co"/>
    <m/>
    <m/>
  </r>
  <r>
    <n v="219"/>
    <s v="2024-10-11"/>
    <s v="MOVILIDAD"/>
    <s v="TERMINAL DE TRANSPORTE S.A."/>
    <s v="311"/>
    <x v="1"/>
    <x v="0"/>
    <x v="14"/>
    <n v="1"/>
    <s v="DIRECCIÓN SECTOR MOVILIDAD"/>
    <m/>
    <s v="AUDITORÍA FINANCIERA Y DE GESTIÓN"/>
    <m/>
    <m/>
    <x v="26"/>
    <s v="FALTA DE SEGUIMIENTO Y CUMPLIMIENTO OPORTUNO DE LOS TÉRMINOS ESTABLECIDOS EN LAS CLÁUSULAS CONTRACTUALES, Y DE LAS OBLIGACIONES A CARGO DE LA TTSA"/>
    <x v="44"/>
    <s v="ACTUALIZACIÓN DE PROCEDIMIENTOS"/>
    <s v="ACTUALIZACIÓN DE PROCEDIMIENTOS DE ELABORACIÓN DE LOS INFORMES FINANCIEROS DE ACUERDO CON LO ESTABLECIDO CONTRACTUALMENTE"/>
    <n v="100"/>
    <x v="16"/>
    <s v="2024-11-01"/>
    <x v="20"/>
    <s v=""/>
    <s v="ABIERTA"/>
    <s v="Se cumplió con la creación del perfil &quot;Profesional Analista de Datos&quot;, con el fin de prestar servicios profesionales en el proyecto Estacionamientos Fuera de Vía, mediante la consolidación, análisis y monitoreo de datos operativos, la formulación de propuestas de mejora continua, el seguimiento a indicadores de gestión y el soporte técnico y estratégico a la gestión integral del proyecto Parqueaderos. "/>
    <x v="1"/>
    <s v="https://drive.google.com/drive/u/0/folders/17rsEOYAexcWGdjw8udD_WAG03WO_bCHu"/>
    <s v=""/>
    <x v="0"/>
    <x v="0"/>
    <x v="0"/>
    <x v="0"/>
    <m/>
    <m/>
    <m/>
  </r>
  <r>
    <n v="220"/>
    <s v="2024-10-11"/>
    <s v="MOVILIDAD"/>
    <s v="TERMINAL DE TRANSPORTE S.A."/>
    <s v="311"/>
    <x v="1"/>
    <x v="0"/>
    <x v="14"/>
    <n v="2"/>
    <s v="DIRECCIÓN SECTOR MOVILIDAD"/>
    <m/>
    <s v="AUDITORÍA FINANCIERA Y DE GESTIÓN"/>
    <m/>
    <m/>
    <x v="26"/>
    <s v="FALTA DE SEGUIMIENTO Y CUMPLIMIENTO OPORTUNO DE LOS TÉRMINOS ESTABLECIDOS EN LAS CLÁUSULAS CONTRACTUALES, Y DE LAS OBLIGACIONES A CARGO DE LA TTSA"/>
    <x v="45"/>
    <s v="SOLICITUD DE ACUERDO"/>
    <s v="SOLICITUD DE ACUERDO AL IDU, DE MANERA QUE LA TERMINAL ACCEDA A LA POSIBILIDAD DE REALIZAR PAGOS SIN ESTAR SUPEDITADO A LA REVISIÓN DE LOS INFORMES POR PARTE DEL IDU"/>
    <n v="100"/>
    <x v="16"/>
    <s v="2024-11-01"/>
    <x v="20"/>
    <s v=""/>
    <s v="ABIERTA"/>
    <s v="Se modificaron los contratos IDU 1684 de 2022 e IDU 1724 de 2021, en la cual se establece que la Terminal de Transporte podrá efectuar los pagos correspondientes sin requerir aprobación previa por parte del Instituto de Desarrollo Urbano (IDU)."/>
    <x v="1"/>
    <s v="https://drive.google.com/drive/u/0/folders/17rsEOYAexcWGdjw8udD_WAG03WO_bCHu"/>
    <s v=""/>
    <x v="0"/>
    <x v="0"/>
    <x v="0"/>
    <x v="0"/>
    <m/>
    <m/>
    <m/>
  </r>
  <r>
    <n v="223"/>
    <s v="2024-10-11"/>
    <s v="MOVILIDAD"/>
    <s v="TERMINAL DE TRANSPORTE S.A."/>
    <s v="311"/>
    <x v="1"/>
    <x v="0"/>
    <x v="15"/>
    <n v="1"/>
    <s v="DIRECCIÓN SECTOR MOVILIDAD"/>
    <m/>
    <s v="AUDITORÍA FINANCIERA Y DE GESTIÓN"/>
    <m/>
    <m/>
    <x v="27"/>
    <s v="INOPORTUNIDAD EN LA ACTIVIACIÓN DE LOS ANS"/>
    <x v="46"/>
    <s v="INFORME DE SUPERVISIÓN"/>
    <s v="DESCRIBIR EN EL INFORME DE SUPERVISIÓN LAS POSIBLES SITUACIONES DE INCUMPLIMIENTO IDENTIFICADAS EN LA EJECUCIÓN DEL CONTRATO"/>
    <n v="100"/>
    <x v="17"/>
    <s v="2024-11-01"/>
    <x v="14"/>
    <s v=""/>
    <s v="ABIERTA"/>
    <s v="Se anexa el oficio radicado No. 2240510067811, mediante el cual se informa a la Unión Temporal los descuentos aplicados por concepto de Acuerdos de Nivel de Servicio (ANS). Adicionalmente, se incluye el soporte correspondiente donde se evidencia el valor descontado, dando cumplimiento a lo establecido en el contrato."/>
    <x v="1"/>
    <s v="https://drive.google.com/drive/folders/1FgxL_s17cT7TuHCV2932OHss3DAc8TNJ"/>
    <s v=""/>
    <x v="0"/>
    <x v="0"/>
    <x v="0"/>
    <x v="0"/>
    <m/>
    <m/>
    <m/>
  </r>
  <r>
    <n v="226"/>
    <s v="2024-10-11"/>
    <s v="MOVILIDAD"/>
    <s v="TERMINAL DE TRANSPORTE S.A."/>
    <s v="311"/>
    <x v="1"/>
    <x v="0"/>
    <x v="16"/>
    <n v="1"/>
    <s v="DIRECCIÓN SECTOR MOVILIDAD"/>
    <m/>
    <s v="AUDITORÍA FINANCIERA Y DE GESTIÓN"/>
    <m/>
    <m/>
    <x v="28"/>
    <s v="DEBILIDADES EN LOS PROCEDIMIENTOS PARA LA OPORTUNA IDENTIFICACIÓN, REPORTE Y DENUNCIA DE LOS BIENES PERDIDOS Y/O HURTADOS"/>
    <x v="47"/>
    <s v="ACTUALIZACIÓN DEL PROCEDIMIENTO EVG-PR04 - REPORTE Y RECUPERACIÓN DE DINEROS Y BIENES PERDIDOS"/>
    <s v="ACTUALIZACIÓN DEL PROCEDIMIENTO EVG-PR04 - REPORTE Y RECUPERACIÓN DE DINEROS Y BIENES PERDIDOS"/>
    <n v="100"/>
    <x v="14"/>
    <s v="2024-11-01"/>
    <x v="17"/>
    <s v=""/>
    <s v="ABIERTA"/>
    <s v="Se actualizó el procedimiento EVG-PR04 - Reporte y Recuperación de Dineros y Bienes Perdidos Propiedad de la Terminal de Transporte S.A, y se realizó la respectiva socialización de la versión 1 de enero de 2025, cumpliendo con la acción establecida."/>
    <x v="1"/>
    <s v="https://drive.google.com/drive/folders/185lt2pYaqbEWWenrm1fUp4_ygagcJRmc"/>
    <s v=""/>
    <x v="0"/>
    <x v="0"/>
    <x v="0"/>
    <x v="0"/>
    <m/>
    <m/>
    <m/>
  </r>
  <r>
    <n v="227"/>
    <s v="2024-10-11"/>
    <s v="MOVILIDAD"/>
    <s v="TERMINAL DE TRANSPORTE S.A."/>
    <s v="311"/>
    <x v="1"/>
    <x v="0"/>
    <x v="16"/>
    <n v="2"/>
    <s v="DIRECCIÓN SECTOR MOVILIDAD"/>
    <m/>
    <s v="AUDITORÍA FINANCIERA Y DE GESTIÓN"/>
    <m/>
    <m/>
    <x v="28"/>
    <s v="DEBILIDADES EN LOS PROCEDIMIENTOS PARA LA OPORTUNA IDENTIFICACIÓN, REPORTE Y DENUNCIA DE LOS BIENES PERDIDOS Y/O HURTADOS"/>
    <x v="48"/>
    <s v="ACTUALIZACIÓN DEL INSTRUCTIVO ZPP-IN07 - REPORTE DE BLOQUEADORES VEHICULARES AVERIADOS"/>
    <s v="ACTUALIZACIÓN DEL INSTRUCTIVO ZPP-IN07 - REPORTE DE BLOQUEADORES VEHICULARES AVERIADOS"/>
    <n v="100"/>
    <x v="14"/>
    <s v="2024-11-01"/>
    <x v="17"/>
    <s v=""/>
    <s v="ABIERTA"/>
    <s v="Se actualizó el Procedimiento EVG-PR04 - Reporte y Recuperación de Dineros y Bienes Perdidos Propiedad de la Terminal de Transporte S.A, el cual contempla la pérdida o hurto de cepos"/>
    <x v="1"/>
    <s v="https://drive.google.com/drive/folders/1cNh7lGQlG_9s14HmBxmbyExsH5c4XJ1A"/>
    <s v=""/>
    <x v="0"/>
    <x v="0"/>
    <x v="0"/>
    <x v="0"/>
    <m/>
    <m/>
    <m/>
  </r>
  <r>
    <n v="228"/>
    <s v="2024-10-11"/>
    <s v="MOVILIDAD"/>
    <s v="TERMINAL DE TRANSPORTE S.A."/>
    <s v="311"/>
    <x v="1"/>
    <x v="0"/>
    <x v="16"/>
    <n v="3"/>
    <s v="DIRECCIÓN SECTOR MOVILIDAD"/>
    <m/>
    <s v="AUDITORÍA FINANCIERA Y DE GESTIÓN"/>
    <m/>
    <m/>
    <x v="28"/>
    <s v="DEBILIDADES EN LOS PROCEDIMIENTOS PARA LA OPORTUNA IDENTIFICACIÓN, REPORTE Y DENUNCIA DE LOS BIENES PERDIDOS Y/O HURTADOS"/>
    <x v="49"/>
    <s v="INFORME DE CONTROL TRIMESTRAL DE LA SITUACION DE LOS CEPOS"/>
    <s v="INFORME DE CONTROL TRIMESTRAL DE LA SITUACION DE LOS CEPOS INDICANDO LOS CASOS EN TRÁMITE DE REPORTE Y DE RECUPERACIÓN ANTE LA ASEGURADORA"/>
    <n v="100"/>
    <x v="14"/>
    <s v="2024-11-01"/>
    <x v="17"/>
    <s v=""/>
    <s v="ABIERTA"/>
    <s v="Se adjuntan los informes trimestrales correspondientes a la vigencia 2025 y el informe anual de 2024, los cuales documentan el seguimiento realizado por el área de Operaciones sobre los dispositivos de inmovilización vehicular (cepos)."/>
    <x v="1"/>
    <s v="https://drive.google.com/drive/folders/1kJUkUgfIDTm0zLO8v-O11rN6DqN-HUPb"/>
    <s v=""/>
    <x v="0"/>
    <x v="0"/>
    <x v="0"/>
    <x v="0"/>
    <m/>
    <m/>
    <m/>
  </r>
  <r>
    <n v="229"/>
    <s v="2024-10-11"/>
    <s v="MOVILIDAD"/>
    <s v="TERMINAL DE TRANSPORTE S.A."/>
    <s v="311"/>
    <x v="1"/>
    <x v="0"/>
    <x v="17"/>
    <n v="1"/>
    <s v="DIRECCIÓN SECTOR MOVILIDAD"/>
    <m/>
    <s v="AUDITORÍA FINANCIERA Y DE GESTIÓN"/>
    <m/>
    <m/>
    <x v="29"/>
    <s v="LOS SEGUIMIENTOS A LA DEMANDA Y DEMÁS CRITERIOS DE ANÁLISIS, NO CONLLEVAN A TOMAR DECISIONES OPORTUNAS, EFICIENTES Y EFICACES"/>
    <x v="50"/>
    <s v="EXTRACTO DEL ACTA DEL COMITÉ TÉCNICO"/>
    <s v="EXTRACTO DEL ACTA DEL COMITÉ TÉCNICO DEL ANÁLISIS TRIMESTRAL DE CADA UNA DE LAS ÁREAS DE IMPLEMENTACIÓN"/>
    <n v="100"/>
    <x v="14"/>
    <s v="2024-11-01"/>
    <x v="16"/>
    <s v=""/>
    <s v="ABIERTA"/>
    <s v="Se verifica el cumplimiento del compromiso. El proceso cargó el acta del Comité Técnico correspondiente al seguimiento del contrato 2021-2470, la cual respalda la ejecución de la acción programada."/>
    <x v="1"/>
    <s v="https://drive.google.com/drive/folders/13UiZltdR-lVnwhJ7Xi7HHzxVnASJK72e"/>
    <s v=""/>
    <x v="0"/>
    <x v="0"/>
    <x v="0"/>
    <x v="0"/>
    <m/>
    <m/>
    <m/>
  </r>
  <r>
    <n v="230"/>
    <s v="2024-10-11"/>
    <s v="MOVILIDAD"/>
    <s v="TERMINAL DE TRANSPORTE S.A."/>
    <s v="311"/>
    <x v="1"/>
    <x v="0"/>
    <x v="18"/>
    <n v="1"/>
    <s v="DIRECCIÓN SECTOR MOVILIDAD"/>
    <m/>
    <s v="AUDITORÍA FINANCIERA Y DE GESTIÓN"/>
    <m/>
    <m/>
    <x v="30"/>
    <s v="DEBILIDAD EN CUANTO AL CONTROL EN LOS SEGMENTOS VIALES QUE SON UTILIZADOS POR AGREMIACIONES ESPECÍFICAS QUE SE RESISTEN A HACER BUEN USO DEL ESPACIO PÚBLICO"/>
    <x v="51"/>
    <s v="EXTRACTO DEL ACTA DEL COMITÉ TÉCNICO"/>
    <s v="EXTRACTO DEL ACTA DEL COMITÉ TÉCNICO DE LA REVISIÓN TRIMESTRAL DE LOS SECTORES PARA PRIORIZACIÓN DE CONTROL"/>
    <n v="100"/>
    <x v="14"/>
    <s v="2024-11-01"/>
    <x v="16"/>
    <s v=""/>
    <s v="ABIERTA"/>
    <s v="Se verifica el cumplimiento del compromiso. El proceso cargó el acta del Comité Técnico correspondiente al seguimiento del contrato 2021-2470, la cual respalda la ejecución de la acción programada."/>
    <x v="1"/>
    <s v="https://drive.google.com/drive/folders/13UiZltdR-lVnwhJ7Xi7HHzxVnASJK72e"/>
    <s v=""/>
    <x v="0"/>
    <x v="0"/>
    <x v="0"/>
    <x v="0"/>
    <m/>
    <m/>
    <m/>
  </r>
  <r>
    <n v="231"/>
    <s v="2024-10-11"/>
    <s v="MOVILIDAD"/>
    <s v="TERMINAL DE TRANSPORTE S.A."/>
    <s v="311"/>
    <x v="1"/>
    <x v="0"/>
    <x v="19"/>
    <n v="1"/>
    <s v="DIRECCIÓN SECTOR MOVILIDAD"/>
    <m/>
    <s v="AUDITORÍA FINANCIERA Y DE GESTIÓN"/>
    <m/>
    <m/>
    <x v="31"/>
    <s v="NO SE PLANEÓ DE MANERA OPORTUNA LA MODIFICACIÓN DEL CONTRATO"/>
    <x v="52"/>
    <s v="PROGRAMAS DE CAPACITACIÓN Y ACTAS DE ASISTENCIA"/>
    <s v="SE IMPLEMENTARÁ UN PROGRAMA DE CAPACITACIÓN SOBRE MODIFICACIONES EN LOS CONTRATOS"/>
    <n v="100"/>
    <x v="18"/>
    <s v="2024-11-01"/>
    <x v="17"/>
    <s v=""/>
    <s v="ABIERTA"/>
    <s v="Se realizó la capacitación sobre la modificación de los contratos, para lo cual se adjunta la presentación utilizada, la grabación de la jornada y el informe de asistencia obtenido mediante la aplicación Google Forms, dando cumplimiento a la acción establecida."/>
    <x v="1"/>
    <s v="https://drive.google.com/drive/folders/1TgSR7VIj1NSATH3uzavxI-D-YbUJda5h"/>
    <s v=""/>
    <x v="0"/>
    <x v="0"/>
    <x v="0"/>
    <x v="0"/>
    <m/>
    <m/>
    <m/>
  </r>
  <r>
    <n v="240"/>
    <s v="2024-10-11"/>
    <s v="MOVILIDAD"/>
    <s v="TERMINAL DE TRANSPORTE S.A."/>
    <s v="311"/>
    <x v="1"/>
    <x v="0"/>
    <x v="26"/>
    <n v="1"/>
    <s v="DIRECCIÓN SECTOR MOVILIDAD"/>
    <m/>
    <s v="AUDITORÍA FINANCIERA Y DE GESTIÓN"/>
    <m/>
    <m/>
    <x v="32"/>
    <s v="DEBILIDADES EN LA DESCRIPCIÓN DE LA CLÁUSULA DE PAGO DEL CONTRATO INTERADMINISTRATIVO NO. 081 DE 2024, EN ESPECIFICO EN EL APARTE EN EL QUE DESCRIBE EL VALOR A PAGAR POR CELDA HABILITADA(VCH)"/>
    <x v="53"/>
    <s v="ACLARACIÓN DE SIGLAS EN LOS CONTRATOS"/>
    <s v="ACLARACIÓN DE SIGLAS EN LOS CONTRATOS, DE CADA UNO DE LOS ITEMS QUE CONFORMAN LAS FÓRMULAS PARA EL CÁLCULO DE LOS RESPECTIVOS PAGOS"/>
    <n v="100"/>
    <x v="14"/>
    <s v="2024-11-01"/>
    <x v="16"/>
    <s v=""/>
    <s v="ABIERTA"/>
    <s v="Se evidencia cumplimiento del plan de acción, dado que la Empresa de Telecomunicaciones de Bogotá – ETB efectuó la devolución del valor correspondiente mediante descuento en la factura de enero de 2025, aplicando nota crédito por $70.372.092, lo cual subsana el hallazgo identificado en el contrato No. 081 de 2023."/>
    <x v="1"/>
    <s v="https://drive.google.com/drive/folders/1jvqw0TucM08GTiD-3d6Kzm6OoTsLFxCv"/>
    <s v=""/>
    <x v="0"/>
    <x v="0"/>
    <x v="0"/>
    <x v="0"/>
    <m/>
    <m/>
    <m/>
  </r>
  <r>
    <n v="245"/>
    <s v="2024-10-11"/>
    <s v="MOVILIDAD"/>
    <s v="TERMINAL DE TRANSPORTE S.A."/>
    <s v="311"/>
    <x v="1"/>
    <x v="0"/>
    <x v="27"/>
    <n v="1"/>
    <s v="DIRECCIÓN SECTOR MOVILIDAD"/>
    <m/>
    <s v="AUDITORÍA FINANCIERA Y DE GESTIÓN"/>
    <m/>
    <m/>
    <x v="33"/>
    <s v="DEFINICIÓN DE ACCIONES INEFECTIVAS EN EL PLAN DE MEJORAMIENTO INSTITUCIONAL"/>
    <x v="54"/>
    <s v="ESTRATEGIA INTEGRAL PARA EL AUMENTO DE LOS INGRESOS Y LA DISMINUCION DE COSTOS Y GASTOS"/>
    <s v="ESTRATEGIA INTEGRAL PARA EL AUMENTO DE LOS INGRESOS Y LA DISMINUCION DE COSTOS Y GASTOS, QUE CONLLEVE AL LOGRO DEL PUNTO DE EQUILIBRIO DEL PROYECTO"/>
    <n v="100"/>
    <x v="14"/>
    <s v="2024-11-01"/>
    <x v="20"/>
    <s v=""/>
    <s v="ABIERTA"/>
    <s v="Se verifica el cumplimiento del plan de acción mediante la presentación formal ante Junta Directiva (Acta No. 48 del 25 de abril de 2024 y presentación correspondiente), donde se expone una estrategia integral compuesta por acciones internas y externas orientadas al incremento de ingresos y la reducción de costos y gastos, con impactos financieros cuantificables y en fase de implementación"/>
    <x v="1"/>
    <s v="https://drive.google.com/drive/folders/1JSoh4sIQvqurPiRHGhb3hUT_6fuLou0g"/>
    <s v=""/>
    <x v="0"/>
    <x v="0"/>
    <x v="0"/>
    <x v="0"/>
    <m/>
    <m/>
    <m/>
  </r>
  <r>
    <n v="246"/>
    <s v="2024-10-11"/>
    <s v="MOVILIDAD"/>
    <s v="TERMINAL DE TRANSPORTE S.A."/>
    <s v="311"/>
    <x v="1"/>
    <x v="0"/>
    <x v="27"/>
    <n v="2"/>
    <s v="DIRECCIÓN SECTOR MOVILIDAD"/>
    <m/>
    <s v="AUDITORÍA FINANCIERA Y DE GESTIÓN"/>
    <m/>
    <m/>
    <x v="33"/>
    <s v="DEFINICIÓN DE ACCIONES INEFECTIVAS EN EL PLAN DE MEJORAMIENTO INSTITUCIONAL"/>
    <x v="55"/>
    <s v="POLÍTICA PARA GESTIÓN DE LOS REGISTROS OPERATIVOS"/>
    <s v="POLÍTICA PARA GESTIÓN DE LOS REGISTROS OPERATIVOS"/>
    <n v="100"/>
    <x v="14"/>
    <s v="2024-11-01"/>
    <x v="20"/>
    <s v=""/>
    <s v="ABIERTA"/>
    <s v="Se implementa la Política de los registros no pagos susceptibles de gestión de ZPP (Código: GPE-PO01, versión 1, mayo de 2025), la cual establece objetivos, criterios de clasificación, responsabilidades y procedimientos de gestión de los registros."/>
    <x v="1"/>
    <s v="https://drive.google.com/drive/folders/1JSoh4sIQvqurPiRHGhb3hUT_6fuLou0g"/>
    <s v=""/>
    <x v="0"/>
    <x v="0"/>
    <x v="0"/>
    <x v="0"/>
    <m/>
    <m/>
    <m/>
  </r>
  <r>
    <n v="247"/>
    <s v="2024-10-11"/>
    <s v="MOVILIDAD"/>
    <s v="TERMINAL DE TRANSPORTE S.A."/>
    <s v="311"/>
    <x v="1"/>
    <x v="0"/>
    <x v="28"/>
    <n v="1"/>
    <s v="DIRECCIÓN SECTOR MOVILIDAD"/>
    <m/>
    <s v="AUDITORÍA FINANCIERA Y DE GESTIÓN"/>
    <m/>
    <m/>
    <x v="34"/>
    <s v="DEFICIENCIAS EN EL CONTROL DE LOS USUARIOS QUE TOMAN NUMEROSAS RESERVAS, CON TIEMPOS PROLONGADOS"/>
    <x v="56"/>
    <s v="PROCEDIMIENTO DE INGRESO DE VEHÍCULOS CON RESERVA A TRAVÉS DE ACUERDOS COMERCIALES"/>
    <s v="ACTUALIZACIÓN DE LAS CONDICIONES DE OPERACIÓN, QUE SE ESTABLECEN EN LOS ACUERDOS COMERCIALES"/>
    <n v="100"/>
    <x v="19"/>
    <s v="2024-11-01"/>
    <x v="16"/>
    <s v=""/>
    <s v="ABIERTA"/>
    <s v="Se presenta el Procedimiento GPF-PR08 “Operación de Vehículos Acuerdos Comerciales” (versión 1, julio de 2025), que establece lineamientos y actividades para el ingreso y operación de vehículos bajo acuerdos comerciales, cumpliendo con la acción definida"/>
    <x v="1"/>
    <s v="https://drive.google.com/drive/folders/1qEh0MkC6eWDDeoEJzSoc5m9AYQjnhX2V"/>
    <s v=""/>
    <x v="0"/>
    <x v="0"/>
    <x v="0"/>
    <x v="0"/>
    <m/>
    <m/>
    <m/>
  </r>
  <r>
    <n v="120"/>
    <s v="2023-10-18"/>
    <s v="MOVILIDAD"/>
    <s v="TERMINAL DE TRANSPORTE S.A."/>
    <s v="311"/>
    <x v="2"/>
    <x v="1"/>
    <x v="29"/>
    <n v="1"/>
    <s v="DIRECCIÓN SECTOR MOVILIDAD"/>
    <m/>
    <s v="AUDITORIA DE REGULARIDAD"/>
    <s v="Control Gestión"/>
    <s v="Control Fiscal Interno"/>
    <x v="35"/>
    <s v="EN LOS DOCUMENTOS PUBLICADOS EN EL SISTEMA INTEGRADO DE GESTIÓN (SIG), NO SE RELACIONAN LOS CONTROLES DE CAMBIOS, DADO QUE ESTOS SE CUSTODIABAN EN EL ARCHIVO FÍSICO."/>
    <x v="57"/>
    <s v="TABLA DE CONTROL DE CAMBIOS"/>
    <s v="PÚBLICACIÓN DE LA TABLA DE CONTROL DE CAMBIOS EN LOS DOCUMENTOS RELACIONADOS EN EL SIG, CON LA ACTUALIZACIÓN DEL PROCEDIMIENTO SMC-PR02 CONTROL DE DOCUMENTOS"/>
    <n v="100"/>
    <x v="14"/>
    <s v="2023-12-01"/>
    <x v="21"/>
    <s v=""/>
    <s v="ABIERTA"/>
    <s v="Se actualiza el Procedimiento &quot;Control Documentos Códicgo: GMC-PR02, númeral 4 &quot;Control de cambios y de aprobaciones, el cual indica que en la parte inferior del documento se encuentra el espacio para realizar la descripción del cambio del documento de una versión a otra."/>
    <x v="1"/>
    <s v="https://drive.google.com/drive/u/0/folders/1EBOPWA5DDbIE_LQt1ZUs1by3_RtmTps2"/>
    <s v=""/>
    <x v="0"/>
    <x v="0"/>
    <x v="0"/>
    <x v="0"/>
    <m/>
    <m/>
    <m/>
  </r>
  <r>
    <n v="123"/>
    <s v="2023-10-18"/>
    <s v="MOVILIDAD"/>
    <s v="TERMINAL DE TRANSPORTE S.A."/>
    <n v="311"/>
    <x v="2"/>
    <x v="1"/>
    <x v="30"/>
    <n v="1"/>
    <s v="DIRECCIÓN SECTOR MOVILIDAD"/>
    <m/>
    <s v="AUDITORIA DE REGULARIDAD"/>
    <s v="Control Gestión"/>
    <s v="Control Fiscal Interno"/>
    <x v="36"/>
    <s v="REPORTE DE CONTRATACIÓN CONSTRUIDO MANUALMENTE QUE GENERÓ DIFERENCIAS RESPECTO AL SISTEMA FINANCIERO."/>
    <x v="58"/>
    <s v="REPORTE DE GESTIÓN FINANCIERA CONSOLIDADO DE LOS CONTRATOS"/>
    <s v="REPORTE MENSUAL DE GESTIÓN FINANCIERA CONSOLIDADA DE CONTRATOS, INCLUIRÁ DATOS ACUMULADOS (VALOR INICIAL, ADICIONES, DISMINUCIONES, VALOR EJECUTADO EN EL PERIODO, VALORES PENDIENTES POR EJECUTAR Y/O P"/>
    <n v="100"/>
    <x v="20"/>
    <s v="2023-12-31"/>
    <x v="22"/>
    <s v=""/>
    <s v="ABIERTA"/>
    <s v="Se implementa reporte consolidado de contratos en el aplicativo RSN mediante power BI, a partir de la información que suministran los supervisores y áreas que intervienen la contratación, y se implementa el instructivo GAF-IN01"/>
    <x v="1"/>
    <s v="https://drive.google.com/drive/u/0/folders/1ch8_FpTjagVsBewlm1CHKakXYqhH6Nzv"/>
    <s v=""/>
    <x v="0"/>
    <x v="0"/>
    <x v="0"/>
    <x v="0"/>
    <m/>
    <m/>
    <m/>
  </r>
  <r>
    <n v="125"/>
    <s v="2023-10-18"/>
    <s v="MOVILIDAD"/>
    <s v="TERMINAL DE TRANSPORTE S.A."/>
    <s v="311"/>
    <x v="2"/>
    <x v="1"/>
    <x v="31"/>
    <n v="1"/>
    <s v="DIRECCIÓN SECTOR MOVILIDAD"/>
    <m/>
    <s v="AUDITORIA DE REGULARIDAD"/>
    <s v="Control Gestión"/>
    <s v="Control Fiscal Interno"/>
    <x v="37"/>
    <s v="FALTA DE INTEGRIDAD DE LA INFORMACIÓN REPORTADA EN EL APLICATIVO SIVICOF."/>
    <x v="59"/>
    <s v="CHECK LIST DE CUMPLIMIENTO DE REQUISITOS"/>
    <s v="CHECK LIST DE CUMPLIMIENTO DE REQUISITOS, TANTO PARA LOS REPORTES MENSUALES, COMO ANUALES QUE SE CARGAN EN EL APLICATIVO SIVICOF, Y QUE SERÁ VALIDADO CON CADA UNO DE LOS RESPONSABLES DE LA INFORMACIÓN"/>
    <n v="100"/>
    <x v="21"/>
    <s v="2023-12-31"/>
    <x v="23"/>
    <s v=""/>
    <s v="CUMPLIDA EFECTIVA"/>
    <s v="Se establecen  lineamientos mediante el Procediemiento &quot;Relación con Entes Externos&quot; Código: EVG-PR03 para facilitar la interacción con los entes de control externos y la terminal de Transporte S.A, con el fin de dar cumplimiento a las exigencias de Ley y trámite a las solicitudes de información provenientes de los órganos que lo requieren"/>
    <x v="1"/>
    <s v="https://drive.google.com/drive/u/0/folders/1EaxkkZsUUbwPYG3moz4ue_bVDbVM3tMD"/>
    <s v=""/>
    <x v="0"/>
    <x v="0"/>
    <x v="0"/>
    <x v="0"/>
    <m/>
    <m/>
    <m/>
  </r>
  <r>
    <n v="184"/>
    <s v="2023-10-18"/>
    <s v="MOVILIDAD"/>
    <s v="TERMINAL DE TRANSPORTE S.A."/>
    <s v="311"/>
    <x v="2"/>
    <x v="1"/>
    <x v="2"/>
    <n v="1"/>
    <s v="DIRECCIÓN SECTOR MOVILIDAD"/>
    <m/>
    <s v="AUDITORIA DE REGULARIDAD"/>
    <s v="Control Financiero"/>
    <s v="Control Interno Contable"/>
    <x v="38"/>
    <s v="IMPOSIBILIDAD DE IDENTIFICAR A LOS CLIENTES, CUANDO CONSIGNAN CON IDENTIFICACIONES QUE NO CORRESPONDEN AL DEUDOR O CLIENTE. DEBILIDADES EN LA IDENTIFICACIÓN OPORTUNA DE CONSIGNACIONES RECIBIDAS POR TERCEROS"/>
    <x v="60"/>
    <s v="PROCEDIMIENTO DE CONCILIACIÓN DE CONSIGNACIONES CON TERCEROS QUE NO CORRESPONDEN A CLIENTES O DEUDOR"/>
    <s v="PROCEDIMIENTO DE CONCILIACIÓN, EN EL CUÁL SE IDENTIFICARÁN A LOS RESPONSABLES DE CADA UNO DE LOS CONCEPTOSY SE DEFINIRÁ LAS ACCIONES A SEGUIR."/>
    <n v="100"/>
    <x v="1"/>
    <s v="2023-12-31"/>
    <x v="22"/>
    <s v=""/>
    <s v="ABIERTA"/>
    <s v="Se implementa el Procedimiento &quot;Consignaciones pendientes por identificar&quot; Código: GFI-PR02 el cual se encuentra públicado y disponible en el SIG."/>
    <x v="1"/>
    <s v="https://drive.google.com/drive/u/0/folders/18YsPISDNREfXYeem9zi3xoYTpdIHuJaS"/>
    <s v=""/>
    <x v="0"/>
    <x v="0"/>
    <x v="0"/>
    <x v="0"/>
    <s v="roberto.bermudez@terminaldetransporte.gov.co,miguel.salina@terminaldetransporte.gov.co"/>
    <m/>
    <m/>
  </r>
  <r>
    <n v="186"/>
    <s v="2023-10-18"/>
    <s v="MOVILIDAD"/>
    <s v="TERMINAL DE TRANSPORTE S.A."/>
    <s v="311"/>
    <x v="2"/>
    <x v="1"/>
    <x v="3"/>
    <n v="1"/>
    <s v="DIRECCIÓN SECTOR MOVILIDAD"/>
    <m/>
    <s v="AUDITORIA DE REGULARIDAD"/>
    <s v="Control Financiero"/>
    <s v="Control Interno Contable"/>
    <x v="39"/>
    <s v="DIFERENCIAS EN LOS VALORES DE LOS ACTIVOS Y PASIVOS POR IMPUESTOS DIFERIDOS POR CÁLCULO DE LAS VALORIZACIONES DE PROPIEDAD, PLANTA Y EQUIPO.  LA REVISORIA FISCAL NO DEJO SOPORTADO EL ORIGEN DE LA SUPUESTA DIFERENCIA, POR LO QUE NO HAY BASE PARA DETERMINAR UN POTENCIAL VALOR DEL CALCULO."/>
    <x v="61"/>
    <s v="ACTUALIZACIÓN DEL CÁLCULO DEL ACTIVO Y PASIVO POR IMPUESTO DIFERIDO."/>
    <s v="AVALÚO DE PROPIEDAD, PLANTA Y EQUIPO Y ACTUALIZACIÓN DEL CÁLCULO DE IMPUESTO DIFERIDO, EL CUÁL SERÁ REGISTRADO CONTABLEMENTE AL CIERRE DE LOS ESTADOS FINANCIEROS"/>
    <n v="100"/>
    <x v="1"/>
    <s v="2023-12-01"/>
    <x v="24"/>
    <s v=""/>
    <s v="CUMPLIDA EFECTIVA"/>
    <s v="Se adjunta el dictamen del revisor fiscal y las notas a los estados fiancieros"/>
    <x v="1"/>
    <s v="https://drive.google.com/drive/u/0/folders/1jICvEssDJcEO7rmg64IQQv-Zfuy383mk"/>
    <s v=""/>
    <x v="0"/>
    <x v="0"/>
    <x v="0"/>
    <x v="0"/>
    <s v="roberto.bermudez@terminaldetransporte.gov.co,miguel.salina@terminaldetransporte.gov.co"/>
    <m/>
    <m/>
  </r>
  <r>
    <n v="187"/>
    <s v="2023-10-18"/>
    <s v="MOVILIDAD"/>
    <s v="TERMINAL DE TRANSPORTE S.A."/>
    <s v="311"/>
    <x v="2"/>
    <x v="1"/>
    <x v="4"/>
    <n v="1"/>
    <s v="DIRECCIÓN SECTOR MOVILIDAD"/>
    <m/>
    <s v="AUDITORIA DE REGULARIDAD"/>
    <s v="Control Financiero"/>
    <s v="Control Interno Contable"/>
    <x v="40"/>
    <s v="FALTA DE DOCUMENTACIÓN, EN LA CUÁL SE EVIDENCIA LA VERIFICACIÓN DE SALDOS O DE CONCEPTOS QUE REPORTAN LOS GENERADORES DE LA INFORMACIÓN."/>
    <x v="62"/>
    <s v="PROCEDIMIENTO DE CONCILIACIÓN"/>
    <s v="PROCEDIMIENTO DE CONCILIACIÓN, EN EL CUÁL SE IDENTIFICARÁN A LOS RESPONSABLES DE CADA UNO DE LOS CONCEPTOS Y SE DEFINIRÁ LAS ACCIONES A SEGUIR."/>
    <n v="100"/>
    <x v="1"/>
    <s v="2023-12-31"/>
    <x v="22"/>
    <s v=""/>
    <s v="ABIERTA"/>
    <s v="Se implementa el Formato &quot;Conciliación Saldos de Contabilidad VS Dependencias&quot; Código: GFI-FT01, el cual se encuentra disponible en el SIG."/>
    <x v="1"/>
    <s v="https://drive.google.com/drive/u/0/folders/1S_e36SP9DHzD4b0-Yo-M8F2AEWqAvXo4"/>
    <s v=""/>
    <x v="0"/>
    <x v="0"/>
    <x v="0"/>
    <x v="0"/>
    <s v="roberto.bermudez@terminaldetransporte.gov.co,miguel.salina@terminaldetransporte.gov.co"/>
    <m/>
    <m/>
  </r>
  <r>
    <n v="188"/>
    <s v="2023-10-18"/>
    <s v="MOVILIDAD"/>
    <s v="TERMINAL DE TRANSPORTE S.A."/>
    <s v="311"/>
    <x v="2"/>
    <x v="1"/>
    <x v="5"/>
    <n v="1"/>
    <s v="DIRECCIÓN SECTOR MOVILIDAD"/>
    <m/>
    <s v="AUDITORIA DE REGULARIDAD"/>
    <s v="Control Financiero"/>
    <s v="Control Interno Contable"/>
    <x v="41"/>
    <s v="DEBILIDADES EN LA DOCUMENTACIÓN DE LA CONCILIACIÓN DE OPERACIONES RECIPROCAS CON OTRAS ENTIDADES PÚBLICAS."/>
    <x v="63"/>
    <s v="PROCEDIMIENTO DE CONCILIACIÓN"/>
    <s v="PROCEDIMIENTO DE CONCILIACIÓN, EN EL CUÁL SE IDENTIFICARÁN A LOS RESPONSABLES DE CADA UNO DE LOS CONCEPTOS Y SE DEFINIRÁ LAS ACCIONES A SEGUIR."/>
    <n v="100"/>
    <x v="1"/>
    <s v="2023-12-31"/>
    <x v="22"/>
    <s v=""/>
    <s v="ABIERTA"/>
    <s v="Se establecen lineamientos para la presentación de la información reciprocas según lo establecido por la Contaduría General de La Nación y la Secretaria Distrital de Hacienda, mediante el Procedimiento &quot;Gestión Operaciones Recíprocas&quot; Código: GFI-PR01."/>
    <x v="1"/>
    <s v="https://drive.google.com/drive/u/0/folders/1IAssr5g3KjogxBMdioqjnwSuO_CdLYDM"/>
    <s v=""/>
    <x v="0"/>
    <x v="0"/>
    <x v="0"/>
    <x v="0"/>
    <s v="roberto.bermudez@terminaldetransporte.gov.co,miguel.salina@terminaldetransporte.gov.co"/>
    <m/>
    <m/>
  </r>
  <r>
    <n v="213"/>
    <s v="2023-10-18"/>
    <s v="MOVILIDAD"/>
    <s v="TERMINAL DE TRANSPORTE S.A."/>
    <s v="311"/>
    <x v="2"/>
    <x v="1"/>
    <x v="32"/>
    <n v="1"/>
    <s v="DIRECCIÓN SECTOR MOVILIDAD"/>
    <m/>
    <s v="AUDITORIA DE REGULARIDAD"/>
    <s v="Control Gestión"/>
    <s v="Gestión Contractual"/>
    <x v="42"/>
    <s v="DIFERENCIAS ENTRE LOS OBJETIVOS ESTRATÉGICOS Y LA EJECUCIÓN DE CONTRATOS QUE MATERIALIZAN LAS METAS ESTABLECIDAS."/>
    <x v="64"/>
    <s v="FORMATO DE ESTUDIOS PREVIOS ACTUALIZADO"/>
    <s v="FORMATO DE ESTUDIOS PREVIOS ACTUALIZADO EN DONDE SE INCLUYA LA JUSTIFICACIÓN DE LA ALINEACIÓN ENTRE LA CONTRATACIÓN Y LOS OBJETIVOS ESTRATÉGICOS"/>
    <n v="100"/>
    <x v="22"/>
    <s v="2023-11-01"/>
    <x v="24"/>
    <s v=""/>
    <s v="CUMPLIDA EFECTIVA"/>
    <s v="Se actualiza el Formato &quot;Estudio Previo Formulación del Proyecto&quot; Código: GJC-FT01, en el cual se incluyó la justificación de la alineación con el Objetivo Estratégico y Meta, el cual se encuentra disponible en el SIG."/>
    <x v="1"/>
    <s v="https://drive.google.com/drive/u/0/folders/14YuurCPNFsYN-3WMx0ZUJU0Kz27Ga_Qm"/>
    <s v=""/>
    <x v="0"/>
    <x v="0"/>
    <x v="0"/>
    <x v="0"/>
    <m/>
    <m/>
    <m/>
  </r>
  <r>
    <n v="221"/>
    <s v="2023-10-18"/>
    <s v="MOVILIDAD"/>
    <s v="TERMINAL DE TRANSPORTE S.A."/>
    <s v="311"/>
    <x v="2"/>
    <x v="1"/>
    <x v="14"/>
    <n v="1"/>
    <s v="DIRECCIÓN SECTOR MOVILIDAD"/>
    <m/>
    <s v="AUDITORIA DE REGULARIDAD"/>
    <s v="Control Gestión"/>
    <s v="Gestión Contractual"/>
    <x v="43"/>
    <s v="DEBILIDADES EN LAS MEDIDAS DE SEGUIMIENTO Y AJUSTES PARA LA EJECUCIÓN Y SOSTENIBILIDAD DEL PROYECTO."/>
    <x v="65"/>
    <s v="ANÁLISIS FINANCIERO VS EJECUCIÓN DEL CONTRATO (VARIABLES CUALITATIVAS Y CUANTITATIVAS)"/>
    <s v="1. COMUNICACIONES: IMPLEMENTAR LA ESTRATEGIA DE MASIFICACIÓN DEL PROYECTO Y PRESENTAR UN SEGUIMIENTO TRIMESTRAL A LA SECRETARIA DISTRITAL DE MOVILIDAD."/>
    <n v="100"/>
    <x v="23"/>
    <s v="2023-11-01"/>
    <x v="25"/>
    <s v=""/>
    <s v="ABIERTA"/>
    <s v="Se adjuntan los informes de Gestión Social y de Comunicaciones, en el cual se describen las actividades desarrolladas por el equipo de Gestión Social de Zonas de Parqueo Pago, y se realiza de manera trimestral._x000a__x000a_Adicionalmente, se adjuntan los informes semestrales y anuales del estado de la operación presentados a movilidad."/>
    <x v="1"/>
    <s v="https://drive.google.com/drive/u/0/folders/11Va80_nsWEPIm-12AqSfuvGJO_BfBthS"/>
    <s v=""/>
    <x v="0"/>
    <x v="0"/>
    <x v="0"/>
    <x v="0"/>
    <m/>
    <m/>
    <m/>
  </r>
  <r>
    <n v="222"/>
    <s v="2023-10-18"/>
    <s v="MOVILIDAD"/>
    <s v="TERMINAL DE TRANSPORTE S.A."/>
    <s v="311"/>
    <x v="2"/>
    <x v="1"/>
    <x v="15"/>
    <n v="1"/>
    <s v="DIRECCIÓN SECTOR MOVILIDAD"/>
    <m/>
    <s v="AUDITORIA DE REGULARIDAD"/>
    <s v="Control Gestión"/>
    <s v="Gestión Contractual"/>
    <x v="44"/>
    <s v="DEFICIENCIAS EN EL CUMPLIMIENTO DEL CONTRATO CON LA FIDUCIA MERCANTIL NO. 14532 - CLAUSULA PRIMERA Y TERCERA, NUMERAL 9 - SUBCUENTAS PARA EL RECAUDO"/>
    <x v="66"/>
    <s v="1. CARTA DE SOLICITUD DE LA MODIFICACIÓN AL CONTRATO FIDUCIA MERCANTIL DIRIGIDA A FIDUCIARIA BANC"/>
    <s v="1) GESTIONAR MODIFICACION AL CONTRATO DE FIDUCIA MERCANTIL  NO. 14532 SUSCRITO ENTRE LA TERMINAL DE TRANSPORTE S.A. Y FIDUCIARIA BANCOLOMBIA, EN SU CLAUSULA SEXTA: “INSTRUCCIONES PARA LA ADMINISTRAC"/>
    <n v="100"/>
    <x v="23"/>
    <s v="2023-11-01"/>
    <x v="22"/>
    <s v=""/>
    <s v="ABIERTA"/>
    <s v="Se modificó la Clausula 7 del contrato interadministrativo y se comunico formalmente mediante oficio radicado 20250040028641 a la fiduciaria"/>
    <x v="1"/>
    <s v="https://drive.google.com/drive/u/0/folders/11U8BQrKc-j7xIGJGWhElR9HEzm9gpAC6"/>
    <s v=""/>
    <x v="0"/>
    <x v="0"/>
    <x v="0"/>
    <x v="0"/>
    <m/>
    <m/>
    <m/>
  </r>
  <r>
    <n v="224"/>
    <s v="2023-10-18"/>
    <s v="MOVILIDAD"/>
    <s v="TERMINAL DE TRANSPORTE S.A."/>
    <s v="311"/>
    <x v="2"/>
    <x v="1"/>
    <x v="33"/>
    <n v="1"/>
    <s v="DIRECCIÓN SECTOR MOVILIDAD"/>
    <m/>
    <s v="AUDITORIA DE REGULARIDAD"/>
    <s v="Control Gestión"/>
    <s v="Gestión Contractual"/>
    <x v="45"/>
    <s v="EXISTE EL PROCEDIMIENTO ZPP-IN05 INSTALACIÓN Y DESISTALACIÓN DE CEPOS, EL CUAL INCLUYE LAS DIRECTRICES DEL COBRO PERSUASIVO  CON EL OBJETIVO DE RECUPERAR LOS RECURSOS ADEUDADOS AL PROYECTO, SIN EMBARGO, ÉSTE NO ES UN DOCUMENTO INDEPENDIENTE PARA LA GESTIÓN DE LA CARTERA."/>
    <x v="67"/>
    <s v="PROCEDIMIENTO DE GESTIÓN Y COBRO DE CARTERA"/>
    <s v="ELABORAR UN PROCEDIMIENTO DE GESTIÓN Y COBRO DE CARTERA, QUE ESTABLEZCA LAS ACCIONES Y DIRECTRICES OPERATIVAS Y ADMINISTRATIVAS PARA LA GESTIÓN EFECTIVA DE LA CARTERA."/>
    <n v="100"/>
    <x v="23"/>
    <s v="2023-11-01"/>
    <x v="26"/>
    <s v=""/>
    <s v="ABIERTA"/>
    <s v="Se evidencia cumplimiento del plan de acción, dado que se implementó el procedimiento “Gestión y Recuperación de los Registros Susceptibles de Gestión de Zona de Parqueo Pago – Código: GPE-PR02”, el cual atiende el hallazgo"/>
    <x v="1"/>
    <s v="https://drive.google.com/drive/u/0/folders/1Z7OnesU7jbU5NzFtQSwgU1VZFNJjtBwF"/>
    <s v=""/>
    <x v="0"/>
    <x v="0"/>
    <x v="0"/>
    <x v="0"/>
    <m/>
    <m/>
    <m/>
  </r>
  <r>
    <n v="225"/>
    <s v="2023-10-18"/>
    <s v="MOVILIDAD"/>
    <s v="TERMINAL DE TRANSPORTE S.A."/>
    <s v="311"/>
    <x v="2"/>
    <x v="1"/>
    <x v="16"/>
    <n v="1"/>
    <s v="DIRECCIÓN SECTOR MOVILIDAD"/>
    <m/>
    <s v="AUDITORIA DE REGULARIDAD"/>
    <s v="Control Gestión"/>
    <s v="Gestión Contractual"/>
    <x v="46"/>
    <s v="INCUMPLIMIENTO DE LA CLÁUSULA 12, TÍTULO “II. DESCRIPCIÓN DEL OBJETO A CONTRATAR” LITERAL “E” DEL CONTRATO 47 DE 2021 CON LA FIRMA TEMPOCOLBA."/>
    <x v="68"/>
    <s v="DEFINICIÓN DE OBLIGACIÓN DE INCLUIR EN EL INFORME MENSUAL, LA VERIFICACIÓN DE DURACIÓN DE LA VINCULA"/>
    <s v="DEFINICIÓN DE OBLIGACIÓN DE INCLUSIÓN EN INFORME MENSUAL DE VERIFICACIÓN DE DURACIÓN DE LA VINCULACIÓN DEL PERSONAL EN MISIÓN EMITIDO POR LA EST, SOBRE NUMERO DE PERSONAL ACTIVO."/>
    <n v="100"/>
    <x v="3"/>
    <s v="2023-11-01"/>
    <x v="24"/>
    <s v=""/>
    <s v="CUMPLIDA EFECTIVA"/>
    <s v="Se adjuntan los informes menusales de verificación de duración de la vinculación del personal en misión, emitidos por la Empresa Temporal."/>
    <x v="1"/>
    <s v="https://drive.google.com/drive/u/0/folders/1T1FG-hKsCkErbKCfIxrysGNcwddECOvi"/>
    <s v=""/>
    <x v="0"/>
    <x v="0"/>
    <x v="0"/>
    <x v="0"/>
    <s v="diana.ortiz@terminaldetransporte.gov.co,linda.florez@terminaldetransporte.gov.co"/>
    <m/>
    <m/>
  </r>
  <r>
    <n v="232"/>
    <s v="2023-10-18"/>
    <s v="MOVILIDAD"/>
    <s v="TERMINAL DE TRANSPORTE S.A."/>
    <s v="311"/>
    <x v="2"/>
    <x v="1"/>
    <x v="19"/>
    <n v="1"/>
    <s v="DIRECCIÓN SECTOR MOVILIDAD"/>
    <m/>
    <s v="AUDITORIA DE REGULARIDAD"/>
    <s v="Control Gestión"/>
    <s v="Gestión Contractual"/>
    <x v="47"/>
    <s v="INOPORTUNIDAD EN LA ENTREGA DE LOS SUMINISTROS DE ELEMENTOS DE PROTECCIÓN PERSONAL EPP."/>
    <x v="69"/>
    <s v="PROCEDIMIENTO DE ENTREGA DE EPP CREADO EN EL SIG Y SOCIALIZADO A TODAS LAS AREAS"/>
    <s v="- ELABORAR PROCEDIMIENTO DE ENTREGA DE ELEMENTOS DE PROTECCIÓN PERSONAL - EPP, DE ACUERDO A LA MATRIZ DE IDENTIFICACIÓN DE PELIGROS Y VALORACIÓN DE LOS RIESGOS."/>
    <n v="100"/>
    <x v="3"/>
    <s v="2023-11-01"/>
    <x v="24"/>
    <s v=""/>
    <s v="CUMPLIDA EFECTIVA"/>
    <s v="Se implementa el Procedimiento &quot;SELECCIÓN, ENTREGA, USO Y SUPERVISIÓN DE_x000a_ELEMENTOS DE PROTECCIÓN PERSONAL&quot; Código: GTS-PR23, el cual define y establece los criterios que rigen la selección, entrega, utilización, supervisión, mantenimiento, renovación y/o disposición final de los_x000a_Elementos de Protección Personal. y se encuentra disponible en el SIG."/>
    <x v="1"/>
    <s v="https://drive.google.com/drive/u/0/folders/1ziq5wDZv82m7C85qQd-Vq3hHxxNiaPya"/>
    <s v=""/>
    <x v="0"/>
    <x v="0"/>
    <x v="0"/>
    <x v="0"/>
    <s v="diana.ortiz@terminaldetransporte.gov.co,linda.florez@terminaldetransporte.gov.co"/>
    <m/>
    <m/>
  </r>
  <r>
    <n v="233"/>
    <s v="2023-10-18"/>
    <s v="MOVILIDAD"/>
    <s v="TERMINAL DE TRANSPORTE S.A."/>
    <s v="311"/>
    <x v="2"/>
    <x v="1"/>
    <x v="34"/>
    <n v="1"/>
    <s v="DIRECCIÓN SECTOR MOVILIDAD"/>
    <m/>
    <s v="AUDITORIA DE REGULARIDAD"/>
    <s v="Control Gestión"/>
    <s v="Gestión Contractual"/>
    <x v="48"/>
    <s v="DEFICIENCIAS EN LA DEBIDA DILIGENCIA PARA SITUACIONES DE HURTOS QUE SE IDENTIFIQUEN EN LA OPERACIÓN."/>
    <x v="70"/>
    <s v="PROCESO DE REPORTE DE INCIDENTES DE HURTO EN LA OPERACIÓN."/>
    <s v="CREACIÓN DE PROCESO DE REPORTE DE INCIDENTES DE HURTO EN LA OPERACIÓN, EL CUAL INCLUYA LAS DECISIONES E INSTANCIAS A INFORMAR."/>
    <n v="100"/>
    <x v="24"/>
    <s v="2023-11-01"/>
    <x v="24"/>
    <s v=""/>
    <s v="CUMPLIDA EFECTIVA"/>
    <s v="Se implementó el procedimiento &quot;REPORTE Y RECUPERACIÓN DE DINEROS Y BIENES_x000a_PERDIDOS PROPIEDAD DE LA TERMINAL DE TRANSPORTE&quot;, el cual establece los lineamientos para la identificación, reporte y recuperación de dineros y/o bienes perdidos en la operación de las líneas de negocio de la Terminal de Transporte S.A. y se encuentra disponible en el SIG."/>
    <x v="1"/>
    <s v="https://drive.google.com/drive/u/0/folders/1fPs9JpJiD_xSuR0zBxOjShc-u6sQ5Uqg"/>
    <s v=""/>
    <x v="0"/>
    <x v="0"/>
    <x v="0"/>
    <x v="0"/>
    <m/>
    <m/>
    <m/>
  </r>
  <r>
    <n v="234"/>
    <s v="2023-10-18"/>
    <s v="MOVILIDAD"/>
    <s v="TERMINAL DE TRANSPORTE S.A."/>
    <s v="311"/>
    <x v="2"/>
    <x v="1"/>
    <x v="34"/>
    <n v="2"/>
    <s v="DIRECCIÓN SECTOR MOVILIDAD"/>
    <m/>
    <s v="AUDITORIA DE REGULARIDAD"/>
    <s v="Control Gestión"/>
    <s v="Gestión Contractual"/>
    <x v="48"/>
    <s v="DEFICIENCIAS EN LA DEBIDA DILIGENCIA PARA SITUACIONES DE HURTOS QUE SE IDENTIFIQUEN EN LA OPERACIÓN."/>
    <x v="71"/>
    <s v="ACUERDO DE DESCUENTO O INCLUSIÓN DE GLOSA EN ACTA DE LIQUIDACIÓN CONTRATO TT-67-2022"/>
    <s v="EN LA ETAPA DE LIQUIDACIÓN DEL CONTRATO TT-67-2022  ACORDAR CON EL CONTRATISTA EL PAGO A FAVOR DE LA TERMINAL DE TRANSPORTE DE LA SUMA DE $8,38 MILLONES CON OCASIÓN DEL HURTO REPORTADO DURANTE LA EJEC"/>
    <n v="100"/>
    <x v="24"/>
    <s v="2023-11-01"/>
    <x v="24"/>
    <s v=""/>
    <s v="CUMPLIDA EFECTIVA"/>
    <s v="Se adjunta el detalle de la devolución del dinero a favor de la Terminal de Transporte."/>
    <x v="1"/>
    <s v="https://drive.google.com/drive/u/0/folders/1ShwIsbjLVAN3bxHeK0cPkBD0pF_-892L"/>
    <s v=""/>
    <x v="0"/>
    <x v="0"/>
    <x v="0"/>
    <x v="0"/>
    <m/>
    <m/>
    <m/>
  </r>
  <r>
    <n v="235"/>
    <s v="2023-10-18"/>
    <s v="MOVILIDAD"/>
    <s v="TERMINAL DE TRANSPORTE S.A."/>
    <s v="311"/>
    <x v="2"/>
    <x v="1"/>
    <x v="35"/>
    <n v="1"/>
    <s v="DIRECCIÓN SECTOR MOVILIDAD"/>
    <m/>
    <s v="AUDITORIA DE REGULARIDAD"/>
    <s v="Control Gestión"/>
    <s v="Gestión Contractual"/>
    <x v="49"/>
    <s v="DEBILIDADES EN EL SEGUIMIENTO DEL CUMPLIMIENTO DE LA CLÁUSULA 9 &quot;VISITA DOMICILIARIA&quot;, CONTRATO TT-67-2022."/>
    <x v="72"/>
    <s v="INFORME DE VERIFICACIÓN DE ACTIVIDADES DE SELECCIÓN Y CONTRATACIÓN DEL PERSONAL EN MISIÓN EMITIDO PO"/>
    <s v="INFORME DE VERIFICACIÓN DE ACTIVIDADES DE SELECCIÓN Y CONTRATACIÓN DEL PERSONAL EN MISIÓN EMITIDO POR LA EST, SOBRE PERSONAL EFECTIVAMENTE VINCULADO."/>
    <n v="100"/>
    <x v="3"/>
    <s v="2023-11-01"/>
    <x v="24"/>
    <s v=""/>
    <s v="CUMPLIDA EFECTIVA"/>
    <s v="Se adjuntan los informes mensuales de selección y contratación del personal en misión emitidos por la Empresa Temporal."/>
    <x v="1"/>
    <s v="https://drive.google.com/drive/u/0/folders/1XYkTukK5BCTpIc_M-G_UWhhA92SAkByL"/>
    <s v=""/>
    <x v="0"/>
    <x v="0"/>
    <x v="0"/>
    <x v="0"/>
    <s v="diana.ortiz@terminaldetransporte.gov.co,linda.florez@terminaldetransporte.gov.co"/>
    <m/>
    <m/>
  </r>
  <r>
    <n v="236"/>
    <s v="2023-10-18"/>
    <s v="MOVILIDAD"/>
    <s v="TERMINAL DE TRANSPORTE S.A."/>
    <s v="311"/>
    <x v="2"/>
    <x v="1"/>
    <x v="35"/>
    <n v="2"/>
    <s v="DIRECCIÓN SECTOR MOVILIDAD"/>
    <m/>
    <s v="AUDITORIA DE REGULARIDAD"/>
    <s v="Control Gestión"/>
    <s v="Gestión Contractual"/>
    <x v="49"/>
    <s v="DEBILIDADES EN EL SEGUIMIENTO DEL CUMPLIMIENTO DE LA CLÁUSULA 9 &quot;VISITA DOMICILIARIA&quot;, CONTRATO TT-67-2022."/>
    <x v="73"/>
    <s v="INFORME MENSUAL DE VISITAS DOMICILIARIAS REALIZADAS."/>
    <s v="EN EL CONTRATO TT-67-2022 SE SOLICITARÁ POR LA SUPERVISIÓN A LA EST, REMITIR DENTRO DEL INFORME MENSUAL CON LA RELACIÓN Y ANALISIS DE LAS VISITAS DOMICILIARIAS REALIZADAS EN TODOS LOS PROCESOS DE INGR"/>
    <n v="100"/>
    <x v="3"/>
    <s v="2023-11-01"/>
    <x v="24"/>
    <s v=""/>
    <s v="CUMPLIDA EFECTIVA"/>
    <s v="Se adjuntan los informes mensuales de las visitas domiciliarias realizadas por la Empresa Temporal."/>
    <x v="1"/>
    <s v="https://drive.google.com/drive/u/0/folders/1Vwi1VbNT6Wgtc8rmN8-VKp_RomW-HivJ"/>
    <s v=""/>
    <x v="0"/>
    <x v="0"/>
    <x v="0"/>
    <x v="0"/>
    <s v="diana.ortiz@terminaldetransporte.gov.co,linda.florez@terminaldetransporte.gov.co"/>
    <m/>
    <m/>
  </r>
  <r>
    <n v="237"/>
    <s v="2023-10-18"/>
    <s v="MOVILIDAD"/>
    <s v="TERMINAL DE TRANSPORTE S.A."/>
    <s v="311"/>
    <x v="2"/>
    <x v="1"/>
    <x v="36"/>
    <n v="1"/>
    <s v="DIRECCIÓN SECTOR MOVILIDAD"/>
    <m/>
    <s v="AUDITORIA DE REGULARIDAD"/>
    <s v="Control Gestión"/>
    <s v="Gestión Contractual"/>
    <x v="50"/>
    <s v="VARIACIÓN DE PRECIOS NO ACORDADOS PREVIAMENTE CON EL CONTRATISTA."/>
    <x v="74"/>
    <s v="CLÁUSULA CONTRACTUAL QUE DEFINE COMO UNA OBLIGACIÓN DE LA EMPRESA DE SERVICIOS TEMPORALES, EL SUMINI"/>
    <s v="VERIFICACIÓN DE LA INCLUSIÓN DE LA CLÁUSULA CONTRACTUAL EN UN EVENTUAL CONTRATO CON UNA EST."/>
    <n v="100"/>
    <x v="3"/>
    <s v="2023-11-01"/>
    <x v="24"/>
    <s v=""/>
    <s v="CUMPLIDA EFECTIVA"/>
    <s v="Se establece en el contrato con la empresa temporal, la obligación del suministro de la dotación de vestido labor."/>
    <x v="1"/>
    <s v=" https://drive.google.com/drive/u/0/folders/1NC4XwpKC2y2yU2XJubIdv1n_G2pIegfb"/>
    <s v=""/>
    <x v="0"/>
    <x v="0"/>
    <x v="0"/>
    <x v="0"/>
    <s v="diana.ortiz@terminaldetransporte.gov.co,linda.florez@terminaldetransporte.gov.co"/>
    <m/>
    <m/>
  </r>
  <r>
    <n v="238"/>
    <s v="2023-10-18"/>
    <s v="MOVILIDAD"/>
    <s v="TERMINAL DE TRANSPORTE S.A."/>
    <s v="311"/>
    <x v="2"/>
    <x v="1"/>
    <x v="26"/>
    <n v="1"/>
    <s v="DIRECCIÓN SECTOR MOVILIDAD"/>
    <m/>
    <s v="AUDITORIA DE REGULARIDAD"/>
    <s v="Control Gestión"/>
    <s v="Gestión Contractual"/>
    <x v="51"/>
    <s v="DEFICIENCIAS EN LA PLANIFICACIÓN DEL CONTRATO Y FALTA FORMALIZACIÓN DE LOS TIEMPOS DE ÁVISO DE PUBLICACIÓN DE LAS OFERTAS, QUE GARANTICEN LOS PRINCIPIOS DE PUBLICIDAD, EQUIDAD Y LIBRE COMPETENCIA."/>
    <x v="75"/>
    <s v="EXPEDICIÓN DE DIRECTRIZ DE INCLUIR CRONOGRAMA DEL PROCESO CONTRACTUAL EN LOS DOCUMENTOS MINIMOS QUE"/>
    <s v="EXPEDICIÓN DE DIRECTRIZ DE INCLUIR CRONOGRAMA DEL PROCESO CONTRACTUAL EN LOS DOCUMENTOS MINIMOS QUE SON PUESTOS A CONSIDERACIÓN DEL COMITE DE CONTRATACIÓN."/>
    <n v="100"/>
    <x v="5"/>
    <s v="2023-11-15"/>
    <x v="24"/>
    <s v=""/>
    <s v="CUMPLIDA EFECTIVA"/>
    <s v="Se expide directriz de incluir cronograma del proceso contractual en los documentos mínimos que son puestos a consideración del comité de contratación."/>
    <x v="1"/>
    <s v="https://drive.google.com/drive/u/0/folders/1ItONSdWdua3UE1kseJbAmYKbSDelOmY5"/>
    <s v=""/>
    <x v="0"/>
    <x v="0"/>
    <x v="0"/>
    <x v="0"/>
    <m/>
    <m/>
    <m/>
  </r>
  <r>
    <n v="239"/>
    <s v="2023-10-18"/>
    <s v="MOVILIDAD"/>
    <s v="TERMINAL DE TRANSPORTE S.A."/>
    <s v="311"/>
    <x v="2"/>
    <x v="1"/>
    <x v="26"/>
    <n v="2"/>
    <s v="DIRECCIÓN SECTOR MOVILIDAD"/>
    <m/>
    <s v="AUDITORIA DE REGULARIDAD"/>
    <s v="Control Gestión"/>
    <s v="Gestión Contractual"/>
    <x v="51"/>
    <s v="DEFICIENCIAS EN LA PLANIFICACIÓN DEL CONTRATO Y FALTA FORMALIZACIÓN DE LOS TIEMPOS DE ÁVISO DE PUBLICACIÓN DE LAS OFERTAS, QUE GARANTICEN LOS PRINCIPIOS DE PUBLICIDAD, EQUIDAD Y LIBRE COMPETENCIA."/>
    <x v="76"/>
    <s v="ELABORACIÓN DE UNA LISTA DE CHEQUEO EN EL SIG DE LOS DOCUMENTOS MINIMOS QUE SON LLEVADOS AL COMITE"/>
    <s v="ELABORACIÓN DE UNA LISTA DE CHEQUEO EN EL SIG DE LOS DOCUMENTOS MINIMOS QUE SON LLEVADOS AL COMITE DE CONTRATACIÓN QUE INCLUYA EL CRONOGRAMA DE LOS PROCESOS CONTRACTUALES DE CADA PROCESO."/>
    <n v="100"/>
    <x v="5"/>
    <s v="2023-11-15"/>
    <x v="24"/>
    <s v=""/>
    <s v="CUMPLIDA EFECTIVA"/>
    <s v="Se implementó el Formato &quot;CHECK LIST DOCUMENTOS COMITÉ DE CONTRATACIÓN &quot; Código: JGC-FT-60, el cual define los documentos mínimos que son llevados al comité de contratación, el cual se encuentra públicado y disponibles en el SIG."/>
    <x v="1"/>
    <s v="https://drive.google.com/drive/u/0/folders/1N-iUN8Zc_eMv-tKzYcu98jTZ9gnM1OD3"/>
    <s v=""/>
    <x v="0"/>
    <x v="0"/>
    <x v="0"/>
    <x v="0"/>
    <m/>
    <m/>
    <m/>
  </r>
  <r>
    <n v="241"/>
    <s v="2023-10-18"/>
    <s v="MOVILIDAD"/>
    <s v="TERMINAL DE TRANSPORTE S.A."/>
    <s v="311"/>
    <x v="2"/>
    <x v="1"/>
    <x v="37"/>
    <n v="1"/>
    <s v="DIRECCIÓN SECTOR MOVILIDAD"/>
    <m/>
    <s v="AUDITORIA DE REGULARIDAD"/>
    <s v="Control Gestión"/>
    <s v="Gestión Contractual"/>
    <x v="52"/>
    <s v="DEFICIENCIAS EN LA SUPERVISIÓN DEL CONTRATO, QUE GARANTICEN LOS PRINCIPIOS DE CONTRATACIÓN: PLANEACIÓN, EFICACIA Y TRANSPARENCIA."/>
    <x v="77"/>
    <s v="MODIFICACIÓN Y ACTUALIZACION DEL MANUAL DE SUPERVISIÓN E INTERVENTORIA."/>
    <s v="MODIFICACIÓN Y ACTUALIZACION DEL MANUAL DE SUPERVISIÓN E INTERVENTORIA DURANTE VIGENCIA 2023."/>
    <n v="100"/>
    <x v="5"/>
    <s v="2024-01-15"/>
    <x v="24"/>
    <s v=""/>
    <s v="CUMPLIDA EFECTIVA"/>
    <s v="Se Actualiza el Manual de Contratación , con el fin de fortalecer los mecanismos de seguimiento, determinando obligaciones de supervisión y de apoyo a la supervisión."/>
    <x v="1"/>
    <s v="https://drive.google.com/drive/u/0/folders/1jtJRmV82aqNnjnkU_bnMWrd-HAhtj3Ds"/>
    <s v=""/>
    <x v="0"/>
    <x v="0"/>
    <x v="0"/>
    <x v="0"/>
    <m/>
    <m/>
    <m/>
  </r>
  <r>
    <n v="242"/>
    <s v="2023-10-18"/>
    <s v="MOVILIDAD"/>
    <s v="TERMINAL DE TRANSPORTE S.A."/>
    <s v="311"/>
    <x v="2"/>
    <x v="1"/>
    <x v="37"/>
    <n v="2"/>
    <s v="DIRECCIÓN SECTOR MOVILIDAD"/>
    <m/>
    <s v="AUDITORIA DE REGULARIDAD"/>
    <s v="Control Gestión"/>
    <s v="Gestión Contractual"/>
    <x v="52"/>
    <s v="DEFICIENCIAS EN LA SUPERVISIÓN DEL CONTRATO, QUE GARANTICEN LOS PRINCIPIOS DE CONTRATACIÓN: PLANEACIÓN, EFICACIA Y TRANSPARENCIA."/>
    <x v="78"/>
    <s v="DEFINICIÓN DE CRONOGRAMA DE CAPACITACIONES SOBRE SUPERVISIÓN DE CONTRATO"/>
    <s v="REALIZACION DE DOS (2) CAPACITACIONES DURANTE LA VIGENCIA DEL PLAN DE MEJORAMIENTO."/>
    <n v="100"/>
    <x v="5"/>
    <s v="2024-01-15"/>
    <x v="24"/>
    <s v=""/>
    <s v="CUMPLIDA EFECTIVA"/>
    <s v="Se realizaron capacitaciones durante la vigencia del Plan de mejoramiento, sobre supervisión de contratos."/>
    <x v="1"/>
    <s v="https://drive.google.com/drive/u/0/folders/1guIfT-WIQx9vnUAswiSGj4qTRf8AQdJN"/>
    <s v=""/>
    <x v="0"/>
    <x v="0"/>
    <x v="0"/>
    <x v="0"/>
    <m/>
    <m/>
    <m/>
  </r>
  <r>
    <n v="243"/>
    <s v="2023-10-18"/>
    <s v="MOVILIDAD"/>
    <s v="TERMINAL DE TRANSPORTE S.A."/>
    <s v="311"/>
    <x v="2"/>
    <x v="1"/>
    <x v="38"/>
    <n v="1"/>
    <s v="DIRECCIÓN SECTOR MOVILIDAD"/>
    <m/>
    <s v="AUDITORIA DE REGULARIDAD"/>
    <s v="Control Gestión"/>
    <s v="Gestión Contractual"/>
    <x v="53"/>
    <s v="PRESENTACIÓN INOPORTUNA DEL INFORME FINAL."/>
    <x v="79"/>
    <s v="MODIFICACIÓN Y ACTUALIZACION DEL MANUAL DE SUPERVISIÓN E INTERVENTORIA."/>
    <s v="MODIFICACIÓN Y ACTUALIZACION DEL MANUAL DE SUPERVISIÓN E INTERVENTORIA DURANTE VIGENCIA 2023 DEFINIENDO TIEMPOS DE PRESENTACIÓN DEL INFORME FINAL DE EJECUCIÓN CONTRACTUAL."/>
    <n v="100"/>
    <x v="5"/>
    <s v="2024-01-15"/>
    <x v="24"/>
    <s v=""/>
    <s v="CUMPLIDA EFECTIVA"/>
    <s v="Se actualizó el Manual de Supervisión e Interventoría Código: GJC-MN02, con el próposito de definir tiempos de de presentación del informe final de ejecución contractual.-"/>
    <x v="1"/>
    <s v="https://drive.google.com/drive/u/0/folders/17PSsuq238qXZY9mwpgDgab0g9OSxkVF4"/>
    <s v=""/>
    <x v="0"/>
    <x v="0"/>
    <x v="0"/>
    <x v="0"/>
    <m/>
    <m/>
    <m/>
  </r>
  <r>
    <n v="244"/>
    <s v="2023-10-18"/>
    <s v="MOVILIDAD"/>
    <s v="TERMINAL DE TRANSPORTE S.A."/>
    <s v="311"/>
    <x v="2"/>
    <x v="1"/>
    <x v="38"/>
    <n v="2"/>
    <s v="DIRECCIÓN SECTOR MOVILIDAD"/>
    <m/>
    <s v="AUDITORIA DE REGULARIDAD"/>
    <s v="Control Gestión"/>
    <s v="Gestión Contractual"/>
    <x v="53"/>
    <s v="PRESENTACIÓN INOPORTUNA DEL INFORME FINAL."/>
    <x v="80"/>
    <s v="DEFINICIÓN DE CRONOGRAMA DE CAPACITACIONES SOBRE SUPERVISIÓN DE CONTRATOS"/>
    <s v="REALIZACION DE DOS (2) CAPACITACIONES DURANTE LA VIGENCIA DEL PLAN DE MEJORAMIENTO QUE INCLUYA LOS TIEMPOS DE PRESENTACIÓN DEL INFORME FINAL DE EJECUCIÓN CONTRACTUAL."/>
    <n v="100"/>
    <x v="5"/>
    <s v="2024-01-15"/>
    <x v="24"/>
    <s v=""/>
    <s v="CUMPLIDA EFECTIVA"/>
    <s v="Se realizaron capacitaciones durante la vigencia del Plan de mejoramiento, sobre supervisión de contratos."/>
    <x v="1"/>
    <s v="https://drive.google.com/drive/u/0/folders/1KXbESP4hXKmzTjN40WXUu272esJMw8-e"/>
    <s v=""/>
    <x v="0"/>
    <x v="0"/>
    <x v="0"/>
    <x v="0"/>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7F1577-F431-4B0C-B786-3FF0F4829E0F}" name="TablaDiná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9:E35" firstHeaderRow="0" firstDataRow="1" firstDataCol="1"/>
  <pivotFields count="19">
    <pivotField showAll="0"/>
    <pivotField showAll="0">
      <items count="3">
        <item x="1"/>
        <item x="0"/>
        <item t="default"/>
      </items>
    </pivotField>
    <pivotField showAll="0"/>
    <pivotField axis="axisRow" showAll="0">
      <items count="54">
        <item m="1" x="25"/>
        <item m="1" x="26"/>
        <item m="1" x="31"/>
        <item m="1" x="28"/>
        <item m="1" x="36"/>
        <item m="1" x="42"/>
        <item m="1" x="27"/>
        <item m="1" x="29"/>
        <item m="1" x="38"/>
        <item m="1" x="43"/>
        <item m="1" x="41"/>
        <item m="1" x="34"/>
        <item x="1"/>
        <item x="0"/>
        <item x="6"/>
        <item x="3"/>
        <item x="11"/>
        <item x="16"/>
        <item x="2"/>
        <item x="4"/>
        <item x="12"/>
        <item x="17"/>
        <item x="15"/>
        <item x="9"/>
        <item m="1" x="48"/>
        <item x="21"/>
        <item m="1" x="46"/>
        <item m="1" x="52"/>
        <item m="1" x="49"/>
        <item m="1" x="50"/>
        <item m="1" x="35"/>
        <item m="1" x="32"/>
        <item m="1" x="47"/>
        <item m="1" x="39"/>
        <item m="1" x="40"/>
        <item m="1" x="45"/>
        <item m="1" x="51"/>
        <item m="1" x="37"/>
        <item m="1" x="33"/>
        <item m="1" x="30"/>
        <item m="1" x="44"/>
        <item x="10"/>
        <item x="7"/>
        <item x="13"/>
        <item x="20"/>
        <item x="14"/>
        <item x="24"/>
        <item x="19"/>
        <item x="8"/>
        <item x="5"/>
        <item x="18"/>
        <item x="22"/>
        <item x="23"/>
        <item t="default"/>
      </items>
    </pivotField>
    <pivotField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s>
  <rowFields count="1">
    <field x="3"/>
  </rowFields>
  <rowItems count="26">
    <i>
      <x v="12"/>
    </i>
    <i>
      <x v="13"/>
    </i>
    <i>
      <x v="14"/>
    </i>
    <i>
      <x v="15"/>
    </i>
    <i>
      <x v="16"/>
    </i>
    <i>
      <x v="17"/>
    </i>
    <i>
      <x v="18"/>
    </i>
    <i>
      <x v="19"/>
    </i>
    <i>
      <x v="20"/>
    </i>
    <i>
      <x v="21"/>
    </i>
    <i>
      <x v="22"/>
    </i>
    <i>
      <x v="23"/>
    </i>
    <i>
      <x v="25"/>
    </i>
    <i>
      <x v="41"/>
    </i>
    <i>
      <x v="42"/>
    </i>
    <i>
      <x v="43"/>
    </i>
    <i>
      <x v="44"/>
    </i>
    <i>
      <x v="45"/>
    </i>
    <i>
      <x v="46"/>
    </i>
    <i>
      <x v="47"/>
    </i>
    <i>
      <x v="48"/>
    </i>
    <i>
      <x v="49"/>
    </i>
    <i>
      <x v="50"/>
    </i>
    <i>
      <x v="51"/>
    </i>
    <i>
      <x v="52"/>
    </i>
    <i t="grand">
      <x/>
    </i>
  </rowItems>
  <colFields count="1">
    <field x="-2"/>
  </colFields>
  <colItems count="4">
    <i>
      <x/>
    </i>
    <i i="1">
      <x v="1"/>
    </i>
    <i i="2">
      <x v="2"/>
    </i>
    <i i="3">
      <x v="3"/>
    </i>
  </colItems>
  <dataFields count="4">
    <dataField name="Suma de Total Planes de acción" fld="5" baseField="0" baseItem="0"/>
    <dataField name="Suma de Abiertos" fld="6" baseField="0" baseItem="0"/>
    <dataField name="Suma de Vencidos" fld="7" baseField="0" baseItem="0"/>
    <dataField name="Suma de Finalizados" fld="8" baseField="0" baseItem="0"/>
  </dataFields>
  <formats count="20">
    <format dxfId="255">
      <pivotArea type="all" dataOnly="0" outline="0" fieldPosition="0"/>
    </format>
    <format dxfId="254">
      <pivotArea outline="0" collapsedLevelsAreSubtotals="1" fieldPosition="0"/>
    </format>
    <format dxfId="253">
      <pivotArea field="1" type="button" dataOnly="0" labelOnly="1" outline="0"/>
    </format>
    <format dxfId="252">
      <pivotArea dataOnly="0" labelOnly="1" grandRow="1" outline="0" fieldPosition="0"/>
    </format>
    <format dxfId="251">
      <pivotArea dataOnly="0" labelOnly="1" fieldPosition="0">
        <references count="1">
          <reference field="3" count="0"/>
        </references>
      </pivotArea>
    </format>
    <format dxfId="250">
      <pivotArea collapsedLevelsAreSubtotals="1" fieldPosition="0">
        <references count="1">
          <reference field="3" count="0"/>
        </references>
      </pivotArea>
    </format>
    <format dxfId="249">
      <pivotArea dataOnly="0" labelOnly="1" fieldPosition="0">
        <references count="1">
          <reference field="3" count="0"/>
        </references>
      </pivotArea>
    </format>
    <format dxfId="248">
      <pivotArea dataOnly="0" fieldPosition="0">
        <references count="1">
          <reference field="3" count="1">
            <x v="13"/>
          </reference>
        </references>
      </pivotArea>
    </format>
    <format dxfId="247">
      <pivotArea dataOnly="0" fieldPosition="0">
        <references count="1">
          <reference field="3" count="1">
            <x v="14"/>
          </reference>
        </references>
      </pivotArea>
    </format>
    <format dxfId="246">
      <pivotArea dataOnly="0" fieldPosition="0">
        <references count="1">
          <reference field="3" count="1">
            <x v="19"/>
          </reference>
        </references>
      </pivotArea>
    </format>
    <format dxfId="245">
      <pivotArea dataOnly="0" fieldPosition="0">
        <references count="1">
          <reference field="3" count="1">
            <x v="20"/>
          </reference>
        </references>
      </pivotArea>
    </format>
    <format dxfId="244">
      <pivotArea dataOnly="0" fieldPosition="0">
        <references count="1">
          <reference field="3" count="1">
            <x v="23"/>
          </reference>
        </references>
      </pivotArea>
    </format>
    <format dxfId="243">
      <pivotArea dataOnly="0" fieldPosition="0">
        <references count="1">
          <reference field="3" count="1">
            <x v="25"/>
          </reference>
        </references>
      </pivotArea>
    </format>
    <format dxfId="242">
      <pivotArea dataOnly="0" fieldPosition="0">
        <references count="1">
          <reference field="3" count="1">
            <x v="42"/>
          </reference>
        </references>
      </pivotArea>
    </format>
    <format dxfId="241">
      <pivotArea dataOnly="0" fieldPosition="0">
        <references count="1">
          <reference field="3" count="1">
            <x v="43"/>
          </reference>
        </references>
      </pivotArea>
    </format>
    <format dxfId="240">
      <pivotArea dataOnly="0" fieldPosition="0">
        <references count="1">
          <reference field="3" count="1">
            <x v="44"/>
          </reference>
        </references>
      </pivotArea>
    </format>
    <format dxfId="239">
      <pivotArea dataOnly="0" fieldPosition="0">
        <references count="1">
          <reference field="3" count="1">
            <x v="46"/>
          </reference>
        </references>
      </pivotArea>
    </format>
    <format dxfId="238">
      <pivotArea dataOnly="0" fieldPosition="0">
        <references count="1">
          <reference field="3" count="1">
            <x v="47"/>
          </reference>
        </references>
      </pivotArea>
    </format>
    <format dxfId="237">
      <pivotArea dataOnly="0" fieldPosition="0">
        <references count="1">
          <reference field="3" count="1">
            <x v="50"/>
          </reference>
        </references>
      </pivotArea>
    </format>
    <format dxfId="236">
      <pivotArea dataOnly="0" fieldPosition="0">
        <references count="1">
          <reference field="3" count="1">
            <x v="1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C7AB91-8822-4E2E-BE9B-A9578BEEAA20}" name="TablaDinámica3"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G7" firstHeaderRow="0" firstDataRow="1" firstDataCol="1"/>
  <pivotFields count="19">
    <pivotField axis="axisRow" showAll="0">
      <items count="4">
        <item x="2"/>
        <item x="1"/>
        <item x="0"/>
        <item t="default"/>
      </items>
    </pivotField>
    <pivotField dataField="1" showAll="0">
      <items count="3">
        <item x="1"/>
        <item x="0"/>
        <item t="default"/>
      </items>
    </pivotField>
    <pivotField dataField="1" showAll="0"/>
    <pivotField showAll="0"/>
    <pivotField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s>
  <rowFields count="1">
    <field x="0"/>
  </rowFields>
  <rowItems count="4">
    <i>
      <x/>
    </i>
    <i>
      <x v="1"/>
    </i>
    <i>
      <x v="2"/>
    </i>
    <i t="grand">
      <x/>
    </i>
  </rowItems>
  <colFields count="1">
    <field x="-2"/>
  </colFields>
  <colItems count="6">
    <i>
      <x/>
    </i>
    <i i="1">
      <x v="1"/>
    </i>
    <i i="2">
      <x v="2"/>
    </i>
    <i i="3">
      <x v="3"/>
    </i>
    <i i="4">
      <x v="4"/>
    </i>
    <i i="5">
      <x v="5"/>
    </i>
  </colItems>
  <dataFields count="6">
    <dataField name="Cuenta de No. Hallazgo" fld="2" subtotal="count" baseField="0" baseItem="0"/>
    <dataField name="Suma de Total Planes de acción" fld="5" baseField="0" baseItem="0"/>
    <dataField name="Suma de Abiertos" fld="6" baseField="0" baseItem="0"/>
    <dataField name="Suma de Vencidos" fld="7" baseField="0" baseItem="0"/>
    <dataField name="Suma de Finalizados" fld="8" baseField="0" baseItem="0"/>
    <dataField name="Suma de Auditoría" fld="1" baseField="0" baseItem="0"/>
  </dataFields>
  <formats count="5">
    <format dxfId="260">
      <pivotArea type="all" dataOnly="0" outline="0" fieldPosition="0"/>
    </format>
    <format dxfId="259">
      <pivotArea outline="0" collapsedLevelsAreSubtotals="1" fieldPosition="0"/>
    </format>
    <format dxfId="258">
      <pivotArea field="1" type="button" dataOnly="0" labelOnly="1" outline="0"/>
    </format>
    <format dxfId="257">
      <pivotArea dataOnly="0" labelOnly="1" grandRow="1" outline="0" fieldPosition="0"/>
    </format>
    <format dxfId="256">
      <pivotArea dataOnly="0" labelOnly="1" outline="0" fieldPosition="0">
        <references count="1">
          <reference field="4294967294" count="4">
            <x v="0"/>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D13A3BC-1219-4D69-B516-0147E8AE8D80}" name="TablaDinámica2" cacheId="1" applyNumberFormats="0" applyBorderFormats="0" applyFontFormats="0" applyPatternFormats="0" applyAlignmentFormats="0" applyWidthHeightFormats="1" dataCaption="Valores" updatedVersion="8" minRefreshableVersion="3" showDrill="0" itemPrintTitles="1" createdVersion="8" indent="0" compact="0" compactData="0" multipleFieldFilters="0">
  <location ref="A4:L16" firstHeaderRow="1" firstDataRow="1" firstDataCol="12"/>
  <pivotFields count="36">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3">
        <item x="2"/>
        <item x="1"/>
        <item x="0"/>
      </items>
    </pivotField>
    <pivotField axis="axisRow" compact="0" outline="0" showAll="0" defaultSubtotal="0">
      <items count="2">
        <item x="1"/>
        <item x="0"/>
      </items>
    </pivotField>
    <pivotField axis="axisRow" compact="0" outline="0" showAll="0" defaultSubtotal="0">
      <items count="39">
        <item x="0"/>
        <item x="29"/>
        <item x="1"/>
        <item x="30"/>
        <item x="31"/>
        <item x="21"/>
        <item x="2"/>
        <item x="3"/>
        <item x="4"/>
        <item x="5"/>
        <item x="22"/>
        <item x="23"/>
        <item x="6"/>
        <item x="7"/>
        <item x="8"/>
        <item x="9"/>
        <item x="10"/>
        <item x="11"/>
        <item x="12"/>
        <item x="13"/>
        <item x="32"/>
        <item x="24"/>
        <item x="25"/>
        <item x="14"/>
        <item x="15"/>
        <item x="33"/>
        <item x="16"/>
        <item x="17"/>
        <item x="18"/>
        <item x="19"/>
        <item x="34"/>
        <item x="35"/>
        <item x="36"/>
        <item x="26"/>
        <item x="37"/>
        <item x="38"/>
        <item x="27"/>
        <item x="28"/>
        <item x="2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54">
        <item x="21"/>
        <item x="29"/>
        <item x="34"/>
        <item x="33"/>
        <item x="22"/>
        <item x="23"/>
        <item x="28"/>
        <item x="26"/>
        <item x="32"/>
        <item x="31"/>
        <item x="27"/>
        <item x="25"/>
        <item x="24"/>
        <item x="30"/>
        <item x="14"/>
        <item x="15"/>
        <item x="6"/>
        <item x="2"/>
        <item x="1"/>
        <item x="3"/>
        <item x="20"/>
        <item x="0"/>
        <item x="5"/>
        <item x="4"/>
        <item x="16"/>
        <item x="47"/>
        <item x="19"/>
        <item x="12"/>
        <item x="51"/>
        <item x="46"/>
        <item x="43"/>
        <item x="52"/>
        <item x="48"/>
        <item x="49"/>
        <item x="50"/>
        <item x="13"/>
        <item x="9"/>
        <item x="10"/>
        <item x="7"/>
        <item x="11"/>
        <item x="8"/>
        <item x="18"/>
        <item x="41"/>
        <item x="40"/>
        <item x="17"/>
        <item x="39"/>
        <item x="42"/>
        <item x="38"/>
        <item x="36"/>
        <item x="37"/>
        <item x="44"/>
        <item x="45"/>
        <item x="53"/>
        <item x="35"/>
      </items>
    </pivotField>
    <pivotField compact="0" outline="0" showAll="0" defaultSubtotal="0"/>
    <pivotField axis="axisRow" compact="0" outline="0" showAll="0" defaultSubtotal="0">
      <items count="81">
        <item x="61"/>
        <item x="27"/>
        <item x="18"/>
        <item x="7"/>
        <item x="30"/>
        <item x="20"/>
        <item x="64"/>
        <item x="48"/>
        <item x="47"/>
        <item x="3"/>
        <item x="21"/>
        <item x="11"/>
        <item x="26"/>
        <item x="22"/>
        <item x="5"/>
        <item x="10"/>
        <item x="68"/>
        <item x="14"/>
        <item x="0"/>
        <item x="1"/>
        <item x="16"/>
        <item x="43"/>
        <item x="54"/>
        <item x="55"/>
        <item x="60"/>
        <item x="13"/>
        <item x="12"/>
        <item x="76"/>
        <item x="15"/>
        <item x="4"/>
        <item x="49"/>
        <item x="58"/>
        <item x="2"/>
        <item x="17"/>
        <item x="73"/>
        <item x="71"/>
        <item x="74"/>
        <item x="56"/>
        <item x="75"/>
        <item x="50"/>
        <item x="44"/>
        <item x="70"/>
        <item x="69"/>
        <item x="72"/>
        <item x="65"/>
        <item x="78"/>
        <item x="80"/>
        <item x="53"/>
        <item x="8"/>
        <item x="37"/>
        <item x="51"/>
        <item x="46"/>
        <item x="62"/>
        <item x="23"/>
        <item x="28"/>
        <item x="25"/>
        <item x="33"/>
        <item x="41"/>
        <item x="29"/>
        <item x="24"/>
        <item x="79"/>
        <item x="77"/>
        <item x="57"/>
        <item x="6"/>
        <item x="19"/>
        <item x="9"/>
        <item x="59"/>
        <item x="31"/>
        <item x="35"/>
        <item x="67"/>
        <item x="63"/>
        <item x="34"/>
        <item x="38"/>
        <item x="66"/>
        <item x="52"/>
        <item x="36"/>
        <item x="39"/>
        <item x="32"/>
        <item x="40"/>
        <item x="42"/>
        <item x="45"/>
      </items>
    </pivotField>
    <pivotField compact="0" outline="0" showAll="0" defaultSubtotal="0"/>
    <pivotField compact="0" outline="0" showAll="0" defaultSubtotal="0"/>
    <pivotField compact="0" outline="0" showAll="0" defaultSubtotal="0"/>
    <pivotField axis="axisRow" compact="0" outline="0" showAll="0" defaultSubtotal="0">
      <items count="61">
        <item m="1" x="54"/>
        <item m="1" x="26"/>
        <item m="1" x="56"/>
        <item m="1" x="28"/>
        <item m="1" x="37"/>
        <item m="1" x="43"/>
        <item m="1" x="27"/>
        <item m="1" x="55"/>
        <item m="1" x="38"/>
        <item m="1" x="44"/>
        <item m="1" x="42"/>
        <item m="1" x="58"/>
        <item m="1" x="49"/>
        <item m="1" x="47"/>
        <item m="1" x="53"/>
        <item m="1" x="50"/>
        <item m="1" x="51"/>
        <item m="1" x="36"/>
        <item m="1" x="57"/>
        <item m="1" x="48"/>
        <item m="1" x="60"/>
        <item m="1" x="40"/>
        <item m="1" x="46"/>
        <item m="1" x="52"/>
        <item m="1" x="59"/>
        <item m="1" x="34"/>
        <item m="1" x="30"/>
        <item m="1" x="45"/>
        <item m="1" x="25"/>
        <item m="1" x="29"/>
        <item m="1" x="31"/>
        <item m="1" x="32"/>
        <item m="1" x="33"/>
        <item m="1" x="35"/>
        <item m="1" x="39"/>
        <item m="1" x="41"/>
        <item x="0"/>
        <item x="1"/>
        <item x="2"/>
        <item x="3"/>
        <item x="4"/>
        <item x="5"/>
        <item x="6"/>
        <item x="7"/>
        <item x="8"/>
        <item x="9"/>
        <item x="10"/>
        <item x="11"/>
        <item x="12"/>
        <item x="13"/>
        <item x="14"/>
        <item x="15"/>
        <item x="16"/>
        <item x="17"/>
        <item x="18"/>
        <item x="19"/>
        <item x="20"/>
        <item x="21"/>
        <item x="22"/>
        <item x="23"/>
        <item x="24"/>
      </items>
    </pivotField>
    <pivotField compact="0" outline="0" showAll="0" defaultSubtotal="0"/>
    <pivotField axis="axisRow" compact="0" outline="0" showAll="0" defaultSubtotal="0">
      <items count="28">
        <item x="24"/>
        <item x="23"/>
        <item x="22"/>
        <item x="21"/>
        <item x="25"/>
        <item x="12"/>
        <item x="13"/>
        <item x="17"/>
        <item x="15"/>
        <item x="18"/>
        <item x="20"/>
        <item x="14"/>
        <item x="19"/>
        <item x="16"/>
        <item x="3"/>
        <item x="5"/>
        <item x="7"/>
        <item x="8"/>
        <item x="4"/>
        <item x="10"/>
        <item x="1"/>
        <item x="0"/>
        <item x="6"/>
        <item x="26"/>
        <item x="2"/>
        <item m="1" x="27"/>
        <item x="9"/>
        <item x="11"/>
      </items>
    </pivotField>
    <pivotField compact="0" outline="0" showAll="0" defaultSubtotal="0"/>
    <pivotField compact="0" outline="0" showAll="0" defaultSubtotal="0"/>
    <pivotField compact="0" outline="0" showAll="0" defaultSubtotal="0"/>
    <pivotField axis="axisRow" compact="0" outline="0" showAll="0" defaultSubtotal="0">
      <items count="3">
        <item x="0"/>
        <item h="1" x="1"/>
        <item h="1" x="2"/>
      </items>
    </pivotField>
    <pivotField compact="0" outline="0" showAll="0" defaultSubtotal="0"/>
    <pivotField compact="0" outline="0" showAll="0" defaultSubtotal="0"/>
    <pivotField axis="axisRow" compact="0" outline="0" showAll="0" defaultSubtotal="0">
      <items count="2">
        <item x="0"/>
        <item m="1" x="1"/>
      </items>
    </pivotField>
    <pivotField axis="axisRow" compact="0" outline="0" showAll="0" defaultSubtotal="0">
      <items count="2">
        <item x="0"/>
        <item m="1" x="1"/>
      </items>
    </pivotField>
    <pivotField axis="axisRow" compact="0" outline="0" showAll="0" defaultSubtotal="0">
      <items count="2">
        <item x="0"/>
        <item m="1" x="1"/>
      </items>
    </pivotField>
    <pivotField axis="axisRow" compact="0" outline="0" subtotalTop="0" showAll="0" defaultSubtotal="0">
      <items count="1">
        <item x="0"/>
      </items>
    </pivotField>
    <pivotField compact="0" outline="0" subtotalTop="0" showAll="0" defaultSubtotal="0"/>
    <pivotField compact="0" outline="0" subtotalTop="0" showAll="0" defaultSubtotal="0"/>
    <pivotField compact="0" outline="0" subtotalTop="0" showAll="0" defaultSubtotal="0"/>
  </pivotFields>
  <rowFields count="12">
    <field x="5"/>
    <field x="6"/>
    <field x="7"/>
    <field x="14"/>
    <field x="16"/>
    <field x="20"/>
    <field x="22"/>
    <field x="26"/>
    <field x="29"/>
    <field x="30"/>
    <field x="31"/>
    <field x="32"/>
  </rowFields>
  <rowItems count="12">
    <i>
      <x v="2"/>
      <x v="1"/>
      <x/>
      <x v="21"/>
      <x v="18"/>
      <x v="36"/>
      <x v="21"/>
      <x/>
      <x/>
      <x/>
      <x/>
      <x/>
    </i>
    <i r="2">
      <x v="7"/>
      <x v="19"/>
      <x v="3"/>
      <x v="40"/>
      <x v="22"/>
      <x/>
      <x/>
      <x/>
      <x/>
      <x/>
    </i>
    <i r="2">
      <x v="8"/>
      <x v="23"/>
      <x v="15"/>
      <x v="41"/>
      <x v="22"/>
      <x/>
      <x/>
      <x/>
      <x/>
      <x/>
    </i>
    <i r="4">
      <x v="48"/>
      <x v="38"/>
      <x v="22"/>
      <x/>
      <x/>
      <x/>
      <x/>
      <x/>
    </i>
    <i r="4">
      <x v="65"/>
      <x v="37"/>
      <x v="22"/>
      <x/>
      <x/>
      <x/>
      <x/>
      <x/>
    </i>
    <i r="2">
      <x v="12"/>
      <x v="16"/>
      <x v="17"/>
      <x v="41"/>
      <x v="22"/>
      <x/>
      <x/>
      <x/>
      <x/>
      <x/>
    </i>
    <i r="2">
      <x v="24"/>
      <x v="15"/>
      <x v="10"/>
      <x v="46"/>
      <x v="22"/>
      <x/>
      <x/>
      <x/>
      <x/>
      <x/>
    </i>
    <i r="4">
      <x v="13"/>
      <x v="46"/>
      <x v="22"/>
      <x/>
      <x/>
      <x/>
      <x/>
      <x/>
    </i>
    <i r="2">
      <x v="26"/>
      <x v="24"/>
      <x v="53"/>
      <x v="47"/>
      <x v="22"/>
      <x/>
      <x/>
      <x/>
      <x/>
      <x/>
    </i>
    <i r="2">
      <x v="27"/>
      <x v="44"/>
      <x v="59"/>
      <x v="41"/>
      <x v="22"/>
      <x/>
      <x/>
      <x/>
      <x/>
      <x/>
    </i>
    <i r="2">
      <x v="38"/>
      <x v="20"/>
      <x v="4"/>
      <x v="44"/>
      <x v="21"/>
      <x/>
      <x/>
      <x/>
      <x/>
      <x/>
    </i>
    <i t="grand">
      <x/>
    </i>
  </rowItems>
  <colItems count="1">
    <i/>
  </colItems>
  <formats count="207">
    <format dxfId="235">
      <pivotArea field="14" type="button" dataOnly="0" labelOnly="1" outline="0" axis="axisRow" fieldPosition="3"/>
    </format>
    <format dxfId="234">
      <pivotArea field="16" type="button" dataOnly="0" labelOnly="1" outline="0" axis="axisRow" fieldPosition="4"/>
    </format>
    <format dxfId="233">
      <pivotArea field="20" type="button" dataOnly="0" labelOnly="1" outline="0" axis="axisRow" fieldPosition="5"/>
    </format>
    <format dxfId="232">
      <pivotArea field="22" type="button" dataOnly="0" labelOnly="1" outline="0" axis="axisRow" fieldPosition="6"/>
    </format>
    <format dxfId="231">
      <pivotArea field="26" type="button" dataOnly="0" labelOnly="1" outline="0" axis="axisRow" fieldPosition="7"/>
    </format>
    <format dxfId="230">
      <pivotArea dataOnly="0" labelOnly="1" outline="0" fieldPosition="0">
        <references count="1">
          <reference field="5" count="0"/>
        </references>
      </pivotArea>
    </format>
    <format dxfId="229">
      <pivotArea dataOnly="0" labelOnly="1" outline="0" fieldPosition="0">
        <references count="1">
          <reference field="5" count="0"/>
        </references>
      </pivotArea>
    </format>
    <format dxfId="228">
      <pivotArea dataOnly="0" labelOnly="1" outline="0" fieldPosition="0">
        <references count="1">
          <reference field="5" count="0"/>
        </references>
      </pivotArea>
    </format>
    <format dxfId="227">
      <pivotArea dataOnly="0" labelOnly="1" outline="0" fieldPosition="0">
        <references count="1">
          <reference field="6" count="0"/>
        </references>
      </pivotArea>
    </format>
    <format dxfId="226">
      <pivotArea dataOnly="0" labelOnly="1" outline="0" fieldPosition="0">
        <references count="1">
          <reference field="6" count="0"/>
        </references>
      </pivotArea>
    </format>
    <format dxfId="225">
      <pivotArea dataOnly="0" labelOnly="1" outline="0" fieldPosition="0">
        <references count="1">
          <reference field="7" count="0"/>
        </references>
      </pivotArea>
    </format>
    <format dxfId="224">
      <pivotArea dataOnly="0" labelOnly="1" outline="0" fieldPosition="0">
        <references count="1">
          <reference field="7" count="0"/>
        </references>
      </pivotArea>
    </format>
    <format dxfId="223">
      <pivotArea dataOnly="0" labelOnly="1" outline="0" fieldPosition="0">
        <references count="1">
          <reference field="14" count="0"/>
        </references>
      </pivotArea>
    </format>
    <format dxfId="222">
      <pivotArea dataOnly="0" labelOnly="1" outline="0" fieldPosition="0">
        <references count="1">
          <reference field="14" count="0"/>
        </references>
      </pivotArea>
    </format>
    <format dxfId="221">
      <pivotArea dataOnly="0" labelOnly="1" outline="0" fieldPosition="0">
        <references count="1">
          <reference field="14" count="0"/>
        </references>
      </pivotArea>
    </format>
    <format dxfId="220">
      <pivotArea dataOnly="0" labelOnly="1" outline="0" fieldPosition="0">
        <references count="1">
          <reference field="16" count="0"/>
        </references>
      </pivotArea>
    </format>
    <format dxfId="219">
      <pivotArea dataOnly="0" labelOnly="1" outline="0" fieldPosition="0">
        <references count="1">
          <reference field="16" count="0"/>
        </references>
      </pivotArea>
    </format>
    <format dxfId="218">
      <pivotArea dataOnly="0" labelOnly="1" outline="0" fieldPosition="0">
        <references count="1">
          <reference field="16" count="0"/>
        </references>
      </pivotArea>
    </format>
    <format dxfId="217">
      <pivotArea dataOnly="0" labelOnly="1" outline="0" fieldPosition="0">
        <references count="1">
          <reference field="20" count="0"/>
        </references>
      </pivotArea>
    </format>
    <format dxfId="216">
      <pivotArea dataOnly="0" labelOnly="1" outline="0" fieldPosition="0">
        <references count="1">
          <reference field="20" count="0"/>
        </references>
      </pivotArea>
    </format>
    <format dxfId="215">
      <pivotArea dataOnly="0" labelOnly="1" outline="0" fieldPosition="0">
        <references count="1">
          <reference field="20" count="0"/>
        </references>
      </pivotArea>
    </format>
    <format dxfId="214">
      <pivotArea dataOnly="0" labelOnly="1" outline="0" fieldPosition="0">
        <references count="1">
          <reference field="22" count="0"/>
        </references>
      </pivotArea>
    </format>
    <format dxfId="213">
      <pivotArea dataOnly="0" labelOnly="1" outline="0" fieldPosition="0">
        <references count="1">
          <reference field="22" count="0"/>
        </references>
      </pivotArea>
    </format>
    <format dxfId="212">
      <pivotArea dataOnly="0" labelOnly="1" outline="0" fieldPosition="0">
        <references count="1">
          <reference field="22" count="0"/>
        </references>
      </pivotArea>
    </format>
    <format dxfId="211">
      <pivotArea dataOnly="0" labelOnly="1" outline="0" fieldPosition="0">
        <references count="1">
          <reference field="26" count="0"/>
        </references>
      </pivotArea>
    </format>
    <format dxfId="210">
      <pivotArea dataOnly="0" labelOnly="1" outline="0" fieldPosition="0">
        <references count="1">
          <reference field="29" count="0"/>
        </references>
      </pivotArea>
    </format>
    <format dxfId="209">
      <pivotArea dataOnly="0" labelOnly="1" outline="0" fieldPosition="0">
        <references count="1">
          <reference field="29" count="0"/>
        </references>
      </pivotArea>
    </format>
    <format dxfId="208">
      <pivotArea dataOnly="0" labelOnly="1" outline="0" fieldPosition="0">
        <references count="1">
          <reference field="30" count="0"/>
        </references>
      </pivotArea>
    </format>
    <format dxfId="207">
      <pivotArea dataOnly="0" labelOnly="1" outline="0" fieldPosition="0">
        <references count="1">
          <reference field="30" count="0"/>
        </references>
      </pivotArea>
    </format>
    <format dxfId="206">
      <pivotArea dataOnly="0" labelOnly="1" outline="0" fieldPosition="0">
        <references count="1">
          <reference field="31" count="0"/>
        </references>
      </pivotArea>
    </format>
    <format dxfId="205">
      <pivotArea dataOnly="0" labelOnly="1" outline="0" fieldPosition="0">
        <references count="1">
          <reference field="31" count="0"/>
        </references>
      </pivotArea>
    </format>
    <format dxfId="204">
      <pivotArea field="29" type="button" dataOnly="0" labelOnly="1" outline="0" axis="axisRow" fieldPosition="8"/>
    </format>
    <format dxfId="203">
      <pivotArea field="30" type="button" dataOnly="0" labelOnly="1" outline="0" axis="axisRow" fieldPosition="9"/>
    </format>
    <format dxfId="202">
      <pivotArea field="31" type="button" dataOnly="0" labelOnly="1" outline="0" axis="axisRow" fieldPosition="10"/>
    </format>
    <format dxfId="201">
      <pivotArea field="32" type="button" dataOnly="0" labelOnly="1" outline="0" axis="axisRow" fieldPosition="11"/>
    </format>
    <format dxfId="200">
      <pivotArea dataOnly="0" labelOnly="1" grandRow="1" outline="0" fieldPosition="0"/>
    </format>
    <format dxfId="199">
      <pivotArea dataOnly="0" labelOnly="1" outline="0" fieldPosition="0">
        <references count="12">
          <reference field="5" count="1" selected="0">
            <x v="0"/>
          </reference>
          <reference field="6" count="1" selected="0">
            <x v="0"/>
          </reference>
          <reference field="7" count="1" selected="0">
            <x v="1"/>
          </reference>
          <reference field="14" count="1" selected="0">
            <x v="53"/>
          </reference>
          <reference field="16" count="1" selected="0">
            <x v="62"/>
          </reference>
          <reference field="20" count="1" selected="0">
            <x v="13"/>
          </reference>
          <reference field="22" count="1" selected="0">
            <x v="3"/>
          </reference>
          <reference field="26" count="1" selected="0">
            <x v="1"/>
          </reference>
          <reference field="29" count="0" selected="0"/>
          <reference field="30" count="1" selected="0">
            <x v="0"/>
          </reference>
          <reference field="31" count="0" selected="0"/>
          <reference field="32" count="0"/>
        </references>
      </pivotArea>
    </format>
    <format dxfId="198">
      <pivotArea dataOnly="0" labelOnly="1" outline="0" fieldPosition="0">
        <references count="12">
          <reference field="5" count="1" selected="0">
            <x v="0"/>
          </reference>
          <reference field="6" count="1" selected="0">
            <x v="0"/>
          </reference>
          <reference field="7" count="1" selected="0">
            <x v="3"/>
          </reference>
          <reference field="14" count="1" selected="0">
            <x v="48"/>
          </reference>
          <reference field="16" count="1" selected="0">
            <x v="31"/>
          </reference>
          <reference field="20" count="1" selected="0">
            <x v="19"/>
          </reference>
          <reference field="22" count="1" selected="0">
            <x v="2"/>
          </reference>
          <reference field="26" count="1" selected="0">
            <x v="1"/>
          </reference>
          <reference field="29" count="0" selected="0"/>
          <reference field="30" count="1" selected="0">
            <x v="0"/>
          </reference>
          <reference field="31" count="0" selected="0"/>
          <reference field="32" count="0"/>
        </references>
      </pivotArea>
    </format>
    <format dxfId="197">
      <pivotArea dataOnly="0" labelOnly="1" outline="0" fieldPosition="0">
        <references count="12">
          <reference field="5" count="1" selected="0">
            <x v="0"/>
          </reference>
          <reference field="6" count="1" selected="0">
            <x v="0"/>
          </reference>
          <reference field="7" count="1" selected="0">
            <x v="4"/>
          </reference>
          <reference field="14" count="1" selected="0">
            <x v="49"/>
          </reference>
          <reference field="16" count="1" selected="0">
            <x v="66"/>
          </reference>
          <reference field="20" count="1" selected="0">
            <x v="12"/>
          </reference>
          <reference field="22" count="1" selected="0">
            <x v="1"/>
          </reference>
          <reference field="26" count="1" selected="0">
            <x v="1"/>
          </reference>
          <reference field="29" count="0" selected="0"/>
          <reference field="30" count="1" selected="0">
            <x v="0"/>
          </reference>
          <reference field="31" count="0" selected="0"/>
          <reference field="32" count="0"/>
        </references>
      </pivotArea>
    </format>
    <format dxfId="196">
      <pivotArea dataOnly="0" labelOnly="1" outline="0" fieldPosition="0">
        <references count="12">
          <reference field="5" count="1" selected="0">
            <x v="0"/>
          </reference>
          <reference field="6" count="1" selected="0">
            <x v="0"/>
          </reference>
          <reference field="7" count="1" selected="0">
            <x v="6"/>
          </reference>
          <reference field="14" count="1" selected="0">
            <x v="47"/>
          </reference>
          <reference field="16" count="1" selected="0">
            <x v="24"/>
          </reference>
          <reference field="20" count="1" selected="0">
            <x v="1"/>
          </reference>
          <reference field="22" count="1" selected="0">
            <x v="2"/>
          </reference>
          <reference field="26" count="1" selected="0">
            <x v="1"/>
          </reference>
          <reference field="29" count="0" selected="0"/>
          <reference field="30" count="1" selected="0">
            <x v="0"/>
          </reference>
          <reference field="31" count="0" selected="0"/>
          <reference field="32" count="0"/>
        </references>
      </pivotArea>
    </format>
    <format dxfId="195">
      <pivotArea dataOnly="0" labelOnly="1" outline="0" fieldPosition="0">
        <references count="12">
          <reference field="5" count="1" selected="0">
            <x v="0"/>
          </reference>
          <reference field="6" count="1" selected="0">
            <x v="0"/>
          </reference>
          <reference field="7" count="1" selected="0">
            <x v="7"/>
          </reference>
          <reference field="14" count="1" selected="0">
            <x v="45"/>
          </reference>
          <reference field="16" count="1" selected="0">
            <x v="0"/>
          </reference>
          <reference field="20" count="1" selected="0">
            <x v="1"/>
          </reference>
          <reference field="22" count="1" selected="0">
            <x v="0"/>
          </reference>
          <reference field="26" count="1" selected="0">
            <x v="1"/>
          </reference>
          <reference field="29" count="0" selected="0"/>
          <reference field="30" count="1" selected="0">
            <x v="0"/>
          </reference>
          <reference field="31" count="0" selected="0"/>
          <reference field="32" count="0"/>
        </references>
      </pivotArea>
    </format>
    <format dxfId="194">
      <pivotArea dataOnly="0" labelOnly="1" outline="0" fieldPosition="0">
        <references count="12">
          <reference field="5" count="1" selected="0">
            <x v="0"/>
          </reference>
          <reference field="6" count="1" selected="0">
            <x v="0"/>
          </reference>
          <reference field="7" count="1" selected="0">
            <x v="8"/>
          </reference>
          <reference field="14" count="1" selected="0">
            <x v="43"/>
          </reference>
          <reference field="16" count="1" selected="0">
            <x v="52"/>
          </reference>
          <reference field="20" count="1" selected="0">
            <x v="1"/>
          </reference>
          <reference field="22" count="1" selected="0">
            <x v="2"/>
          </reference>
          <reference field="26" count="1" selected="0">
            <x v="1"/>
          </reference>
          <reference field="29" count="0" selected="0"/>
          <reference field="30" count="1" selected="0">
            <x v="0"/>
          </reference>
          <reference field="31" count="0" selected="0"/>
          <reference field="32" count="0"/>
        </references>
      </pivotArea>
    </format>
    <format dxfId="193">
      <pivotArea dataOnly="0" labelOnly="1" outline="0" fieldPosition="0">
        <references count="12">
          <reference field="5" count="1" selected="0">
            <x v="0"/>
          </reference>
          <reference field="6" count="1" selected="0">
            <x v="0"/>
          </reference>
          <reference field="7" count="1" selected="0">
            <x v="9"/>
          </reference>
          <reference field="14" count="1" selected="0">
            <x v="42"/>
          </reference>
          <reference field="16" count="1" selected="0">
            <x v="70"/>
          </reference>
          <reference field="20" count="1" selected="0">
            <x v="1"/>
          </reference>
          <reference field="22" count="1" selected="0">
            <x v="2"/>
          </reference>
          <reference field="26" count="1" selected="0">
            <x v="1"/>
          </reference>
          <reference field="29" count="0" selected="0"/>
          <reference field="30" count="1" selected="0">
            <x v="0"/>
          </reference>
          <reference field="31" count="0" selected="0"/>
          <reference field="32" count="0"/>
        </references>
      </pivotArea>
    </format>
    <format dxfId="192">
      <pivotArea dataOnly="0" labelOnly="1" outline="0" fieldPosition="0">
        <references count="12">
          <reference field="5" count="1" selected="0">
            <x v="0"/>
          </reference>
          <reference field="6" count="1" selected="0">
            <x v="0"/>
          </reference>
          <reference field="7" count="1" selected="0">
            <x v="20"/>
          </reference>
          <reference field="14" count="1" selected="0">
            <x v="46"/>
          </reference>
          <reference field="16" count="1" selected="0">
            <x v="6"/>
          </reference>
          <reference field="20" count="1" selected="0">
            <x v="15"/>
          </reference>
          <reference field="22" count="1" selected="0">
            <x v="0"/>
          </reference>
          <reference field="26" count="1" selected="0">
            <x v="1"/>
          </reference>
          <reference field="29" count="0" selected="0"/>
          <reference field="30" count="1" selected="0">
            <x v="0"/>
          </reference>
          <reference field="31" count="0" selected="0"/>
          <reference field="32" count="0"/>
        </references>
      </pivotArea>
    </format>
    <format dxfId="191">
      <pivotArea dataOnly="0" labelOnly="1" outline="0" fieldPosition="0">
        <references count="12">
          <reference field="5" count="1" selected="0">
            <x v="0"/>
          </reference>
          <reference field="6" count="1" selected="0">
            <x v="0"/>
          </reference>
          <reference field="7" count="1" selected="0">
            <x v="23"/>
          </reference>
          <reference field="14" count="1" selected="0">
            <x v="30"/>
          </reference>
          <reference field="16" count="1" selected="0">
            <x v="44"/>
          </reference>
          <reference field="20" count="1" selected="0">
            <x v="16"/>
          </reference>
          <reference field="22" count="1" selected="0">
            <x v="4"/>
          </reference>
          <reference field="26" count="1" selected="0">
            <x v="1"/>
          </reference>
          <reference field="29" count="0" selected="0"/>
          <reference field="30" count="1" selected="0">
            <x v="0"/>
          </reference>
          <reference field="31" count="0" selected="0"/>
          <reference field="32" count="0"/>
        </references>
      </pivotArea>
    </format>
    <format dxfId="190">
      <pivotArea dataOnly="0" labelOnly="1" outline="0" fieldPosition="0">
        <references count="12">
          <reference field="5" count="1" selected="0">
            <x v="0"/>
          </reference>
          <reference field="6" count="1" selected="0">
            <x v="0"/>
          </reference>
          <reference field="7" count="1" selected="0">
            <x v="24"/>
          </reference>
          <reference field="14" count="1" selected="0">
            <x v="50"/>
          </reference>
          <reference field="16" count="1" selected="0">
            <x v="73"/>
          </reference>
          <reference field="20" count="1" selected="0">
            <x v="16"/>
          </reference>
          <reference field="22" count="1" selected="0">
            <x v="2"/>
          </reference>
          <reference field="26" count="1" selected="0">
            <x v="1"/>
          </reference>
          <reference field="29" count="0" selected="0"/>
          <reference field="30" count="1" selected="0">
            <x v="0"/>
          </reference>
          <reference field="31" count="0" selected="0"/>
          <reference field="32" count="0"/>
        </references>
      </pivotArea>
    </format>
    <format dxfId="189">
      <pivotArea dataOnly="0" labelOnly="1" outline="0" fieldPosition="0">
        <references count="12">
          <reference field="5" count="1" selected="0">
            <x v="0"/>
          </reference>
          <reference field="6" count="1" selected="0">
            <x v="0"/>
          </reference>
          <reference field="7" count="1" selected="0">
            <x v="25"/>
          </reference>
          <reference field="14" count="1" selected="0">
            <x v="51"/>
          </reference>
          <reference field="16" count="1" selected="0">
            <x v="69"/>
          </reference>
          <reference field="20" count="1" selected="0">
            <x v="16"/>
          </reference>
          <reference field="22" count="1" selected="0">
            <x v="23"/>
          </reference>
          <reference field="26" count="1" selected="0">
            <x v="1"/>
          </reference>
          <reference field="29" count="0" selected="0"/>
          <reference field="30" count="1" selected="0">
            <x v="0"/>
          </reference>
          <reference field="31" count="0" selected="0"/>
          <reference field="32" count="0"/>
        </references>
      </pivotArea>
    </format>
    <format dxfId="188">
      <pivotArea dataOnly="0" labelOnly="1" outline="0" fieldPosition="0">
        <references count="12">
          <reference field="5" count="1" selected="0">
            <x v="0"/>
          </reference>
          <reference field="6" count="1" selected="0">
            <x v="0"/>
          </reference>
          <reference field="7" count="1" selected="0">
            <x v="26"/>
          </reference>
          <reference field="14" count="1" selected="0">
            <x v="29"/>
          </reference>
          <reference field="16" count="1" selected="0">
            <x v="16"/>
          </reference>
          <reference field="20" count="1" selected="0">
            <x v="3"/>
          </reference>
          <reference field="22" count="1" selected="0">
            <x v="0"/>
          </reference>
          <reference field="26" count="1" selected="0">
            <x v="1"/>
          </reference>
          <reference field="29" count="0" selected="0"/>
          <reference field="30" count="1" selected="0">
            <x v="0"/>
          </reference>
          <reference field="31" count="0" selected="0"/>
          <reference field="32" count="0"/>
        </references>
      </pivotArea>
    </format>
    <format dxfId="187">
      <pivotArea dataOnly="0" labelOnly="1" outline="0" fieldPosition="0">
        <references count="12">
          <reference field="5" count="1" selected="0">
            <x v="0"/>
          </reference>
          <reference field="6" count="1" selected="0">
            <x v="0"/>
          </reference>
          <reference field="7" count="1" selected="0">
            <x v="29"/>
          </reference>
          <reference field="14" count="1" selected="0">
            <x v="25"/>
          </reference>
          <reference field="16" count="1" selected="0">
            <x v="42"/>
          </reference>
          <reference field="20" count="1" selected="0">
            <x v="3"/>
          </reference>
          <reference field="22" count="1" selected="0">
            <x v="0"/>
          </reference>
          <reference field="26" count="1" selected="0">
            <x v="1"/>
          </reference>
          <reference field="29" count="0" selected="0"/>
          <reference field="30" count="1" selected="0">
            <x v="0"/>
          </reference>
          <reference field="31" count="0" selected="0"/>
          <reference field="32" count="0"/>
        </references>
      </pivotArea>
    </format>
    <format dxfId="186">
      <pivotArea dataOnly="0" labelOnly="1" outline="0" fieldPosition="0">
        <references count="12">
          <reference field="5" count="1" selected="0">
            <x v="0"/>
          </reference>
          <reference field="6" count="1" selected="0">
            <x v="0"/>
          </reference>
          <reference field="7" count="1" selected="0">
            <x v="30"/>
          </reference>
          <reference field="14" count="1" selected="0">
            <x v="32"/>
          </reference>
          <reference field="16" count="1" selected="0">
            <x v="35"/>
          </reference>
          <reference field="20" count="1" selected="0">
            <x v="23"/>
          </reference>
          <reference field="22" count="1" selected="0">
            <x v="0"/>
          </reference>
          <reference field="26" count="1" selected="0">
            <x v="1"/>
          </reference>
          <reference field="29" count="0" selected="0"/>
          <reference field="30" count="1" selected="0">
            <x v="0"/>
          </reference>
          <reference field="31" count="0" selected="0"/>
          <reference field="32" count="0"/>
        </references>
      </pivotArea>
    </format>
    <format dxfId="185">
      <pivotArea dataOnly="0" labelOnly="1" outline="0" fieldPosition="0">
        <references count="12">
          <reference field="5" count="1" selected="0">
            <x v="0"/>
          </reference>
          <reference field="6" count="1" selected="0">
            <x v="0"/>
          </reference>
          <reference field="7" count="1" selected="0">
            <x v="30"/>
          </reference>
          <reference field="14" count="1" selected="0">
            <x v="32"/>
          </reference>
          <reference field="16" count="1" selected="0">
            <x v="41"/>
          </reference>
          <reference field="20" count="1" selected="0">
            <x v="23"/>
          </reference>
          <reference field="22" count="1" selected="0">
            <x v="0"/>
          </reference>
          <reference field="26" count="1" selected="0">
            <x v="1"/>
          </reference>
          <reference field="29" count="0" selected="0"/>
          <reference field="30" count="1" selected="0">
            <x v="0"/>
          </reference>
          <reference field="31" count="0" selected="0"/>
          <reference field="32" count="0"/>
        </references>
      </pivotArea>
    </format>
    <format dxfId="184">
      <pivotArea dataOnly="0" labelOnly="1" outline="0" fieldPosition="0">
        <references count="12">
          <reference field="5" count="1" selected="0">
            <x v="0"/>
          </reference>
          <reference field="6" count="1" selected="0">
            <x v="0"/>
          </reference>
          <reference field="7" count="1" selected="0">
            <x v="31"/>
          </reference>
          <reference field="14" count="1" selected="0">
            <x v="33"/>
          </reference>
          <reference field="16" count="1" selected="0">
            <x v="34"/>
          </reference>
          <reference field="20" count="1" selected="0">
            <x v="3"/>
          </reference>
          <reference field="22" count="1" selected="0">
            <x v="0"/>
          </reference>
          <reference field="26" count="1" selected="0">
            <x v="1"/>
          </reference>
          <reference field="29" count="0" selected="0"/>
          <reference field="30" count="1" selected="0">
            <x v="0"/>
          </reference>
          <reference field="31" count="0" selected="0"/>
          <reference field="32" count="0"/>
        </references>
      </pivotArea>
    </format>
    <format dxfId="183">
      <pivotArea dataOnly="0" labelOnly="1" outline="0" fieldPosition="0">
        <references count="12">
          <reference field="5" count="1" selected="0">
            <x v="0"/>
          </reference>
          <reference field="6" count="1" selected="0">
            <x v="0"/>
          </reference>
          <reference field="7" count="1" selected="0">
            <x v="31"/>
          </reference>
          <reference field="14" count="1" selected="0">
            <x v="33"/>
          </reference>
          <reference field="16" count="1" selected="0">
            <x v="43"/>
          </reference>
          <reference field="20" count="1" selected="0">
            <x v="3"/>
          </reference>
          <reference field="22" count="1" selected="0">
            <x v="0"/>
          </reference>
          <reference field="26" count="1" selected="0">
            <x v="1"/>
          </reference>
          <reference field="29" count="0" selected="0"/>
          <reference field="30" count="1" selected="0">
            <x v="0"/>
          </reference>
          <reference field="31" count="0" selected="0"/>
          <reference field="32" count="0"/>
        </references>
      </pivotArea>
    </format>
    <format dxfId="182">
      <pivotArea dataOnly="0" labelOnly="1" outline="0" fieldPosition="0">
        <references count="12">
          <reference field="5" count="1" selected="0">
            <x v="0"/>
          </reference>
          <reference field="6" count="1" selected="0">
            <x v="0"/>
          </reference>
          <reference field="7" count="1" selected="0">
            <x v="32"/>
          </reference>
          <reference field="14" count="1" selected="0">
            <x v="34"/>
          </reference>
          <reference field="16" count="1" selected="0">
            <x v="36"/>
          </reference>
          <reference field="20" count="1" selected="0">
            <x v="3"/>
          </reference>
          <reference field="22" count="1" selected="0">
            <x v="0"/>
          </reference>
          <reference field="26" count="1" selected="0">
            <x v="1"/>
          </reference>
          <reference field="29" count="0" selected="0"/>
          <reference field="30" count="1" selected="0">
            <x v="0"/>
          </reference>
          <reference field="31" count="0" selected="0"/>
          <reference field="32" count="0"/>
        </references>
      </pivotArea>
    </format>
    <format dxfId="181">
      <pivotArea dataOnly="0" labelOnly="1" outline="0" fieldPosition="0">
        <references count="12">
          <reference field="5" count="1" selected="0">
            <x v="0"/>
          </reference>
          <reference field="6" count="1" selected="0">
            <x v="0"/>
          </reference>
          <reference field="7" count="1" selected="0">
            <x v="33"/>
          </reference>
          <reference field="14" count="1" selected="0">
            <x v="28"/>
          </reference>
          <reference field="16" count="1" selected="0">
            <x v="27"/>
          </reference>
          <reference field="20" count="1" selected="0">
            <x v="14"/>
          </reference>
          <reference field="22" count="1" selected="0">
            <x v="0"/>
          </reference>
          <reference field="26" count="1" selected="0">
            <x v="1"/>
          </reference>
          <reference field="29" count="0" selected="0"/>
          <reference field="30" count="1" selected="0">
            <x v="0"/>
          </reference>
          <reference field="31" count="0" selected="0"/>
          <reference field="32" count="0"/>
        </references>
      </pivotArea>
    </format>
    <format dxfId="180">
      <pivotArea dataOnly="0" labelOnly="1" outline="0" fieldPosition="0">
        <references count="12">
          <reference field="5" count="1" selected="0">
            <x v="0"/>
          </reference>
          <reference field="6" count="1" selected="0">
            <x v="0"/>
          </reference>
          <reference field="7" count="1" selected="0">
            <x v="33"/>
          </reference>
          <reference field="14" count="1" selected="0">
            <x v="28"/>
          </reference>
          <reference field="16" count="1" selected="0">
            <x v="38"/>
          </reference>
          <reference field="20" count="1" selected="0">
            <x v="14"/>
          </reference>
          <reference field="22" count="1" selected="0">
            <x v="0"/>
          </reference>
          <reference field="26" count="1" selected="0">
            <x v="1"/>
          </reference>
          <reference field="29" count="0" selected="0"/>
          <reference field="30" count="1" selected="0">
            <x v="0"/>
          </reference>
          <reference field="31" count="0" selected="0"/>
          <reference field="32" count="0"/>
        </references>
      </pivotArea>
    </format>
    <format dxfId="179">
      <pivotArea dataOnly="0" labelOnly="1" outline="0" fieldPosition="0">
        <references count="12">
          <reference field="5" count="1" selected="0">
            <x v="0"/>
          </reference>
          <reference field="6" count="1" selected="0">
            <x v="0"/>
          </reference>
          <reference field="7" count="1" selected="0">
            <x v="34"/>
          </reference>
          <reference field="14" count="1" selected="0">
            <x v="31"/>
          </reference>
          <reference field="16" count="1" selected="0">
            <x v="45"/>
          </reference>
          <reference field="20" count="1" selected="0">
            <x v="14"/>
          </reference>
          <reference field="22" count="1" selected="0">
            <x v="0"/>
          </reference>
          <reference field="26" count="1" selected="0">
            <x v="1"/>
          </reference>
          <reference field="29" count="0" selected="0"/>
          <reference field="30" count="1" selected="0">
            <x v="0"/>
          </reference>
          <reference field="31" count="0" selected="0"/>
          <reference field="32" count="0"/>
        </references>
      </pivotArea>
    </format>
    <format dxfId="178">
      <pivotArea dataOnly="0" labelOnly="1" outline="0" fieldPosition="0">
        <references count="12">
          <reference field="5" count="1" selected="0">
            <x v="0"/>
          </reference>
          <reference field="6" count="1" selected="0">
            <x v="0"/>
          </reference>
          <reference field="7" count="1" selected="0">
            <x v="34"/>
          </reference>
          <reference field="14" count="1" selected="0">
            <x v="31"/>
          </reference>
          <reference field="16" count="1" selected="0">
            <x v="61"/>
          </reference>
          <reference field="20" count="1" selected="0">
            <x v="14"/>
          </reference>
          <reference field="22" count="1" selected="0">
            <x v="0"/>
          </reference>
          <reference field="26" count="1" selected="0">
            <x v="1"/>
          </reference>
          <reference field="29" count="0" selected="0"/>
          <reference field="30" count="1" selected="0">
            <x v="0"/>
          </reference>
          <reference field="31" count="0" selected="0"/>
          <reference field="32" count="0"/>
        </references>
      </pivotArea>
    </format>
    <format dxfId="177">
      <pivotArea dataOnly="0" labelOnly="1" outline="0" fieldPosition="0">
        <references count="12">
          <reference field="5" count="1" selected="0">
            <x v="0"/>
          </reference>
          <reference field="6" count="1" selected="0">
            <x v="0"/>
          </reference>
          <reference field="7" count="1" selected="0">
            <x v="35"/>
          </reference>
          <reference field="14" count="1" selected="0">
            <x v="52"/>
          </reference>
          <reference field="16" count="1" selected="0">
            <x v="46"/>
          </reference>
          <reference field="20" count="1" selected="0">
            <x v="14"/>
          </reference>
          <reference field="22" count="1" selected="0">
            <x v="0"/>
          </reference>
          <reference field="26" count="1" selected="0">
            <x v="1"/>
          </reference>
          <reference field="29" count="0" selected="0"/>
          <reference field="30" count="1" selected="0">
            <x v="0"/>
          </reference>
          <reference field="31" count="0" selected="0"/>
          <reference field="32" count="0"/>
        </references>
      </pivotArea>
    </format>
    <format dxfId="176">
      <pivotArea dataOnly="0" labelOnly="1" outline="0" fieldPosition="0">
        <references count="12">
          <reference field="5" count="1" selected="0">
            <x v="0"/>
          </reference>
          <reference field="6" count="1" selected="0">
            <x v="0"/>
          </reference>
          <reference field="7" count="1" selected="0">
            <x v="35"/>
          </reference>
          <reference field="14" count="1" selected="0">
            <x v="52"/>
          </reference>
          <reference field="16" count="1" selected="0">
            <x v="60"/>
          </reference>
          <reference field="20" count="1" selected="0">
            <x v="14"/>
          </reference>
          <reference field="22" count="1" selected="0">
            <x v="0"/>
          </reference>
          <reference field="26" count="1" selected="0">
            <x v="1"/>
          </reference>
          <reference field="29" count="0" selected="0"/>
          <reference field="30" count="1" selected="0">
            <x v="0"/>
          </reference>
          <reference field="31" count="0" selected="0"/>
          <reference field="32" count="0"/>
        </references>
      </pivotArea>
    </format>
    <format dxfId="175">
      <pivotArea dataOnly="0" labelOnly="1" outline="0" fieldPosition="0">
        <references count="12">
          <reference field="5" count="1" selected="0">
            <x v="1"/>
          </reference>
          <reference field="6" count="1" selected="0">
            <x v="1"/>
          </reference>
          <reference field="7" count="1" selected="0">
            <x v="5"/>
          </reference>
          <reference field="14" count="1" selected="0">
            <x v="0"/>
          </reference>
          <reference field="16" count="1" selected="0">
            <x v="56"/>
          </reference>
          <reference field="20" count="1" selected="0">
            <x v="17"/>
          </reference>
          <reference field="22" count="1" selected="0">
            <x v="6"/>
          </reference>
          <reference field="26" count="1" selected="0">
            <x v="1"/>
          </reference>
          <reference field="29" count="0" selected="0"/>
          <reference field="30" count="1" selected="0">
            <x v="0"/>
          </reference>
          <reference field="31" count="0" selected="0"/>
          <reference field="32" count="0"/>
        </references>
      </pivotArea>
    </format>
    <format dxfId="174">
      <pivotArea dataOnly="0" labelOnly="1" outline="0" fieldPosition="0">
        <references count="12">
          <reference field="5" count="1" selected="0">
            <x v="1"/>
          </reference>
          <reference field="6" count="1" selected="0">
            <x v="1"/>
          </reference>
          <reference field="7" count="1" selected="0">
            <x v="5"/>
          </reference>
          <reference field="14" count="1" selected="0">
            <x v="0"/>
          </reference>
          <reference field="16" count="1" selected="0">
            <x v="67"/>
          </reference>
          <reference field="20" count="1" selected="0">
            <x v="1"/>
          </reference>
          <reference field="22" count="1" selected="0">
            <x v="5"/>
          </reference>
          <reference field="26" count="1" selected="0">
            <x v="1"/>
          </reference>
          <reference field="29" count="0" selected="0"/>
          <reference field="30" count="1" selected="0">
            <x v="0"/>
          </reference>
          <reference field="31" count="0" selected="0"/>
          <reference field="32" count="0"/>
        </references>
      </pivotArea>
    </format>
    <format dxfId="173">
      <pivotArea dataOnly="0" labelOnly="1" outline="0" fieldPosition="0">
        <references count="12">
          <reference field="5" count="1" selected="0">
            <x v="1"/>
          </reference>
          <reference field="6" count="1" selected="0">
            <x v="1"/>
          </reference>
          <reference field="7" count="1" selected="0">
            <x v="5"/>
          </reference>
          <reference field="14" count="1" selected="0">
            <x v="0"/>
          </reference>
          <reference field="16" count="1" selected="0">
            <x v="77"/>
          </reference>
          <reference field="20" count="1" selected="0">
            <x v="8"/>
          </reference>
          <reference field="22" count="1" selected="0">
            <x v="5"/>
          </reference>
          <reference field="26" count="1" selected="0">
            <x v="1"/>
          </reference>
          <reference field="29" count="0" selected="0"/>
          <reference field="30" count="1" selected="0">
            <x v="0"/>
          </reference>
          <reference field="31" count="0" selected="0"/>
          <reference field="32" count="0"/>
        </references>
      </pivotArea>
    </format>
    <format dxfId="172">
      <pivotArea dataOnly="0" labelOnly="1" outline="0" fieldPosition="0">
        <references count="12">
          <reference field="5" count="1" selected="0">
            <x v="1"/>
          </reference>
          <reference field="6" count="1" selected="0">
            <x v="1"/>
          </reference>
          <reference field="7" count="1" selected="0">
            <x v="10"/>
          </reference>
          <reference field="14" count="1" selected="0">
            <x v="4"/>
          </reference>
          <reference field="16" count="1" selected="0">
            <x v="68"/>
          </reference>
          <reference field="20" count="1" selected="0">
            <x v="21"/>
          </reference>
          <reference field="22" count="1" selected="0">
            <x v="8"/>
          </reference>
          <reference field="26" count="1" selected="0">
            <x v="1"/>
          </reference>
          <reference field="29" count="0" selected="0"/>
          <reference field="30" count="1" selected="0">
            <x v="0"/>
          </reference>
          <reference field="31" count="0" selected="0"/>
          <reference field="32" count="0"/>
        </references>
      </pivotArea>
    </format>
    <format dxfId="171">
      <pivotArea dataOnly="0" labelOnly="1" outline="0" fieldPosition="0">
        <references count="12">
          <reference field="5" count="1" selected="0">
            <x v="1"/>
          </reference>
          <reference field="6" count="1" selected="0">
            <x v="1"/>
          </reference>
          <reference field="7" count="1" selected="0">
            <x v="10"/>
          </reference>
          <reference field="14" count="1" selected="0">
            <x v="4"/>
          </reference>
          <reference field="16" count="1" selected="0">
            <x v="71"/>
          </reference>
          <reference field="20" count="1" selected="0">
            <x v="20"/>
          </reference>
          <reference field="22" count="1" selected="0">
            <x v="11"/>
          </reference>
          <reference field="26" count="1" selected="0">
            <x v="2"/>
          </reference>
          <reference field="29" count="0" selected="0"/>
          <reference field="30" count="1" selected="0">
            <x v="0"/>
          </reference>
          <reference field="31" count="0" selected="0"/>
          <reference field="32" count="0"/>
        </references>
      </pivotArea>
    </format>
    <format dxfId="170">
      <pivotArea dataOnly="0" labelOnly="1" outline="0" fieldPosition="0">
        <references count="12">
          <reference field="5" count="1" selected="0">
            <x v="1"/>
          </reference>
          <reference field="6" count="1" selected="0">
            <x v="1"/>
          </reference>
          <reference field="7" count="1" selected="0">
            <x v="10"/>
          </reference>
          <reference field="14" count="1" selected="0">
            <x v="4"/>
          </reference>
          <reference field="16" count="1" selected="0">
            <x v="75"/>
          </reference>
          <reference field="20" count="1" selected="0">
            <x v="3"/>
          </reference>
          <reference field="22" count="1" selected="0">
            <x v="13"/>
          </reference>
          <reference field="26" count="1" selected="0">
            <x v="1"/>
          </reference>
          <reference field="29" count="0" selected="0"/>
          <reference field="30" count="1" selected="0">
            <x v="0"/>
          </reference>
          <reference field="31" count="0" selected="0"/>
          <reference field="32" count="0"/>
        </references>
      </pivotArea>
    </format>
    <format dxfId="169">
      <pivotArea dataOnly="0" labelOnly="1" outline="0" fieldPosition="0">
        <references count="12">
          <reference field="5" count="1" selected="0">
            <x v="1"/>
          </reference>
          <reference field="6" count="1" selected="0">
            <x v="1"/>
          </reference>
          <reference field="7" count="1" selected="0">
            <x v="11"/>
          </reference>
          <reference field="14" count="1" selected="0">
            <x v="5"/>
          </reference>
          <reference field="16" count="1" selected="0">
            <x v="49"/>
          </reference>
          <reference field="20" count="1" selected="0">
            <x v="1"/>
          </reference>
          <reference field="22" count="1" selected="0">
            <x v="7"/>
          </reference>
          <reference field="26" count="1" selected="0">
            <x v="1"/>
          </reference>
          <reference field="29" count="0" selected="0"/>
          <reference field="30" count="1" selected="0">
            <x v="0"/>
          </reference>
          <reference field="31" count="0" selected="0"/>
          <reference field="32" count="0"/>
        </references>
      </pivotArea>
    </format>
    <format dxfId="168">
      <pivotArea dataOnly="0" labelOnly="1" outline="0" fieldPosition="0">
        <references count="12">
          <reference field="5" count="1" selected="0">
            <x v="1"/>
          </reference>
          <reference field="6" count="1" selected="0">
            <x v="1"/>
          </reference>
          <reference field="7" count="1" selected="0">
            <x v="11"/>
          </reference>
          <reference field="14" count="1" selected="0">
            <x v="5"/>
          </reference>
          <reference field="16" count="1" selected="0">
            <x v="72"/>
          </reference>
          <reference field="20" count="1" selected="0">
            <x v="20"/>
          </reference>
          <reference field="22" count="1" selected="0">
            <x v="11"/>
          </reference>
          <reference field="26" count="1" selected="0">
            <x v="2"/>
          </reference>
          <reference field="29" count="0" selected="0"/>
          <reference field="30" count="1" selected="0">
            <x v="0"/>
          </reference>
          <reference field="31" count="0" selected="0"/>
          <reference field="32" count="0"/>
        </references>
      </pivotArea>
    </format>
    <format dxfId="167">
      <pivotArea dataOnly="0" labelOnly="1" outline="0" fieldPosition="0">
        <references count="12">
          <reference field="5" count="1" selected="0">
            <x v="1"/>
          </reference>
          <reference field="6" count="1" selected="0">
            <x v="1"/>
          </reference>
          <reference field="7" count="1" selected="0">
            <x v="21"/>
          </reference>
          <reference field="14" count="1" selected="0">
            <x v="12"/>
          </reference>
          <reference field="16" count="1" selected="0">
            <x v="76"/>
          </reference>
          <reference field="20" count="1" selected="0">
            <x v="10"/>
          </reference>
          <reference field="22" count="1" selected="0">
            <x v="9"/>
          </reference>
          <reference field="26" count="1" selected="0">
            <x v="1"/>
          </reference>
          <reference field="29" count="0" selected="0"/>
          <reference field="30" count="1" selected="0">
            <x v="0"/>
          </reference>
          <reference field="31" count="0" selected="0"/>
          <reference field="32" count="0"/>
        </references>
      </pivotArea>
    </format>
    <format dxfId="166">
      <pivotArea dataOnly="0" labelOnly="1" outline="0" fieldPosition="0">
        <references count="12">
          <reference field="5" count="1" selected="0">
            <x v="1"/>
          </reference>
          <reference field="6" count="1" selected="0">
            <x v="1"/>
          </reference>
          <reference field="7" count="1" selected="0">
            <x v="21"/>
          </reference>
          <reference field="14" count="1" selected="0">
            <x v="12"/>
          </reference>
          <reference field="16" count="1" selected="0">
            <x v="78"/>
          </reference>
          <reference field="20" count="1" selected="0">
            <x v="10"/>
          </reference>
          <reference field="22" count="1" selected="0">
            <x v="12"/>
          </reference>
          <reference field="26" count="1" selected="0">
            <x v="1"/>
          </reference>
          <reference field="29" count="0" selected="0"/>
          <reference field="30" count="1" selected="0">
            <x v="0"/>
          </reference>
          <reference field="31" count="0" selected="0"/>
          <reference field="32" count="0"/>
        </references>
      </pivotArea>
    </format>
    <format dxfId="165">
      <pivotArea dataOnly="0" labelOnly="1" outline="0" fieldPosition="0">
        <references count="12">
          <reference field="5" count="1" selected="0">
            <x v="1"/>
          </reference>
          <reference field="6" count="1" selected="0">
            <x v="1"/>
          </reference>
          <reference field="7" count="1" selected="0">
            <x v="22"/>
          </reference>
          <reference field="14" count="1" selected="0">
            <x v="11"/>
          </reference>
          <reference field="16" count="1" selected="0">
            <x v="21"/>
          </reference>
          <reference field="20" count="1" selected="0">
            <x v="21"/>
          </reference>
          <reference field="22" count="1" selected="0">
            <x v="13"/>
          </reference>
          <reference field="26" count="1" selected="0">
            <x v="2"/>
          </reference>
          <reference field="29" count="0" selected="0"/>
          <reference field="30" count="1" selected="0">
            <x v="0"/>
          </reference>
          <reference field="31" count="0" selected="0"/>
          <reference field="32" count="0"/>
        </references>
      </pivotArea>
    </format>
    <format dxfId="164">
      <pivotArea dataOnly="0" labelOnly="1" outline="0" fieldPosition="0">
        <references count="12">
          <reference field="5" count="1" selected="0">
            <x v="1"/>
          </reference>
          <reference field="6" count="1" selected="0">
            <x v="1"/>
          </reference>
          <reference field="7" count="1" selected="0">
            <x v="22"/>
          </reference>
          <reference field="14" count="1" selected="0">
            <x v="11"/>
          </reference>
          <reference field="16" count="1" selected="0">
            <x v="57"/>
          </reference>
          <reference field="20" count="1" selected="0">
            <x v="21"/>
          </reference>
          <reference field="22" count="1" selected="0">
            <x v="13"/>
          </reference>
          <reference field="26" count="1" selected="0">
            <x v="1"/>
          </reference>
          <reference field="29" count="0" selected="0"/>
          <reference field="30" count="1" selected="0">
            <x v="0"/>
          </reference>
          <reference field="31" count="0" selected="0"/>
          <reference field="32" count="0"/>
        </references>
      </pivotArea>
    </format>
    <format dxfId="163">
      <pivotArea dataOnly="0" labelOnly="1" outline="0" fieldPosition="0">
        <references count="12">
          <reference field="5" count="1" selected="0">
            <x v="1"/>
          </reference>
          <reference field="6" count="1" selected="0">
            <x v="1"/>
          </reference>
          <reference field="7" count="1" selected="0">
            <x v="22"/>
          </reference>
          <reference field="14" count="1" selected="0">
            <x v="11"/>
          </reference>
          <reference field="16" count="1" selected="0">
            <x v="79"/>
          </reference>
          <reference field="20" count="1" selected="0">
            <x v="21"/>
          </reference>
          <reference field="22" count="1" selected="0">
            <x v="13"/>
          </reference>
          <reference field="26" count="1" selected="0">
            <x v="1"/>
          </reference>
          <reference field="29" count="0" selected="0"/>
          <reference field="30" count="1" selected="0">
            <x v="0"/>
          </reference>
          <reference field="31" count="0" selected="0"/>
          <reference field="32" count="0"/>
        </references>
      </pivotArea>
    </format>
    <format dxfId="162">
      <pivotArea dataOnly="0" labelOnly="1" outline="0" fieldPosition="0">
        <references count="12">
          <reference field="5" count="1" selected="0">
            <x v="1"/>
          </reference>
          <reference field="6" count="1" selected="0">
            <x v="1"/>
          </reference>
          <reference field="7" count="1" selected="0">
            <x v="23"/>
          </reference>
          <reference field="14" count="1" selected="0">
            <x v="7"/>
          </reference>
          <reference field="16" count="1" selected="0">
            <x v="40"/>
          </reference>
          <reference field="20" count="1" selected="0">
            <x v="5"/>
          </reference>
          <reference field="22" count="1" selected="0">
            <x v="10"/>
          </reference>
          <reference field="26" count="1" selected="0">
            <x v="1"/>
          </reference>
          <reference field="29" count="0" selected="0"/>
          <reference field="30" count="1" selected="0">
            <x v="0"/>
          </reference>
          <reference field="31" count="0" selected="0"/>
          <reference field="32" count="0"/>
        </references>
      </pivotArea>
    </format>
    <format dxfId="161">
      <pivotArea dataOnly="0" labelOnly="1" outline="0" fieldPosition="0">
        <references count="12">
          <reference field="5" count="1" selected="0">
            <x v="1"/>
          </reference>
          <reference field="6" count="1" selected="0">
            <x v="1"/>
          </reference>
          <reference field="7" count="1" selected="0">
            <x v="23"/>
          </reference>
          <reference field="14" count="1" selected="0">
            <x v="7"/>
          </reference>
          <reference field="16" count="1" selected="0">
            <x v="80"/>
          </reference>
          <reference field="20" count="1" selected="0">
            <x v="5"/>
          </reference>
          <reference field="22" count="1" selected="0">
            <x v="10"/>
          </reference>
          <reference field="26" count="1" selected="0">
            <x v="1"/>
          </reference>
          <reference field="29" count="0" selected="0"/>
          <reference field="30" count="1" selected="0">
            <x v="0"/>
          </reference>
          <reference field="31" count="0" selected="0"/>
          <reference field="32" count="0"/>
        </references>
      </pivotArea>
    </format>
    <format dxfId="160">
      <pivotArea dataOnly="0" labelOnly="1" outline="0" fieldPosition="0">
        <references count="12">
          <reference field="5" count="1" selected="0">
            <x v="1"/>
          </reference>
          <reference field="6" count="1" selected="0">
            <x v="1"/>
          </reference>
          <reference field="7" count="1" selected="0">
            <x v="24"/>
          </reference>
          <reference field="14" count="1" selected="0">
            <x v="10"/>
          </reference>
          <reference field="16" count="1" selected="0">
            <x v="51"/>
          </reference>
          <reference field="20" count="1" selected="0">
            <x v="9"/>
          </reference>
          <reference field="22" count="1" selected="0">
            <x v="11"/>
          </reference>
          <reference field="26" count="1" selected="0">
            <x v="1"/>
          </reference>
          <reference field="29" count="0" selected="0"/>
          <reference field="30" count="1" selected="0">
            <x v="0"/>
          </reference>
          <reference field="31" count="0" selected="0"/>
          <reference field="32" count="0"/>
        </references>
      </pivotArea>
    </format>
    <format dxfId="159">
      <pivotArea dataOnly="0" labelOnly="1" outline="0" fieldPosition="0">
        <references count="12">
          <reference field="5" count="1" selected="0">
            <x v="1"/>
          </reference>
          <reference field="6" count="1" selected="0">
            <x v="1"/>
          </reference>
          <reference field="7" count="1" selected="0">
            <x v="26"/>
          </reference>
          <reference field="14" count="1" selected="0">
            <x v="6"/>
          </reference>
          <reference field="16" count="1" selected="0">
            <x v="7"/>
          </reference>
          <reference field="20" count="1" selected="0">
            <x v="21"/>
          </reference>
          <reference field="22" count="1" selected="0">
            <x v="7"/>
          </reference>
          <reference field="26" count="1" selected="0">
            <x v="1"/>
          </reference>
          <reference field="29" count="0" selected="0"/>
          <reference field="30" count="1" selected="0">
            <x v="0"/>
          </reference>
          <reference field="31" count="0" selected="0"/>
          <reference field="32" count="0"/>
        </references>
      </pivotArea>
    </format>
    <format dxfId="158">
      <pivotArea dataOnly="0" labelOnly="1" outline="0" fieldPosition="0">
        <references count="12">
          <reference field="5" count="1" selected="0">
            <x v="1"/>
          </reference>
          <reference field="6" count="1" selected="0">
            <x v="1"/>
          </reference>
          <reference field="7" count="1" selected="0">
            <x v="26"/>
          </reference>
          <reference field="14" count="1" selected="0">
            <x v="6"/>
          </reference>
          <reference field="16" count="1" selected="0">
            <x v="8"/>
          </reference>
          <reference field="20" count="1" selected="0">
            <x v="21"/>
          </reference>
          <reference field="22" count="1" selected="0">
            <x v="7"/>
          </reference>
          <reference field="26" count="1" selected="0">
            <x v="1"/>
          </reference>
          <reference field="29" count="0" selected="0"/>
          <reference field="30" count="1" selected="0">
            <x v="0"/>
          </reference>
          <reference field="31" count="0" selected="0"/>
          <reference field="32" count="0"/>
        </references>
      </pivotArea>
    </format>
    <format dxfId="157">
      <pivotArea dataOnly="0" labelOnly="1" outline="0" fieldPosition="0">
        <references count="12">
          <reference field="5" count="1" selected="0">
            <x v="1"/>
          </reference>
          <reference field="6" count="1" selected="0">
            <x v="1"/>
          </reference>
          <reference field="7" count="1" selected="0">
            <x v="26"/>
          </reference>
          <reference field="14" count="1" selected="0">
            <x v="6"/>
          </reference>
          <reference field="16" count="1" selected="0">
            <x v="30"/>
          </reference>
          <reference field="20" count="1" selected="0">
            <x v="21"/>
          </reference>
          <reference field="22" count="1" selected="0">
            <x v="7"/>
          </reference>
          <reference field="26" count="1" selected="0">
            <x v="1"/>
          </reference>
          <reference field="29" count="0" selected="0"/>
          <reference field="30" count="1" selected="0">
            <x v="0"/>
          </reference>
          <reference field="31" count="0" selected="0"/>
          <reference field="32" count="0"/>
        </references>
      </pivotArea>
    </format>
    <format dxfId="156">
      <pivotArea dataOnly="0" labelOnly="1" outline="0" fieldPosition="0">
        <references count="12">
          <reference field="5" count="1" selected="0">
            <x v="1"/>
          </reference>
          <reference field="6" count="1" selected="0">
            <x v="1"/>
          </reference>
          <reference field="7" count="1" selected="0">
            <x v="27"/>
          </reference>
          <reference field="14" count="1" selected="0">
            <x v="1"/>
          </reference>
          <reference field="16" count="1" selected="0">
            <x v="39"/>
          </reference>
          <reference field="20" count="1" selected="0">
            <x v="21"/>
          </reference>
          <reference field="22" count="1" selected="0">
            <x v="13"/>
          </reference>
          <reference field="26" count="1" selected="0">
            <x v="1"/>
          </reference>
          <reference field="29" count="0" selected="0"/>
          <reference field="30" count="1" selected="0">
            <x v="0"/>
          </reference>
          <reference field="31" count="0" selected="0"/>
          <reference field="32" count="0"/>
        </references>
      </pivotArea>
    </format>
    <format dxfId="155">
      <pivotArea dataOnly="0" labelOnly="1" outline="0" fieldPosition="0">
        <references count="12">
          <reference field="5" count="1" selected="0">
            <x v="1"/>
          </reference>
          <reference field="6" count="1" selected="0">
            <x v="1"/>
          </reference>
          <reference field="7" count="1" selected="0">
            <x v="28"/>
          </reference>
          <reference field="14" count="1" selected="0">
            <x v="13"/>
          </reference>
          <reference field="16" count="1" selected="0">
            <x v="50"/>
          </reference>
          <reference field="20" count="1" selected="0">
            <x v="21"/>
          </reference>
          <reference field="22" count="1" selected="0">
            <x v="13"/>
          </reference>
          <reference field="26" count="1" selected="0">
            <x v="1"/>
          </reference>
          <reference field="29" count="0" selected="0"/>
          <reference field="30" count="1" selected="0">
            <x v="0"/>
          </reference>
          <reference field="31" count="0" selected="0"/>
          <reference field="32" count="0"/>
        </references>
      </pivotArea>
    </format>
    <format dxfId="154">
      <pivotArea dataOnly="0" labelOnly="1" outline="0" fieldPosition="0">
        <references count="12">
          <reference field="5" count="1" selected="0">
            <x v="1"/>
          </reference>
          <reference field="6" count="1" selected="0">
            <x v="1"/>
          </reference>
          <reference field="7" count="1" selected="0">
            <x v="29"/>
          </reference>
          <reference field="14" count="1" selected="0">
            <x v="9"/>
          </reference>
          <reference field="16" count="1" selected="0">
            <x v="74"/>
          </reference>
          <reference field="20" count="1" selected="0">
            <x v="27"/>
          </reference>
          <reference field="22" count="1" selected="0">
            <x v="7"/>
          </reference>
          <reference field="26" count="1" selected="0">
            <x v="1"/>
          </reference>
          <reference field="29" count="0" selected="0"/>
          <reference field="30" count="1" selected="0">
            <x v="0"/>
          </reference>
          <reference field="31" count="0" selected="0"/>
          <reference field="32" count="0"/>
        </references>
      </pivotArea>
    </format>
    <format dxfId="153">
      <pivotArea dataOnly="0" labelOnly="1" outline="0" fieldPosition="0">
        <references count="12">
          <reference field="5" count="1" selected="0">
            <x v="1"/>
          </reference>
          <reference field="6" count="1" selected="0">
            <x v="1"/>
          </reference>
          <reference field="7" count="1" selected="0">
            <x v="33"/>
          </reference>
          <reference field="14" count="1" selected="0">
            <x v="8"/>
          </reference>
          <reference field="16" count="1" selected="0">
            <x v="47"/>
          </reference>
          <reference field="20" count="1" selected="0">
            <x v="21"/>
          </reference>
          <reference field="22" count="1" selected="0">
            <x v="13"/>
          </reference>
          <reference field="26" count="1" selected="0">
            <x v="1"/>
          </reference>
          <reference field="29" count="0" selected="0"/>
          <reference field="30" count="1" selected="0">
            <x v="0"/>
          </reference>
          <reference field="31" count="0" selected="0"/>
          <reference field="32" count="0"/>
        </references>
      </pivotArea>
    </format>
    <format dxfId="152">
      <pivotArea dataOnly="0" labelOnly="1" outline="0" fieldPosition="0">
        <references count="12">
          <reference field="5" count="1" selected="0">
            <x v="1"/>
          </reference>
          <reference field="6" count="1" selected="0">
            <x v="1"/>
          </reference>
          <reference field="7" count="1" selected="0">
            <x v="36"/>
          </reference>
          <reference field="14" count="1" selected="0">
            <x v="3"/>
          </reference>
          <reference field="16" count="1" selected="0">
            <x v="22"/>
          </reference>
          <reference field="20" count="1" selected="0">
            <x v="21"/>
          </reference>
          <reference field="22" count="1" selected="0">
            <x v="10"/>
          </reference>
          <reference field="26" count="1" selected="0">
            <x v="1"/>
          </reference>
          <reference field="29" count="0" selected="0"/>
          <reference field="30" count="1" selected="0">
            <x v="0"/>
          </reference>
          <reference field="31" count="0" selected="0"/>
          <reference field="32" count="0"/>
        </references>
      </pivotArea>
    </format>
    <format dxfId="151">
      <pivotArea dataOnly="0" labelOnly="1" outline="0" fieldPosition="0">
        <references count="12">
          <reference field="5" count="1" selected="0">
            <x v="1"/>
          </reference>
          <reference field="6" count="1" selected="0">
            <x v="1"/>
          </reference>
          <reference field="7" count="1" selected="0">
            <x v="36"/>
          </reference>
          <reference field="14" count="1" selected="0">
            <x v="3"/>
          </reference>
          <reference field="16" count="1" selected="0">
            <x v="23"/>
          </reference>
          <reference field="20" count="1" selected="0">
            <x v="21"/>
          </reference>
          <reference field="22" count="1" selected="0">
            <x v="10"/>
          </reference>
          <reference field="26" count="1" selected="0">
            <x v="1"/>
          </reference>
          <reference field="29" count="0" selected="0"/>
          <reference field="30" count="1" selected="0">
            <x v="0"/>
          </reference>
          <reference field="31" count="0" selected="0"/>
          <reference field="32" count="0"/>
        </references>
      </pivotArea>
    </format>
    <format dxfId="150">
      <pivotArea dataOnly="0" labelOnly="1" outline="0" fieldPosition="0">
        <references count="12">
          <reference field="5" count="1" selected="0">
            <x v="1"/>
          </reference>
          <reference field="6" count="1" selected="0">
            <x v="1"/>
          </reference>
          <reference field="7" count="1" selected="0">
            <x v="37"/>
          </reference>
          <reference field="14" count="1" selected="0">
            <x v="2"/>
          </reference>
          <reference field="16" count="1" selected="0">
            <x v="37"/>
          </reference>
          <reference field="20" count="1" selected="0">
            <x v="22"/>
          </reference>
          <reference field="22" count="1" selected="0">
            <x v="13"/>
          </reference>
          <reference field="26" count="1" selected="0">
            <x v="1"/>
          </reference>
          <reference field="29" count="0" selected="0"/>
          <reference field="30" count="1" selected="0">
            <x v="0"/>
          </reference>
          <reference field="31" count="0" selected="0"/>
          <reference field="32" count="0"/>
        </references>
      </pivotArea>
    </format>
    <format dxfId="149">
      <pivotArea dataOnly="0" labelOnly="1" outline="0" fieldPosition="0">
        <references count="12">
          <reference field="5" count="1" selected="0">
            <x v="2"/>
          </reference>
          <reference field="6" count="1" selected="0">
            <x v="1"/>
          </reference>
          <reference field="7" count="1" selected="0">
            <x v="0"/>
          </reference>
          <reference field="14" count="1" selected="0">
            <x v="21"/>
          </reference>
          <reference field="16" count="1" selected="0">
            <x v="18"/>
          </reference>
          <reference field="20" count="1" selected="0">
            <x v="0"/>
          </reference>
          <reference field="22" count="1" selected="0">
            <x v="21"/>
          </reference>
          <reference field="26" count="1" selected="0">
            <x v="0"/>
          </reference>
          <reference field="29" count="0" selected="0"/>
          <reference field="30" count="1" selected="0">
            <x v="0"/>
          </reference>
          <reference field="31" count="0" selected="0"/>
          <reference field="32" count="0"/>
        </references>
      </pivotArea>
    </format>
    <format dxfId="148">
      <pivotArea dataOnly="0" labelOnly="1" outline="0" fieldPosition="0">
        <references count="12">
          <reference field="5" count="1" selected="0">
            <x v="2"/>
          </reference>
          <reference field="6" count="1" selected="0">
            <x v="1"/>
          </reference>
          <reference field="7" count="1" selected="0">
            <x v="0"/>
          </reference>
          <reference field="14" count="1" selected="0">
            <x v="21"/>
          </reference>
          <reference field="16" count="1" selected="0">
            <x v="19"/>
          </reference>
          <reference field="20" count="1" selected="0">
            <x v="1"/>
          </reference>
          <reference field="22" count="1" selected="0">
            <x v="20"/>
          </reference>
          <reference field="26" count="1" selected="0">
            <x v="0"/>
          </reference>
          <reference field="29" count="0" selected="0"/>
          <reference field="30" count="1" selected="0">
            <x v="0"/>
          </reference>
          <reference field="31" count="0" selected="0"/>
          <reference field="32" count="0"/>
        </references>
      </pivotArea>
    </format>
    <format dxfId="147">
      <pivotArea dataOnly="0" labelOnly="1" outline="0" fieldPosition="0">
        <references count="12">
          <reference field="5" count="1" selected="0">
            <x v="2"/>
          </reference>
          <reference field="6" count="1" selected="0">
            <x v="1"/>
          </reference>
          <reference field="7" count="1" selected="0">
            <x v="2"/>
          </reference>
          <reference field="14" count="1" selected="0">
            <x v="18"/>
          </reference>
          <reference field="16" count="1" selected="0">
            <x v="9"/>
          </reference>
          <reference field="20" count="1" selected="0">
            <x v="6"/>
          </reference>
          <reference field="22" count="1" selected="0">
            <x v="14"/>
          </reference>
          <reference field="26" count="1" selected="0">
            <x v="1"/>
          </reference>
          <reference field="29" count="0" selected="0"/>
          <reference field="30" count="1" selected="0">
            <x v="0"/>
          </reference>
          <reference field="31" count="0" selected="0"/>
          <reference field="32" count="0"/>
        </references>
      </pivotArea>
    </format>
    <format dxfId="146">
      <pivotArea dataOnly="0" labelOnly="1" outline="0" fieldPosition="0">
        <references count="12">
          <reference field="5" count="1" selected="0">
            <x v="2"/>
          </reference>
          <reference field="6" count="1" selected="0">
            <x v="1"/>
          </reference>
          <reference field="7" count="1" selected="0">
            <x v="2"/>
          </reference>
          <reference field="14" count="1" selected="0">
            <x v="18"/>
          </reference>
          <reference field="16" count="1" selected="0">
            <x v="32"/>
          </reference>
          <reference field="20" count="1" selected="0">
            <x v="6"/>
          </reference>
          <reference field="22" count="1" selected="0">
            <x v="24"/>
          </reference>
          <reference field="26" count="1" selected="0">
            <x v="1"/>
          </reference>
          <reference field="29" count="0" selected="0"/>
          <reference field="30" count="1" selected="0">
            <x v="0"/>
          </reference>
          <reference field="31" count="0" selected="0"/>
          <reference field="32" count="0"/>
        </references>
      </pivotArea>
    </format>
    <format dxfId="145">
      <pivotArea dataOnly="0" labelOnly="1" outline="0" fieldPosition="0">
        <references count="12">
          <reference field="5" count="1" selected="0">
            <x v="2"/>
          </reference>
          <reference field="6" count="1" selected="0">
            <x v="1"/>
          </reference>
          <reference field="7" count="1" selected="0">
            <x v="6"/>
          </reference>
          <reference field="14" count="1" selected="0">
            <x v="17"/>
          </reference>
          <reference field="16" count="1" selected="0">
            <x v="14"/>
          </reference>
          <reference field="20" count="1" selected="0">
            <x v="3"/>
          </reference>
          <reference field="22" count="1" selected="0">
            <x v="14"/>
          </reference>
          <reference field="26" count="1" selected="0">
            <x v="1"/>
          </reference>
          <reference field="29" count="0" selected="0"/>
          <reference field="30" count="1" selected="0">
            <x v="0"/>
          </reference>
          <reference field="31" count="0" selected="0"/>
          <reference field="32" count="0"/>
        </references>
      </pivotArea>
    </format>
    <format dxfId="144">
      <pivotArea dataOnly="0" labelOnly="1" outline="0" fieldPosition="0">
        <references count="12">
          <reference field="5" count="1" selected="0">
            <x v="2"/>
          </reference>
          <reference field="6" count="1" selected="0">
            <x v="1"/>
          </reference>
          <reference field="7" count="1" selected="0">
            <x v="6"/>
          </reference>
          <reference field="14" count="1" selected="0">
            <x v="17"/>
          </reference>
          <reference field="16" count="1" selected="0">
            <x v="29"/>
          </reference>
          <reference field="20" count="1" selected="0">
            <x v="3"/>
          </reference>
          <reference field="22" count="1" selected="0">
            <x v="18"/>
          </reference>
          <reference field="26" count="1" selected="0">
            <x v="0"/>
          </reference>
          <reference field="29" count="0" selected="0"/>
          <reference field="30" count="1" selected="0">
            <x v="0"/>
          </reference>
          <reference field="31" count="0" selected="0"/>
          <reference field="32" count="0"/>
        </references>
      </pivotArea>
    </format>
    <format dxfId="143">
      <pivotArea dataOnly="0" labelOnly="1" outline="0" fieldPosition="0">
        <references count="12">
          <reference field="5" count="1" selected="0">
            <x v="2"/>
          </reference>
          <reference field="6" count="1" selected="0">
            <x v="1"/>
          </reference>
          <reference field="7" count="1" selected="0">
            <x v="6"/>
          </reference>
          <reference field="14" count="1" selected="0">
            <x v="17"/>
          </reference>
          <reference field="16" count="1" selected="0">
            <x v="63"/>
          </reference>
          <reference field="20" count="1" selected="0">
            <x v="3"/>
          </reference>
          <reference field="22" count="1" selected="0">
            <x v="15"/>
          </reference>
          <reference field="26" count="1" selected="0">
            <x v="1"/>
          </reference>
          <reference field="29" count="0" selected="0"/>
          <reference field="30" count="1" selected="0">
            <x v="0"/>
          </reference>
          <reference field="31" count="0" selected="0"/>
          <reference field="32" count="0"/>
        </references>
      </pivotArea>
    </format>
    <format dxfId="142">
      <pivotArea dataOnly="0" labelOnly="1" outline="0" fieldPosition="0">
        <references count="12">
          <reference field="5" count="1" selected="0">
            <x v="2"/>
          </reference>
          <reference field="6" count="1" selected="0">
            <x v="1"/>
          </reference>
          <reference field="7" count="1" selected="0">
            <x v="7"/>
          </reference>
          <reference field="14" count="1" selected="0">
            <x v="19"/>
          </reference>
          <reference field="16" count="1" selected="0">
            <x v="3"/>
          </reference>
          <reference field="20" count="1" selected="0">
            <x v="7"/>
          </reference>
          <reference field="22" count="1" selected="0">
            <x v="22"/>
          </reference>
          <reference field="26" count="1" selected="0">
            <x v="0"/>
          </reference>
          <reference field="29" count="0" selected="0"/>
          <reference field="30" count="1" selected="0">
            <x v="0"/>
          </reference>
          <reference field="31" count="0" selected="0"/>
          <reference field="32" count="0"/>
        </references>
      </pivotArea>
    </format>
    <format dxfId="141">
      <pivotArea dataOnly="0" labelOnly="1" outline="0" fieldPosition="0">
        <references count="12">
          <reference field="5" count="1" selected="0">
            <x v="2"/>
          </reference>
          <reference field="6" count="1" selected="0">
            <x v="1"/>
          </reference>
          <reference field="7" count="1" selected="0">
            <x v="8"/>
          </reference>
          <reference field="14" count="1" selected="0">
            <x v="23"/>
          </reference>
          <reference field="16" count="1" selected="0">
            <x v="15"/>
          </reference>
          <reference field="20" count="1" selected="0">
            <x v="26"/>
          </reference>
          <reference field="22" count="1" selected="0">
            <x v="22"/>
          </reference>
          <reference field="26" count="1" selected="0">
            <x v="0"/>
          </reference>
          <reference field="29" count="0" selected="0"/>
          <reference field="30" count="1" selected="0">
            <x v="0"/>
          </reference>
          <reference field="31" count="0" selected="0"/>
          <reference field="32" count="0"/>
        </references>
      </pivotArea>
    </format>
    <format dxfId="140">
      <pivotArea dataOnly="0" labelOnly="1" outline="0" fieldPosition="0">
        <references count="12">
          <reference field="5" count="1" selected="0">
            <x v="2"/>
          </reference>
          <reference field="6" count="1" selected="0">
            <x v="1"/>
          </reference>
          <reference field="7" count="1" selected="0">
            <x v="8"/>
          </reference>
          <reference field="14" count="1" selected="0">
            <x v="23"/>
          </reference>
          <reference field="16" count="1" selected="0">
            <x v="48"/>
          </reference>
          <reference field="20" count="1" selected="0">
            <x v="6"/>
          </reference>
          <reference field="22" count="1" selected="0">
            <x v="22"/>
          </reference>
          <reference field="26" count="1" selected="0">
            <x v="0"/>
          </reference>
          <reference field="29" count="0" selected="0"/>
          <reference field="30" count="1" selected="0">
            <x v="0"/>
          </reference>
          <reference field="31" count="0" selected="0"/>
          <reference field="32" count="0"/>
        </references>
      </pivotArea>
    </format>
    <format dxfId="139">
      <pivotArea dataOnly="0" labelOnly="1" outline="0" fieldPosition="0">
        <references count="12">
          <reference field="5" count="1" selected="0">
            <x v="2"/>
          </reference>
          <reference field="6" count="1" selected="0">
            <x v="1"/>
          </reference>
          <reference field="7" count="1" selected="0">
            <x v="8"/>
          </reference>
          <reference field="14" count="1" selected="0">
            <x v="23"/>
          </reference>
          <reference field="16" count="1" selected="0">
            <x v="65"/>
          </reference>
          <reference field="20" count="1" selected="0">
            <x v="1"/>
          </reference>
          <reference field="22" count="1" selected="0">
            <x v="22"/>
          </reference>
          <reference field="26" count="1" selected="0">
            <x v="0"/>
          </reference>
          <reference field="29" count="0" selected="0"/>
          <reference field="30" count="1" selected="0">
            <x v="0"/>
          </reference>
          <reference field="31" count="0" selected="0"/>
          <reference field="32" count="0"/>
        </references>
      </pivotArea>
    </format>
    <format dxfId="138">
      <pivotArea dataOnly="0" labelOnly="1" outline="0" fieldPosition="0">
        <references count="12">
          <reference field="5" count="1" selected="0">
            <x v="2"/>
          </reference>
          <reference field="6" count="1" selected="0">
            <x v="1"/>
          </reference>
          <reference field="7" count="1" selected="0">
            <x v="9"/>
          </reference>
          <reference field="14" count="1" selected="0">
            <x v="22"/>
          </reference>
          <reference field="16" count="1" selected="0">
            <x v="11"/>
          </reference>
          <reference field="20" count="1" selected="0">
            <x v="6"/>
          </reference>
          <reference field="22" count="1" selected="0">
            <x v="16"/>
          </reference>
          <reference field="26" count="1" selected="0">
            <x v="0"/>
          </reference>
          <reference field="29" count="0" selected="0"/>
          <reference field="30" count="1" selected="0">
            <x v="0"/>
          </reference>
          <reference field="31" count="0" selected="0"/>
          <reference field="32" count="0"/>
        </references>
      </pivotArea>
    </format>
    <format dxfId="137">
      <pivotArea dataOnly="0" labelOnly="1" outline="0" fieldPosition="0">
        <references count="12">
          <reference field="5" count="1" selected="0">
            <x v="2"/>
          </reference>
          <reference field="6" count="1" selected="0">
            <x v="1"/>
          </reference>
          <reference field="7" count="1" selected="0">
            <x v="9"/>
          </reference>
          <reference field="14" count="1" selected="0">
            <x v="22"/>
          </reference>
          <reference field="16" count="1" selected="0">
            <x v="26"/>
          </reference>
          <reference field="20" count="1" selected="0">
            <x v="1"/>
          </reference>
          <reference field="22" count="1" selected="0">
            <x v="16"/>
          </reference>
          <reference field="26" count="1" selected="0">
            <x v="0"/>
          </reference>
          <reference field="29" count="0" selected="0"/>
          <reference field="30" count="1" selected="0">
            <x v="0"/>
          </reference>
          <reference field="31" count="0" selected="0"/>
          <reference field="32" count="0"/>
        </references>
      </pivotArea>
    </format>
    <format dxfId="136">
      <pivotArea dataOnly="0" labelOnly="1" outline="0" fieldPosition="0">
        <references count="12">
          <reference field="5" count="1" selected="0">
            <x v="2"/>
          </reference>
          <reference field="6" count="1" selected="0">
            <x v="1"/>
          </reference>
          <reference field="7" count="1" selected="0">
            <x v="12"/>
          </reference>
          <reference field="14" count="1" selected="0">
            <x v="16"/>
          </reference>
          <reference field="16" count="1" selected="0">
            <x v="17"/>
          </reference>
          <reference field="20" count="1" selected="0">
            <x v="26"/>
          </reference>
          <reference field="22" count="1" selected="0">
            <x v="22"/>
          </reference>
          <reference field="26" count="1" selected="0">
            <x v="0"/>
          </reference>
          <reference field="29" count="0" selected="0"/>
          <reference field="30" count="1" selected="0">
            <x v="0"/>
          </reference>
          <reference field="31" count="0" selected="0"/>
          <reference field="32" count="0"/>
        </references>
      </pivotArea>
    </format>
    <format dxfId="135">
      <pivotArea dataOnly="0" labelOnly="1" outline="0" fieldPosition="0">
        <references count="12">
          <reference field="5" count="1" selected="0">
            <x v="2"/>
          </reference>
          <reference field="6" count="1" selected="0">
            <x v="1"/>
          </reference>
          <reference field="7" count="1" selected="0">
            <x v="12"/>
          </reference>
          <reference field="14" count="1" selected="0">
            <x v="16"/>
          </reference>
          <reference field="16" count="1" selected="0">
            <x v="25"/>
          </reference>
          <reference field="20" count="1" selected="0">
            <x v="1"/>
          </reference>
          <reference field="22" count="1" selected="0">
            <x v="17"/>
          </reference>
          <reference field="26" count="1" selected="0">
            <x v="0"/>
          </reference>
          <reference field="29" count="0" selected="0"/>
          <reference field="30" count="1" selected="0">
            <x v="0"/>
          </reference>
          <reference field="31" count="0" selected="0"/>
          <reference field="32" count="0"/>
        </references>
      </pivotArea>
    </format>
    <format dxfId="134">
      <pivotArea dataOnly="0" labelOnly="1" outline="0" fieldPosition="0">
        <references count="12">
          <reference field="5" count="1" selected="0">
            <x v="2"/>
          </reference>
          <reference field="6" count="1" selected="0">
            <x v="1"/>
          </reference>
          <reference field="7" count="1" selected="0">
            <x v="13"/>
          </reference>
          <reference field="14" count="1" selected="0">
            <x v="38"/>
          </reference>
          <reference field="16" count="1" selected="0">
            <x v="28"/>
          </reference>
          <reference field="20" count="1" selected="0">
            <x v="2"/>
          </reference>
          <reference field="22" count="1" selected="0">
            <x v="16"/>
          </reference>
          <reference field="26" count="1" selected="0">
            <x v="0"/>
          </reference>
          <reference field="29" count="0" selected="0"/>
          <reference field="30" count="1" selected="0">
            <x v="0"/>
          </reference>
          <reference field="31" count="0" selected="0"/>
          <reference field="32" count="0"/>
        </references>
      </pivotArea>
    </format>
    <format dxfId="133">
      <pivotArea dataOnly="0" labelOnly="1" outline="0" fieldPosition="0">
        <references count="12">
          <reference field="5" count="1" selected="0">
            <x v="2"/>
          </reference>
          <reference field="6" count="1" selected="0">
            <x v="1"/>
          </reference>
          <reference field="7" count="1" selected="0">
            <x v="14"/>
          </reference>
          <reference field="14" count="1" selected="0">
            <x v="40"/>
          </reference>
          <reference field="16" count="1" selected="0">
            <x v="20"/>
          </reference>
          <reference field="20" count="1" selected="0">
            <x v="1"/>
          </reference>
          <reference field="22" count="1" selected="0">
            <x v="16"/>
          </reference>
          <reference field="26" count="1" selected="0">
            <x v="0"/>
          </reference>
          <reference field="29" count="0" selected="0"/>
          <reference field="30" count="1" selected="0">
            <x v="0"/>
          </reference>
          <reference field="31" count="0" selected="0"/>
          <reference field="32" count="0"/>
        </references>
      </pivotArea>
    </format>
    <format dxfId="132">
      <pivotArea dataOnly="0" labelOnly="1" outline="0" fieldPosition="0">
        <references count="12">
          <reference field="5" count="1" selected="0">
            <x v="2"/>
          </reference>
          <reference field="6" count="1" selected="0">
            <x v="1"/>
          </reference>
          <reference field="7" count="1" selected="0">
            <x v="15"/>
          </reference>
          <reference field="14" count="1" selected="0">
            <x v="36"/>
          </reference>
          <reference field="16" count="1" selected="0">
            <x v="33"/>
          </reference>
          <reference field="20" count="1" selected="0">
            <x v="1"/>
          </reference>
          <reference field="22" count="1" selected="0">
            <x v="16"/>
          </reference>
          <reference field="26" count="1" selected="0">
            <x v="0"/>
          </reference>
          <reference field="29" count="0" selected="0"/>
          <reference field="30" count="1" selected="0">
            <x v="0"/>
          </reference>
          <reference field="31" count="0" selected="0"/>
          <reference field="32" count="0"/>
        </references>
      </pivotArea>
    </format>
    <format dxfId="131">
      <pivotArea dataOnly="0" labelOnly="1" outline="0" fieldPosition="0">
        <references count="12">
          <reference field="5" count="1" selected="0">
            <x v="2"/>
          </reference>
          <reference field="6" count="1" selected="0">
            <x v="1"/>
          </reference>
          <reference field="7" count="1" selected="0">
            <x v="16"/>
          </reference>
          <reference field="14" count="1" selected="0">
            <x v="37"/>
          </reference>
          <reference field="16" count="1" selected="0">
            <x v="20"/>
          </reference>
          <reference field="20" count="1" selected="0">
            <x v="1"/>
          </reference>
          <reference field="22" count="1" selected="0">
            <x v="16"/>
          </reference>
          <reference field="26" count="1" selected="0">
            <x v="0"/>
          </reference>
          <reference field="29" count="0" selected="0"/>
          <reference field="30" count="1" selected="0">
            <x v="0"/>
          </reference>
          <reference field="31" count="0" selected="0"/>
          <reference field="32" count="0"/>
        </references>
      </pivotArea>
    </format>
    <format dxfId="130">
      <pivotArea dataOnly="0" labelOnly="1" outline="0" fieldPosition="0">
        <references count="12">
          <reference field="5" count="1" selected="0">
            <x v="2"/>
          </reference>
          <reference field="6" count="1" selected="0">
            <x v="1"/>
          </reference>
          <reference field="7" count="1" selected="0">
            <x v="17"/>
          </reference>
          <reference field="14" count="1" selected="0">
            <x v="39"/>
          </reference>
          <reference field="16" count="1" selected="0">
            <x v="2"/>
          </reference>
          <reference field="20" count="1" selected="0">
            <x v="18"/>
          </reference>
          <reference field="22" count="1" selected="0">
            <x v="19"/>
          </reference>
          <reference field="26" count="1" selected="0">
            <x v="0"/>
          </reference>
          <reference field="29" count="0" selected="0"/>
          <reference field="30" count="1" selected="0">
            <x v="1"/>
          </reference>
          <reference field="31" count="0" selected="0"/>
          <reference field="32" count="0"/>
        </references>
      </pivotArea>
    </format>
    <format dxfId="129">
      <pivotArea dataOnly="0" labelOnly="1" outline="0" fieldPosition="0">
        <references count="12">
          <reference field="5" count="1" selected="0">
            <x v="2"/>
          </reference>
          <reference field="6" count="1" selected="0">
            <x v="1"/>
          </reference>
          <reference field="7" count="1" selected="0">
            <x v="18"/>
          </reference>
          <reference field="14" count="1" selected="0">
            <x v="27"/>
          </reference>
          <reference field="16" count="1" selected="0">
            <x v="2"/>
          </reference>
          <reference field="20" count="1" selected="0">
            <x v="18"/>
          </reference>
          <reference field="22" count="1" selected="0">
            <x v="19"/>
          </reference>
          <reference field="26" count="1" selected="0">
            <x v="0"/>
          </reference>
          <reference field="29" count="0" selected="0"/>
          <reference field="30" count="1" selected="0">
            <x v="1"/>
          </reference>
          <reference field="31" count="0" selected="0"/>
          <reference field="32" count="0"/>
        </references>
      </pivotArea>
    </format>
    <format dxfId="128">
      <pivotArea dataOnly="0" labelOnly="1" outline="0" fieldPosition="0">
        <references count="12">
          <reference field="5" count="1" selected="0">
            <x v="2"/>
          </reference>
          <reference field="6" count="1" selected="0">
            <x v="1"/>
          </reference>
          <reference field="7" count="1" selected="0">
            <x v="19"/>
          </reference>
          <reference field="14" count="1" selected="0">
            <x v="35"/>
          </reference>
          <reference field="16" count="1" selected="0">
            <x v="2"/>
          </reference>
          <reference field="20" count="1" selected="0">
            <x v="18"/>
          </reference>
          <reference field="22" count="1" selected="0">
            <x v="19"/>
          </reference>
          <reference field="26" count="1" selected="0">
            <x v="0"/>
          </reference>
          <reference field="29" count="0" selected="0"/>
          <reference field="30" count="1" selected="0">
            <x v="1"/>
          </reference>
          <reference field="31" count="0" selected="0"/>
          <reference field="32" count="0"/>
        </references>
      </pivotArea>
    </format>
    <format dxfId="127">
      <pivotArea dataOnly="0" labelOnly="1" outline="0" fieldPosition="0">
        <references count="12">
          <reference field="5" count="1" selected="0">
            <x v="2"/>
          </reference>
          <reference field="6" count="1" selected="0">
            <x v="1"/>
          </reference>
          <reference field="7" count="1" selected="0">
            <x v="23"/>
          </reference>
          <reference field="14" count="1" selected="0">
            <x v="14"/>
          </reference>
          <reference field="16" count="1" selected="0">
            <x v="5"/>
          </reference>
          <reference field="20" count="1" selected="0">
            <x v="11"/>
          </reference>
          <reference field="22" count="1" selected="0">
            <x v="17"/>
          </reference>
          <reference field="26" count="1" selected="0">
            <x v="0"/>
          </reference>
          <reference field="29" count="0" selected="0"/>
          <reference field="30" count="1" selected="0">
            <x v="0"/>
          </reference>
          <reference field="31" count="0" selected="0"/>
          <reference field="32" count="0"/>
        </references>
      </pivotArea>
    </format>
    <format dxfId="126">
      <pivotArea dataOnly="0" labelOnly="1" outline="0" fieldPosition="0">
        <references count="12">
          <reference field="5" count="1" selected="0">
            <x v="2"/>
          </reference>
          <reference field="6" count="1" selected="0">
            <x v="1"/>
          </reference>
          <reference field="7" count="1" selected="0">
            <x v="23"/>
          </reference>
          <reference field="14" count="1" selected="0">
            <x v="14"/>
          </reference>
          <reference field="16" count="1" selected="0">
            <x v="64"/>
          </reference>
          <reference field="20" count="1" selected="0">
            <x v="25"/>
          </reference>
          <reference field="22" count="1" selected="0">
            <x v="15"/>
          </reference>
          <reference field="26" count="1" selected="0">
            <x v="2"/>
          </reference>
          <reference field="29" count="0" selected="0"/>
          <reference field="30" count="1" selected="0">
            <x v="0"/>
          </reference>
          <reference field="31" count="0" selected="0"/>
          <reference field="32" count="0"/>
        </references>
      </pivotArea>
    </format>
    <format dxfId="125">
      <pivotArea dataOnly="0" labelOnly="1" outline="0" fieldPosition="0">
        <references count="12">
          <reference field="5" count="1" selected="0">
            <x v="2"/>
          </reference>
          <reference field="6" count="1" selected="0">
            <x v="1"/>
          </reference>
          <reference field="7" count="1" selected="0">
            <x v="24"/>
          </reference>
          <reference field="14" count="1" selected="0">
            <x v="15"/>
          </reference>
          <reference field="16" count="1" selected="0">
            <x v="10"/>
          </reference>
          <reference field="20" count="1" selected="0">
            <x v="17"/>
          </reference>
          <reference field="22" count="1" selected="0">
            <x v="22"/>
          </reference>
          <reference field="26" count="1" selected="0">
            <x v="0"/>
          </reference>
          <reference field="29" count="0" selected="0"/>
          <reference field="30" count="1" selected="0">
            <x v="0"/>
          </reference>
          <reference field="31" count="0" selected="0"/>
          <reference field="32" count="0"/>
        </references>
      </pivotArea>
    </format>
    <format dxfId="124">
      <pivotArea dataOnly="0" labelOnly="1" outline="0" fieldPosition="0">
        <references count="12">
          <reference field="5" count="1" selected="0">
            <x v="2"/>
          </reference>
          <reference field="6" count="1" selected="0">
            <x v="1"/>
          </reference>
          <reference field="7" count="1" selected="0">
            <x v="24"/>
          </reference>
          <reference field="14" count="1" selected="0">
            <x v="15"/>
          </reference>
          <reference field="16" count="1" selected="0">
            <x v="13"/>
          </reference>
          <reference field="20" count="1" selected="0">
            <x v="17"/>
          </reference>
          <reference field="22" count="1" selected="0">
            <x v="22"/>
          </reference>
          <reference field="26" count="1" selected="0">
            <x v="0"/>
          </reference>
          <reference field="29" count="0" selected="0"/>
          <reference field="30" count="1" selected="0">
            <x v="0"/>
          </reference>
          <reference field="31" count="0" selected="0"/>
          <reference field="32" count="0"/>
        </references>
      </pivotArea>
    </format>
    <format dxfId="123">
      <pivotArea dataOnly="0" labelOnly="1" outline="0" fieldPosition="0">
        <references count="12">
          <reference field="5" count="1" selected="0">
            <x v="2"/>
          </reference>
          <reference field="6" count="1" selected="0">
            <x v="1"/>
          </reference>
          <reference field="7" count="1" selected="0">
            <x v="26"/>
          </reference>
          <reference field="14" count="1" selected="0">
            <x v="24"/>
          </reference>
          <reference field="16" count="1" selected="0">
            <x v="53"/>
          </reference>
          <reference field="20" count="1" selected="0">
            <x v="4"/>
          </reference>
          <reference field="22" count="1" selected="0">
            <x v="22"/>
          </reference>
          <reference field="26" count="1" selected="0">
            <x v="0"/>
          </reference>
          <reference field="29" count="0" selected="0"/>
          <reference field="30" count="1" selected="0">
            <x v="0"/>
          </reference>
          <reference field="31" count="0" selected="0"/>
          <reference field="32" count="0"/>
        </references>
      </pivotArea>
    </format>
    <format dxfId="122">
      <pivotArea dataOnly="0" labelOnly="1" outline="0" fieldPosition="0">
        <references count="12">
          <reference field="5" count="1" selected="0">
            <x v="2"/>
          </reference>
          <reference field="6" count="1" selected="0">
            <x v="1"/>
          </reference>
          <reference field="7" count="1" selected="0">
            <x v="27"/>
          </reference>
          <reference field="14" count="1" selected="0">
            <x v="44"/>
          </reference>
          <reference field="16" count="1" selected="0">
            <x v="59"/>
          </reference>
          <reference field="20" count="1" selected="0">
            <x v="26"/>
          </reference>
          <reference field="22" count="1" selected="0">
            <x v="22"/>
          </reference>
          <reference field="26" count="1" selected="0">
            <x v="0"/>
          </reference>
          <reference field="29" count="0" selected="0"/>
          <reference field="30" count="1" selected="0">
            <x v="0"/>
          </reference>
          <reference field="31" count="0" selected="0"/>
          <reference field="32" count="0"/>
        </references>
      </pivotArea>
    </format>
    <format dxfId="121">
      <pivotArea dataOnly="0" labelOnly="1" outline="0" fieldPosition="0">
        <references count="12">
          <reference field="5" count="1" selected="0">
            <x v="2"/>
          </reference>
          <reference field="6" count="1" selected="0">
            <x v="1"/>
          </reference>
          <reference field="7" count="1" selected="0">
            <x v="28"/>
          </reference>
          <reference field="14" count="1" selected="0">
            <x v="41"/>
          </reference>
          <reference field="16" count="1" selected="0">
            <x v="12"/>
          </reference>
          <reference field="20" count="1" selected="0">
            <x v="26"/>
          </reference>
          <reference field="22" count="1" selected="0">
            <x v="17"/>
          </reference>
          <reference field="26" count="1" selected="0">
            <x v="0"/>
          </reference>
          <reference field="29" count="0" selected="0"/>
          <reference field="30" count="1" selected="0">
            <x v="0"/>
          </reference>
          <reference field="31" count="0" selected="0"/>
          <reference field="32" count="0"/>
        </references>
      </pivotArea>
    </format>
    <format dxfId="120">
      <pivotArea dataOnly="0" labelOnly="1" outline="0" fieldPosition="0">
        <references count="12">
          <reference field="5" count="1" selected="0">
            <x v="2"/>
          </reference>
          <reference field="6" count="1" selected="0">
            <x v="1"/>
          </reference>
          <reference field="7" count="1" selected="0">
            <x v="28"/>
          </reference>
          <reference field="14" count="1" selected="0">
            <x v="41"/>
          </reference>
          <reference field="16" count="1" selected="0">
            <x v="55"/>
          </reference>
          <reference field="20" count="1" selected="0">
            <x v="4"/>
          </reference>
          <reference field="22" count="1" selected="0">
            <x v="21"/>
          </reference>
          <reference field="26" count="1" selected="0">
            <x v="0"/>
          </reference>
          <reference field="29" count="0" selected="0"/>
          <reference field="30" count="1" selected="0">
            <x v="0"/>
          </reference>
          <reference field="31" count="0" selected="0"/>
          <reference field="32" count="0"/>
        </references>
      </pivotArea>
    </format>
    <format dxfId="119">
      <pivotArea dataOnly="0" labelOnly="1" outline="0" fieldPosition="0">
        <references count="12">
          <reference field="5" count="1" selected="0">
            <x v="2"/>
          </reference>
          <reference field="6" count="1" selected="0">
            <x v="1"/>
          </reference>
          <reference field="7" count="1" selected="0">
            <x v="29"/>
          </reference>
          <reference field="14" count="1" selected="0">
            <x v="26"/>
          </reference>
          <reference field="16" count="1" selected="0">
            <x v="1"/>
          </reference>
          <reference field="20" count="1" selected="0">
            <x v="1"/>
          </reference>
          <reference field="22" count="1" selected="0">
            <x v="19"/>
          </reference>
          <reference field="26" count="1" selected="0">
            <x v="0"/>
          </reference>
          <reference field="29" count="0" selected="0"/>
          <reference field="30" count="1" selected="0">
            <x v="1"/>
          </reference>
          <reference field="31" count="0" selected="0"/>
          <reference field="32" count="0"/>
        </references>
      </pivotArea>
    </format>
    <format dxfId="118">
      <pivotArea dataOnly="0" labelOnly="1" outline="0" fieldPosition="0">
        <references count="12">
          <reference field="5" count="1" selected="0">
            <x v="2"/>
          </reference>
          <reference field="6" count="1" selected="0">
            <x v="1"/>
          </reference>
          <reference field="7" count="1" selected="0">
            <x v="29"/>
          </reference>
          <reference field="14" count="1" selected="0">
            <x v="26"/>
          </reference>
          <reference field="16" count="1" selected="0">
            <x v="54"/>
          </reference>
          <reference field="20" count="1" selected="0">
            <x v="1"/>
          </reference>
          <reference field="22" count="1" selected="0">
            <x v="19"/>
          </reference>
          <reference field="26" count="1" selected="0">
            <x v="0"/>
          </reference>
          <reference field="29" count="0" selected="0"/>
          <reference field="30" count="1" selected="0">
            <x v="1"/>
          </reference>
          <reference field="31" count="0" selected="0"/>
          <reference field="32" count="0"/>
        </references>
      </pivotArea>
    </format>
    <format dxfId="117">
      <pivotArea dataOnly="0" labelOnly="1" outline="0" fieldPosition="0">
        <references count="12">
          <reference field="5" count="1" selected="0">
            <x v="2"/>
          </reference>
          <reference field="6" count="1" selected="0">
            <x v="1"/>
          </reference>
          <reference field="7" count="1" selected="0">
            <x v="29"/>
          </reference>
          <reference field="14" count="1" selected="0">
            <x v="26"/>
          </reference>
          <reference field="16" count="1" selected="0">
            <x v="58"/>
          </reference>
          <reference field="20" count="1" selected="0">
            <x v="3"/>
          </reference>
          <reference field="22" count="1" selected="0">
            <x v="17"/>
          </reference>
          <reference field="26" count="1" selected="0">
            <x v="0"/>
          </reference>
          <reference field="29" count="0" selected="0"/>
          <reference field="30" count="1" selected="0">
            <x v="0"/>
          </reference>
          <reference field="31" count="0" selected="0"/>
          <reference field="32" count="0"/>
        </references>
      </pivotArea>
    </format>
    <format dxfId="116">
      <pivotArea dataOnly="0" labelOnly="1" outline="0" fieldPosition="0">
        <references count="12">
          <reference field="5" count="1" selected="0">
            <x v="2"/>
          </reference>
          <reference field="6" count="1" selected="0">
            <x v="1"/>
          </reference>
          <reference field="7" count="1" selected="0">
            <x v="38"/>
          </reference>
          <reference field="14" count="1" selected="0">
            <x v="20"/>
          </reference>
          <reference field="16" count="1" selected="0">
            <x v="4"/>
          </reference>
          <reference field="20" count="1" selected="0">
            <x v="24"/>
          </reference>
          <reference field="22" count="1" selected="0">
            <x v="21"/>
          </reference>
          <reference field="26" count="1" selected="0">
            <x v="0"/>
          </reference>
          <reference field="29" count="0" selected="0"/>
          <reference field="30" count="1" selected="0">
            <x v="0"/>
          </reference>
          <reference field="31" count="0" selected="0"/>
          <reference field="32" count="0"/>
        </references>
      </pivotArea>
    </format>
    <format dxfId="115">
      <pivotArea field="32" type="button" dataOnly="0" labelOnly="1" outline="0" axis="axisRow" fieldPosition="11"/>
    </format>
    <format dxfId="114">
      <pivotArea dataOnly="0" labelOnly="1" grandRow="1" outline="0" fieldPosition="0"/>
    </format>
    <format dxfId="113">
      <pivotArea dataOnly="0" labelOnly="1" outline="0" fieldPosition="0">
        <references count="12">
          <reference field="5" count="1" selected="0">
            <x v="0"/>
          </reference>
          <reference field="6" count="1" selected="0">
            <x v="0"/>
          </reference>
          <reference field="7" count="1" selected="0">
            <x v="1"/>
          </reference>
          <reference field="14" count="1" selected="0">
            <x v="53"/>
          </reference>
          <reference field="16" count="1" selected="0">
            <x v="62"/>
          </reference>
          <reference field="20" count="1" selected="0">
            <x v="13"/>
          </reference>
          <reference field="22" count="1" selected="0">
            <x v="3"/>
          </reference>
          <reference field="26" count="1" selected="0">
            <x v="1"/>
          </reference>
          <reference field="29" count="0" selected="0"/>
          <reference field="30" count="1" selected="0">
            <x v="0"/>
          </reference>
          <reference field="31" count="0" selected="0"/>
          <reference field="32" count="0"/>
        </references>
      </pivotArea>
    </format>
    <format dxfId="112">
      <pivotArea dataOnly="0" labelOnly="1" outline="0" fieldPosition="0">
        <references count="12">
          <reference field="5" count="1" selected="0">
            <x v="0"/>
          </reference>
          <reference field="6" count="1" selected="0">
            <x v="0"/>
          </reference>
          <reference field="7" count="1" selected="0">
            <x v="3"/>
          </reference>
          <reference field="14" count="1" selected="0">
            <x v="48"/>
          </reference>
          <reference field="16" count="1" selected="0">
            <x v="31"/>
          </reference>
          <reference field="20" count="1" selected="0">
            <x v="19"/>
          </reference>
          <reference field="22" count="1" selected="0">
            <x v="2"/>
          </reference>
          <reference field="26" count="1" selected="0">
            <x v="1"/>
          </reference>
          <reference field="29" count="0" selected="0"/>
          <reference field="30" count="1" selected="0">
            <x v="0"/>
          </reference>
          <reference field="31" count="0" selected="0"/>
          <reference field="32" count="0"/>
        </references>
      </pivotArea>
    </format>
    <format dxfId="111">
      <pivotArea dataOnly="0" labelOnly="1" outline="0" fieldPosition="0">
        <references count="12">
          <reference field="5" count="1" selected="0">
            <x v="0"/>
          </reference>
          <reference field="6" count="1" selected="0">
            <x v="0"/>
          </reference>
          <reference field="7" count="1" selected="0">
            <x v="4"/>
          </reference>
          <reference field="14" count="1" selected="0">
            <x v="49"/>
          </reference>
          <reference field="16" count="1" selected="0">
            <x v="66"/>
          </reference>
          <reference field="20" count="1" selected="0">
            <x v="12"/>
          </reference>
          <reference field="22" count="1" selected="0">
            <x v="1"/>
          </reference>
          <reference field="26" count="1" selected="0">
            <x v="1"/>
          </reference>
          <reference field="29" count="0" selected="0"/>
          <reference field="30" count="1" selected="0">
            <x v="0"/>
          </reference>
          <reference field="31" count="0" selected="0"/>
          <reference field="32" count="0"/>
        </references>
      </pivotArea>
    </format>
    <format dxfId="110">
      <pivotArea dataOnly="0" labelOnly="1" outline="0" fieldPosition="0">
        <references count="12">
          <reference field="5" count="1" selected="0">
            <x v="0"/>
          </reference>
          <reference field="6" count="1" selected="0">
            <x v="0"/>
          </reference>
          <reference field="7" count="1" selected="0">
            <x v="6"/>
          </reference>
          <reference field="14" count="1" selected="0">
            <x v="47"/>
          </reference>
          <reference field="16" count="1" selected="0">
            <x v="24"/>
          </reference>
          <reference field="20" count="1" selected="0">
            <x v="1"/>
          </reference>
          <reference field="22" count="1" selected="0">
            <x v="2"/>
          </reference>
          <reference field="26" count="1" selected="0">
            <x v="1"/>
          </reference>
          <reference field="29" count="0" selected="0"/>
          <reference field="30" count="1" selected="0">
            <x v="0"/>
          </reference>
          <reference field="31" count="0" selected="0"/>
          <reference field="32" count="0"/>
        </references>
      </pivotArea>
    </format>
    <format dxfId="109">
      <pivotArea dataOnly="0" labelOnly="1" outline="0" fieldPosition="0">
        <references count="12">
          <reference field="5" count="1" selected="0">
            <x v="0"/>
          </reference>
          <reference field="6" count="1" selected="0">
            <x v="0"/>
          </reference>
          <reference field="7" count="1" selected="0">
            <x v="7"/>
          </reference>
          <reference field="14" count="1" selected="0">
            <x v="45"/>
          </reference>
          <reference field="16" count="1" selected="0">
            <x v="0"/>
          </reference>
          <reference field="20" count="1" selected="0">
            <x v="1"/>
          </reference>
          <reference field="22" count="1" selected="0">
            <x v="0"/>
          </reference>
          <reference field="26" count="1" selected="0">
            <x v="1"/>
          </reference>
          <reference field="29" count="0" selected="0"/>
          <reference field="30" count="1" selected="0">
            <x v="0"/>
          </reference>
          <reference field="31" count="0" selected="0"/>
          <reference field="32" count="0"/>
        </references>
      </pivotArea>
    </format>
    <format dxfId="108">
      <pivotArea dataOnly="0" labelOnly="1" outline="0" fieldPosition="0">
        <references count="12">
          <reference field="5" count="1" selected="0">
            <x v="0"/>
          </reference>
          <reference field="6" count="1" selected="0">
            <x v="0"/>
          </reference>
          <reference field="7" count="1" selected="0">
            <x v="8"/>
          </reference>
          <reference field="14" count="1" selected="0">
            <x v="43"/>
          </reference>
          <reference field="16" count="1" selected="0">
            <x v="52"/>
          </reference>
          <reference field="20" count="1" selected="0">
            <x v="1"/>
          </reference>
          <reference field="22" count="1" selected="0">
            <x v="2"/>
          </reference>
          <reference field="26" count="1" selected="0">
            <x v="1"/>
          </reference>
          <reference field="29" count="0" selected="0"/>
          <reference field="30" count="1" selected="0">
            <x v="0"/>
          </reference>
          <reference field="31" count="0" selected="0"/>
          <reference field="32" count="0"/>
        </references>
      </pivotArea>
    </format>
    <format dxfId="107">
      <pivotArea dataOnly="0" labelOnly="1" outline="0" fieldPosition="0">
        <references count="12">
          <reference field="5" count="1" selected="0">
            <x v="0"/>
          </reference>
          <reference field="6" count="1" selected="0">
            <x v="0"/>
          </reference>
          <reference field="7" count="1" selected="0">
            <x v="9"/>
          </reference>
          <reference field="14" count="1" selected="0">
            <x v="42"/>
          </reference>
          <reference field="16" count="1" selected="0">
            <x v="70"/>
          </reference>
          <reference field="20" count="1" selected="0">
            <x v="1"/>
          </reference>
          <reference field="22" count="1" selected="0">
            <x v="2"/>
          </reference>
          <reference field="26" count="1" selected="0">
            <x v="1"/>
          </reference>
          <reference field="29" count="0" selected="0"/>
          <reference field="30" count="1" selected="0">
            <x v="0"/>
          </reference>
          <reference field="31" count="0" selected="0"/>
          <reference field="32" count="0"/>
        </references>
      </pivotArea>
    </format>
    <format dxfId="106">
      <pivotArea dataOnly="0" labelOnly="1" outline="0" fieldPosition="0">
        <references count="12">
          <reference field="5" count="1" selected="0">
            <x v="0"/>
          </reference>
          <reference field="6" count="1" selected="0">
            <x v="0"/>
          </reference>
          <reference field="7" count="1" selected="0">
            <x v="20"/>
          </reference>
          <reference field="14" count="1" selected="0">
            <x v="46"/>
          </reference>
          <reference field="16" count="1" selected="0">
            <x v="6"/>
          </reference>
          <reference field="20" count="1" selected="0">
            <x v="15"/>
          </reference>
          <reference field="22" count="1" selected="0">
            <x v="0"/>
          </reference>
          <reference field="26" count="1" selected="0">
            <x v="1"/>
          </reference>
          <reference field="29" count="0" selected="0"/>
          <reference field="30" count="1" selected="0">
            <x v="0"/>
          </reference>
          <reference field="31" count="0" selected="0"/>
          <reference field="32" count="0"/>
        </references>
      </pivotArea>
    </format>
    <format dxfId="105">
      <pivotArea dataOnly="0" labelOnly="1" outline="0" fieldPosition="0">
        <references count="12">
          <reference field="5" count="1" selected="0">
            <x v="0"/>
          </reference>
          <reference field="6" count="1" selected="0">
            <x v="0"/>
          </reference>
          <reference field="7" count="1" selected="0">
            <x v="23"/>
          </reference>
          <reference field="14" count="1" selected="0">
            <x v="30"/>
          </reference>
          <reference field="16" count="1" selected="0">
            <x v="44"/>
          </reference>
          <reference field="20" count="1" selected="0">
            <x v="16"/>
          </reference>
          <reference field="22" count="1" selected="0">
            <x v="4"/>
          </reference>
          <reference field="26" count="1" selected="0">
            <x v="1"/>
          </reference>
          <reference field="29" count="0" selected="0"/>
          <reference field="30" count="1" selected="0">
            <x v="0"/>
          </reference>
          <reference field="31" count="0" selected="0"/>
          <reference field="32" count="0"/>
        </references>
      </pivotArea>
    </format>
    <format dxfId="104">
      <pivotArea dataOnly="0" labelOnly="1" outline="0" fieldPosition="0">
        <references count="12">
          <reference field="5" count="1" selected="0">
            <x v="0"/>
          </reference>
          <reference field="6" count="1" selected="0">
            <x v="0"/>
          </reference>
          <reference field="7" count="1" selected="0">
            <x v="24"/>
          </reference>
          <reference field="14" count="1" selected="0">
            <x v="50"/>
          </reference>
          <reference field="16" count="1" selected="0">
            <x v="73"/>
          </reference>
          <reference field="20" count="1" selected="0">
            <x v="16"/>
          </reference>
          <reference field="22" count="1" selected="0">
            <x v="2"/>
          </reference>
          <reference field="26" count="1" selected="0">
            <x v="1"/>
          </reference>
          <reference field="29" count="0" selected="0"/>
          <reference field="30" count="1" selected="0">
            <x v="0"/>
          </reference>
          <reference field="31" count="0" selected="0"/>
          <reference field="32" count="0"/>
        </references>
      </pivotArea>
    </format>
    <format dxfId="103">
      <pivotArea dataOnly="0" labelOnly="1" outline="0" fieldPosition="0">
        <references count="12">
          <reference field="5" count="1" selected="0">
            <x v="0"/>
          </reference>
          <reference field="6" count="1" selected="0">
            <x v="0"/>
          </reference>
          <reference field="7" count="1" selected="0">
            <x v="25"/>
          </reference>
          <reference field="14" count="1" selected="0">
            <x v="51"/>
          </reference>
          <reference field="16" count="1" selected="0">
            <x v="69"/>
          </reference>
          <reference field="20" count="1" selected="0">
            <x v="16"/>
          </reference>
          <reference field="22" count="1" selected="0">
            <x v="23"/>
          </reference>
          <reference field="26" count="1" selected="0">
            <x v="1"/>
          </reference>
          <reference field="29" count="0" selected="0"/>
          <reference field="30" count="1" selected="0">
            <x v="0"/>
          </reference>
          <reference field="31" count="0" selected="0"/>
          <reference field="32" count="0"/>
        </references>
      </pivotArea>
    </format>
    <format dxfId="102">
      <pivotArea dataOnly="0" labelOnly="1" outline="0" fieldPosition="0">
        <references count="12">
          <reference field="5" count="1" selected="0">
            <x v="0"/>
          </reference>
          <reference field="6" count="1" selected="0">
            <x v="0"/>
          </reference>
          <reference field="7" count="1" selected="0">
            <x v="26"/>
          </reference>
          <reference field="14" count="1" selected="0">
            <x v="29"/>
          </reference>
          <reference field="16" count="1" selected="0">
            <x v="16"/>
          </reference>
          <reference field="20" count="1" selected="0">
            <x v="3"/>
          </reference>
          <reference field="22" count="1" selected="0">
            <x v="0"/>
          </reference>
          <reference field="26" count="1" selected="0">
            <x v="1"/>
          </reference>
          <reference field="29" count="0" selected="0"/>
          <reference field="30" count="1" selected="0">
            <x v="0"/>
          </reference>
          <reference field="31" count="0" selected="0"/>
          <reference field="32" count="0"/>
        </references>
      </pivotArea>
    </format>
    <format dxfId="101">
      <pivotArea dataOnly="0" labelOnly="1" outline="0" fieldPosition="0">
        <references count="12">
          <reference field="5" count="1" selected="0">
            <x v="0"/>
          </reference>
          <reference field="6" count="1" selected="0">
            <x v="0"/>
          </reference>
          <reference field="7" count="1" selected="0">
            <x v="29"/>
          </reference>
          <reference field="14" count="1" selected="0">
            <x v="25"/>
          </reference>
          <reference field="16" count="1" selected="0">
            <x v="42"/>
          </reference>
          <reference field="20" count="1" selected="0">
            <x v="3"/>
          </reference>
          <reference field="22" count="1" selected="0">
            <x v="0"/>
          </reference>
          <reference field="26" count="1" selected="0">
            <x v="1"/>
          </reference>
          <reference field="29" count="0" selected="0"/>
          <reference field="30" count="1" selected="0">
            <x v="0"/>
          </reference>
          <reference field="31" count="0" selected="0"/>
          <reference field="32" count="0"/>
        </references>
      </pivotArea>
    </format>
    <format dxfId="100">
      <pivotArea dataOnly="0" labelOnly="1" outline="0" fieldPosition="0">
        <references count="12">
          <reference field="5" count="1" selected="0">
            <x v="0"/>
          </reference>
          <reference field="6" count="1" selected="0">
            <x v="0"/>
          </reference>
          <reference field="7" count="1" selected="0">
            <x v="30"/>
          </reference>
          <reference field="14" count="1" selected="0">
            <x v="32"/>
          </reference>
          <reference field="16" count="1" selected="0">
            <x v="35"/>
          </reference>
          <reference field="20" count="1" selected="0">
            <x v="23"/>
          </reference>
          <reference field="22" count="1" selected="0">
            <x v="0"/>
          </reference>
          <reference field="26" count="1" selected="0">
            <x v="1"/>
          </reference>
          <reference field="29" count="0" selected="0"/>
          <reference field="30" count="1" selected="0">
            <x v="0"/>
          </reference>
          <reference field="31" count="0" selected="0"/>
          <reference field="32" count="0"/>
        </references>
      </pivotArea>
    </format>
    <format dxfId="99">
      <pivotArea dataOnly="0" labelOnly="1" outline="0" fieldPosition="0">
        <references count="12">
          <reference field="5" count="1" selected="0">
            <x v="0"/>
          </reference>
          <reference field="6" count="1" selected="0">
            <x v="0"/>
          </reference>
          <reference field="7" count="1" selected="0">
            <x v="30"/>
          </reference>
          <reference field="14" count="1" selected="0">
            <x v="32"/>
          </reference>
          <reference field="16" count="1" selected="0">
            <x v="41"/>
          </reference>
          <reference field="20" count="1" selected="0">
            <x v="23"/>
          </reference>
          <reference field="22" count="1" selected="0">
            <x v="0"/>
          </reference>
          <reference field="26" count="1" selected="0">
            <x v="1"/>
          </reference>
          <reference field="29" count="0" selected="0"/>
          <reference field="30" count="1" selected="0">
            <x v="0"/>
          </reference>
          <reference field="31" count="0" selected="0"/>
          <reference field="32" count="0"/>
        </references>
      </pivotArea>
    </format>
    <format dxfId="98">
      <pivotArea dataOnly="0" labelOnly="1" outline="0" fieldPosition="0">
        <references count="12">
          <reference field="5" count="1" selected="0">
            <x v="0"/>
          </reference>
          <reference field="6" count="1" selected="0">
            <x v="0"/>
          </reference>
          <reference field="7" count="1" selected="0">
            <x v="31"/>
          </reference>
          <reference field="14" count="1" selected="0">
            <x v="33"/>
          </reference>
          <reference field="16" count="1" selected="0">
            <x v="34"/>
          </reference>
          <reference field="20" count="1" selected="0">
            <x v="3"/>
          </reference>
          <reference field="22" count="1" selected="0">
            <x v="0"/>
          </reference>
          <reference field="26" count="1" selected="0">
            <x v="1"/>
          </reference>
          <reference field="29" count="0" selected="0"/>
          <reference field="30" count="1" selected="0">
            <x v="0"/>
          </reference>
          <reference field="31" count="0" selected="0"/>
          <reference field="32" count="0"/>
        </references>
      </pivotArea>
    </format>
    <format dxfId="97">
      <pivotArea dataOnly="0" labelOnly="1" outline="0" fieldPosition="0">
        <references count="12">
          <reference field="5" count="1" selected="0">
            <x v="0"/>
          </reference>
          <reference field="6" count="1" selected="0">
            <x v="0"/>
          </reference>
          <reference field="7" count="1" selected="0">
            <x v="31"/>
          </reference>
          <reference field="14" count="1" selected="0">
            <x v="33"/>
          </reference>
          <reference field="16" count="1" selected="0">
            <x v="43"/>
          </reference>
          <reference field="20" count="1" selected="0">
            <x v="3"/>
          </reference>
          <reference field="22" count="1" selected="0">
            <x v="0"/>
          </reference>
          <reference field="26" count="1" selected="0">
            <x v="1"/>
          </reference>
          <reference field="29" count="0" selected="0"/>
          <reference field="30" count="1" selected="0">
            <x v="0"/>
          </reference>
          <reference field="31" count="0" selected="0"/>
          <reference field="32" count="0"/>
        </references>
      </pivotArea>
    </format>
    <format dxfId="96">
      <pivotArea dataOnly="0" labelOnly="1" outline="0" fieldPosition="0">
        <references count="12">
          <reference field="5" count="1" selected="0">
            <x v="0"/>
          </reference>
          <reference field="6" count="1" selected="0">
            <x v="0"/>
          </reference>
          <reference field="7" count="1" selected="0">
            <x v="32"/>
          </reference>
          <reference field="14" count="1" selected="0">
            <x v="34"/>
          </reference>
          <reference field="16" count="1" selected="0">
            <x v="36"/>
          </reference>
          <reference field="20" count="1" selected="0">
            <x v="3"/>
          </reference>
          <reference field="22" count="1" selected="0">
            <x v="0"/>
          </reference>
          <reference field="26" count="1" selected="0">
            <x v="1"/>
          </reference>
          <reference field="29" count="0" selected="0"/>
          <reference field="30" count="1" selected="0">
            <x v="0"/>
          </reference>
          <reference field="31" count="0" selected="0"/>
          <reference field="32" count="0"/>
        </references>
      </pivotArea>
    </format>
    <format dxfId="95">
      <pivotArea dataOnly="0" labelOnly="1" outline="0" fieldPosition="0">
        <references count="12">
          <reference field="5" count="1" selected="0">
            <x v="0"/>
          </reference>
          <reference field="6" count="1" selected="0">
            <x v="0"/>
          </reference>
          <reference field="7" count="1" selected="0">
            <x v="33"/>
          </reference>
          <reference field="14" count="1" selected="0">
            <x v="28"/>
          </reference>
          <reference field="16" count="1" selected="0">
            <x v="27"/>
          </reference>
          <reference field="20" count="1" selected="0">
            <x v="14"/>
          </reference>
          <reference field="22" count="1" selected="0">
            <x v="0"/>
          </reference>
          <reference field="26" count="1" selected="0">
            <x v="1"/>
          </reference>
          <reference field="29" count="0" selected="0"/>
          <reference field="30" count="1" selected="0">
            <x v="0"/>
          </reference>
          <reference field="31" count="0" selected="0"/>
          <reference field="32" count="0"/>
        </references>
      </pivotArea>
    </format>
    <format dxfId="94">
      <pivotArea dataOnly="0" labelOnly="1" outline="0" fieldPosition="0">
        <references count="12">
          <reference field="5" count="1" selected="0">
            <x v="0"/>
          </reference>
          <reference field="6" count="1" selected="0">
            <x v="0"/>
          </reference>
          <reference field="7" count="1" selected="0">
            <x v="33"/>
          </reference>
          <reference field="14" count="1" selected="0">
            <x v="28"/>
          </reference>
          <reference field="16" count="1" selected="0">
            <x v="38"/>
          </reference>
          <reference field="20" count="1" selected="0">
            <x v="14"/>
          </reference>
          <reference field="22" count="1" selected="0">
            <x v="0"/>
          </reference>
          <reference field="26" count="1" selected="0">
            <x v="1"/>
          </reference>
          <reference field="29" count="0" selected="0"/>
          <reference field="30" count="1" selected="0">
            <x v="0"/>
          </reference>
          <reference field="31" count="0" selected="0"/>
          <reference field="32" count="0"/>
        </references>
      </pivotArea>
    </format>
    <format dxfId="93">
      <pivotArea dataOnly="0" labelOnly="1" outline="0" fieldPosition="0">
        <references count="12">
          <reference field="5" count="1" selected="0">
            <x v="0"/>
          </reference>
          <reference field="6" count="1" selected="0">
            <x v="0"/>
          </reference>
          <reference field="7" count="1" selected="0">
            <x v="34"/>
          </reference>
          <reference field="14" count="1" selected="0">
            <x v="31"/>
          </reference>
          <reference field="16" count="1" selected="0">
            <x v="45"/>
          </reference>
          <reference field="20" count="1" selected="0">
            <x v="14"/>
          </reference>
          <reference field="22" count="1" selected="0">
            <x v="0"/>
          </reference>
          <reference field="26" count="1" selected="0">
            <x v="1"/>
          </reference>
          <reference field="29" count="0" selected="0"/>
          <reference field="30" count="1" selected="0">
            <x v="0"/>
          </reference>
          <reference field="31" count="0" selected="0"/>
          <reference field="32" count="0"/>
        </references>
      </pivotArea>
    </format>
    <format dxfId="92">
      <pivotArea dataOnly="0" labelOnly="1" outline="0" fieldPosition="0">
        <references count="12">
          <reference field="5" count="1" selected="0">
            <x v="0"/>
          </reference>
          <reference field="6" count="1" selected="0">
            <x v="0"/>
          </reference>
          <reference field="7" count="1" selected="0">
            <x v="34"/>
          </reference>
          <reference field="14" count="1" selected="0">
            <x v="31"/>
          </reference>
          <reference field="16" count="1" selected="0">
            <x v="61"/>
          </reference>
          <reference field="20" count="1" selected="0">
            <x v="14"/>
          </reference>
          <reference field="22" count="1" selected="0">
            <x v="0"/>
          </reference>
          <reference field="26" count="1" selected="0">
            <x v="1"/>
          </reference>
          <reference field="29" count="0" selected="0"/>
          <reference field="30" count="1" selected="0">
            <x v="0"/>
          </reference>
          <reference field="31" count="0" selected="0"/>
          <reference field="32" count="0"/>
        </references>
      </pivotArea>
    </format>
    <format dxfId="91">
      <pivotArea dataOnly="0" labelOnly="1" outline="0" fieldPosition="0">
        <references count="12">
          <reference field="5" count="1" selected="0">
            <x v="0"/>
          </reference>
          <reference field="6" count="1" selected="0">
            <x v="0"/>
          </reference>
          <reference field="7" count="1" selected="0">
            <x v="35"/>
          </reference>
          <reference field="14" count="1" selected="0">
            <x v="52"/>
          </reference>
          <reference field="16" count="1" selected="0">
            <x v="46"/>
          </reference>
          <reference field="20" count="1" selected="0">
            <x v="14"/>
          </reference>
          <reference field="22" count="1" selected="0">
            <x v="0"/>
          </reference>
          <reference field="26" count="1" selected="0">
            <x v="1"/>
          </reference>
          <reference field="29" count="0" selected="0"/>
          <reference field="30" count="1" selected="0">
            <x v="0"/>
          </reference>
          <reference field="31" count="0" selected="0"/>
          <reference field="32" count="0"/>
        </references>
      </pivotArea>
    </format>
    <format dxfId="90">
      <pivotArea dataOnly="0" labelOnly="1" outline="0" fieldPosition="0">
        <references count="12">
          <reference field="5" count="1" selected="0">
            <x v="0"/>
          </reference>
          <reference field="6" count="1" selected="0">
            <x v="0"/>
          </reference>
          <reference field="7" count="1" selected="0">
            <x v="35"/>
          </reference>
          <reference field="14" count="1" selected="0">
            <x v="52"/>
          </reference>
          <reference field="16" count="1" selected="0">
            <x v="60"/>
          </reference>
          <reference field="20" count="1" selected="0">
            <x v="14"/>
          </reference>
          <reference field="22" count="1" selected="0">
            <x v="0"/>
          </reference>
          <reference field="26" count="1" selected="0">
            <x v="1"/>
          </reference>
          <reference field="29" count="0" selected="0"/>
          <reference field="30" count="1" selected="0">
            <x v="0"/>
          </reference>
          <reference field="31" count="0" selected="0"/>
          <reference field="32" count="0"/>
        </references>
      </pivotArea>
    </format>
    <format dxfId="89">
      <pivotArea dataOnly="0" labelOnly="1" outline="0" fieldPosition="0">
        <references count="12">
          <reference field="5" count="1" selected="0">
            <x v="1"/>
          </reference>
          <reference field="6" count="1" selected="0">
            <x v="1"/>
          </reference>
          <reference field="7" count="1" selected="0">
            <x v="5"/>
          </reference>
          <reference field="14" count="1" selected="0">
            <x v="0"/>
          </reference>
          <reference field="16" count="1" selected="0">
            <x v="56"/>
          </reference>
          <reference field="20" count="1" selected="0">
            <x v="17"/>
          </reference>
          <reference field="22" count="1" selected="0">
            <x v="6"/>
          </reference>
          <reference field="26" count="1" selected="0">
            <x v="1"/>
          </reference>
          <reference field="29" count="0" selected="0"/>
          <reference field="30" count="1" selected="0">
            <x v="0"/>
          </reference>
          <reference field="31" count="0" selected="0"/>
          <reference field="32" count="0"/>
        </references>
      </pivotArea>
    </format>
    <format dxfId="88">
      <pivotArea dataOnly="0" labelOnly="1" outline="0" fieldPosition="0">
        <references count="12">
          <reference field="5" count="1" selected="0">
            <x v="1"/>
          </reference>
          <reference field="6" count="1" selected="0">
            <x v="1"/>
          </reference>
          <reference field="7" count="1" selected="0">
            <x v="5"/>
          </reference>
          <reference field="14" count="1" selected="0">
            <x v="0"/>
          </reference>
          <reference field="16" count="1" selected="0">
            <x v="67"/>
          </reference>
          <reference field="20" count="1" selected="0">
            <x v="1"/>
          </reference>
          <reference field="22" count="1" selected="0">
            <x v="5"/>
          </reference>
          <reference field="26" count="1" selected="0">
            <x v="1"/>
          </reference>
          <reference field="29" count="0" selected="0"/>
          <reference field="30" count="1" selected="0">
            <x v="0"/>
          </reference>
          <reference field="31" count="0" selected="0"/>
          <reference field="32" count="0"/>
        </references>
      </pivotArea>
    </format>
    <format dxfId="87">
      <pivotArea dataOnly="0" labelOnly="1" outline="0" fieldPosition="0">
        <references count="12">
          <reference field="5" count="1" selected="0">
            <x v="1"/>
          </reference>
          <reference field="6" count="1" selected="0">
            <x v="1"/>
          </reference>
          <reference field="7" count="1" selected="0">
            <x v="5"/>
          </reference>
          <reference field="14" count="1" selected="0">
            <x v="0"/>
          </reference>
          <reference field="16" count="1" selected="0">
            <x v="77"/>
          </reference>
          <reference field="20" count="1" selected="0">
            <x v="8"/>
          </reference>
          <reference field="22" count="1" selected="0">
            <x v="5"/>
          </reference>
          <reference field="26" count="1" selected="0">
            <x v="1"/>
          </reference>
          <reference field="29" count="0" selected="0"/>
          <reference field="30" count="1" selected="0">
            <x v="0"/>
          </reference>
          <reference field="31" count="0" selected="0"/>
          <reference field="32" count="0"/>
        </references>
      </pivotArea>
    </format>
    <format dxfId="86">
      <pivotArea dataOnly="0" labelOnly="1" outline="0" fieldPosition="0">
        <references count="12">
          <reference field="5" count="1" selected="0">
            <x v="1"/>
          </reference>
          <reference field="6" count="1" selected="0">
            <x v="1"/>
          </reference>
          <reference field="7" count="1" selected="0">
            <x v="10"/>
          </reference>
          <reference field="14" count="1" selected="0">
            <x v="4"/>
          </reference>
          <reference field="16" count="1" selected="0">
            <x v="68"/>
          </reference>
          <reference field="20" count="1" selected="0">
            <x v="21"/>
          </reference>
          <reference field="22" count="1" selected="0">
            <x v="8"/>
          </reference>
          <reference field="26" count="1" selected="0">
            <x v="1"/>
          </reference>
          <reference field="29" count="0" selected="0"/>
          <reference field="30" count="1" selected="0">
            <x v="0"/>
          </reference>
          <reference field="31" count="0" selected="0"/>
          <reference field="32" count="0"/>
        </references>
      </pivotArea>
    </format>
    <format dxfId="85">
      <pivotArea dataOnly="0" labelOnly="1" outline="0" fieldPosition="0">
        <references count="12">
          <reference field="5" count="1" selected="0">
            <x v="1"/>
          </reference>
          <reference field="6" count="1" selected="0">
            <x v="1"/>
          </reference>
          <reference field="7" count="1" selected="0">
            <x v="10"/>
          </reference>
          <reference field="14" count="1" selected="0">
            <x v="4"/>
          </reference>
          <reference field="16" count="1" selected="0">
            <x v="71"/>
          </reference>
          <reference field="20" count="1" selected="0">
            <x v="20"/>
          </reference>
          <reference field="22" count="1" selected="0">
            <x v="11"/>
          </reference>
          <reference field="26" count="1" selected="0">
            <x v="2"/>
          </reference>
          <reference field="29" count="0" selected="0"/>
          <reference field="30" count="1" selected="0">
            <x v="0"/>
          </reference>
          <reference field="31" count="0" selected="0"/>
          <reference field="32" count="0"/>
        </references>
      </pivotArea>
    </format>
    <format dxfId="84">
      <pivotArea dataOnly="0" labelOnly="1" outline="0" fieldPosition="0">
        <references count="12">
          <reference field="5" count="1" selected="0">
            <x v="1"/>
          </reference>
          <reference field="6" count="1" selected="0">
            <x v="1"/>
          </reference>
          <reference field="7" count="1" selected="0">
            <x v="10"/>
          </reference>
          <reference field="14" count="1" selected="0">
            <x v="4"/>
          </reference>
          <reference field="16" count="1" selected="0">
            <x v="75"/>
          </reference>
          <reference field="20" count="1" selected="0">
            <x v="3"/>
          </reference>
          <reference field="22" count="1" selected="0">
            <x v="13"/>
          </reference>
          <reference field="26" count="1" selected="0">
            <x v="1"/>
          </reference>
          <reference field="29" count="0" selected="0"/>
          <reference field="30" count="1" selected="0">
            <x v="0"/>
          </reference>
          <reference field="31" count="0" selected="0"/>
          <reference field="32" count="0"/>
        </references>
      </pivotArea>
    </format>
    <format dxfId="83">
      <pivotArea dataOnly="0" labelOnly="1" outline="0" fieldPosition="0">
        <references count="12">
          <reference field="5" count="1" selected="0">
            <x v="1"/>
          </reference>
          <reference field="6" count="1" selected="0">
            <x v="1"/>
          </reference>
          <reference field="7" count="1" selected="0">
            <x v="11"/>
          </reference>
          <reference field="14" count="1" selected="0">
            <x v="5"/>
          </reference>
          <reference field="16" count="1" selected="0">
            <x v="49"/>
          </reference>
          <reference field="20" count="1" selected="0">
            <x v="1"/>
          </reference>
          <reference field="22" count="1" selected="0">
            <x v="7"/>
          </reference>
          <reference field="26" count="1" selected="0">
            <x v="1"/>
          </reference>
          <reference field="29" count="0" selected="0"/>
          <reference field="30" count="1" selected="0">
            <x v="0"/>
          </reference>
          <reference field="31" count="0" selected="0"/>
          <reference field="32" count="0"/>
        </references>
      </pivotArea>
    </format>
    <format dxfId="82">
      <pivotArea dataOnly="0" labelOnly="1" outline="0" fieldPosition="0">
        <references count="12">
          <reference field="5" count="1" selected="0">
            <x v="1"/>
          </reference>
          <reference field="6" count="1" selected="0">
            <x v="1"/>
          </reference>
          <reference field="7" count="1" selected="0">
            <x v="11"/>
          </reference>
          <reference field="14" count="1" selected="0">
            <x v="5"/>
          </reference>
          <reference field="16" count="1" selected="0">
            <x v="72"/>
          </reference>
          <reference field="20" count="1" selected="0">
            <x v="20"/>
          </reference>
          <reference field="22" count="1" selected="0">
            <x v="11"/>
          </reference>
          <reference field="26" count="1" selected="0">
            <x v="2"/>
          </reference>
          <reference field="29" count="0" selected="0"/>
          <reference field="30" count="1" selected="0">
            <x v="0"/>
          </reference>
          <reference field="31" count="0" selected="0"/>
          <reference field="32" count="0"/>
        </references>
      </pivotArea>
    </format>
    <format dxfId="81">
      <pivotArea dataOnly="0" labelOnly="1" outline="0" fieldPosition="0">
        <references count="12">
          <reference field="5" count="1" selected="0">
            <x v="1"/>
          </reference>
          <reference field="6" count="1" selected="0">
            <x v="1"/>
          </reference>
          <reference field="7" count="1" selected="0">
            <x v="21"/>
          </reference>
          <reference field="14" count="1" selected="0">
            <x v="12"/>
          </reference>
          <reference field="16" count="1" selected="0">
            <x v="76"/>
          </reference>
          <reference field="20" count="1" selected="0">
            <x v="10"/>
          </reference>
          <reference field="22" count="1" selected="0">
            <x v="9"/>
          </reference>
          <reference field="26" count="1" selected="0">
            <x v="1"/>
          </reference>
          <reference field="29" count="0" selected="0"/>
          <reference field="30" count="1" selected="0">
            <x v="0"/>
          </reference>
          <reference field="31" count="0" selected="0"/>
          <reference field="32" count="0"/>
        </references>
      </pivotArea>
    </format>
    <format dxfId="80">
      <pivotArea dataOnly="0" labelOnly="1" outline="0" fieldPosition="0">
        <references count="12">
          <reference field="5" count="1" selected="0">
            <x v="1"/>
          </reference>
          <reference field="6" count="1" selected="0">
            <x v="1"/>
          </reference>
          <reference field="7" count="1" selected="0">
            <x v="21"/>
          </reference>
          <reference field="14" count="1" selected="0">
            <x v="12"/>
          </reference>
          <reference field="16" count="1" selected="0">
            <x v="78"/>
          </reference>
          <reference field="20" count="1" selected="0">
            <x v="10"/>
          </reference>
          <reference field="22" count="1" selected="0">
            <x v="12"/>
          </reference>
          <reference field="26" count="1" selected="0">
            <x v="1"/>
          </reference>
          <reference field="29" count="0" selected="0"/>
          <reference field="30" count="1" selected="0">
            <x v="0"/>
          </reference>
          <reference field="31" count="0" selected="0"/>
          <reference field="32" count="0"/>
        </references>
      </pivotArea>
    </format>
    <format dxfId="79">
      <pivotArea dataOnly="0" labelOnly="1" outline="0" fieldPosition="0">
        <references count="12">
          <reference field="5" count="1" selected="0">
            <x v="1"/>
          </reference>
          <reference field="6" count="1" selected="0">
            <x v="1"/>
          </reference>
          <reference field="7" count="1" selected="0">
            <x v="22"/>
          </reference>
          <reference field="14" count="1" selected="0">
            <x v="11"/>
          </reference>
          <reference field="16" count="1" selected="0">
            <x v="21"/>
          </reference>
          <reference field="20" count="1" selected="0">
            <x v="21"/>
          </reference>
          <reference field="22" count="1" selected="0">
            <x v="13"/>
          </reference>
          <reference field="26" count="1" selected="0">
            <x v="2"/>
          </reference>
          <reference field="29" count="0" selected="0"/>
          <reference field="30" count="1" selected="0">
            <x v="0"/>
          </reference>
          <reference field="31" count="0" selected="0"/>
          <reference field="32" count="0"/>
        </references>
      </pivotArea>
    </format>
    <format dxfId="78">
      <pivotArea dataOnly="0" labelOnly="1" outline="0" fieldPosition="0">
        <references count="12">
          <reference field="5" count="1" selected="0">
            <x v="1"/>
          </reference>
          <reference field="6" count="1" selected="0">
            <x v="1"/>
          </reference>
          <reference field="7" count="1" selected="0">
            <x v="22"/>
          </reference>
          <reference field="14" count="1" selected="0">
            <x v="11"/>
          </reference>
          <reference field="16" count="1" selected="0">
            <x v="57"/>
          </reference>
          <reference field="20" count="1" selected="0">
            <x v="21"/>
          </reference>
          <reference field="22" count="1" selected="0">
            <x v="13"/>
          </reference>
          <reference field="26" count="1" selected="0">
            <x v="1"/>
          </reference>
          <reference field="29" count="0" selected="0"/>
          <reference field="30" count="1" selected="0">
            <x v="0"/>
          </reference>
          <reference field="31" count="0" selected="0"/>
          <reference field="32" count="0"/>
        </references>
      </pivotArea>
    </format>
    <format dxfId="77">
      <pivotArea dataOnly="0" labelOnly="1" outline="0" fieldPosition="0">
        <references count="12">
          <reference field="5" count="1" selected="0">
            <x v="1"/>
          </reference>
          <reference field="6" count="1" selected="0">
            <x v="1"/>
          </reference>
          <reference field="7" count="1" selected="0">
            <x v="22"/>
          </reference>
          <reference field="14" count="1" selected="0">
            <x v="11"/>
          </reference>
          <reference field="16" count="1" selected="0">
            <x v="79"/>
          </reference>
          <reference field="20" count="1" selected="0">
            <x v="21"/>
          </reference>
          <reference field="22" count="1" selected="0">
            <x v="13"/>
          </reference>
          <reference field="26" count="1" selected="0">
            <x v="1"/>
          </reference>
          <reference field="29" count="0" selected="0"/>
          <reference field="30" count="1" selected="0">
            <x v="0"/>
          </reference>
          <reference field="31" count="0" selected="0"/>
          <reference field="32" count="0"/>
        </references>
      </pivotArea>
    </format>
    <format dxfId="76">
      <pivotArea dataOnly="0" labelOnly="1" outline="0" fieldPosition="0">
        <references count="12">
          <reference field="5" count="1" selected="0">
            <x v="1"/>
          </reference>
          <reference field="6" count="1" selected="0">
            <x v="1"/>
          </reference>
          <reference field="7" count="1" selected="0">
            <x v="23"/>
          </reference>
          <reference field="14" count="1" selected="0">
            <x v="7"/>
          </reference>
          <reference field="16" count="1" selected="0">
            <x v="40"/>
          </reference>
          <reference field="20" count="1" selected="0">
            <x v="5"/>
          </reference>
          <reference field="22" count="1" selected="0">
            <x v="10"/>
          </reference>
          <reference field="26" count="1" selected="0">
            <x v="1"/>
          </reference>
          <reference field="29" count="0" selected="0"/>
          <reference field="30" count="1" selected="0">
            <x v="0"/>
          </reference>
          <reference field="31" count="0" selected="0"/>
          <reference field="32" count="0"/>
        </references>
      </pivotArea>
    </format>
    <format dxfId="75">
      <pivotArea dataOnly="0" labelOnly="1" outline="0" fieldPosition="0">
        <references count="12">
          <reference field="5" count="1" selected="0">
            <x v="1"/>
          </reference>
          <reference field="6" count="1" selected="0">
            <x v="1"/>
          </reference>
          <reference field="7" count="1" selected="0">
            <x v="23"/>
          </reference>
          <reference field="14" count="1" selected="0">
            <x v="7"/>
          </reference>
          <reference field="16" count="1" selected="0">
            <x v="80"/>
          </reference>
          <reference field="20" count="1" selected="0">
            <x v="5"/>
          </reference>
          <reference field="22" count="1" selected="0">
            <x v="10"/>
          </reference>
          <reference field="26" count="1" selected="0">
            <x v="1"/>
          </reference>
          <reference field="29" count="0" selected="0"/>
          <reference field="30" count="1" selected="0">
            <x v="0"/>
          </reference>
          <reference field="31" count="0" selected="0"/>
          <reference field="32" count="0"/>
        </references>
      </pivotArea>
    </format>
    <format dxfId="74">
      <pivotArea dataOnly="0" labelOnly="1" outline="0" fieldPosition="0">
        <references count="12">
          <reference field="5" count="1" selected="0">
            <x v="1"/>
          </reference>
          <reference field="6" count="1" selected="0">
            <x v="1"/>
          </reference>
          <reference field="7" count="1" selected="0">
            <x v="24"/>
          </reference>
          <reference field="14" count="1" selected="0">
            <x v="10"/>
          </reference>
          <reference field="16" count="1" selected="0">
            <x v="51"/>
          </reference>
          <reference field="20" count="1" selected="0">
            <x v="9"/>
          </reference>
          <reference field="22" count="1" selected="0">
            <x v="11"/>
          </reference>
          <reference field="26" count="1" selected="0">
            <x v="1"/>
          </reference>
          <reference field="29" count="0" selected="0"/>
          <reference field="30" count="1" selected="0">
            <x v="0"/>
          </reference>
          <reference field="31" count="0" selected="0"/>
          <reference field="32" count="0"/>
        </references>
      </pivotArea>
    </format>
    <format dxfId="73">
      <pivotArea dataOnly="0" labelOnly="1" outline="0" fieldPosition="0">
        <references count="12">
          <reference field="5" count="1" selected="0">
            <x v="1"/>
          </reference>
          <reference field="6" count="1" selected="0">
            <x v="1"/>
          </reference>
          <reference field="7" count="1" selected="0">
            <x v="26"/>
          </reference>
          <reference field="14" count="1" selected="0">
            <x v="6"/>
          </reference>
          <reference field="16" count="1" selected="0">
            <x v="7"/>
          </reference>
          <reference field="20" count="1" selected="0">
            <x v="21"/>
          </reference>
          <reference field="22" count="1" selected="0">
            <x v="7"/>
          </reference>
          <reference field="26" count="1" selected="0">
            <x v="1"/>
          </reference>
          <reference field="29" count="0" selected="0"/>
          <reference field="30" count="1" selected="0">
            <x v="0"/>
          </reference>
          <reference field="31" count="0" selected="0"/>
          <reference field="32" count="0"/>
        </references>
      </pivotArea>
    </format>
    <format dxfId="72">
      <pivotArea dataOnly="0" labelOnly="1" outline="0" fieldPosition="0">
        <references count="12">
          <reference field="5" count="1" selected="0">
            <x v="1"/>
          </reference>
          <reference field="6" count="1" selected="0">
            <x v="1"/>
          </reference>
          <reference field="7" count="1" selected="0">
            <x v="26"/>
          </reference>
          <reference field="14" count="1" selected="0">
            <x v="6"/>
          </reference>
          <reference field="16" count="1" selected="0">
            <x v="8"/>
          </reference>
          <reference field="20" count="1" selected="0">
            <x v="21"/>
          </reference>
          <reference field="22" count="1" selected="0">
            <x v="7"/>
          </reference>
          <reference field="26" count="1" selected="0">
            <x v="1"/>
          </reference>
          <reference field="29" count="0" selected="0"/>
          <reference field="30" count="1" selected="0">
            <x v="0"/>
          </reference>
          <reference field="31" count="0" selected="0"/>
          <reference field="32" count="0"/>
        </references>
      </pivotArea>
    </format>
    <format dxfId="71">
      <pivotArea dataOnly="0" labelOnly="1" outline="0" fieldPosition="0">
        <references count="12">
          <reference field="5" count="1" selected="0">
            <x v="1"/>
          </reference>
          <reference field="6" count="1" selected="0">
            <x v="1"/>
          </reference>
          <reference field="7" count="1" selected="0">
            <x v="26"/>
          </reference>
          <reference field="14" count="1" selected="0">
            <x v="6"/>
          </reference>
          <reference field="16" count="1" selected="0">
            <x v="30"/>
          </reference>
          <reference field="20" count="1" selected="0">
            <x v="21"/>
          </reference>
          <reference field="22" count="1" selected="0">
            <x v="7"/>
          </reference>
          <reference field="26" count="1" selected="0">
            <x v="1"/>
          </reference>
          <reference field="29" count="0" selected="0"/>
          <reference field="30" count="1" selected="0">
            <x v="0"/>
          </reference>
          <reference field="31" count="0" selected="0"/>
          <reference field="32" count="0"/>
        </references>
      </pivotArea>
    </format>
    <format dxfId="70">
      <pivotArea dataOnly="0" labelOnly="1" outline="0" fieldPosition="0">
        <references count="12">
          <reference field="5" count="1" selected="0">
            <x v="1"/>
          </reference>
          <reference field="6" count="1" selected="0">
            <x v="1"/>
          </reference>
          <reference field="7" count="1" selected="0">
            <x v="27"/>
          </reference>
          <reference field="14" count="1" selected="0">
            <x v="1"/>
          </reference>
          <reference field="16" count="1" selected="0">
            <x v="39"/>
          </reference>
          <reference field="20" count="1" selected="0">
            <x v="21"/>
          </reference>
          <reference field="22" count="1" selected="0">
            <x v="13"/>
          </reference>
          <reference field="26" count="1" selected="0">
            <x v="1"/>
          </reference>
          <reference field="29" count="0" selected="0"/>
          <reference field="30" count="1" selected="0">
            <x v="0"/>
          </reference>
          <reference field="31" count="0" selected="0"/>
          <reference field="32" count="0"/>
        </references>
      </pivotArea>
    </format>
    <format dxfId="69">
      <pivotArea dataOnly="0" labelOnly="1" outline="0" fieldPosition="0">
        <references count="12">
          <reference field="5" count="1" selected="0">
            <x v="1"/>
          </reference>
          <reference field="6" count="1" selected="0">
            <x v="1"/>
          </reference>
          <reference field="7" count="1" selected="0">
            <x v="28"/>
          </reference>
          <reference field="14" count="1" selected="0">
            <x v="13"/>
          </reference>
          <reference field="16" count="1" selected="0">
            <x v="50"/>
          </reference>
          <reference field="20" count="1" selected="0">
            <x v="21"/>
          </reference>
          <reference field="22" count="1" selected="0">
            <x v="13"/>
          </reference>
          <reference field="26" count="1" selected="0">
            <x v="1"/>
          </reference>
          <reference field="29" count="0" selected="0"/>
          <reference field="30" count="1" selected="0">
            <x v="0"/>
          </reference>
          <reference field="31" count="0" selected="0"/>
          <reference field="32" count="0"/>
        </references>
      </pivotArea>
    </format>
    <format dxfId="68">
      <pivotArea dataOnly="0" labelOnly="1" outline="0" fieldPosition="0">
        <references count="12">
          <reference field="5" count="1" selected="0">
            <x v="1"/>
          </reference>
          <reference field="6" count="1" selected="0">
            <x v="1"/>
          </reference>
          <reference field="7" count="1" selected="0">
            <x v="29"/>
          </reference>
          <reference field="14" count="1" selected="0">
            <x v="9"/>
          </reference>
          <reference field="16" count="1" selected="0">
            <x v="74"/>
          </reference>
          <reference field="20" count="1" selected="0">
            <x v="27"/>
          </reference>
          <reference field="22" count="1" selected="0">
            <x v="7"/>
          </reference>
          <reference field="26" count="1" selected="0">
            <x v="1"/>
          </reference>
          <reference field="29" count="0" selected="0"/>
          <reference field="30" count="1" selected="0">
            <x v="0"/>
          </reference>
          <reference field="31" count="0" selected="0"/>
          <reference field="32" count="0"/>
        </references>
      </pivotArea>
    </format>
    <format dxfId="67">
      <pivotArea dataOnly="0" labelOnly="1" outline="0" fieldPosition="0">
        <references count="12">
          <reference field="5" count="1" selected="0">
            <x v="1"/>
          </reference>
          <reference field="6" count="1" selected="0">
            <x v="1"/>
          </reference>
          <reference field="7" count="1" selected="0">
            <x v="33"/>
          </reference>
          <reference field="14" count="1" selected="0">
            <x v="8"/>
          </reference>
          <reference field="16" count="1" selected="0">
            <x v="47"/>
          </reference>
          <reference field="20" count="1" selected="0">
            <x v="21"/>
          </reference>
          <reference field="22" count="1" selected="0">
            <x v="13"/>
          </reference>
          <reference field="26" count="1" selected="0">
            <x v="1"/>
          </reference>
          <reference field="29" count="0" selected="0"/>
          <reference field="30" count="1" selected="0">
            <x v="0"/>
          </reference>
          <reference field="31" count="0" selected="0"/>
          <reference field="32" count="0"/>
        </references>
      </pivotArea>
    </format>
    <format dxfId="66">
      <pivotArea dataOnly="0" labelOnly="1" outline="0" fieldPosition="0">
        <references count="12">
          <reference field="5" count="1" selected="0">
            <x v="1"/>
          </reference>
          <reference field="6" count="1" selected="0">
            <x v="1"/>
          </reference>
          <reference field="7" count="1" selected="0">
            <x v="36"/>
          </reference>
          <reference field="14" count="1" selected="0">
            <x v="3"/>
          </reference>
          <reference field="16" count="1" selected="0">
            <x v="22"/>
          </reference>
          <reference field="20" count="1" selected="0">
            <x v="21"/>
          </reference>
          <reference field="22" count="1" selected="0">
            <x v="10"/>
          </reference>
          <reference field="26" count="1" selected="0">
            <x v="1"/>
          </reference>
          <reference field="29" count="0" selected="0"/>
          <reference field="30" count="1" selected="0">
            <x v="0"/>
          </reference>
          <reference field="31" count="0" selected="0"/>
          <reference field="32" count="0"/>
        </references>
      </pivotArea>
    </format>
    <format dxfId="65">
      <pivotArea dataOnly="0" labelOnly="1" outline="0" fieldPosition="0">
        <references count="12">
          <reference field="5" count="1" selected="0">
            <x v="1"/>
          </reference>
          <reference field="6" count="1" selected="0">
            <x v="1"/>
          </reference>
          <reference field="7" count="1" selected="0">
            <x v="36"/>
          </reference>
          <reference field="14" count="1" selected="0">
            <x v="3"/>
          </reference>
          <reference field="16" count="1" selected="0">
            <x v="23"/>
          </reference>
          <reference field="20" count="1" selected="0">
            <x v="21"/>
          </reference>
          <reference field="22" count="1" selected="0">
            <x v="10"/>
          </reference>
          <reference field="26" count="1" selected="0">
            <x v="1"/>
          </reference>
          <reference field="29" count="0" selected="0"/>
          <reference field="30" count="1" selected="0">
            <x v="0"/>
          </reference>
          <reference field="31" count="0" selected="0"/>
          <reference field="32" count="0"/>
        </references>
      </pivotArea>
    </format>
    <format dxfId="64">
      <pivotArea dataOnly="0" labelOnly="1" outline="0" fieldPosition="0">
        <references count="12">
          <reference field="5" count="1" selected="0">
            <x v="1"/>
          </reference>
          <reference field="6" count="1" selected="0">
            <x v="1"/>
          </reference>
          <reference field="7" count="1" selected="0">
            <x v="37"/>
          </reference>
          <reference field="14" count="1" selected="0">
            <x v="2"/>
          </reference>
          <reference field="16" count="1" selected="0">
            <x v="37"/>
          </reference>
          <reference field="20" count="1" selected="0">
            <x v="22"/>
          </reference>
          <reference field="22" count="1" selected="0">
            <x v="13"/>
          </reference>
          <reference field="26" count="1" selected="0">
            <x v="1"/>
          </reference>
          <reference field="29" count="0" selected="0"/>
          <reference field="30" count="1" selected="0">
            <x v="0"/>
          </reference>
          <reference field="31" count="0" selected="0"/>
          <reference field="32" count="0"/>
        </references>
      </pivotArea>
    </format>
    <format dxfId="63">
      <pivotArea dataOnly="0" labelOnly="1" outline="0" fieldPosition="0">
        <references count="12">
          <reference field="5" count="1" selected="0">
            <x v="2"/>
          </reference>
          <reference field="6" count="1" selected="0">
            <x v="1"/>
          </reference>
          <reference field="7" count="1" selected="0">
            <x v="0"/>
          </reference>
          <reference field="14" count="1" selected="0">
            <x v="21"/>
          </reference>
          <reference field="16" count="1" selected="0">
            <x v="18"/>
          </reference>
          <reference field="20" count="1" selected="0">
            <x v="0"/>
          </reference>
          <reference field="22" count="1" selected="0">
            <x v="21"/>
          </reference>
          <reference field="26" count="1" selected="0">
            <x v="0"/>
          </reference>
          <reference field="29" count="0" selected="0"/>
          <reference field="30" count="1" selected="0">
            <x v="0"/>
          </reference>
          <reference field="31" count="0" selected="0"/>
          <reference field="32" count="0"/>
        </references>
      </pivotArea>
    </format>
    <format dxfId="62">
      <pivotArea dataOnly="0" labelOnly="1" outline="0" fieldPosition="0">
        <references count="12">
          <reference field="5" count="1" selected="0">
            <x v="2"/>
          </reference>
          <reference field="6" count="1" selected="0">
            <x v="1"/>
          </reference>
          <reference field="7" count="1" selected="0">
            <x v="0"/>
          </reference>
          <reference field="14" count="1" selected="0">
            <x v="21"/>
          </reference>
          <reference field="16" count="1" selected="0">
            <x v="19"/>
          </reference>
          <reference field="20" count="1" selected="0">
            <x v="1"/>
          </reference>
          <reference field="22" count="1" selected="0">
            <x v="20"/>
          </reference>
          <reference field="26" count="1" selected="0">
            <x v="0"/>
          </reference>
          <reference field="29" count="0" selected="0"/>
          <reference field="30" count="1" selected="0">
            <x v="0"/>
          </reference>
          <reference field="31" count="0" selected="0"/>
          <reference field="32" count="0"/>
        </references>
      </pivotArea>
    </format>
    <format dxfId="61">
      <pivotArea dataOnly="0" labelOnly="1" outline="0" fieldPosition="0">
        <references count="12">
          <reference field="5" count="1" selected="0">
            <x v="2"/>
          </reference>
          <reference field="6" count="1" selected="0">
            <x v="1"/>
          </reference>
          <reference field="7" count="1" selected="0">
            <x v="2"/>
          </reference>
          <reference field="14" count="1" selected="0">
            <x v="18"/>
          </reference>
          <reference field="16" count="1" selected="0">
            <x v="9"/>
          </reference>
          <reference field="20" count="1" selected="0">
            <x v="6"/>
          </reference>
          <reference field="22" count="1" selected="0">
            <x v="14"/>
          </reference>
          <reference field="26" count="1" selected="0">
            <x v="1"/>
          </reference>
          <reference field="29" count="0" selected="0"/>
          <reference field="30" count="1" selected="0">
            <x v="0"/>
          </reference>
          <reference field="31" count="0" selected="0"/>
          <reference field="32" count="0"/>
        </references>
      </pivotArea>
    </format>
    <format dxfId="60">
      <pivotArea dataOnly="0" labelOnly="1" outline="0" fieldPosition="0">
        <references count="12">
          <reference field="5" count="1" selected="0">
            <x v="2"/>
          </reference>
          <reference field="6" count="1" selected="0">
            <x v="1"/>
          </reference>
          <reference field="7" count="1" selected="0">
            <x v="2"/>
          </reference>
          <reference field="14" count="1" selected="0">
            <x v="18"/>
          </reference>
          <reference field="16" count="1" selected="0">
            <x v="32"/>
          </reference>
          <reference field="20" count="1" selected="0">
            <x v="6"/>
          </reference>
          <reference field="22" count="1" selected="0">
            <x v="24"/>
          </reference>
          <reference field="26" count="1" selected="0">
            <x v="1"/>
          </reference>
          <reference field="29" count="0" selected="0"/>
          <reference field="30" count="1" selected="0">
            <x v="0"/>
          </reference>
          <reference field="31" count="0" selected="0"/>
          <reference field="32" count="0"/>
        </references>
      </pivotArea>
    </format>
    <format dxfId="59">
      <pivotArea dataOnly="0" labelOnly="1" outline="0" fieldPosition="0">
        <references count="12">
          <reference field="5" count="1" selected="0">
            <x v="2"/>
          </reference>
          <reference field="6" count="1" selected="0">
            <x v="1"/>
          </reference>
          <reference field="7" count="1" selected="0">
            <x v="6"/>
          </reference>
          <reference field="14" count="1" selected="0">
            <x v="17"/>
          </reference>
          <reference field="16" count="1" selected="0">
            <x v="14"/>
          </reference>
          <reference field="20" count="1" selected="0">
            <x v="3"/>
          </reference>
          <reference field="22" count="1" selected="0">
            <x v="14"/>
          </reference>
          <reference field="26" count="1" selected="0">
            <x v="1"/>
          </reference>
          <reference field="29" count="0" selected="0"/>
          <reference field="30" count="1" selected="0">
            <x v="0"/>
          </reference>
          <reference field="31" count="0" selected="0"/>
          <reference field="32" count="0"/>
        </references>
      </pivotArea>
    </format>
    <format dxfId="58">
      <pivotArea dataOnly="0" labelOnly="1" outline="0" fieldPosition="0">
        <references count="12">
          <reference field="5" count="1" selected="0">
            <x v="2"/>
          </reference>
          <reference field="6" count="1" selected="0">
            <x v="1"/>
          </reference>
          <reference field="7" count="1" selected="0">
            <x v="6"/>
          </reference>
          <reference field="14" count="1" selected="0">
            <x v="17"/>
          </reference>
          <reference field="16" count="1" selected="0">
            <x v="29"/>
          </reference>
          <reference field="20" count="1" selected="0">
            <x v="3"/>
          </reference>
          <reference field="22" count="1" selected="0">
            <x v="18"/>
          </reference>
          <reference field="26" count="1" selected="0">
            <x v="0"/>
          </reference>
          <reference field="29" count="0" selected="0"/>
          <reference field="30" count="1" selected="0">
            <x v="0"/>
          </reference>
          <reference field="31" count="0" selected="0"/>
          <reference field="32" count="0"/>
        </references>
      </pivotArea>
    </format>
    <format dxfId="57">
      <pivotArea dataOnly="0" labelOnly="1" outline="0" fieldPosition="0">
        <references count="12">
          <reference field="5" count="1" selected="0">
            <x v="2"/>
          </reference>
          <reference field="6" count="1" selected="0">
            <x v="1"/>
          </reference>
          <reference field="7" count="1" selected="0">
            <x v="6"/>
          </reference>
          <reference field="14" count="1" selected="0">
            <x v="17"/>
          </reference>
          <reference field="16" count="1" selected="0">
            <x v="63"/>
          </reference>
          <reference field="20" count="1" selected="0">
            <x v="3"/>
          </reference>
          <reference field="22" count="1" selected="0">
            <x v="15"/>
          </reference>
          <reference field="26" count="1" selected="0">
            <x v="1"/>
          </reference>
          <reference field="29" count="0" selected="0"/>
          <reference field="30" count="1" selected="0">
            <x v="0"/>
          </reference>
          <reference field="31" count="0" selected="0"/>
          <reference field="32" count="0"/>
        </references>
      </pivotArea>
    </format>
    <format dxfId="56">
      <pivotArea dataOnly="0" labelOnly="1" outline="0" fieldPosition="0">
        <references count="12">
          <reference field="5" count="1" selected="0">
            <x v="2"/>
          </reference>
          <reference field="6" count="1" selected="0">
            <x v="1"/>
          </reference>
          <reference field="7" count="1" selected="0">
            <x v="7"/>
          </reference>
          <reference field="14" count="1" selected="0">
            <x v="19"/>
          </reference>
          <reference field="16" count="1" selected="0">
            <x v="3"/>
          </reference>
          <reference field="20" count="1" selected="0">
            <x v="7"/>
          </reference>
          <reference field="22" count="1" selected="0">
            <x v="22"/>
          </reference>
          <reference field="26" count="1" selected="0">
            <x v="0"/>
          </reference>
          <reference field="29" count="0" selected="0"/>
          <reference field="30" count="1" selected="0">
            <x v="0"/>
          </reference>
          <reference field="31" count="0" selected="0"/>
          <reference field="32" count="0"/>
        </references>
      </pivotArea>
    </format>
    <format dxfId="55">
      <pivotArea dataOnly="0" labelOnly="1" outline="0" fieldPosition="0">
        <references count="12">
          <reference field="5" count="1" selected="0">
            <x v="2"/>
          </reference>
          <reference field="6" count="1" selected="0">
            <x v="1"/>
          </reference>
          <reference field="7" count="1" selected="0">
            <x v="8"/>
          </reference>
          <reference field="14" count="1" selected="0">
            <x v="23"/>
          </reference>
          <reference field="16" count="1" selected="0">
            <x v="15"/>
          </reference>
          <reference field="20" count="1" selected="0">
            <x v="26"/>
          </reference>
          <reference field="22" count="1" selected="0">
            <x v="22"/>
          </reference>
          <reference field="26" count="1" selected="0">
            <x v="0"/>
          </reference>
          <reference field="29" count="0" selected="0"/>
          <reference field="30" count="1" selected="0">
            <x v="0"/>
          </reference>
          <reference field="31" count="0" selected="0"/>
          <reference field="32" count="0"/>
        </references>
      </pivotArea>
    </format>
    <format dxfId="54">
      <pivotArea dataOnly="0" labelOnly="1" outline="0" fieldPosition="0">
        <references count="12">
          <reference field="5" count="1" selected="0">
            <x v="2"/>
          </reference>
          <reference field="6" count="1" selected="0">
            <x v="1"/>
          </reference>
          <reference field="7" count="1" selected="0">
            <x v="8"/>
          </reference>
          <reference field="14" count="1" selected="0">
            <x v="23"/>
          </reference>
          <reference field="16" count="1" selected="0">
            <x v="48"/>
          </reference>
          <reference field="20" count="1" selected="0">
            <x v="6"/>
          </reference>
          <reference field="22" count="1" selected="0">
            <x v="22"/>
          </reference>
          <reference field="26" count="1" selected="0">
            <x v="0"/>
          </reference>
          <reference field="29" count="0" selected="0"/>
          <reference field="30" count="1" selected="0">
            <x v="0"/>
          </reference>
          <reference field="31" count="0" selected="0"/>
          <reference field="32" count="0"/>
        </references>
      </pivotArea>
    </format>
    <format dxfId="53">
      <pivotArea dataOnly="0" labelOnly="1" outline="0" fieldPosition="0">
        <references count="12">
          <reference field="5" count="1" selected="0">
            <x v="2"/>
          </reference>
          <reference field="6" count="1" selected="0">
            <x v="1"/>
          </reference>
          <reference field="7" count="1" selected="0">
            <x v="8"/>
          </reference>
          <reference field="14" count="1" selected="0">
            <x v="23"/>
          </reference>
          <reference field="16" count="1" selected="0">
            <x v="65"/>
          </reference>
          <reference field="20" count="1" selected="0">
            <x v="1"/>
          </reference>
          <reference field="22" count="1" selected="0">
            <x v="22"/>
          </reference>
          <reference field="26" count="1" selected="0">
            <x v="0"/>
          </reference>
          <reference field="29" count="0" selected="0"/>
          <reference field="30" count="1" selected="0">
            <x v="0"/>
          </reference>
          <reference field="31" count="0" selected="0"/>
          <reference field="32" count="0"/>
        </references>
      </pivotArea>
    </format>
    <format dxfId="52">
      <pivotArea dataOnly="0" labelOnly="1" outline="0" fieldPosition="0">
        <references count="12">
          <reference field="5" count="1" selected="0">
            <x v="2"/>
          </reference>
          <reference field="6" count="1" selected="0">
            <x v="1"/>
          </reference>
          <reference field="7" count="1" selected="0">
            <x v="9"/>
          </reference>
          <reference field="14" count="1" selected="0">
            <x v="22"/>
          </reference>
          <reference field="16" count="1" selected="0">
            <x v="11"/>
          </reference>
          <reference field="20" count="1" selected="0">
            <x v="6"/>
          </reference>
          <reference field="22" count="1" selected="0">
            <x v="16"/>
          </reference>
          <reference field="26" count="1" selected="0">
            <x v="0"/>
          </reference>
          <reference field="29" count="0" selected="0"/>
          <reference field="30" count="1" selected="0">
            <x v="0"/>
          </reference>
          <reference field="31" count="0" selected="0"/>
          <reference field="32" count="0"/>
        </references>
      </pivotArea>
    </format>
    <format dxfId="51">
      <pivotArea dataOnly="0" labelOnly="1" outline="0" fieldPosition="0">
        <references count="12">
          <reference field="5" count="1" selected="0">
            <x v="2"/>
          </reference>
          <reference field="6" count="1" selected="0">
            <x v="1"/>
          </reference>
          <reference field="7" count="1" selected="0">
            <x v="9"/>
          </reference>
          <reference field="14" count="1" selected="0">
            <x v="22"/>
          </reference>
          <reference field="16" count="1" selected="0">
            <x v="26"/>
          </reference>
          <reference field="20" count="1" selected="0">
            <x v="1"/>
          </reference>
          <reference field="22" count="1" selected="0">
            <x v="16"/>
          </reference>
          <reference field="26" count="1" selected="0">
            <x v="0"/>
          </reference>
          <reference field="29" count="0" selected="0"/>
          <reference field="30" count="1" selected="0">
            <x v="0"/>
          </reference>
          <reference field="31" count="0" selected="0"/>
          <reference field="32" count="0"/>
        </references>
      </pivotArea>
    </format>
    <format dxfId="50">
      <pivotArea dataOnly="0" labelOnly="1" outline="0" fieldPosition="0">
        <references count="12">
          <reference field="5" count="1" selected="0">
            <x v="2"/>
          </reference>
          <reference field="6" count="1" selected="0">
            <x v="1"/>
          </reference>
          <reference field="7" count="1" selected="0">
            <x v="12"/>
          </reference>
          <reference field="14" count="1" selected="0">
            <x v="16"/>
          </reference>
          <reference field="16" count="1" selected="0">
            <x v="17"/>
          </reference>
          <reference field="20" count="1" selected="0">
            <x v="26"/>
          </reference>
          <reference field="22" count="1" selected="0">
            <x v="22"/>
          </reference>
          <reference field="26" count="1" selected="0">
            <x v="0"/>
          </reference>
          <reference field="29" count="0" selected="0"/>
          <reference field="30" count="1" selected="0">
            <x v="0"/>
          </reference>
          <reference field="31" count="0" selected="0"/>
          <reference field="32" count="0"/>
        </references>
      </pivotArea>
    </format>
    <format dxfId="49">
      <pivotArea dataOnly="0" labelOnly="1" outline="0" fieldPosition="0">
        <references count="12">
          <reference field="5" count="1" selected="0">
            <x v="2"/>
          </reference>
          <reference field="6" count="1" selected="0">
            <x v="1"/>
          </reference>
          <reference field="7" count="1" selected="0">
            <x v="12"/>
          </reference>
          <reference field="14" count="1" selected="0">
            <x v="16"/>
          </reference>
          <reference field="16" count="1" selected="0">
            <x v="25"/>
          </reference>
          <reference field="20" count="1" selected="0">
            <x v="1"/>
          </reference>
          <reference field="22" count="1" selected="0">
            <x v="17"/>
          </reference>
          <reference field="26" count="1" selected="0">
            <x v="0"/>
          </reference>
          <reference field="29" count="0" selected="0"/>
          <reference field="30" count="1" selected="0">
            <x v="0"/>
          </reference>
          <reference field="31" count="0" selected="0"/>
          <reference field="32" count="0"/>
        </references>
      </pivotArea>
    </format>
    <format dxfId="48">
      <pivotArea dataOnly="0" labelOnly="1" outline="0" fieldPosition="0">
        <references count="12">
          <reference field="5" count="1" selected="0">
            <x v="2"/>
          </reference>
          <reference field="6" count="1" selected="0">
            <x v="1"/>
          </reference>
          <reference field="7" count="1" selected="0">
            <x v="13"/>
          </reference>
          <reference field="14" count="1" selected="0">
            <x v="38"/>
          </reference>
          <reference field="16" count="1" selected="0">
            <x v="28"/>
          </reference>
          <reference field="20" count="1" selected="0">
            <x v="2"/>
          </reference>
          <reference field="22" count="1" selected="0">
            <x v="16"/>
          </reference>
          <reference field="26" count="1" selected="0">
            <x v="0"/>
          </reference>
          <reference field="29" count="0" selected="0"/>
          <reference field="30" count="1" selected="0">
            <x v="0"/>
          </reference>
          <reference field="31" count="0" selected="0"/>
          <reference field="32" count="0"/>
        </references>
      </pivotArea>
    </format>
    <format dxfId="47">
      <pivotArea dataOnly="0" labelOnly="1" outline="0" fieldPosition="0">
        <references count="12">
          <reference field="5" count="1" selected="0">
            <x v="2"/>
          </reference>
          <reference field="6" count="1" selected="0">
            <x v="1"/>
          </reference>
          <reference field="7" count="1" selected="0">
            <x v="14"/>
          </reference>
          <reference field="14" count="1" selected="0">
            <x v="40"/>
          </reference>
          <reference field="16" count="1" selected="0">
            <x v="20"/>
          </reference>
          <reference field="20" count="1" selected="0">
            <x v="1"/>
          </reference>
          <reference field="22" count="1" selected="0">
            <x v="16"/>
          </reference>
          <reference field="26" count="1" selected="0">
            <x v="0"/>
          </reference>
          <reference field="29" count="0" selected="0"/>
          <reference field="30" count="1" selected="0">
            <x v="0"/>
          </reference>
          <reference field="31" count="0" selected="0"/>
          <reference field="32" count="0"/>
        </references>
      </pivotArea>
    </format>
    <format dxfId="46">
      <pivotArea dataOnly="0" labelOnly="1" outline="0" fieldPosition="0">
        <references count="12">
          <reference field="5" count="1" selected="0">
            <x v="2"/>
          </reference>
          <reference field="6" count="1" selected="0">
            <x v="1"/>
          </reference>
          <reference field="7" count="1" selected="0">
            <x v="15"/>
          </reference>
          <reference field="14" count="1" selected="0">
            <x v="36"/>
          </reference>
          <reference field="16" count="1" selected="0">
            <x v="33"/>
          </reference>
          <reference field="20" count="1" selected="0">
            <x v="1"/>
          </reference>
          <reference field="22" count="1" selected="0">
            <x v="16"/>
          </reference>
          <reference field="26" count="1" selected="0">
            <x v="0"/>
          </reference>
          <reference field="29" count="0" selected="0"/>
          <reference field="30" count="1" selected="0">
            <x v="0"/>
          </reference>
          <reference field="31" count="0" selected="0"/>
          <reference field="32" count="0"/>
        </references>
      </pivotArea>
    </format>
    <format dxfId="45">
      <pivotArea dataOnly="0" labelOnly="1" outline="0" fieldPosition="0">
        <references count="12">
          <reference field="5" count="1" selected="0">
            <x v="2"/>
          </reference>
          <reference field="6" count="1" selected="0">
            <x v="1"/>
          </reference>
          <reference field="7" count="1" selected="0">
            <x v="16"/>
          </reference>
          <reference field="14" count="1" selected="0">
            <x v="37"/>
          </reference>
          <reference field="16" count="1" selected="0">
            <x v="20"/>
          </reference>
          <reference field="20" count="1" selected="0">
            <x v="1"/>
          </reference>
          <reference field="22" count="1" selected="0">
            <x v="16"/>
          </reference>
          <reference field="26" count="1" selected="0">
            <x v="0"/>
          </reference>
          <reference field="29" count="0" selected="0"/>
          <reference field="30" count="1" selected="0">
            <x v="0"/>
          </reference>
          <reference field="31" count="0" selected="0"/>
          <reference field="32" count="0"/>
        </references>
      </pivotArea>
    </format>
    <format dxfId="44">
      <pivotArea dataOnly="0" labelOnly="1" outline="0" fieldPosition="0">
        <references count="12">
          <reference field="5" count="1" selected="0">
            <x v="2"/>
          </reference>
          <reference field="6" count="1" selected="0">
            <x v="1"/>
          </reference>
          <reference field="7" count="1" selected="0">
            <x v="17"/>
          </reference>
          <reference field="14" count="1" selected="0">
            <x v="39"/>
          </reference>
          <reference field="16" count="1" selected="0">
            <x v="2"/>
          </reference>
          <reference field="20" count="1" selected="0">
            <x v="18"/>
          </reference>
          <reference field="22" count="1" selected="0">
            <x v="19"/>
          </reference>
          <reference field="26" count="1" selected="0">
            <x v="0"/>
          </reference>
          <reference field="29" count="0" selected="0"/>
          <reference field="30" count="1" selected="0">
            <x v="1"/>
          </reference>
          <reference field="31" count="0" selected="0"/>
          <reference field="32" count="0"/>
        </references>
      </pivotArea>
    </format>
    <format dxfId="43">
      <pivotArea dataOnly="0" labelOnly="1" outline="0" fieldPosition="0">
        <references count="12">
          <reference field="5" count="1" selected="0">
            <x v="2"/>
          </reference>
          <reference field="6" count="1" selected="0">
            <x v="1"/>
          </reference>
          <reference field="7" count="1" selected="0">
            <x v="18"/>
          </reference>
          <reference field="14" count="1" selected="0">
            <x v="27"/>
          </reference>
          <reference field="16" count="1" selected="0">
            <x v="2"/>
          </reference>
          <reference field="20" count="1" selected="0">
            <x v="18"/>
          </reference>
          <reference field="22" count="1" selected="0">
            <x v="19"/>
          </reference>
          <reference field="26" count="1" selected="0">
            <x v="0"/>
          </reference>
          <reference field="29" count="0" selected="0"/>
          <reference field="30" count="1" selected="0">
            <x v="1"/>
          </reference>
          <reference field="31" count="0" selected="0"/>
          <reference field="32" count="0"/>
        </references>
      </pivotArea>
    </format>
    <format dxfId="42">
      <pivotArea dataOnly="0" labelOnly="1" outline="0" fieldPosition="0">
        <references count="12">
          <reference field="5" count="1" selected="0">
            <x v="2"/>
          </reference>
          <reference field="6" count="1" selected="0">
            <x v="1"/>
          </reference>
          <reference field="7" count="1" selected="0">
            <x v="19"/>
          </reference>
          <reference field="14" count="1" selected="0">
            <x v="35"/>
          </reference>
          <reference field="16" count="1" selected="0">
            <x v="2"/>
          </reference>
          <reference field="20" count="1" selected="0">
            <x v="18"/>
          </reference>
          <reference field="22" count="1" selected="0">
            <x v="19"/>
          </reference>
          <reference field="26" count="1" selected="0">
            <x v="0"/>
          </reference>
          <reference field="29" count="0" selected="0"/>
          <reference field="30" count="1" selected="0">
            <x v="1"/>
          </reference>
          <reference field="31" count="0" selected="0"/>
          <reference field="32" count="0"/>
        </references>
      </pivotArea>
    </format>
    <format dxfId="41">
      <pivotArea dataOnly="0" labelOnly="1" outline="0" fieldPosition="0">
        <references count="12">
          <reference field="5" count="1" selected="0">
            <x v="2"/>
          </reference>
          <reference field="6" count="1" selected="0">
            <x v="1"/>
          </reference>
          <reference field="7" count="1" selected="0">
            <x v="23"/>
          </reference>
          <reference field="14" count="1" selected="0">
            <x v="14"/>
          </reference>
          <reference field="16" count="1" selected="0">
            <x v="5"/>
          </reference>
          <reference field="20" count="1" selected="0">
            <x v="11"/>
          </reference>
          <reference field="22" count="1" selected="0">
            <x v="17"/>
          </reference>
          <reference field="26" count="1" selected="0">
            <x v="0"/>
          </reference>
          <reference field="29" count="0" selected="0"/>
          <reference field="30" count="1" selected="0">
            <x v="0"/>
          </reference>
          <reference field="31" count="0" selected="0"/>
          <reference field="32" count="0"/>
        </references>
      </pivotArea>
    </format>
    <format dxfId="40">
      <pivotArea dataOnly="0" labelOnly="1" outline="0" fieldPosition="0">
        <references count="12">
          <reference field="5" count="1" selected="0">
            <x v="2"/>
          </reference>
          <reference field="6" count="1" selected="0">
            <x v="1"/>
          </reference>
          <reference field="7" count="1" selected="0">
            <x v="23"/>
          </reference>
          <reference field="14" count="1" selected="0">
            <x v="14"/>
          </reference>
          <reference field="16" count="1" selected="0">
            <x v="64"/>
          </reference>
          <reference field="20" count="1" selected="0">
            <x v="25"/>
          </reference>
          <reference field="22" count="1" selected="0">
            <x v="15"/>
          </reference>
          <reference field="26" count="1" selected="0">
            <x v="2"/>
          </reference>
          <reference field="29" count="0" selected="0"/>
          <reference field="30" count="1" selected="0">
            <x v="0"/>
          </reference>
          <reference field="31" count="0" selected="0"/>
          <reference field="32" count="0"/>
        </references>
      </pivotArea>
    </format>
    <format dxfId="39">
      <pivotArea dataOnly="0" labelOnly="1" outline="0" fieldPosition="0">
        <references count="12">
          <reference field="5" count="1" selected="0">
            <x v="2"/>
          </reference>
          <reference field="6" count="1" selected="0">
            <x v="1"/>
          </reference>
          <reference field="7" count="1" selected="0">
            <x v="24"/>
          </reference>
          <reference field="14" count="1" selected="0">
            <x v="15"/>
          </reference>
          <reference field="16" count="1" selected="0">
            <x v="10"/>
          </reference>
          <reference field="20" count="1" selected="0">
            <x v="17"/>
          </reference>
          <reference field="22" count="1" selected="0">
            <x v="22"/>
          </reference>
          <reference field="26" count="1" selected="0">
            <x v="0"/>
          </reference>
          <reference field="29" count="0" selected="0"/>
          <reference field="30" count="1" selected="0">
            <x v="0"/>
          </reference>
          <reference field="31" count="0" selected="0"/>
          <reference field="32" count="0"/>
        </references>
      </pivotArea>
    </format>
    <format dxfId="38">
      <pivotArea dataOnly="0" labelOnly="1" outline="0" fieldPosition="0">
        <references count="12">
          <reference field="5" count="1" selected="0">
            <x v="2"/>
          </reference>
          <reference field="6" count="1" selected="0">
            <x v="1"/>
          </reference>
          <reference field="7" count="1" selected="0">
            <x v="24"/>
          </reference>
          <reference field="14" count="1" selected="0">
            <x v="15"/>
          </reference>
          <reference field="16" count="1" selected="0">
            <x v="13"/>
          </reference>
          <reference field="20" count="1" selected="0">
            <x v="17"/>
          </reference>
          <reference field="22" count="1" selected="0">
            <x v="22"/>
          </reference>
          <reference field="26" count="1" selected="0">
            <x v="0"/>
          </reference>
          <reference field="29" count="0" selected="0"/>
          <reference field="30" count="1" selected="0">
            <x v="0"/>
          </reference>
          <reference field="31" count="0" selected="0"/>
          <reference field="32" count="0"/>
        </references>
      </pivotArea>
    </format>
    <format dxfId="37">
      <pivotArea dataOnly="0" labelOnly="1" outline="0" fieldPosition="0">
        <references count="12">
          <reference field="5" count="1" selected="0">
            <x v="2"/>
          </reference>
          <reference field="6" count="1" selected="0">
            <x v="1"/>
          </reference>
          <reference field="7" count="1" selected="0">
            <x v="26"/>
          </reference>
          <reference field="14" count="1" selected="0">
            <x v="24"/>
          </reference>
          <reference field="16" count="1" selected="0">
            <x v="53"/>
          </reference>
          <reference field="20" count="1" selected="0">
            <x v="4"/>
          </reference>
          <reference field="22" count="1" selected="0">
            <x v="22"/>
          </reference>
          <reference field="26" count="1" selected="0">
            <x v="0"/>
          </reference>
          <reference field="29" count="0" selected="0"/>
          <reference field="30" count="1" selected="0">
            <x v="0"/>
          </reference>
          <reference field="31" count="0" selected="0"/>
          <reference field="32" count="0"/>
        </references>
      </pivotArea>
    </format>
    <format dxfId="36">
      <pivotArea dataOnly="0" labelOnly="1" outline="0" fieldPosition="0">
        <references count="12">
          <reference field="5" count="1" selected="0">
            <x v="2"/>
          </reference>
          <reference field="6" count="1" selected="0">
            <x v="1"/>
          </reference>
          <reference field="7" count="1" selected="0">
            <x v="27"/>
          </reference>
          <reference field="14" count="1" selected="0">
            <x v="44"/>
          </reference>
          <reference field="16" count="1" selected="0">
            <x v="59"/>
          </reference>
          <reference field="20" count="1" selected="0">
            <x v="26"/>
          </reference>
          <reference field="22" count="1" selected="0">
            <x v="22"/>
          </reference>
          <reference field="26" count="1" selected="0">
            <x v="0"/>
          </reference>
          <reference field="29" count="0" selected="0"/>
          <reference field="30" count="1" selected="0">
            <x v="0"/>
          </reference>
          <reference field="31" count="0" selected="0"/>
          <reference field="32" count="0"/>
        </references>
      </pivotArea>
    </format>
    <format dxfId="35">
      <pivotArea dataOnly="0" labelOnly="1" outline="0" fieldPosition="0">
        <references count="12">
          <reference field="5" count="1" selected="0">
            <x v="2"/>
          </reference>
          <reference field="6" count="1" selected="0">
            <x v="1"/>
          </reference>
          <reference field="7" count="1" selected="0">
            <x v="28"/>
          </reference>
          <reference field="14" count="1" selected="0">
            <x v="41"/>
          </reference>
          <reference field="16" count="1" selected="0">
            <x v="12"/>
          </reference>
          <reference field="20" count="1" selected="0">
            <x v="26"/>
          </reference>
          <reference field="22" count="1" selected="0">
            <x v="17"/>
          </reference>
          <reference field="26" count="1" selected="0">
            <x v="0"/>
          </reference>
          <reference field="29" count="0" selected="0"/>
          <reference field="30" count="1" selected="0">
            <x v="0"/>
          </reference>
          <reference field="31" count="0" selected="0"/>
          <reference field="32" count="0"/>
        </references>
      </pivotArea>
    </format>
    <format dxfId="34">
      <pivotArea dataOnly="0" labelOnly="1" outline="0" fieldPosition="0">
        <references count="12">
          <reference field="5" count="1" selected="0">
            <x v="2"/>
          </reference>
          <reference field="6" count="1" selected="0">
            <x v="1"/>
          </reference>
          <reference field="7" count="1" selected="0">
            <x v="28"/>
          </reference>
          <reference field="14" count="1" selected="0">
            <x v="41"/>
          </reference>
          <reference field="16" count="1" selected="0">
            <x v="55"/>
          </reference>
          <reference field="20" count="1" selected="0">
            <x v="4"/>
          </reference>
          <reference field="22" count="1" selected="0">
            <x v="21"/>
          </reference>
          <reference field="26" count="1" selected="0">
            <x v="0"/>
          </reference>
          <reference field="29" count="0" selected="0"/>
          <reference field="30" count="1" selected="0">
            <x v="0"/>
          </reference>
          <reference field="31" count="0" selected="0"/>
          <reference field="32" count="0"/>
        </references>
      </pivotArea>
    </format>
    <format dxfId="33">
      <pivotArea dataOnly="0" labelOnly="1" outline="0" fieldPosition="0">
        <references count="12">
          <reference field="5" count="1" selected="0">
            <x v="2"/>
          </reference>
          <reference field="6" count="1" selected="0">
            <x v="1"/>
          </reference>
          <reference field="7" count="1" selected="0">
            <x v="29"/>
          </reference>
          <reference field="14" count="1" selected="0">
            <x v="26"/>
          </reference>
          <reference field="16" count="1" selected="0">
            <x v="1"/>
          </reference>
          <reference field="20" count="1" selected="0">
            <x v="1"/>
          </reference>
          <reference field="22" count="1" selected="0">
            <x v="19"/>
          </reference>
          <reference field="26" count="1" selected="0">
            <x v="0"/>
          </reference>
          <reference field="29" count="0" selected="0"/>
          <reference field="30" count="1" selected="0">
            <x v="1"/>
          </reference>
          <reference field="31" count="0" selected="0"/>
          <reference field="32" count="0"/>
        </references>
      </pivotArea>
    </format>
    <format dxfId="32">
      <pivotArea dataOnly="0" labelOnly="1" outline="0" fieldPosition="0">
        <references count="12">
          <reference field="5" count="1" selected="0">
            <x v="2"/>
          </reference>
          <reference field="6" count="1" selected="0">
            <x v="1"/>
          </reference>
          <reference field="7" count="1" selected="0">
            <x v="29"/>
          </reference>
          <reference field="14" count="1" selected="0">
            <x v="26"/>
          </reference>
          <reference field="16" count="1" selected="0">
            <x v="54"/>
          </reference>
          <reference field="20" count="1" selected="0">
            <x v="1"/>
          </reference>
          <reference field="22" count="1" selected="0">
            <x v="19"/>
          </reference>
          <reference field="26" count="1" selected="0">
            <x v="0"/>
          </reference>
          <reference field="29" count="0" selected="0"/>
          <reference field="30" count="1" selected="0">
            <x v="1"/>
          </reference>
          <reference field="31" count="0" selected="0"/>
          <reference field="32" count="0"/>
        </references>
      </pivotArea>
    </format>
    <format dxfId="31">
      <pivotArea dataOnly="0" labelOnly="1" outline="0" fieldPosition="0">
        <references count="12">
          <reference field="5" count="1" selected="0">
            <x v="2"/>
          </reference>
          <reference field="6" count="1" selected="0">
            <x v="1"/>
          </reference>
          <reference field="7" count="1" selected="0">
            <x v="29"/>
          </reference>
          <reference field="14" count="1" selected="0">
            <x v="26"/>
          </reference>
          <reference field="16" count="1" selected="0">
            <x v="58"/>
          </reference>
          <reference field="20" count="1" selected="0">
            <x v="3"/>
          </reference>
          <reference field="22" count="1" selected="0">
            <x v="17"/>
          </reference>
          <reference field="26" count="1" selected="0">
            <x v="0"/>
          </reference>
          <reference field="29" count="0" selected="0"/>
          <reference field="30" count="1" selected="0">
            <x v="0"/>
          </reference>
          <reference field="31" count="0" selected="0"/>
          <reference field="32" count="0"/>
        </references>
      </pivotArea>
    </format>
    <format dxfId="30">
      <pivotArea dataOnly="0" labelOnly="1" outline="0" fieldPosition="0">
        <references count="12">
          <reference field="5" count="1" selected="0">
            <x v="2"/>
          </reference>
          <reference field="6" count="1" selected="0">
            <x v="1"/>
          </reference>
          <reference field="7" count="1" selected="0">
            <x v="38"/>
          </reference>
          <reference field="14" count="1" selected="0">
            <x v="20"/>
          </reference>
          <reference field="16" count="1" selected="0">
            <x v="4"/>
          </reference>
          <reference field="20" count="1" selected="0">
            <x v="24"/>
          </reference>
          <reference field="22" count="1" selected="0">
            <x v="21"/>
          </reference>
          <reference field="26" count="1" selected="0">
            <x v="0"/>
          </reference>
          <reference field="29" count="0" selected="0"/>
          <reference field="30" count="1" selected="0">
            <x v="0"/>
          </reference>
          <reference field="31" count="0" selected="0"/>
          <reference field="32" count="0"/>
        </references>
      </pivotArea>
    </format>
    <format dxfId="29">
      <pivotArea dataOnly="0" labelOnly="1" outline="0" fieldPosition="0">
        <references count="5">
          <reference field="5" count="1" selected="0">
            <x v="2"/>
          </reference>
          <reference field="6" count="1" selected="0">
            <x v="1"/>
          </reference>
          <reference field="7" count="1" selected="0">
            <x v="28"/>
          </reference>
          <reference field="14" count="1" selected="0">
            <x v="41"/>
          </reference>
          <reference field="16" count="1">
            <x v="1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B3AE9AA-616F-416E-8D70-C9530CA01C24}" name="TablaDinámica4" cacheId="0" dataOnRows="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19:B23" firstHeaderRow="1" firstDataRow="1" firstDataCol="1"/>
  <pivotFields count="19">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showAll="0"/>
    <pivotField showAll="0"/>
    <pivotField showAll="0"/>
    <pivotField showAll="0"/>
    <pivotField showAll="0"/>
    <pivotField showAll="0"/>
  </pivotFields>
  <rowFields count="1">
    <field x="-2"/>
  </rowFields>
  <rowItems count="4">
    <i>
      <x/>
    </i>
    <i i="1">
      <x v="1"/>
    </i>
    <i i="2">
      <x v="2"/>
    </i>
    <i i="3">
      <x v="3"/>
    </i>
  </rowItems>
  <colItems count="1">
    <i/>
  </colItems>
  <dataFields count="4">
    <dataField name="Suma de Alerta 5" fld="12" baseField="0" baseItem="0"/>
    <dataField name="Suma de Alerta 10" fld="9" baseField="0" baseItem="0"/>
    <dataField name="Suma de Alerta 20" fld="10" baseField="0" baseItem="0"/>
    <dataField name="Suma de Alerta 30" fld="11" baseField="0" baseItem="0"/>
  </dataFields>
  <formats count="2">
    <format dxfId="1">
      <pivotArea outline="0" collapsedLevelsAreSubtotals="1" fieldPosition="0"/>
    </format>
    <format dxfId="0">
      <pivotArea dataOnly="0" labelOnly="1" grandCol="1" outline="0" axis="axisCol"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9C7B425-127F-4B5F-B2E3-C2AB4F050E7C}" name="TablaDinámica3"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12:B16" firstHeaderRow="1" firstDataRow="1" firstDataCol="1"/>
  <pivotFields count="19">
    <pivotField axis="axisRow" showAll="0">
      <items count="4">
        <item x="2"/>
        <item x="1"/>
        <item x="0"/>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4">
    <i>
      <x/>
    </i>
    <i>
      <x v="1"/>
    </i>
    <i>
      <x v="2"/>
    </i>
    <i t="grand">
      <x/>
    </i>
  </rowItems>
  <colItems count="1">
    <i/>
  </colItems>
  <dataFields count="1">
    <dataField name="Suma de Total Planes de acción" fld="5" baseField="0" baseItem="0"/>
  </dataFields>
  <formats count="2">
    <format dxfId="3">
      <pivotArea outline="0" collapsedLevelsAreSubtotals="1" fieldPosition="0"/>
    </format>
    <format dxfId="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3017CE7-FCFE-4C73-9C32-3A18A27FC23C}" name="TablaDinámica7" cacheId="0" dataOnRows="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7">
  <location ref="F13:G16" firstHeaderRow="1" firstDataRow="1" firstDataCol="1"/>
  <pivotFields count="19">
    <pivotField showAll="0">
      <items count="4">
        <item x="2"/>
        <item x="1"/>
        <item x="0"/>
        <item t="default"/>
      </items>
    </pivotField>
    <pivotField showAll="0">
      <items count="3">
        <item x="1"/>
        <item x="0"/>
        <item t="default"/>
      </items>
    </pivotField>
    <pivotField showAll="0"/>
    <pivotField showAll="0">
      <items count="54">
        <item m="1" x="25"/>
        <item m="1" x="26"/>
        <item m="1" x="31"/>
        <item m="1" x="28"/>
        <item m="1" x="36"/>
        <item m="1" x="42"/>
        <item m="1" x="27"/>
        <item m="1" x="29"/>
        <item m="1" x="38"/>
        <item m="1" x="43"/>
        <item m="1" x="41"/>
        <item m="1" x="34"/>
        <item x="1"/>
        <item x="0"/>
        <item x="6"/>
        <item x="3"/>
        <item x="11"/>
        <item x="16"/>
        <item x="2"/>
        <item x="4"/>
        <item x="12"/>
        <item x="17"/>
        <item x="15"/>
        <item x="9"/>
        <item m="1" x="48"/>
        <item x="21"/>
        <item m="1" x="46"/>
        <item m="1" x="52"/>
        <item m="1" x="49"/>
        <item m="1" x="50"/>
        <item m="1" x="35"/>
        <item m="1" x="32"/>
        <item m="1" x="47"/>
        <item m="1" x="39"/>
        <item m="1" x="40"/>
        <item m="1" x="45"/>
        <item m="1" x="51"/>
        <item m="1" x="37"/>
        <item m="1" x="33"/>
        <item m="1" x="30"/>
        <item m="1" x="44"/>
        <item x="10"/>
        <item x="7"/>
        <item x="13"/>
        <item x="20"/>
        <item x="14"/>
        <item x="24"/>
        <item x="19"/>
        <item x="8"/>
        <item x="5"/>
        <item x="18"/>
        <item x="22"/>
        <item x="23"/>
        <item t="default"/>
      </items>
    </pivotField>
    <pivotField showAll="0"/>
    <pivotField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s>
  <rowFields count="1">
    <field x="-2"/>
  </rowFields>
  <rowItems count="3">
    <i>
      <x/>
    </i>
    <i i="1">
      <x v="1"/>
    </i>
    <i i="2">
      <x v="2"/>
    </i>
  </rowItems>
  <colItems count="1">
    <i/>
  </colItems>
  <dataFields count="3">
    <dataField name="Suma de Abiertos" fld="6" baseField="0" baseItem="0"/>
    <dataField name="Suma de Vencidos" fld="7" baseField="0" baseItem="0"/>
    <dataField name="Suma de Finalizados" fld="8" baseField="0" baseItem="0"/>
  </dataFields>
  <chartFormats count="5">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1">
          <reference field="4294967294" count="1" selected="0">
            <x v="0"/>
          </reference>
        </references>
      </pivotArea>
    </chartFormat>
    <chartFormat chart="6" format="4">
      <pivotArea type="data" outline="0" fieldPosition="0">
        <references count="1">
          <reference field="4294967294" count="1" selected="0">
            <x v="1"/>
          </reference>
        </references>
      </pivotArea>
    </chartFormat>
    <chartFormat chart="6" format="5">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D0BBB6E-FA08-4903-950F-5C10965A7D8D}" name="TablaDinámica6" cacheId="0" dataOnRows="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2">
  <location ref="A26:B31" firstHeaderRow="1" firstDataRow="1" firstDataCol="1"/>
  <pivotFields count="19">
    <pivotField showAll="0">
      <items count="4">
        <item x="2"/>
        <item x="1"/>
        <item x="0"/>
        <item t="default"/>
      </items>
    </pivotField>
    <pivotField showAll="0">
      <items count="3">
        <item x="1"/>
        <item x="0"/>
        <item t="default"/>
      </items>
    </pivotField>
    <pivotField showAll="0"/>
    <pivotField showAll="0">
      <items count="54">
        <item m="1" x="25"/>
        <item m="1" x="26"/>
        <item m="1" x="31"/>
        <item m="1" x="28"/>
        <item m="1" x="36"/>
        <item m="1" x="42"/>
        <item m="1" x="27"/>
        <item m="1" x="29"/>
        <item m="1" x="38"/>
        <item m="1" x="43"/>
        <item m="1" x="41"/>
        <item m="1" x="34"/>
        <item x="1"/>
        <item x="0"/>
        <item x="6"/>
        <item x="3"/>
        <item x="11"/>
        <item x="16"/>
        <item x="2"/>
        <item x="4"/>
        <item x="12"/>
        <item x="17"/>
        <item x="15"/>
        <item x="9"/>
        <item m="1" x="48"/>
        <item x="21"/>
        <item m="1" x="46"/>
        <item m="1" x="52"/>
        <item m="1" x="49"/>
        <item m="1" x="50"/>
        <item m="1" x="35"/>
        <item m="1" x="32"/>
        <item m="1" x="47"/>
        <item m="1" x="39"/>
        <item m="1" x="40"/>
        <item m="1" x="45"/>
        <item m="1" x="51"/>
        <item m="1" x="37"/>
        <item m="1" x="33"/>
        <item m="1" x="30"/>
        <item m="1" x="44"/>
        <item x="10"/>
        <item x="7"/>
        <item x="13"/>
        <item x="20"/>
        <item x="14"/>
        <item x="24"/>
        <item x="19"/>
        <item x="8"/>
        <item x="5"/>
        <item x="18"/>
        <item x="22"/>
        <item x="23"/>
        <item t="default"/>
      </items>
    </pivotField>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s>
  <rowFields count="1">
    <field x="-2"/>
  </rowFields>
  <rowItems count="5">
    <i>
      <x/>
    </i>
    <i i="1">
      <x v="1"/>
    </i>
    <i i="2">
      <x v="2"/>
    </i>
    <i i="3">
      <x v="3"/>
    </i>
    <i i="4">
      <x v="4"/>
    </i>
  </rowItems>
  <colItems count="1">
    <i/>
  </colItems>
  <dataFields count="5">
    <dataField name="Suma de Total Planes de acción" fld="5" baseField="0" baseItem="0"/>
    <dataField name="Suma de Total hallazgos" fld="4" baseField="0" baseItem="0"/>
    <dataField name="Suma de Abiertos" fld="6" baseField="0" baseItem="0"/>
    <dataField name="Suma de Vencidos" fld="7" baseField="0" baseItem="0"/>
    <dataField name="Suma de Finalizados" fld="8" baseField="0" baseItem="0"/>
  </dataFields>
  <formats count="2">
    <format dxfId="5">
      <pivotArea outline="0" collapsedLevelsAreSubtotals="1" fieldPosition="0"/>
    </format>
    <format dxfId="4">
      <pivotArea dataOnly="0" labelOnly="1" grandCol="1" outline="0" axis="axisCol"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5685D6C-5651-4666-8AA0-A2589477CD50}" name="TablaDinámica1"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B7" firstHeaderRow="1" firstDataRow="1" firstDataCol="1"/>
  <pivotFields count="3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4">
        <item x="0"/>
        <item x="1"/>
        <item x="2"/>
        <item t="default"/>
      </items>
    </pivotField>
    <pivotField showAll="0"/>
    <pivotField showAll="0"/>
    <pivotField showAll="0"/>
    <pivotField showAll="0"/>
    <pivotField showAll="0"/>
    <pivotField showAll="0"/>
    <pivotField showAll="0"/>
    <pivotField showAll="0"/>
    <pivotField showAll="0"/>
  </pivotFields>
  <rowFields count="1">
    <field x="26"/>
  </rowFields>
  <rowItems count="4">
    <i>
      <x/>
    </i>
    <i>
      <x v="1"/>
    </i>
    <i>
      <x v="2"/>
    </i>
    <i t="grand">
      <x/>
    </i>
  </rowItems>
  <colItems count="1">
    <i/>
  </colItems>
  <dataFields count="1">
    <dataField name="Cuenta de ESTADO" fld="2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Vigencia" xr10:uid="{63A14077-86DA-42AF-BB6A-AE12D53DE48C}" sourceName="Vigencia">
  <pivotTables>
    <pivotTable tabId="4" name="TablaDinámica6"/>
    <pivotTable tabId="4" name="TablaDinámica7"/>
  </pivotTables>
  <data>
    <tabular pivotCacheId="2008437518">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Auditoría" xr10:uid="{EFE7FD76-785E-4AB8-92DE-91664756BEE6}" sourceName="Auditoría">
  <pivotTables>
    <pivotTable tabId="4" name="TablaDinámica6"/>
    <pivotTable tabId="4" name="TablaDinámica7"/>
  </pivotTables>
  <data>
    <tabular pivotCacheId="2008437518">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Responsable" xr10:uid="{D2D442E9-62AD-4225-B7EB-AF58362315F2}" sourceName="Responsable ">
  <pivotTables>
    <pivotTable tabId="4" name="TablaDinámica6"/>
    <pivotTable tabId="4" name="TablaDinámica7"/>
  </pivotTables>
  <data>
    <tabular pivotCacheId="2008437518">
      <items count="53">
        <i x="1" s="1"/>
        <i x="0" s="1"/>
        <i x="6" s="1"/>
        <i x="3" s="1"/>
        <i x="11" s="1"/>
        <i x="16" s="1"/>
        <i x="2" s="1"/>
        <i x="4" s="1"/>
        <i x="12" s="1"/>
        <i x="17" s="1"/>
        <i x="15" s="1"/>
        <i x="9" s="1"/>
        <i x="21" s="1"/>
        <i x="10" s="1"/>
        <i x="7" s="1"/>
        <i x="13" s="1"/>
        <i x="20" s="1"/>
        <i x="14" s="1"/>
        <i x="24" s="1"/>
        <i x="19" s="1"/>
        <i x="8" s="1"/>
        <i x="5" s="1"/>
        <i x="18" s="1"/>
        <i x="22" s="1"/>
        <i x="23" s="1"/>
        <i x="25" s="1" nd="1"/>
        <i x="26" s="1" nd="1"/>
        <i x="31" s="1" nd="1"/>
        <i x="28" s="1" nd="1"/>
        <i x="36" s="1" nd="1"/>
        <i x="42" s="1" nd="1"/>
        <i x="27" s="1" nd="1"/>
        <i x="29" s="1" nd="1"/>
        <i x="38" s="1" nd="1"/>
        <i x="43" s="1" nd="1"/>
        <i x="41" s="1" nd="1"/>
        <i x="34" s="1" nd="1"/>
        <i x="48" s="1" nd="1"/>
        <i x="46" s="1" nd="1"/>
        <i x="52" s="1" nd="1"/>
        <i x="49" s="1" nd="1"/>
        <i x="50" s="1" nd="1"/>
        <i x="35" s="1" nd="1"/>
        <i x="32" s="1" nd="1"/>
        <i x="47" s="1" nd="1"/>
        <i x="39" s="1" nd="1"/>
        <i x="40" s="1" nd="1"/>
        <i x="45" s="1" nd="1"/>
        <i x="51" s="1" nd="1"/>
        <i x="37" s="1" nd="1"/>
        <i x="33" s="1" nd="1"/>
        <i x="30" s="1" nd="1"/>
        <i x="4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igencia" xr10:uid="{41122447-FFB0-4CC2-8780-BD989B5B43C7}" cache="SegmentaciónDeDatos_Vigencia" caption="Vigencia" showCaption="0" style="SlicerStyleDark1" rowHeight="247650"/>
  <slicer name="Auditoría" xr10:uid="{52171508-E921-43B2-9531-C0FC771C4A15}" cache="SegmentaciónDeDatos_Auditoría" caption="Auditoría" showCaption="0" style="SlicerStyleDark1" rowHeight="247650"/>
  <slicer name="Responsable " xr10:uid="{E8028217-C3F1-4069-B30B-0CCF88D85F18}" cache="SegmentaciónDeDatos_Responsable" caption="Responsable " startItem="3" showCaption="0" style="SlicerStyleDark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A52B73-1FD9-480F-8313-C883162AE865}" name="Tabla1" displayName="Tabla1" ref="C3:U70" totalsRowShown="0" headerRowDxfId="28" dataDxfId="26" headerRowBorderDxfId="27" tableBorderDxfId="25">
  <autoFilter ref="C3:U70" xr:uid="{16A52B73-1FD9-480F-8313-C883162AE865}"/>
  <tableColumns count="19">
    <tableColumn id="1" xr3:uid="{2B924C09-39AC-4EE1-8652-420133C13FA1}" name="Vigencia" dataDxfId="24"/>
    <tableColumn id="2" xr3:uid="{AF64D1E2-62C2-481F-892E-D542397667BD}" name="Auditoría" dataDxfId="23"/>
    <tableColumn id="3" xr3:uid="{D5FCD709-D594-4E28-86C3-58D6B9F5A6BB}" name="No. Hallazgo" dataDxfId="22"/>
    <tableColumn id="4" xr3:uid="{DABB0C20-C0B1-4CF9-A3CC-BA2AFB6550F2}" name="Responsable " dataDxfId="21"/>
    <tableColumn id="5" xr3:uid="{0C94E881-2FE8-4529-A1EA-480E54693B19}" name="Total hallazgos" dataDxfId="20">
      <calculatedColumnFormula>IF(COUNTIFS($C$4:C4, C4, $D$4:D4, D4, $E$4:E4, E4)=1, 1, 0)</calculatedColumnFormula>
    </tableColumn>
    <tableColumn id="6" xr3:uid="{EF0696DE-664E-45D2-A436-5B494C723FF7}" name="Total Planes de acción" dataDxfId="19">
      <calculatedColumnFormula array="1">SUMPRODUCT((TRIM(CLEAN('Base de Datos'!$F$2:$F$3000))&amp;""=TRIM(CLEAN(C4))&amp;"")*(TRIM(CLEAN('Base de Datos'!$G$2:$G$3000))&amp;""=TRIM(CLEAN(D4))&amp;"")*(TRIM(CLEAN('Base de Datos'!$H$2:$H$3000))&amp;""=TRIM(CLEAN(E4))&amp;"")*(TRIM(CLEAN('Base de Datos'!$U$2:$U$3000))&amp;""=TRIM(CLEAN(F4))&amp;""))</calculatedColumnFormula>
    </tableColumn>
    <tableColumn id="7" xr3:uid="{8BDA8F36-DBB9-4BBD-AF1F-4377B1F4C6D0}" name="Abiertos" dataDxfId="18">
      <calculatedColumnFormula>COUNTIFS('Base de Datos'!$F:$F,$C4,'Base de Datos'!$G:$G,$D4,'Base de Datos'!$H:$H,$E4,'Base de Datos'!$U:$U,$F4,'Base de Datos'!$AA:$AA,"Abierta")</calculatedColumnFormula>
    </tableColumn>
    <tableColumn id="8" xr3:uid="{DA2A99A9-0359-4FF0-A3C3-82392F1BEB92}" name="Vencidos" dataDxfId="17">
      <calculatedColumnFormula>COUNTIFS('Base de Datos'!$F:$F,$C4,'Base de Datos'!$G:$G,$D4,'Base de Datos'!$H:$H,$E4,'Base de Datos'!$U:$U,$F4,'Base de Datos'!$AA:$AA,"Vencida")</calculatedColumnFormula>
    </tableColumn>
    <tableColumn id="9" xr3:uid="{240534F1-4373-4CEC-BA29-AE829A8A25B7}" name="Finalizados" dataDxfId="16">
      <calculatedColumnFormula>COUNTIFS('Base de Datos'!$F:$F,$C4,'Base de Datos'!$G:$G,$D4,'Base de Datos'!$H:$H,$E4,'Base de Datos'!$U:$U,$F4,'Base de Datos'!$AA:$AA,"Finalizada")</calculatedColumnFormula>
    </tableColumn>
    <tableColumn id="10" xr3:uid="{47F47316-D945-4B90-A3D8-F7F0F3B4BF4D}" name="Alerta 10" dataDxfId="15">
      <calculatedColumnFormula>COUNTIFS('Base de Datos'!$F:$F,$C4,'Base de Datos'!$G:$G,$D4,'Base de Datos'!$H:$H,$E4,'Base de Datos'!$U:$U,$F4,'Base de Datos'!$AA:$AA,"Abierta",'Base de Datos'!$AC:$AC,"&lt;=10",'Base de Datos'!$AC:$AC,"&gt;0")</calculatedColumnFormula>
    </tableColumn>
    <tableColumn id="11" xr3:uid="{177CCA3B-1C91-4A9E-85D1-C704EBC837A4}" name="Alerta 20" dataDxfId="14">
      <calculatedColumnFormula>COUNTIFS('Base de Datos'!$F:$F,$C4,'Base de Datos'!$G:$G,$D4,'Base de Datos'!$H:$H,$E4,'Base de Datos'!$U:$U,$F4,'Base de Datos'!$AA:$AA,"Abierta",'Base de Datos'!$AC:$AC,"&lt;=20",'Base de Datos'!$AC:$AC,"&gt;10")</calculatedColumnFormula>
    </tableColumn>
    <tableColumn id="12" xr3:uid="{DA1C85EA-6E4C-4B78-B285-19B75DED021D}" name="Alerta 30" dataDxfId="13">
      <calculatedColumnFormula>COUNTIFS('Base de Datos'!$F:$F,$C4,'Base de Datos'!$G:$G,$D4,'Base de Datos'!$H:$H,$E4,'Base de Datos'!$U:$U,$F4,'Base de Datos'!$AA:$AA,"Abierta",'Base de Datos'!$AC:$AC,"&lt;=30",'Base de Datos'!$AC:$AC,"&gt;20")</calculatedColumnFormula>
    </tableColumn>
    <tableColumn id="13" xr3:uid="{2FD1EC2F-37BD-4391-9BC6-5919D0F27132}" name="Alerta 5" dataDxfId="12">
      <calculatedColumnFormula>COUNTIFS('Base de Datos'!$F:$F,$C4,'Base de Datos'!$G:$G,$D4,'Base de Datos'!$H:$H,$E4,'Base de Datos'!$U:$U,$F4,'Base de Datos'!$AA:$AA,"Abierta",'Base de Datos'!$AG:$AG,1)</calculatedColumnFormula>
    </tableColumn>
    <tableColumn id="14" xr3:uid="{815A9074-78EF-43C7-B5B8-6D786C077076}" name="Ene" dataDxfId="11">
      <calculatedColumnFormula>COUNTIFS('Base de Datos'!$F:$F, $C4, 'Base de Datos'!$H:$H, $E4, 'Base de Datos'!$U:$U, $F4, 'Base de Datos'!$AA:$AA, "Finalizada", 'Base de Datos'!#REF!, "&gt;=01/01/2026", 'Base de Datos'!#REF!, "&lt;=31/01/2026")</calculatedColumnFormula>
    </tableColumn>
    <tableColumn id="15" xr3:uid="{7CE0CA18-BCAC-42F8-AA4D-D3AC1861C700}" name="Feb" dataDxfId="10">
      <calculatedColumnFormula>COUNTIFS('Base de Datos'!$F:$F, $C4, 'Base de Datos'!$H:$H, $E4, 'Base de Datos'!$U:$U, $F4, 'Base de Datos'!$AA:$AA, "Finalizada", 'Base de Datos'!#REF!, "&gt;=01/02/2026", 'Base de Datos'!#REF!, "&lt;=28/02/2026")</calculatedColumnFormula>
    </tableColumn>
    <tableColumn id="16" xr3:uid="{0CF42CC4-A137-4FA0-B13E-5E79FF5FF102}" name="Marzo" dataDxfId="9">
      <calculatedColumnFormula>COUNTIFS('Base de Datos'!$F:$F, $C4, 'Base de Datos'!$H:$H, $E4, 'Base de Datos'!$U:$U, $F4, 'Base de Datos'!$AA:$AA, "Finalizada", 'Base de Datos'!#REF!, "&gt;=01/03/2026", 'Base de Datos'!#REF!, "&lt;=31/03/2026")</calculatedColumnFormula>
    </tableColumn>
    <tableColumn id="17" xr3:uid="{7D3292FC-7A4D-4F1E-81C3-909EFA42F6AA}" name="Abr" dataDxfId="8">
      <calculatedColumnFormula>COUNTIFS('Base de Datos'!$F:$F, $C4, 'Base de Datos'!$H:$H, $E4, 'Base de Datos'!$U:$U, $F4, 'Base de Datos'!$AA:$AA, "Finalizada", 'Base de Datos'!#REF!, "&gt;=01/04/2026", 'Base de Datos'!#REF!, "&lt;=30/04/2026")</calculatedColumnFormula>
    </tableColumn>
    <tableColumn id="18" xr3:uid="{9535895F-E527-4B6B-A561-45A19BC56D09}" name="May" dataDxfId="7">
      <calculatedColumnFormula>COUNTIFS('Base de Datos'!$F:$F, $C4, 'Base de Datos'!$H:$H, $E4, 'Base de Datos'!$U:$U, $F4, 'Base de Datos'!$AA:$AA, "Finalizada", 'Base de Datos'!#REF!, "&gt;=01/05/2026", 'Base de Datos'!#REF!, "&lt;=31/05/2026")</calculatedColumnFormula>
    </tableColumn>
    <tableColumn id="19" xr3:uid="{9225AFBE-ED0D-4193-97B3-6DCB3872FDD5}" name="Jun" dataDxfId="6">
      <calculatedColumnFormula>COUNTIFS('Base de Datos'!$F:$F, $C4, 'Base de Datos'!$H:$H, $E4, 'Base de Datos'!$U:$U, $F4, 'Base de Datos'!$AA:$AA, "Finalizada", 'Base de Datos'!#REF!, "&gt;=01/06/2026", 'Base de Datos'!#REF!, "&lt;=30/06/2026")</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EA19F0D-D53E-4776-BB60-8DAF8AF7C40F}" name="Tabla2" displayName="Tabla2" ref="A1:AJ85" totalsRowShown="0" headerRowDxfId="299" dataDxfId="298" tableBorderDxfId="297">
  <autoFilter ref="A1:AJ85" xr:uid="{CEA19F0D-D53E-4776-BB60-8DAF8AF7C40F}">
    <filterColumn colId="26">
      <filters>
        <filter val="Abierta"/>
        <filter val="Vencida"/>
      </filters>
    </filterColumn>
  </autoFilter>
  <tableColumns count="36">
    <tableColumn id="1" xr3:uid="{7A8D3A5E-E004-426E-B403-310EC9C105F1}" name="No." dataDxfId="296"/>
    <tableColumn id="2" xr3:uid="{657020D6-E9B2-4900-BBA6-15C5F0ADC46D}" name="FECHA REPORTE DE LA INFORMACIÓN" dataDxfId="295"/>
    <tableColumn id="3" xr3:uid="{41285D45-9AEE-4BD1-A7C4-D096C91DDA04}" name="SECTORIAL" dataDxfId="294"/>
    <tableColumn id="4" xr3:uid="{3806448F-848A-4E2E-98A4-84CEC9886206}" name="NOMBRE DE LA ENTIDAD" dataDxfId="293"/>
    <tableColumn id="5" xr3:uid="{764274A8-A03E-47AA-A3F1-583FA254FF55}" name="CÓDIGO ENTIDAD" dataDxfId="292"/>
    <tableColumn id="6" xr3:uid="{182F205E-A5A4-4F15-95BD-E326966E74A2}" name="VIGENCIA DE LA AUDITORÍA O VISITA" dataDxfId="291"/>
    <tableColumn id="7" xr3:uid="{CC8B28E8-A989-454E-9977-64A95E4EE46B}" name="CODIGO AUDITORÍA SEGÚN PAD DE LA VIGENCIA" dataDxfId="290"/>
    <tableColumn id="8" xr3:uid="{22216EE2-944E-4C3E-9EB6-2B851E4EACDC}" name="No. HALLAZGO" dataDxfId="289"/>
    <tableColumn id="9" xr3:uid="{B22D3A4F-FE6E-414A-BC38-3A85BB82240C}" name="CODIGO ACCION" dataDxfId="288"/>
    <tableColumn id="10" xr3:uid="{CDC999D7-949D-4F77-A26C-21CCA67EC7A0}" name="SECTORIAL QUE GENERO LA AUDITORÍA " dataDxfId="287"/>
    <tableColumn id="11" xr3:uid="{8D9EA235-1356-4BBB-A8B8-D1F6AFCA343F}" name="Columna1" dataDxfId="286"/>
    <tableColumn id="12" xr3:uid="{24F7457C-B8A9-4198-BDEC-0A025FBB1EC7}" name="MODALIDAD" dataDxfId="285"/>
    <tableColumn id="13" xr3:uid="{5E15F49A-AF30-4782-B969-31C348CB0904}" name="COMPONENTE" dataDxfId="284"/>
    <tableColumn id="14" xr3:uid="{BA73357D-735E-4973-9ECB-E02EA1030AF8}" name="FACTOR" dataDxfId="283"/>
    <tableColumn id="15" xr3:uid="{A1027060-D86B-453E-8F05-BFCE6C2661BF}" name="DESCRIPCIÓN HALLAZGO" dataDxfId="282"/>
    <tableColumn id="16" xr3:uid="{12D4CE7A-CFA4-41D5-92D3-D87A694617E4}" name="CAUSA HALLAZGO" dataDxfId="281"/>
    <tableColumn id="17" xr3:uid="{9578DCE4-B094-4CF3-9C72-712BC4C6B326}" name="DESCRIPCIÓN ACCIÓN" dataDxfId="280"/>
    <tableColumn id="18" xr3:uid="{4AA47CA4-8339-4DFE-B865-D8A3EBA0B9E0}" name="NOMBRE INDICADOR" dataDxfId="279"/>
    <tableColumn id="19" xr3:uid="{CFD0AC4E-EE6D-43D8-8534-DBEB62AD0DBC}" name="FORMULA INDICADOR" dataDxfId="278"/>
    <tableColumn id="20" xr3:uid="{AA10F3AC-4BEE-4C20-9DFC-20EF6624B493}" name="VALOR META" dataDxfId="277"/>
    <tableColumn id="21" xr3:uid="{739A2F89-5BCF-424C-AB17-86A4C69450F0}" name="AREA RESPONSABLE" dataDxfId="276"/>
    <tableColumn id="22" xr3:uid="{3F330BEA-F90C-409B-B927-3780EF431D75}" name="FECHA DE INICIO" dataDxfId="275"/>
    <tableColumn id="23" xr3:uid="{E73BC267-136D-4EFD-90F1-56D0EE042003}" name="FECHA DE TERMINACIÓN" dataDxfId="274"/>
    <tableColumn id="24" xr3:uid="{5D6EA906-7A8A-495D-BADC-3DF2F1713ADF}" name="ESTADO ENT+W3+X:X:AH" dataDxfId="273"/>
    <tableColumn id="25" xr3:uid="{F8EA0349-0101-4E38-8E35-6807610EC7B3}" name="ESTADO AUDITOR" dataDxfId="272"/>
    <tableColumn id="26" xr3:uid="{BFB59556-3E3F-4E76-AE54-7DB4AA7AE19E}" name="OBSERVACIÓN" dataDxfId="271"/>
    <tableColumn id="27" xr3:uid="{D0258E80-5B3A-41EB-AD2B-05775EFCD16D}" name="ESTADO" dataDxfId="270"/>
    <tableColumn id="28" xr3:uid="{B61DE216-56C2-474B-8619-478864DEBD02}" name="ENLACE PARA CARGAR EVIDENCIAS" dataDxfId="269" dataCellStyle="Hipervínculo"/>
    <tableColumn id="29" xr3:uid="{24486E26-8F54-47B8-87CB-67DC718E7FD8}" name="Vencimiento" dataDxfId="268" dataCellStyle="Hipervínculo">
      <calculatedColumnFormula>IF(AA2="Abierta", DATE(LEFT(W2,4), MID(W2,6,2), RIGHT(W2,2)) - TODAY(), "")</calculatedColumnFormula>
    </tableColumn>
    <tableColumn id="30" xr3:uid="{9445E7F3-2C8F-4810-87ED-E0FBF31F1E43}" name="Alerta 10" dataDxfId="267">
      <calculatedColumnFormula>IF(AND($AA2="Abierta", $AC2&lt;=10, $AC2&gt;0), 1, 0)</calculatedColumnFormula>
    </tableColumn>
    <tableColumn id="31" xr3:uid="{889B060A-EFC6-4619-A597-38D4A27774FA}" name="Alerta 20" dataDxfId="266">
      <calculatedColumnFormula>IF(AND($AA2="Abierta", $AC2&lt;=20, $AC2&gt;10), 1, 0)</calculatedColumnFormula>
    </tableColumn>
    <tableColumn id="32" xr3:uid="{1880100C-05F7-437F-96CC-DC82C52787B5}" name="Alerta 30" dataDxfId="265">
      <calculatedColumnFormula>IF(AND($AA2="Abierta", $AC2&lt;=30, $AC2&gt;20), 1, 0)</calculatedColumnFormula>
    </tableColumn>
    <tableColumn id="33" xr3:uid="{C5ED61BD-8BC8-4747-BB12-CFB7C53D6E98}" name="Alerta 5" dataDxfId="264">
      <calculatedColumnFormula>IF(AND($AA2="Abierta", $AC2&lt;=5, $AC2&gt;0), 1, 0)</calculatedColumnFormula>
    </tableColumn>
    <tableColumn id="34" xr3:uid="{C9583B91-CAA7-483E-8661-421EC338199D}" name="Correo Responsables" dataDxfId="263"/>
    <tableColumn id="35" xr3:uid="{B4B77717-4CEE-4BDB-B83E-FCCD3EC7116D}" name="Fecha cierre x Auditoría" dataDxfId="262"/>
    <tableColumn id="36" xr3:uid="{C75275BF-013B-4B7E-9CB5-7D848839EE2E}" name="% Hallazgos" dataDxfId="261"/>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8" Type="http://schemas.openxmlformats.org/officeDocument/2006/relationships/hyperlink" Target="https://drive.google.com/drive/u/0/folders/16uXFDMuYgvGjkp-JJgwIwXgpK9vORInY" TargetMode="External"/><Relationship Id="rId3" Type="http://schemas.openxmlformats.org/officeDocument/2006/relationships/hyperlink" Target="https://drive.google.com/drive/u/0/folders/14P1qKtAiC-YzKemPT5X0iBzfxnAFb5ip" TargetMode="External"/><Relationship Id="rId7" Type="http://schemas.openxmlformats.org/officeDocument/2006/relationships/hyperlink" Target="https://drive.google.com/drive/u/0/folders/1ur2Auhsr5t-nA4bZISLNcN9eQ8lGYGY-" TargetMode="External"/><Relationship Id="rId2" Type="http://schemas.openxmlformats.org/officeDocument/2006/relationships/hyperlink" Target="https://drive.google.com/drive/folders/1dWHLZvVx3dWrHlfG1qALbAqY-VP21Tsm" TargetMode="External"/><Relationship Id="rId1" Type="http://schemas.openxmlformats.org/officeDocument/2006/relationships/hyperlink" Target="https://drive.google.com/drive/folders/1rVN9dCAaOu7HPMZfk_8Ipi4TNEITP1m_" TargetMode="External"/><Relationship Id="rId6" Type="http://schemas.openxmlformats.org/officeDocument/2006/relationships/hyperlink" Target="https://drive.google.com/drive/u/0/folders/1FtPipptfNQSnRuDzBLHttv5QsFbt4_i4" TargetMode="External"/><Relationship Id="rId5" Type="http://schemas.openxmlformats.org/officeDocument/2006/relationships/hyperlink" Target="https://drive.google.com/drive/u/0/folders/1S5KdfBLYx-YHAeqUV10IyafbWn3tAV6c" TargetMode="External"/><Relationship Id="rId4" Type="http://schemas.openxmlformats.org/officeDocument/2006/relationships/hyperlink" Target="https://drive.google.com/drive/u/0/folders/1gFWUgRMGQMoMIs5t5-wrGMmiUXXbS50u" TargetMode="External"/><Relationship Id="rId9" Type="http://schemas.openxmlformats.org/officeDocument/2006/relationships/hyperlink" Target="https://drive.google.com/drive/u/0/folders/1qaiBaFOogRrmDOJAIqv0IVPFCZcfZjnf"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drive.google.com/drive/u/0/folders/1tuZORUcxjX6PVP3fksW0wknXGprxA46m" TargetMode="External"/><Relationship Id="rId3" Type="http://schemas.openxmlformats.org/officeDocument/2006/relationships/hyperlink" Target="https://drive.google.com/drive/u/0/folders/1kilX7Bb9sV8Qh-eNoVoUyX1WaRol3HVN" TargetMode="External"/><Relationship Id="rId7" Type="http://schemas.openxmlformats.org/officeDocument/2006/relationships/hyperlink" Target="https://drive.google.com/drive/u/0/folders/1QycXzX7KEyRWZIzCiZduAkCCQ4bGJsSg" TargetMode="External"/><Relationship Id="rId2" Type="http://schemas.openxmlformats.org/officeDocument/2006/relationships/hyperlink" Target="https://drive.google.com/drive/u/0/folders/1QT49y1L5HwPHxc-EwvXz5gLce7HGc71K" TargetMode="External"/><Relationship Id="rId1" Type="http://schemas.openxmlformats.org/officeDocument/2006/relationships/hyperlink" Target="https://drive.google.com/drive/u/0/folders/1bmZSYTZPlrSq234glXYiTJCO48SccgqJ" TargetMode="External"/><Relationship Id="rId6" Type="http://schemas.openxmlformats.org/officeDocument/2006/relationships/hyperlink" Target="https://drive.google.com/drive/u/0/folders/1IS9BzI07vze98OgBUC7T6wwNdSXGpNkr" TargetMode="External"/><Relationship Id="rId11" Type="http://schemas.openxmlformats.org/officeDocument/2006/relationships/hyperlink" Target="https://drive.google.com/drive/u/0/folders/1ob0EHj5xccHYorw-3njw11UNR-cvSjI2" TargetMode="External"/><Relationship Id="rId5" Type="http://schemas.openxmlformats.org/officeDocument/2006/relationships/hyperlink" Target="https://drive.google.com/drive/u/0/folders/1RljHJeJbF-CMMxCEgzMTaJzp2W7ejDiQ" TargetMode="External"/><Relationship Id="rId10" Type="http://schemas.openxmlformats.org/officeDocument/2006/relationships/hyperlink" Target="https://drive.google.com/drive/u/0/folders/1dsZmy5um6-qhZPvusn_XKe0f6iNeojJy" TargetMode="External"/><Relationship Id="rId4" Type="http://schemas.openxmlformats.org/officeDocument/2006/relationships/hyperlink" Target="https://drive.google.com/drive/u/0/folders/1EubnA9GmEsmbl7UFcOUTjsykCzJiqONA" TargetMode="External"/><Relationship Id="rId9" Type="http://schemas.openxmlformats.org/officeDocument/2006/relationships/hyperlink" Target="https://drive.google.com/drive/u/0/folders/1f-eEYBbHrafzNrQi8Fnv29rVPz4-XqL_"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117" Type="http://schemas.openxmlformats.org/officeDocument/2006/relationships/hyperlink" Target="mailto:eduardo.gonzalez@terminaldetransporte.gov.co,manuel.santamaria@terminaldetransporte.gov.co" TargetMode="External"/><Relationship Id="rId21" Type="http://schemas.openxmlformats.org/officeDocument/2006/relationships/hyperlink" Target="https://drive.google.com/drive/folders/1HXqkh8y75f_MaWyyHHVJbViig4p3NJYP" TargetMode="External"/><Relationship Id="rId42" Type="http://schemas.openxmlformats.org/officeDocument/2006/relationships/hyperlink" Target="https://drive.google.com/drive/u/0/folders/1N-iUN8Zc_eMv-tKzYcu98jTZ9gnM1OD3" TargetMode="External"/><Relationship Id="rId47" Type="http://schemas.openxmlformats.org/officeDocument/2006/relationships/hyperlink" Target="https://drive.google.com/drive/u/0/folders/17rsEOYAexcWGdjw8udD_WAG03WO_bCHu" TargetMode="External"/><Relationship Id="rId63" Type="http://schemas.openxmlformats.org/officeDocument/2006/relationships/hyperlink" Target="https://drive.google.com/drive/u/0/folders/1oUoOnifZqp3W4mYrOW68kzU0GpYJ3nxT" TargetMode="External"/><Relationship Id="rId68" Type="http://schemas.openxmlformats.org/officeDocument/2006/relationships/hyperlink" Target="https://drive.google.com/drive/u/0/folders/1S5KdfBLYx-YHAeqUV10IyafbWn3tAV6c" TargetMode="External"/><Relationship Id="rId84" Type="http://schemas.openxmlformats.org/officeDocument/2006/relationships/hyperlink" Target="mailto:manuel.cifuentes@terminaldetransporte.gov.coedgar.ortiz@terminaldetransporte.gov.co" TargetMode="External"/><Relationship Id="rId89" Type="http://schemas.openxmlformats.org/officeDocument/2006/relationships/hyperlink" Target="mailto:roberto.bermudez@terminaldetransporte.gov.co,miguel.salina@terminaldetransporte.gov.co" TargetMode="External"/><Relationship Id="rId112" Type="http://schemas.openxmlformats.org/officeDocument/2006/relationships/hyperlink" Target="mailto:manuel.cifuentes@terminaldetransporte.gov.co,edgar.ortiz@terminaldetransporte.gov.co" TargetMode="External"/><Relationship Id="rId16" Type="http://schemas.openxmlformats.org/officeDocument/2006/relationships/hyperlink" Target="https://drive.google.com/drive/folders/1TgSR7VIj1NSATH3uzavxI-D-YbUJda5h" TargetMode="External"/><Relationship Id="rId107" Type="http://schemas.openxmlformats.org/officeDocument/2006/relationships/hyperlink" Target="mailto:diana.ortiz@terminaldetransporte.gov.co,linda.florez@terminaldetransporte.gov.co" TargetMode="External"/><Relationship Id="rId11" Type="http://schemas.openxmlformats.org/officeDocument/2006/relationships/hyperlink" Target="https://drive.google.com/drive/folders/1mJhbsa4U9YnVzQjFjBkGwoxynWPWlvHB" TargetMode="External"/><Relationship Id="rId32" Type="http://schemas.openxmlformats.org/officeDocument/2006/relationships/hyperlink" Target="https://drive.google.com/drive/u/0/folders/11Va80_nsWEPIm-12AqSfuvGJO_BfBthS" TargetMode="External"/><Relationship Id="rId37" Type="http://schemas.openxmlformats.org/officeDocument/2006/relationships/hyperlink" Target="https://drive.google.com/drive/u/0/folders/1fPs9JpJiD_xSuR0zBxOjShc-u6sQ5Uqg" TargetMode="External"/><Relationship Id="rId53" Type="http://schemas.openxmlformats.org/officeDocument/2006/relationships/hyperlink" Target="https://drive.google.com/drive/u/0/folders/1JnOu0yV7hzMBf-kTsas1TYZS8BWLGu6l" TargetMode="External"/><Relationship Id="rId58" Type="http://schemas.openxmlformats.org/officeDocument/2006/relationships/hyperlink" Target="https://drive.google.com/drive/u/0/folders/1RljHJeJbF-CMMxCEgzMTaJzp2W7ejDiQ" TargetMode="External"/><Relationship Id="rId74" Type="http://schemas.openxmlformats.org/officeDocument/2006/relationships/hyperlink" Target="https://drive.google.com/drive/u/0/folders/1dsZmy5um6-qhZPvusn_XKe0f6iNeojJy" TargetMode="External"/><Relationship Id="rId79" Type="http://schemas.openxmlformats.org/officeDocument/2006/relationships/hyperlink" Target="https://drive.google.com/drive/u/0/folders/1mHjndAYe9eGwF7LiRkeRwpseJoGEOg57" TargetMode="External"/><Relationship Id="rId102" Type="http://schemas.openxmlformats.org/officeDocument/2006/relationships/hyperlink" Target="mailto:diana.ortiz@terminaldetransporte.gov.co,linda.florez@terminaldetransporte.gov.co" TargetMode="External"/><Relationship Id="rId123" Type="http://schemas.openxmlformats.org/officeDocument/2006/relationships/hyperlink" Target="mailto:estefania.guzman@terminaldetransporte.gov.co,adriana.mojica@terminaldetransporte.gov.co" TargetMode="External"/><Relationship Id="rId128" Type="http://schemas.openxmlformats.org/officeDocument/2006/relationships/hyperlink" Target="mailto:carlos.salcedo@terminaldetransporte.gov.co,juan.alviz@terminaldetransporte.gov.co,omar.gamboa@terminaldetransporte.gov.co" TargetMode="External"/><Relationship Id="rId5" Type="http://schemas.openxmlformats.org/officeDocument/2006/relationships/hyperlink" Target="https://drive.google.com/drive/folders/1rVN9dCAaOu7HPMZfk_8Ipi4TNEITP1m_" TargetMode="External"/><Relationship Id="rId90" Type="http://schemas.openxmlformats.org/officeDocument/2006/relationships/hyperlink" Target="mailto:roberto.bermudez@terminaldetransporte.gov.co,miguel.salina@terminaldetransporte.gov.co" TargetMode="External"/><Relationship Id="rId95" Type="http://schemas.openxmlformats.org/officeDocument/2006/relationships/hyperlink" Target="mailto:roberto.bermudez@terminaldetransporte.gov.co,miguel.salina@terminaldetransporte.gov.co" TargetMode="External"/><Relationship Id="rId22" Type="http://schemas.openxmlformats.org/officeDocument/2006/relationships/hyperlink" Target="https://drive.google.com/drive/folders/185lt2pYaqbEWWenrm1fUp4_ygagcJRmc" TargetMode="External"/><Relationship Id="rId27" Type="http://schemas.openxmlformats.org/officeDocument/2006/relationships/hyperlink" Target="https://drive.google.com/drive/u/0/folders/1EaxkkZsUUbwPYG3moz4ue_bVDbVM3tMD" TargetMode="External"/><Relationship Id="rId43" Type="http://schemas.openxmlformats.org/officeDocument/2006/relationships/hyperlink" Target="https://drive.google.com/drive/u/0/folders/1jtJRmV82aqNnjnkU_bnMWrd-HAhtj3Ds" TargetMode="External"/><Relationship Id="rId48" Type="http://schemas.openxmlformats.org/officeDocument/2006/relationships/hyperlink" Target="https://drive.google.com/drive/u/0/folders/14YuurCPNFsYN-3WMx0ZUJU0Kz27Ga_Qm" TargetMode="External"/><Relationship Id="rId64" Type="http://schemas.openxmlformats.org/officeDocument/2006/relationships/hyperlink" Target="https://drive.google.com/drive/u/0/folders/1-rp0F0Qm5cHNCs9njGSGW2S5ygoSrWrO" TargetMode="External"/><Relationship Id="rId69" Type="http://schemas.openxmlformats.org/officeDocument/2006/relationships/hyperlink" Target="https://drive.google.com/drive/u/0/folders/1FtPipptfNQSnRuDzBLHttv5QsFbt4_i4" TargetMode="External"/><Relationship Id="rId113" Type="http://schemas.openxmlformats.org/officeDocument/2006/relationships/hyperlink" Target="mailto:manuel.cifuentes@terminaldetransporte.gov.co,edgar.ortiz@terminaldetransporte.gov.co" TargetMode="External"/><Relationship Id="rId118" Type="http://schemas.openxmlformats.org/officeDocument/2006/relationships/hyperlink" Target="mailto:roberto.bermudez@terminaldetransporte.gov.co,miguel.salina@terminaldetransporte.gov.co" TargetMode="External"/><Relationship Id="rId80" Type="http://schemas.openxmlformats.org/officeDocument/2006/relationships/hyperlink" Target="https://drive.google.com/drive/u/0/folders/1ob0EHj5xccHYorw-3njw11UNR-cvSjI2" TargetMode="External"/><Relationship Id="rId85" Type="http://schemas.openxmlformats.org/officeDocument/2006/relationships/hyperlink" Target="mailto:roberto.bermudez@terminaldetransporte.gov.co,miguel.salina@terminaldetransporte.gov.co" TargetMode="External"/><Relationship Id="rId12" Type="http://schemas.openxmlformats.org/officeDocument/2006/relationships/hyperlink" Target="https://drive.google.com/drive/folders/1MhMjTVMvc20tXzGWuZvwaFVVNBrvA5oP" TargetMode="External"/><Relationship Id="rId17" Type="http://schemas.openxmlformats.org/officeDocument/2006/relationships/hyperlink" Target="https://drive.google.com/drive/folders/1jvqw0TucM08GTiD-3d6Kzm6OoTsLFxCv" TargetMode="External"/><Relationship Id="rId33" Type="http://schemas.openxmlformats.org/officeDocument/2006/relationships/hyperlink" Target="https://drive.google.com/drive/u/0/folders/11U8BQrKc-j7xIGJGWhElR9HEzm9gpAC6" TargetMode="External"/><Relationship Id="rId38" Type="http://schemas.openxmlformats.org/officeDocument/2006/relationships/hyperlink" Target="https://drive.google.com/drive/u/0/folders/1ShwIsbjLVAN3bxHeK0cPkBD0pF_-892L" TargetMode="External"/><Relationship Id="rId59" Type="http://schemas.openxmlformats.org/officeDocument/2006/relationships/hyperlink" Target="https://drive.google.com/drive/u/0/folders/1BUliexC8UzwR6MWBai4BqV4CPPVNLOo_" TargetMode="External"/><Relationship Id="rId103" Type="http://schemas.openxmlformats.org/officeDocument/2006/relationships/hyperlink" Target="mailto:diana.ortiz@terminaldetransporte.gov.co,linda.florez@terminaldetransporte.gov.co" TargetMode="External"/><Relationship Id="rId108" Type="http://schemas.openxmlformats.org/officeDocument/2006/relationships/hyperlink" Target="mailto:diana.ortiz@terminaldetransporte.gov.co,linda.florez@terminaldetransporte.gov.co" TargetMode="External"/><Relationship Id="rId124" Type="http://schemas.openxmlformats.org/officeDocument/2006/relationships/hyperlink" Target="mailto:leonardo.vasquez@terminaldetransporte.gov.co,manuel.salgado@terminaldetransporte.gov.co,edgar.guzman@terminaldetransporte.gov.co,julio.mosquera@terminaldetransporte.gov.co" TargetMode="External"/><Relationship Id="rId129" Type="http://schemas.openxmlformats.org/officeDocument/2006/relationships/hyperlink" Target="mailto:carlos.salcedo@terminaldetransporte.gov.co,juan.alviz@terminaldetransporte.gov.co,omar.gamboa@terminaldetransporte.gov.co" TargetMode="External"/><Relationship Id="rId54" Type="http://schemas.openxmlformats.org/officeDocument/2006/relationships/hyperlink" Target="https://drive.google.com/drive/u/0/folders/1LP5j8uUh8jyIwVIk_TVn3HdU5R3Ej52K" TargetMode="External"/><Relationship Id="rId70" Type="http://schemas.openxmlformats.org/officeDocument/2006/relationships/hyperlink" Target="https://drive.google.com/drive/u/0/folders/1FtPipptfNQSnRuDzBLHttv5QsFbt4_i4" TargetMode="External"/><Relationship Id="rId75" Type="http://schemas.openxmlformats.org/officeDocument/2006/relationships/hyperlink" Target="https://drive.google.com/drive/u/0/folders/1kRM93V6KZcKh3MbJu1wBUaeaP3zmW_Zx" TargetMode="External"/><Relationship Id="rId91" Type="http://schemas.openxmlformats.org/officeDocument/2006/relationships/hyperlink" Target="mailto:roberto.bermudez@terminaldetransporte.gov.co,miguel.salina@terminaldetransporte.gov.co" TargetMode="External"/><Relationship Id="rId96" Type="http://schemas.openxmlformats.org/officeDocument/2006/relationships/hyperlink" Target="mailto:roberto.bermudez@terminaldetransporte.gov.co,miguel.salina@terminaldetransporte.gov.co" TargetMode="External"/><Relationship Id="rId1" Type="http://schemas.openxmlformats.org/officeDocument/2006/relationships/hyperlink" Target="https://drive.google.com/drive/folders/1katVY8yeDBX9LsIlfQPK9s6D467AKdxx" TargetMode="External"/><Relationship Id="rId6" Type="http://schemas.openxmlformats.org/officeDocument/2006/relationships/hyperlink" Target="https://drive.google.com/drive/folders/1Z4BgPfMMf9TWkJtchS5ng1xoCHXSNHK8" TargetMode="External"/><Relationship Id="rId23" Type="http://schemas.openxmlformats.org/officeDocument/2006/relationships/hyperlink" Target="https://drive.google.com/drive/folders/1kJUkUgfIDTm0zLO8v-O11rN6DqN-HUPb" TargetMode="External"/><Relationship Id="rId28" Type="http://schemas.openxmlformats.org/officeDocument/2006/relationships/hyperlink" Target="https://drive.google.com/drive/u/0/folders/18YsPISDNREfXYeem9zi3xoYTpdIHuJaS" TargetMode="External"/><Relationship Id="rId49" Type="http://schemas.openxmlformats.org/officeDocument/2006/relationships/hyperlink" Target="https://drive.google.com/drive/u/0/folders/1bmZSYTZPlrSq234glXYiTJCO48SccgqJ" TargetMode="External"/><Relationship Id="rId114" Type="http://schemas.openxmlformats.org/officeDocument/2006/relationships/hyperlink" Target="mailto:manuel.cifuentes@terminaldetransporte.gov.co,edgar.ortiz@terminaldetransporte.gov.co,carlos.salcedo@terminaldetransporte.gov.co,juan.alviz@terminaldetransporte.gov.co,omar.gamboa@terminaldetransporte.gov.co" TargetMode="External"/><Relationship Id="rId119" Type="http://schemas.openxmlformats.org/officeDocument/2006/relationships/hyperlink" Target="mailto:roberto.bermudez@terminaldetransporte.gov.co,miguel.salina@terminaldetransporte.gov.co" TargetMode="External"/><Relationship Id="rId44" Type="http://schemas.openxmlformats.org/officeDocument/2006/relationships/hyperlink" Target="https://drive.google.com/drive/u/0/folders/1guIfT-WIQx9vnUAswiSGj4qTRf8AQdJN" TargetMode="External"/><Relationship Id="rId60" Type="http://schemas.openxmlformats.org/officeDocument/2006/relationships/hyperlink" Target="https://drive.google.com/drive/u/0/folders/1LrFlVUaxg4S1i_lDBuFwT2tUX6bRFlsT" TargetMode="External"/><Relationship Id="rId65" Type="http://schemas.openxmlformats.org/officeDocument/2006/relationships/hyperlink" Target="https://drive.google.com/drive/u/0/folders/1nYr8Nyhz_mddLH5Y5iHfsLpVSFIotB0g" TargetMode="External"/><Relationship Id="rId81" Type="http://schemas.openxmlformats.org/officeDocument/2006/relationships/hyperlink" Target="https://drive.google.com/drive/u/0/folders/13AEf4WR13iErgZmA4pnPJeQYbfGTDHtV" TargetMode="External"/><Relationship Id="rId86" Type="http://schemas.openxmlformats.org/officeDocument/2006/relationships/hyperlink" Target="mailto:roberto.bermudez@terminaldetransporte.gov.co,miguel.salina@terminaldetransporte.gov.co" TargetMode="External"/><Relationship Id="rId130" Type="http://schemas.openxmlformats.org/officeDocument/2006/relationships/hyperlink" Target="https://drive.google.com/drive/u/0/folders/1IS9BzI07vze98OgBUC7T6wwNdSXGpNkr" TargetMode="External"/><Relationship Id="rId13" Type="http://schemas.openxmlformats.org/officeDocument/2006/relationships/hyperlink" Target="https://drive.google.com/drive/folders/1FgxL_s17cT7TuHCV2932OHss3DAc8TNJ" TargetMode="External"/><Relationship Id="rId18" Type="http://schemas.openxmlformats.org/officeDocument/2006/relationships/hyperlink" Target="https://drive.google.com/drive/folders/1JSoh4sIQvqurPiRHGhb3hUT_6fuLou0g" TargetMode="External"/><Relationship Id="rId39" Type="http://schemas.openxmlformats.org/officeDocument/2006/relationships/hyperlink" Target="https://drive.google.com/drive/u/0/folders/1XYkTukK5BCTpIc_M-G_UWhhA92SAkByL" TargetMode="External"/><Relationship Id="rId109" Type="http://schemas.openxmlformats.org/officeDocument/2006/relationships/hyperlink" Target="mailto:diana.ortiz@terminaldetransporte.gov.co,linda.florez@terminaldetransporte.gov.co" TargetMode="External"/><Relationship Id="rId34" Type="http://schemas.openxmlformats.org/officeDocument/2006/relationships/hyperlink" Target="https://drive.google.com/drive/u/0/folders/1Z7OnesU7jbU5NzFtQSwgU1VZFNJjtBwF" TargetMode="External"/><Relationship Id="rId50" Type="http://schemas.openxmlformats.org/officeDocument/2006/relationships/hyperlink" Target="https://drive.google.com/drive/u/0/folders/1CI3HiTEJGC17Z1LFphzunlSzJ1WBkwbD" TargetMode="External"/><Relationship Id="rId55" Type="http://schemas.openxmlformats.org/officeDocument/2006/relationships/hyperlink" Target="https://drive.google.com/drive/u/0/folders/1QT49y1L5HwPHxc-EwvXz5gLce7HGc71K" TargetMode="External"/><Relationship Id="rId76" Type="http://schemas.openxmlformats.org/officeDocument/2006/relationships/hyperlink" Target="https://drive.google.com/drive/u/0/folders/1ur2Auhsr5t-nA4bZISLNcN9eQ8lGYGY-" TargetMode="External"/><Relationship Id="rId97" Type="http://schemas.openxmlformats.org/officeDocument/2006/relationships/hyperlink" Target="mailto:roberto.bermudez@terminaldetransporte.gov.co,miguel.salina@terminaldetransporte.gov.co" TargetMode="External"/><Relationship Id="rId104" Type="http://schemas.openxmlformats.org/officeDocument/2006/relationships/hyperlink" Target="mailto:diana.ortiz@terminaldetransporte.gov.co,linda.florez@terminaldetransporte.gov.co" TargetMode="External"/><Relationship Id="rId120" Type="http://schemas.openxmlformats.org/officeDocument/2006/relationships/hyperlink" Target="mailto:roberto.bermudez@terminaldetransporte.gov.co,miguel.salina@terminaldetransporte.gov.co" TargetMode="External"/><Relationship Id="rId125" Type="http://schemas.openxmlformats.org/officeDocument/2006/relationships/hyperlink" Target="mailto:leonardo.vasquez@terminaldetransporte.gov.co,andrea.lievano@terminaldetransporte.gov.co,gerson.lugo@terminaldetransporte.gov.co" TargetMode="External"/><Relationship Id="rId7" Type="http://schemas.openxmlformats.org/officeDocument/2006/relationships/hyperlink" Target="https://drive.google.com/drive/folders/1dWHLZvVx3dWrHlfG1qALbAqY-VP21Tsm" TargetMode="External"/><Relationship Id="rId71" Type="http://schemas.openxmlformats.org/officeDocument/2006/relationships/hyperlink" Target="https://drive.google.com/drive/u/0/folders/1QycXzX7KEyRWZIzCiZduAkCCQ4bGJsSg" TargetMode="External"/><Relationship Id="rId92" Type="http://schemas.openxmlformats.org/officeDocument/2006/relationships/hyperlink" Target="mailto:roberto.bermudez@terminaldetransporte.gov.co,miguel.salina@terminaldetransporte.gov.co" TargetMode="External"/><Relationship Id="rId2" Type="http://schemas.openxmlformats.org/officeDocument/2006/relationships/hyperlink" Target="https://drive.google.com/drive/folders/1Th6WHE8JzXPf1Y75VwTOJFlO_-tLpyu5" TargetMode="External"/><Relationship Id="rId29" Type="http://schemas.openxmlformats.org/officeDocument/2006/relationships/hyperlink" Target="https://drive.google.com/drive/u/0/folders/1jICvEssDJcEO7rmg64IQQv-Zfuy383mk" TargetMode="External"/><Relationship Id="rId24" Type="http://schemas.openxmlformats.org/officeDocument/2006/relationships/hyperlink" Target="https://drive.google.com/drive/folders/1cNh7lGQlG_9s14HmBxmbyExsH5c4XJ1A" TargetMode="External"/><Relationship Id="rId40" Type="http://schemas.openxmlformats.org/officeDocument/2006/relationships/hyperlink" Target="https://drive.google.com/drive/u/0/folders/1Vwi1VbNT6Wgtc8rmN8-VKp_RomW-HivJ" TargetMode="External"/><Relationship Id="rId45" Type="http://schemas.openxmlformats.org/officeDocument/2006/relationships/hyperlink" Target="https://drive.google.com/drive/u/0/folders/17PSsuq238qXZY9mwpgDgab0g9OSxkVF4" TargetMode="External"/><Relationship Id="rId66" Type="http://schemas.openxmlformats.org/officeDocument/2006/relationships/hyperlink" Target="https://drive.google.com/drive/u/0/folders/14P1qKtAiC-YzKemPT5X0iBzfxnAFb5ip" TargetMode="External"/><Relationship Id="rId87" Type="http://schemas.openxmlformats.org/officeDocument/2006/relationships/hyperlink" Target="mailto:roberto.bermudez@terminaldetransporte.gov.co,miguel.salina@terminaldetransporte.gov.co" TargetMode="External"/><Relationship Id="rId110" Type="http://schemas.openxmlformats.org/officeDocument/2006/relationships/hyperlink" Target="mailto:fabian.silva@terminaldetransporte.gov.co,anderson.reyes@terminaldetransporte.gov.co,leonardo.vasquez@terminaldetransporte.gov.co" TargetMode="External"/><Relationship Id="rId115" Type="http://schemas.openxmlformats.org/officeDocument/2006/relationships/hyperlink" Target="mailto:julio.mosquera@terminaldetransporte.gov.co,manuel.salgado@terminaldetransporte.gov.co,edgar.guzman@terminaldetransporte.gov.co,Jesus.duarte@terminaldetransporte.gov.co" TargetMode="External"/><Relationship Id="rId131" Type="http://schemas.openxmlformats.org/officeDocument/2006/relationships/table" Target="../tables/table2.xml"/><Relationship Id="rId61" Type="http://schemas.openxmlformats.org/officeDocument/2006/relationships/hyperlink" Target="https://drive.google.com/drive/u/0/folders/1IS9BzI07vze98OgBUC7T6wwNdSXGpNkr" TargetMode="External"/><Relationship Id="rId82" Type="http://schemas.openxmlformats.org/officeDocument/2006/relationships/hyperlink" Target="mailto:manuel.cifuentes@terminaldetransporte.gov.co,edgar.ortiz@terminaldetransporte.gov.co,roberto.bermudez@terminaldetransporte.gov.co,miguel.salina@terminaldetransporte.gov.co" TargetMode="External"/><Relationship Id="rId19" Type="http://schemas.openxmlformats.org/officeDocument/2006/relationships/hyperlink" Target="https://drive.google.com/drive/folders/1JSoh4sIQvqurPiRHGhb3hUT_6fuLou0g" TargetMode="External"/><Relationship Id="rId14" Type="http://schemas.openxmlformats.org/officeDocument/2006/relationships/hyperlink" Target="https://drive.google.com/drive/folders/13UiZltdR-lVnwhJ7Xi7HHzxVnASJK72e" TargetMode="External"/><Relationship Id="rId30" Type="http://schemas.openxmlformats.org/officeDocument/2006/relationships/hyperlink" Target="https://drive.google.com/drive/u/0/folders/1S_e36SP9DHzD4b0-Yo-M8F2AEWqAvXo4" TargetMode="External"/><Relationship Id="rId35" Type="http://schemas.openxmlformats.org/officeDocument/2006/relationships/hyperlink" Target="https://drive.google.com/drive/u/0/folders/1T1FG-hKsCkErbKCfIxrysGNcwddECOvi" TargetMode="External"/><Relationship Id="rId56" Type="http://schemas.openxmlformats.org/officeDocument/2006/relationships/hyperlink" Target="https://drive.google.com/drive/u/0/folders/1kilX7Bb9sV8Qh-eNoVoUyX1WaRol3HVN" TargetMode="External"/><Relationship Id="rId77" Type="http://schemas.openxmlformats.org/officeDocument/2006/relationships/hyperlink" Target="https://drive.google.com/drive/u/0/folders/16uXFDMuYgvGjkp-JJgwIwXgpK9vORInY" TargetMode="External"/><Relationship Id="rId100" Type="http://schemas.openxmlformats.org/officeDocument/2006/relationships/hyperlink" Target="mailto:diana.ortiz@terminaldetransporte.gov.co,linda.florez@terminaldetransporte.gov.co" TargetMode="External"/><Relationship Id="rId105" Type="http://schemas.openxmlformats.org/officeDocument/2006/relationships/hyperlink" Target="mailto:diana.ortiz@terminaldetransporte.gov.co,linda.florez@terminaldetransporte.gov.co" TargetMode="External"/><Relationship Id="rId126" Type="http://schemas.openxmlformats.org/officeDocument/2006/relationships/hyperlink" Target="mailto:carlos.salcedo@terminaldetransporte.gov.co,juan.alviz@terminaldetransporte.gov.co,omar.gamboa@terminaldetransporte.gov.co" TargetMode="External"/><Relationship Id="rId8" Type="http://schemas.openxmlformats.org/officeDocument/2006/relationships/hyperlink" Target="https://drive.google.com/drive/folders/1dWHLZvVx3dWrHlfG1qALbAqY-VP21Tsm" TargetMode="External"/><Relationship Id="rId51" Type="http://schemas.openxmlformats.org/officeDocument/2006/relationships/hyperlink" Target="https://drive.google.com/drive/u/0/folders/1_mR8Cs1sgxiV3mkUbPhb1XH-SO4cn6b9" TargetMode="External"/><Relationship Id="rId72" Type="http://schemas.openxmlformats.org/officeDocument/2006/relationships/hyperlink" Target="https://drive.google.com/drive/u/0/folders/1tuZORUcxjX6PVP3fksW0wknXGprxA46m" TargetMode="External"/><Relationship Id="rId93" Type="http://schemas.openxmlformats.org/officeDocument/2006/relationships/hyperlink" Target="mailto:roberto.bermudez@terminaldetransporte.gov.co,miguel.salina@terminaldetransporte.gov.co" TargetMode="External"/><Relationship Id="rId98" Type="http://schemas.openxmlformats.org/officeDocument/2006/relationships/hyperlink" Target="mailto:roberto.bermudez@terminaldetransporte.gov.co,miguel.salina@terminaldetransporte.gov.co" TargetMode="External"/><Relationship Id="rId121" Type="http://schemas.openxmlformats.org/officeDocument/2006/relationships/hyperlink" Target="mailto:eduardo.gonzalez@terminaldetransporte.gov.co,manuel.santamaria@terminaldetransporte.gov.co,julio.mosquera@terminaldetransporte.gov.co,Jesus.duarte@terminaldetransporte.gov.co" TargetMode="External"/><Relationship Id="rId3" Type="http://schemas.openxmlformats.org/officeDocument/2006/relationships/hyperlink" Target="https://drive.google.com/drive/folders/1ysifagca3rJF1aTSms9Rl1eUuwU182KW" TargetMode="External"/><Relationship Id="rId25" Type="http://schemas.openxmlformats.org/officeDocument/2006/relationships/hyperlink" Target="https://drive.google.com/drive/u/0/folders/1EBOPWA5DDbIE_LQt1ZUs1by3_RtmTps2" TargetMode="External"/><Relationship Id="rId46" Type="http://schemas.openxmlformats.org/officeDocument/2006/relationships/hyperlink" Target="https://drive.google.com/drive/u/0/folders/1KXbESP4hXKmzTjN40WXUu272esJMw8-e" TargetMode="External"/><Relationship Id="rId67" Type="http://schemas.openxmlformats.org/officeDocument/2006/relationships/hyperlink" Target="https://drive.google.com/drive/u/0/folders/1gFWUgRMGQMoMIs5t5-wrGMmiUXXbS50u" TargetMode="External"/><Relationship Id="rId116" Type="http://schemas.openxmlformats.org/officeDocument/2006/relationships/hyperlink" Target="mailto:eduardo.gonzalez@terminaldetransporte.gov.co,manuel.santamaria@terminaldetransporte.gov.co" TargetMode="External"/><Relationship Id="rId20" Type="http://schemas.openxmlformats.org/officeDocument/2006/relationships/hyperlink" Target="https://drive.google.com/drive/folders/1qEh0MkC6eWDDeoEJzSoc5m9AYQjnhX2V" TargetMode="External"/><Relationship Id="rId41" Type="http://schemas.openxmlformats.org/officeDocument/2006/relationships/hyperlink" Target="https://drive.google.com/drive/u/0/folders/1ItONSdWdua3UE1kseJbAmYKbSDelOmY5" TargetMode="External"/><Relationship Id="rId62" Type="http://schemas.openxmlformats.org/officeDocument/2006/relationships/hyperlink" Target="https://drive.google.com/drive/u/0/folders/1aHFBvgTk-FT0bdoX0QmHymE66qf1IFR_" TargetMode="External"/><Relationship Id="rId83" Type="http://schemas.openxmlformats.org/officeDocument/2006/relationships/hyperlink" Target="mailto:roberto.bermudez@terminaldetransporte.gov.co,miguel.salina@terminaldetransporte.gov.co" TargetMode="External"/><Relationship Id="rId88" Type="http://schemas.openxmlformats.org/officeDocument/2006/relationships/hyperlink" Target="mailto:roberto.bermudez@terminaldetransporte.gov.co,miguel.salina@terminaldetransporte.gov.co" TargetMode="External"/><Relationship Id="rId111" Type="http://schemas.openxmlformats.org/officeDocument/2006/relationships/hyperlink" Target="mailto:fabian.silva@terminaldetransporte.gov.co,anderson.reyes@terminaldetransporte.gov.co,leonardo.vasquez@terminaldetransporte.gov.co" TargetMode="External"/><Relationship Id="rId15" Type="http://schemas.openxmlformats.org/officeDocument/2006/relationships/hyperlink" Target="https://drive.google.com/drive/folders/13UiZltdR-lVnwhJ7Xi7HHzxVnASJK72e" TargetMode="External"/><Relationship Id="rId36" Type="http://schemas.openxmlformats.org/officeDocument/2006/relationships/hyperlink" Target="https://drive.google.com/drive/u/0/folders/1ziq5wDZv82m7C85qQd-Vq3hHxxNiaPya" TargetMode="External"/><Relationship Id="rId57" Type="http://schemas.openxmlformats.org/officeDocument/2006/relationships/hyperlink" Target="https://drive.google.com/drive/u/0/folders/1EubnA9GmEsmbl7UFcOUTjsykCzJiqONA" TargetMode="External"/><Relationship Id="rId106" Type="http://schemas.openxmlformats.org/officeDocument/2006/relationships/hyperlink" Target="mailto:diana.ortiz@terminaldetransporte.gov.co,linda.florez@terminaldetransporte.gov.co" TargetMode="External"/><Relationship Id="rId127" Type="http://schemas.openxmlformats.org/officeDocument/2006/relationships/hyperlink" Target="mailto:carlos.salcedo@terminaldetransporte.gov.co,juan.alviz@terminaldetransporte.gov.co,omar.gamboa@terminaldetransporte.gov.co" TargetMode="External"/><Relationship Id="rId10" Type="http://schemas.openxmlformats.org/officeDocument/2006/relationships/hyperlink" Target="https://drive.google.com/drive/folders/1QlolVh59Eg_xQ0ceH2YDovZcWYczDgel" TargetMode="External"/><Relationship Id="rId31" Type="http://schemas.openxmlformats.org/officeDocument/2006/relationships/hyperlink" Target="https://drive.google.com/drive/u/0/folders/1IAssr5g3KjogxBMdioqjnwSuO_CdLYDM" TargetMode="External"/><Relationship Id="rId52" Type="http://schemas.openxmlformats.org/officeDocument/2006/relationships/hyperlink" Target="https://drive.google.com/drive/u/0/folders/1JnOu0yV7hzMBf-kTsas1TYZS8BWLGu6l" TargetMode="External"/><Relationship Id="rId73" Type="http://schemas.openxmlformats.org/officeDocument/2006/relationships/hyperlink" Target="https://drive.google.com/drive/u/0/folders/1f-eEYBbHrafzNrQi8Fnv29rVPz4-XqL_" TargetMode="External"/><Relationship Id="rId78" Type="http://schemas.openxmlformats.org/officeDocument/2006/relationships/hyperlink" Target="https://drive.google.com/drive/u/0/folders/1qaiBaFOogRrmDOJAIqv0IVPFCZcfZjnf" TargetMode="External"/><Relationship Id="rId94" Type="http://schemas.openxmlformats.org/officeDocument/2006/relationships/hyperlink" Target="mailto:roberto.bermudez@terminaldetransporte.gov.co,miguel.salina@terminaldetransporte.gov.co" TargetMode="External"/><Relationship Id="rId99" Type="http://schemas.openxmlformats.org/officeDocument/2006/relationships/hyperlink" Target="mailto:roberto.bermudez@terminaldetransporte.gov.co,miguel.salina@terminaldetransporte.gov.co,carlos.salcedo@terminaldetransporte.gov.co,juan.alviz@terminaldetransporte.gov.co,omar.gamboa@terminaldetransporte.gov.co" TargetMode="External"/><Relationship Id="rId101" Type="http://schemas.openxmlformats.org/officeDocument/2006/relationships/hyperlink" Target="mailto:diana.ortiz@terminaldetransporte.gov.co,linda.florez@terminaldetransporte.gov.co" TargetMode="External"/><Relationship Id="rId122" Type="http://schemas.openxmlformats.org/officeDocument/2006/relationships/hyperlink" Target="mailto:eduardo.gonzalez@terminaldetransporte.gov.co,manuel.santamaria@terminaldetransporte.gov.co,julio.mosquera@terminaldetransporte.gov.co,Jesus.duarte@terminaldetransporte.gov.co" TargetMode="External"/><Relationship Id="rId4" Type="http://schemas.openxmlformats.org/officeDocument/2006/relationships/hyperlink" Target="https://drive.google.com/drive/folders/1rVN9dCAaOu7HPMZfk_8Ipi4TNEITP1m_" TargetMode="External"/><Relationship Id="rId9" Type="http://schemas.openxmlformats.org/officeDocument/2006/relationships/hyperlink" Target="https://drive.google.com/drive/folders/1QlolVh59Eg_xQ0ceH2YDovZcWYczDgel" TargetMode="External"/><Relationship Id="rId26" Type="http://schemas.openxmlformats.org/officeDocument/2006/relationships/hyperlink" Target="https://drive.google.com/drive/u/0/folders/1ch8_FpTjagVsBewlm1CHKakXYqhH6Nzv"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drive.google.com/drive/u/0/folders/1f9Oe9ygA45IpwJ6a2AduFxL97Z70SE8i" TargetMode="External"/><Relationship Id="rId2" Type="http://schemas.openxmlformats.org/officeDocument/2006/relationships/hyperlink" Target="https://drive.google.com/drive/u/0/folders/1ysifagca3rJF1aTSms9Rl1eUuwU182KW" TargetMode="External"/><Relationship Id="rId1" Type="http://schemas.openxmlformats.org/officeDocument/2006/relationships/hyperlink" Target="https://drive.google.com/drive/u/0/folders/1Xr9YyjgouK7KDXNsneC4b6STF200hEJ8"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drive.google.com/drive/folders/1MhMjTVMvc20tXzGWuZvwaFVVNBrvA5oP" TargetMode="External"/><Relationship Id="rId13" Type="http://schemas.openxmlformats.org/officeDocument/2006/relationships/hyperlink" Target="https://drive.google.com/drive/u/0/folders/1dsZmy5um6-qhZPvusn_XKe0f6iNeojJy" TargetMode="External"/><Relationship Id="rId3" Type="http://schemas.openxmlformats.org/officeDocument/2006/relationships/hyperlink" Target="https://drive.google.com/drive/u/0/folders/1-rp0F0Qm5cHNCs9njGSGW2S5ygoSrWrO" TargetMode="External"/><Relationship Id="rId7" Type="http://schemas.openxmlformats.org/officeDocument/2006/relationships/hyperlink" Target="https://drive.google.com/drive/u/0/folders/1aHFBvgTk-FT0bdoX0QmHymE66qf1IFR_" TargetMode="External"/><Relationship Id="rId12" Type="http://schemas.openxmlformats.org/officeDocument/2006/relationships/hyperlink" Target="https://drive.google.com/drive/u/0/folders/1IS9BzI07vze98OgBUC7T6wwNdSXGpNkr" TargetMode="External"/><Relationship Id="rId2" Type="http://schemas.openxmlformats.org/officeDocument/2006/relationships/hyperlink" Target="https://drive.google.com/drive/u/0/folders/1oUoOnifZqp3W4mYrOW68kzU0GpYJ3nxT" TargetMode="External"/><Relationship Id="rId1" Type="http://schemas.openxmlformats.org/officeDocument/2006/relationships/hyperlink" Target="https://drive.google.com/drive/u/0/folders/1vhs9ehYAmKYPHVE6sjTd5x06IAh_PxHz" TargetMode="External"/><Relationship Id="rId6" Type="http://schemas.openxmlformats.org/officeDocument/2006/relationships/hyperlink" Target="https://drive.google.com/drive/folders/1dWHLZvVx3dWrHlfG1qALbAqY-VP21Tsm" TargetMode="External"/><Relationship Id="rId11" Type="http://schemas.openxmlformats.org/officeDocument/2006/relationships/hyperlink" Target="https://drive.google.com/drive/u/0/folders/1RljHJeJbF-CMMxCEgzMTaJzp2W7ejDiQ" TargetMode="External"/><Relationship Id="rId5" Type="http://schemas.openxmlformats.org/officeDocument/2006/relationships/hyperlink" Target="https://drive.google.com/drive/folders/1rVN9dCAaOu7HPMZfk_8Ipi4TNEITP1m_" TargetMode="External"/><Relationship Id="rId10" Type="http://schemas.openxmlformats.org/officeDocument/2006/relationships/hyperlink" Target="https://drive.google.com/drive/u/0/folders/1FtPipptfNQSnRuDzBLHttv5QsFbt4_i4" TargetMode="External"/><Relationship Id="rId4" Type="http://schemas.openxmlformats.org/officeDocument/2006/relationships/hyperlink" Target="https://drive.google.com/drive/u/0/folders/1nYr8Nyhz_mddLH5Y5iHfsLpVSFIotB0g" TargetMode="External"/><Relationship Id="rId9" Type="http://schemas.openxmlformats.org/officeDocument/2006/relationships/hyperlink" Target="https://drive.google.com/drive/u/0/folders/1JnOu0yV7hzMBf-kTsas1TYZS8BWLGu6l" TargetMode="External"/><Relationship Id="rId14" Type="http://schemas.openxmlformats.org/officeDocument/2006/relationships/hyperlink" Target="https://drive.google.com/drive/u/0/folders/1ur2Auhsr5t-nA4bZISLNcN9eQ8lGYGY-" TargetMode="External"/></Relationships>
</file>

<file path=xl/worksheets/_rels/sheet15.xml.rels><?xml version="1.0" encoding="UTF-8" standalone="yes"?>
<Relationships xmlns="http://schemas.openxmlformats.org/package/2006/relationships"><Relationship Id="rId2" Type="http://schemas.openxmlformats.org/officeDocument/2006/relationships/hyperlink" Target="https://drive.google.com/drive/folders/1UVgydI8DTEuCKahsbdTlJvHX5QYp-QnN" TargetMode="External"/><Relationship Id="rId1" Type="http://schemas.openxmlformats.org/officeDocument/2006/relationships/hyperlink" Target="https://drive.google.com/drive/folders/12KfNKAQJ0IIu_G-SnDb5Wea2VA4604G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4F98F-3240-41B6-9DE3-B1DCFE452211}">
  <sheetPr codeName="Hoja1"/>
  <dimension ref="A1:T29"/>
  <sheetViews>
    <sheetView showGridLines="0" zoomScaleNormal="100" workbookViewId="0">
      <selection activeCell="B14" sqref="B14"/>
    </sheetView>
  </sheetViews>
  <sheetFormatPr baseColWidth="10" defaultRowHeight="14.4"/>
  <cols>
    <col min="9" max="9" width="13.21875" bestFit="1" customWidth="1"/>
  </cols>
  <sheetData>
    <row r="1" spans="1:20">
      <c r="A1" s="31"/>
      <c r="B1" s="31"/>
      <c r="C1" s="31"/>
      <c r="D1" s="31"/>
      <c r="E1" s="31"/>
      <c r="F1" s="31"/>
      <c r="G1" s="31"/>
      <c r="H1" s="31"/>
      <c r="I1" s="31"/>
      <c r="J1" s="31"/>
      <c r="K1" s="31"/>
      <c r="L1" s="31"/>
      <c r="M1" s="31"/>
      <c r="N1" s="31"/>
      <c r="O1" s="31"/>
      <c r="P1" s="31"/>
      <c r="Q1" s="31"/>
      <c r="R1" s="31"/>
      <c r="S1" s="31"/>
      <c r="T1" s="31"/>
    </row>
    <row r="2" spans="1:20">
      <c r="A2" s="31"/>
      <c r="B2" s="31"/>
      <c r="C2" s="31"/>
      <c r="D2" s="31"/>
      <c r="E2" s="31"/>
      <c r="F2" s="31"/>
      <c r="G2" s="31"/>
      <c r="H2" s="31"/>
      <c r="I2" s="31"/>
      <c r="J2" s="31"/>
      <c r="K2" s="31"/>
      <c r="L2" s="31"/>
      <c r="M2" s="31"/>
      <c r="N2" s="31"/>
      <c r="O2" s="31"/>
      <c r="P2" s="31"/>
      <c r="Q2" s="31"/>
      <c r="R2" s="31"/>
      <c r="S2" s="31"/>
      <c r="T2" s="31"/>
    </row>
    <row r="3" spans="1:20">
      <c r="A3" s="31"/>
      <c r="B3" s="31"/>
      <c r="C3" s="31"/>
      <c r="D3" s="31"/>
      <c r="E3" s="31"/>
      <c r="F3" s="31"/>
      <c r="G3" s="31"/>
      <c r="H3" s="31"/>
      <c r="I3" s="31"/>
      <c r="J3" s="31"/>
      <c r="K3" s="31"/>
      <c r="L3" s="31"/>
      <c r="M3" s="31"/>
      <c r="N3" s="31"/>
      <c r="O3" s="31"/>
      <c r="P3" s="31"/>
      <c r="Q3" s="31"/>
      <c r="R3" s="31"/>
      <c r="S3" s="31"/>
      <c r="T3" s="31"/>
    </row>
    <row r="29" spans="7:10">
      <c r="G29" s="42" t="s">
        <v>633</v>
      </c>
      <c r="H29" s="42"/>
      <c r="I29" s="43">
        <v>46183.436747685184</v>
      </c>
      <c r="J29" s="42"/>
    </row>
  </sheetData>
  <sheetProtection selectLockedCells="1"/>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7921B-9DD0-4516-AD1B-628E8DAFB4E3}">
  <dimension ref="A3:G35"/>
  <sheetViews>
    <sheetView topLeftCell="A6" workbookViewId="0">
      <selection activeCell="A10" sqref="A10:E10"/>
      <pivotSelection pane="bottomRight" showHeader="1" extendable="1" axis="axisRow" max="26" activeRow="9" previousRow="9" click="1" r:id="rId1">
        <pivotArea dataOnly="0" fieldPosition="0">
          <references count="1">
            <reference field="3" count="1">
              <x v="12"/>
            </reference>
          </references>
        </pivotArea>
      </pivotSelection>
    </sheetView>
  </sheetViews>
  <sheetFormatPr baseColWidth="10" defaultRowHeight="14.4"/>
  <cols>
    <col min="1" max="1" width="18.77734375" style="46" bestFit="1" customWidth="1"/>
    <col min="2" max="2" width="20.21875" style="46" bestFit="1" customWidth="1"/>
    <col min="3" max="3" width="27.21875" style="46" bestFit="1" customWidth="1"/>
    <col min="4" max="4" width="15.5546875" style="46" bestFit="1" customWidth="1"/>
    <col min="5" max="5" width="16.33203125" style="46" bestFit="1" customWidth="1"/>
    <col min="6" max="6" width="18.21875" bestFit="1" customWidth="1"/>
    <col min="7" max="7" width="16.33203125" bestFit="1" customWidth="1"/>
  </cols>
  <sheetData>
    <row r="3" spans="1:7">
      <c r="A3" s="49" t="s">
        <v>623</v>
      </c>
      <c r="B3" s="46" t="s">
        <v>730</v>
      </c>
      <c r="C3" s="46" t="s">
        <v>628</v>
      </c>
      <c r="D3" s="46" t="s">
        <v>625</v>
      </c>
      <c r="E3" s="46" t="s">
        <v>626</v>
      </c>
      <c r="F3" s="46" t="s">
        <v>627</v>
      </c>
      <c r="G3" s="46" t="s">
        <v>748</v>
      </c>
    </row>
    <row r="4" spans="1:7">
      <c r="A4" s="46">
        <v>2023</v>
      </c>
      <c r="B4" s="46">
        <v>19</v>
      </c>
      <c r="C4" s="46">
        <v>24</v>
      </c>
      <c r="D4" s="46">
        <v>0</v>
      </c>
      <c r="E4" s="46">
        <v>0</v>
      </c>
      <c r="F4" s="46">
        <v>24</v>
      </c>
      <c r="G4" s="46">
        <v>1672</v>
      </c>
    </row>
    <row r="5" spans="1:7">
      <c r="A5" s="46">
        <v>2024</v>
      </c>
      <c r="B5" s="46">
        <v>19</v>
      </c>
      <c r="C5" s="46">
        <v>26</v>
      </c>
      <c r="D5" s="46">
        <v>0</v>
      </c>
      <c r="E5" s="46">
        <v>2</v>
      </c>
      <c r="F5" s="46">
        <v>24</v>
      </c>
      <c r="G5" s="46">
        <v>1710</v>
      </c>
    </row>
    <row r="6" spans="1:7">
      <c r="A6" s="46">
        <v>2025</v>
      </c>
      <c r="B6" s="46">
        <v>29</v>
      </c>
      <c r="C6" s="46">
        <v>34</v>
      </c>
      <c r="D6" s="46">
        <v>11</v>
      </c>
      <c r="E6" s="46">
        <v>4</v>
      </c>
      <c r="F6" s="46">
        <v>19</v>
      </c>
      <c r="G6" s="46">
        <v>2610</v>
      </c>
    </row>
    <row r="7" spans="1:7">
      <c r="A7" s="46" t="s">
        <v>624</v>
      </c>
      <c r="B7" s="46">
        <v>67</v>
      </c>
      <c r="C7" s="46">
        <v>84</v>
      </c>
      <c r="D7" s="46">
        <v>11</v>
      </c>
      <c r="E7" s="46">
        <v>6</v>
      </c>
      <c r="F7" s="46">
        <v>67</v>
      </c>
      <c r="G7" s="46">
        <v>5992</v>
      </c>
    </row>
    <row r="8" spans="1:7">
      <c r="A8"/>
      <c r="B8"/>
      <c r="C8"/>
      <c r="D8"/>
      <c r="E8"/>
    </row>
    <row r="9" spans="1:7">
      <c r="A9" s="49" t="s">
        <v>623</v>
      </c>
      <c r="B9" s="46" t="s">
        <v>628</v>
      </c>
      <c r="C9" s="46" t="s">
        <v>625</v>
      </c>
      <c r="D9" s="46" t="s">
        <v>626</v>
      </c>
      <c r="E9" s="46" t="s">
        <v>627</v>
      </c>
    </row>
    <row r="10" spans="1:7">
      <c r="A10" s="192" t="s">
        <v>657</v>
      </c>
      <c r="B10" s="205">
        <v>15</v>
      </c>
      <c r="C10" s="205">
        <v>1</v>
      </c>
      <c r="D10" s="205">
        <v>1</v>
      </c>
      <c r="E10" s="205">
        <v>13</v>
      </c>
    </row>
    <row r="11" spans="1:7">
      <c r="A11" s="187" t="s">
        <v>676</v>
      </c>
      <c r="B11" s="204">
        <v>1</v>
      </c>
      <c r="C11" s="204">
        <v>1</v>
      </c>
      <c r="D11" s="204">
        <v>0</v>
      </c>
      <c r="E11" s="204">
        <v>0</v>
      </c>
    </row>
    <row r="12" spans="1:7">
      <c r="A12" s="187" t="s">
        <v>678</v>
      </c>
      <c r="B12" s="204">
        <v>1</v>
      </c>
      <c r="C12" s="204">
        <v>0</v>
      </c>
      <c r="D12" s="204">
        <v>0</v>
      </c>
      <c r="E12" s="204">
        <v>1</v>
      </c>
    </row>
    <row r="13" spans="1:7">
      <c r="A13" s="39" t="s">
        <v>659</v>
      </c>
      <c r="B13" s="46">
        <v>10</v>
      </c>
      <c r="C13" s="46">
        <v>0</v>
      </c>
      <c r="D13" s="46">
        <v>0</v>
      </c>
      <c r="E13" s="46">
        <v>10</v>
      </c>
    </row>
    <row r="14" spans="1:7">
      <c r="A14" s="39" t="s">
        <v>663</v>
      </c>
      <c r="B14" s="46">
        <v>2</v>
      </c>
      <c r="C14" s="46">
        <v>1</v>
      </c>
      <c r="D14" s="46">
        <v>0</v>
      </c>
      <c r="E14" s="46">
        <v>1</v>
      </c>
    </row>
    <row r="15" spans="1:7">
      <c r="A15" s="39" t="s">
        <v>667</v>
      </c>
      <c r="B15" s="46">
        <v>2</v>
      </c>
      <c r="C15" s="46">
        <v>0</v>
      </c>
      <c r="D15" s="46">
        <v>0</v>
      </c>
      <c r="E15" s="46">
        <v>2</v>
      </c>
    </row>
    <row r="16" spans="1:7">
      <c r="A16" s="39" t="s">
        <v>658</v>
      </c>
      <c r="B16" s="46">
        <v>4</v>
      </c>
      <c r="C16" s="46">
        <v>1</v>
      </c>
      <c r="D16" s="46">
        <v>0</v>
      </c>
      <c r="E16" s="46">
        <v>3</v>
      </c>
    </row>
    <row r="17" spans="1:5">
      <c r="A17" s="187" t="s">
        <v>677</v>
      </c>
      <c r="B17" s="204">
        <v>1</v>
      </c>
      <c r="C17" s="204">
        <v>1</v>
      </c>
      <c r="D17" s="204">
        <v>0</v>
      </c>
      <c r="E17" s="204">
        <v>0</v>
      </c>
    </row>
    <row r="18" spans="1:5">
      <c r="A18" s="187" t="s">
        <v>664</v>
      </c>
      <c r="B18" s="204">
        <v>1</v>
      </c>
      <c r="C18" s="204">
        <v>0</v>
      </c>
      <c r="D18" s="204">
        <v>0</v>
      </c>
      <c r="E18" s="204">
        <v>1</v>
      </c>
    </row>
    <row r="19" spans="1:5">
      <c r="A19" s="39" t="s">
        <v>668</v>
      </c>
      <c r="B19" s="46">
        <v>1</v>
      </c>
      <c r="C19" s="46">
        <v>0</v>
      </c>
      <c r="D19" s="46">
        <v>0</v>
      </c>
      <c r="E19" s="46">
        <v>1</v>
      </c>
    </row>
    <row r="20" spans="1:5">
      <c r="A20" s="39" t="s">
        <v>666</v>
      </c>
      <c r="B20" s="46">
        <v>2</v>
      </c>
      <c r="C20" s="46">
        <v>0</v>
      </c>
      <c r="D20" s="46">
        <v>0</v>
      </c>
      <c r="E20" s="46">
        <v>2</v>
      </c>
    </row>
    <row r="21" spans="1:5">
      <c r="A21" s="187" t="s">
        <v>680</v>
      </c>
      <c r="B21" s="204">
        <v>1</v>
      </c>
      <c r="C21" s="204">
        <v>0</v>
      </c>
      <c r="D21" s="204">
        <v>0</v>
      </c>
      <c r="E21" s="204">
        <v>1</v>
      </c>
    </row>
    <row r="22" spans="1:5">
      <c r="A22" s="187" t="s">
        <v>672</v>
      </c>
      <c r="B22" s="204">
        <v>1</v>
      </c>
      <c r="C22" s="204">
        <v>0</v>
      </c>
      <c r="D22" s="204">
        <v>0</v>
      </c>
      <c r="E22" s="204">
        <v>1</v>
      </c>
    </row>
    <row r="23" spans="1:5">
      <c r="A23" s="39" t="s">
        <v>662</v>
      </c>
      <c r="B23" s="46">
        <v>3</v>
      </c>
      <c r="C23" s="46">
        <v>2</v>
      </c>
      <c r="D23" s="46">
        <v>0</v>
      </c>
      <c r="E23" s="46">
        <v>1</v>
      </c>
    </row>
    <row r="24" spans="1:5">
      <c r="A24" s="187" t="s">
        <v>679</v>
      </c>
      <c r="B24" s="204">
        <v>3</v>
      </c>
      <c r="C24" s="204">
        <v>0</v>
      </c>
      <c r="D24" s="204">
        <v>3</v>
      </c>
      <c r="E24" s="204">
        <v>0</v>
      </c>
    </row>
    <row r="25" spans="1:5">
      <c r="A25" s="187" t="s">
        <v>681</v>
      </c>
      <c r="B25" s="204">
        <v>2</v>
      </c>
      <c r="C25" s="204">
        <v>0</v>
      </c>
      <c r="D25" s="204">
        <v>2</v>
      </c>
      <c r="E25" s="204">
        <v>0</v>
      </c>
    </row>
    <row r="26" spans="1:5">
      <c r="A26" s="187" t="s">
        <v>671</v>
      </c>
      <c r="B26" s="204">
        <v>1</v>
      </c>
      <c r="C26" s="204">
        <v>0</v>
      </c>
      <c r="D26" s="204">
        <v>0</v>
      </c>
      <c r="E26" s="204">
        <v>1</v>
      </c>
    </row>
    <row r="27" spans="1:5">
      <c r="A27" s="39" t="s">
        <v>665</v>
      </c>
      <c r="B27" s="46">
        <v>13</v>
      </c>
      <c r="C27" s="46">
        <v>0</v>
      </c>
      <c r="D27" s="46">
        <v>0</v>
      </c>
      <c r="E27" s="46">
        <v>13</v>
      </c>
    </row>
    <row r="28" spans="1:5">
      <c r="A28" s="187" t="s">
        <v>675</v>
      </c>
      <c r="B28" s="204">
        <v>2</v>
      </c>
      <c r="C28" s="204">
        <v>0</v>
      </c>
      <c r="D28" s="204">
        <v>0</v>
      </c>
      <c r="E28" s="204">
        <v>2</v>
      </c>
    </row>
    <row r="29" spans="1:5">
      <c r="A29" s="187" t="s">
        <v>670</v>
      </c>
      <c r="B29" s="204">
        <v>1</v>
      </c>
      <c r="C29" s="204">
        <v>0</v>
      </c>
      <c r="D29" s="204">
        <v>0</v>
      </c>
      <c r="E29" s="204">
        <v>1</v>
      </c>
    </row>
    <row r="30" spans="1:5">
      <c r="A30" s="39" t="s">
        <v>661</v>
      </c>
      <c r="B30" s="46">
        <v>2</v>
      </c>
      <c r="C30" s="46">
        <v>1</v>
      </c>
      <c r="D30" s="46">
        <v>0</v>
      </c>
      <c r="E30" s="46">
        <v>1</v>
      </c>
    </row>
    <row r="31" spans="1:5">
      <c r="A31" s="39" t="s">
        <v>660</v>
      </c>
      <c r="B31" s="46">
        <v>10</v>
      </c>
      <c r="C31" s="46">
        <v>3</v>
      </c>
      <c r="D31" s="46">
        <v>0</v>
      </c>
      <c r="E31" s="46">
        <v>7</v>
      </c>
    </row>
    <row r="32" spans="1:5">
      <c r="A32" s="187" t="s">
        <v>669</v>
      </c>
      <c r="B32" s="204">
        <v>1</v>
      </c>
      <c r="C32" s="204">
        <v>0</v>
      </c>
      <c r="D32" s="204">
        <v>0</v>
      </c>
      <c r="E32" s="204">
        <v>1</v>
      </c>
    </row>
    <row r="33" spans="1:5">
      <c r="A33" s="39" t="s">
        <v>673</v>
      </c>
      <c r="B33" s="46">
        <v>1</v>
      </c>
      <c r="C33" s="46">
        <v>0</v>
      </c>
      <c r="D33" s="46">
        <v>0</v>
      </c>
      <c r="E33" s="46">
        <v>1</v>
      </c>
    </row>
    <row r="34" spans="1:5">
      <c r="A34" s="39" t="s">
        <v>674</v>
      </c>
      <c r="B34" s="46">
        <v>3</v>
      </c>
      <c r="C34" s="46">
        <v>0</v>
      </c>
      <c r="D34" s="46">
        <v>0</v>
      </c>
      <c r="E34" s="46">
        <v>3</v>
      </c>
    </row>
    <row r="35" spans="1:5">
      <c r="A35" s="46" t="s">
        <v>624</v>
      </c>
      <c r="B35" s="46">
        <v>84</v>
      </c>
      <c r="C35" s="46">
        <v>11</v>
      </c>
      <c r="D35" s="46">
        <v>6</v>
      </c>
      <c r="E35" s="46">
        <v>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7B8CE-3B00-465A-830C-BD64B9BDF85B}">
  <dimension ref="A1:S39"/>
  <sheetViews>
    <sheetView showGridLines="0" topLeftCell="A22" workbookViewId="0">
      <selection activeCell="R42" sqref="R42"/>
    </sheetView>
  </sheetViews>
  <sheetFormatPr baseColWidth="10" defaultRowHeight="11.4"/>
  <cols>
    <col min="1" max="1" width="0.44140625" style="181" customWidth="1"/>
    <col min="2" max="2" width="2.44140625" style="167" customWidth="1"/>
    <col min="3" max="3" width="9.33203125" style="167" customWidth="1"/>
    <col min="4" max="4" width="6.21875" style="19" customWidth="1"/>
    <col min="5" max="5" width="8.77734375" style="19" customWidth="1"/>
    <col min="6" max="6" width="10.77734375" style="19" customWidth="1"/>
    <col min="7" max="7" width="9.77734375" style="19" customWidth="1"/>
    <col min="8" max="8" width="7.88671875" style="167" customWidth="1"/>
    <col min="9" max="9" width="9.21875" style="167" customWidth="1"/>
    <col min="10" max="10" width="5.33203125" style="167" customWidth="1"/>
    <col min="11" max="11" width="44.6640625" style="167" bestFit="1" customWidth="1"/>
    <col min="12" max="16384" width="11.5546875" style="167"/>
  </cols>
  <sheetData>
    <row r="1" spans="3:15" s="181" customFormat="1" ht="3" customHeight="1">
      <c r="D1" s="18"/>
      <c r="E1" s="18"/>
      <c r="F1" s="18"/>
      <c r="G1" s="18"/>
    </row>
    <row r="3" spans="3:15" ht="13.2">
      <c r="C3" s="176" t="s">
        <v>750</v>
      </c>
      <c r="K3" s="176" t="s">
        <v>751</v>
      </c>
    </row>
    <row r="5" spans="3:15" ht="27" customHeight="1">
      <c r="C5" s="184" t="s">
        <v>610</v>
      </c>
      <c r="D5" s="184" t="s">
        <v>747</v>
      </c>
      <c r="E5" s="184" t="s">
        <v>746</v>
      </c>
      <c r="F5" s="179" t="s">
        <v>732</v>
      </c>
      <c r="G5" s="179" t="s">
        <v>733</v>
      </c>
      <c r="H5" s="180" t="s">
        <v>734</v>
      </c>
      <c r="I5" s="180" t="s">
        <v>735</v>
      </c>
      <c r="K5" s="178" t="s">
        <v>731</v>
      </c>
      <c r="L5" s="179" t="s">
        <v>732</v>
      </c>
      <c r="M5" s="179" t="s">
        <v>733</v>
      </c>
      <c r="N5" s="180" t="s">
        <v>734</v>
      </c>
      <c r="O5" s="180" t="s">
        <v>735</v>
      </c>
    </row>
    <row r="6" spans="3:15">
      <c r="C6" s="183">
        <v>2023</v>
      </c>
      <c r="D6" s="183">
        <v>88</v>
      </c>
      <c r="E6" s="183">
        <v>19</v>
      </c>
      <c r="F6" s="183">
        <f>+GETPIVOTDATA("Suma de Total Planes de acción",'Calculos 2'!$A$3,"Vigencia",2023)</f>
        <v>24</v>
      </c>
      <c r="G6" s="183">
        <f>+GETPIVOTDATA("Suma de Abiertos",'Calculos 2'!$A$3,"Vigencia",2023)</f>
        <v>0</v>
      </c>
      <c r="H6" s="183">
        <f>+GETPIVOTDATA("Suma de Vencidos",'Calculos 2'!$A$3,"Vigencia",2023)</f>
        <v>0</v>
      </c>
      <c r="I6" s="183">
        <f>+GETPIVOTDATA("Suma de Finalizados",'Calculos 2'!$A$3,"Vigencia",2023)</f>
        <v>24</v>
      </c>
      <c r="K6" s="182" t="s">
        <v>736</v>
      </c>
      <c r="L6" s="183">
        <f>+GETPIVOTDATA("Suma de Total Planes de acción",'Calculos 2'!$A$9,"Responsable ","DIRECCIÓNDEGESTIÓNFINANCIERA")</f>
        <v>15</v>
      </c>
      <c r="M6" s="183">
        <f>+GETPIVOTDATA("Suma de Abiertos",'Calculos 2'!$A$9,"Responsable ","DIRECCIÓNDEGESTIÓNFINANCIERA")</f>
        <v>1</v>
      </c>
      <c r="N6" s="183">
        <f>+GETPIVOTDATA("Suma de Vencidos",'Calculos 2'!$A$9,"Responsable ","DIRECCIÓNDEGESTIÓNFINANCIERA")</f>
        <v>1</v>
      </c>
      <c r="O6" s="183">
        <f>+GETPIVOTDATA("Suma de Finalizados",'Calculos 2'!$A$9,"Responsable ","DIRECCIÓNDEGESTIÓNFINANCIERA")</f>
        <v>13</v>
      </c>
    </row>
    <row r="7" spans="3:15">
      <c r="C7" s="183">
        <v>2024</v>
      </c>
      <c r="D7" s="183">
        <v>90</v>
      </c>
      <c r="E7" s="183">
        <v>14</v>
      </c>
      <c r="F7" s="183">
        <f>+GETPIVOTDATA("Suma de Total Planes de acción",'Calculos 2'!$A$3,"Vigencia",2024)</f>
        <v>26</v>
      </c>
      <c r="G7" s="183">
        <f>+GETPIVOTDATA("Suma de Abiertos",'Calculos 2'!$A$3,"Vigencia",2024)+GETPIVOTDATA("Suma de Abiertos",'Calculos 2'!$A$3,"Vigencia",2024)</f>
        <v>0</v>
      </c>
      <c r="H7" s="183">
        <f>+GETPIVOTDATA("Suma de Vencidos",'Calculos 2'!$A$3,"Vigencia",2024)</f>
        <v>2</v>
      </c>
      <c r="I7" s="183">
        <f>+GETPIVOTDATA("Suma de Finalizados",'Calculos 2'!$A$3,"Vigencia",2024)</f>
        <v>24</v>
      </c>
      <c r="K7" s="182" t="s">
        <v>737</v>
      </c>
      <c r="L7" s="183">
        <f>+GETPIVOTDATA("Suma de Total Planes de acción",'Calculos 2'!$A$9,"Responsable ","DIRECCIÓNDEGESTIÓNHUMANA")</f>
        <v>10</v>
      </c>
      <c r="M7" s="183">
        <f>+GETPIVOTDATA("Suma de Abiertos",'Calculos 2'!$A$9,"Responsable ","DIRECCIÓNDEGESTIÓNHUMANA")</f>
        <v>0</v>
      </c>
      <c r="N7" s="183">
        <f>+GETPIVOTDATA("Suma de Vencidos",'Calculos 2'!$A$9,"Responsable ","DIRECCIÓNDEGESTIÓNHUMANA")</f>
        <v>0</v>
      </c>
      <c r="O7" s="183">
        <f>+GETPIVOTDATA("Suma de Finalizados",'Calculos 2'!$A$9,"Responsable ","DIRECCIÓNDEGESTIÓNHUMANA")</f>
        <v>10</v>
      </c>
    </row>
    <row r="8" spans="3:15">
      <c r="C8" s="183">
        <v>2025</v>
      </c>
      <c r="D8" s="183">
        <v>90</v>
      </c>
      <c r="E8" s="183">
        <v>21</v>
      </c>
      <c r="F8" s="183">
        <f>+GETPIVOTDATA("Suma de Total Planes de acción",'Calculos 2'!$A$3,"Vigencia",2025)</f>
        <v>34</v>
      </c>
      <c r="G8" s="183">
        <f>+GETPIVOTDATA("Suma de Abiertos",'Calculos 2'!$A$3,"Vigencia",2025)</f>
        <v>11</v>
      </c>
      <c r="H8" s="183">
        <f>+GETPIVOTDATA("Suma de Vencidos",'Calculos 2'!$A$3,"Vigencia",2025)</f>
        <v>4</v>
      </c>
      <c r="I8" s="183">
        <f>+GETPIVOTDATA("Suma de Finalizados",'Calculos 2'!$A$3,"Vigencia",2025)</f>
        <v>19</v>
      </c>
      <c r="K8" s="182" t="s">
        <v>738</v>
      </c>
      <c r="L8" s="183">
        <f>+GETPIVOTDATA("Suma de Total Planes de acción",'Calculos 2'!$A$9,"Responsable ","DIRECCIÓNDEINFRAESTRUCTURA")</f>
        <v>2</v>
      </c>
      <c r="M8" s="183">
        <f>+GETPIVOTDATA("Suma de Abiertos",'Calculos 2'!$A$9,"Responsable ","DIRECCIÓNDEINFRAESTRUCTURA")</f>
        <v>1</v>
      </c>
      <c r="N8" s="183">
        <f>+GETPIVOTDATA("Suma de Vencidos",'Calculos 2'!$A$9,"Responsable ","DIRECCIÓNDEINFRAESTRUCTURA")</f>
        <v>0</v>
      </c>
      <c r="O8" s="183">
        <f>+GETPIVOTDATA("Suma de Finalizados",'Calculos 2'!$A$9,"Responsable ","DIRECCIÓNDEINFRAESTRUCTURA")</f>
        <v>1</v>
      </c>
    </row>
    <row r="9" spans="3:15" ht="12">
      <c r="C9" s="236" t="s">
        <v>749</v>
      </c>
      <c r="D9" s="236"/>
      <c r="E9" s="236"/>
      <c r="F9" s="185">
        <f>SUM(F6:F8)</f>
        <v>84</v>
      </c>
      <c r="G9" s="185">
        <f>SUM(G6:G8)</f>
        <v>11</v>
      </c>
      <c r="H9" s="185">
        <f>SUM(H6:H8)</f>
        <v>6</v>
      </c>
      <c r="I9" s="185">
        <f>SUM(I6:I8)</f>
        <v>67</v>
      </c>
      <c r="K9" s="182" t="s">
        <v>739</v>
      </c>
      <c r="L9" s="183">
        <f>+GETPIVOTDATA("Suma de Total Planes de acción",'Calculos 2'!$A$9,"Responsable ","DIRECCIÓNDERECURSOSFÍSICOS")+GETPIVOTDATA("Suma de Total Planes de acción",'Calculos 2'!$A$9,"Responsable ","DIRECCIÓNDERECURSOSFÍSICOSYNEGOCIOS")</f>
        <v>6</v>
      </c>
      <c r="M9" s="183">
        <f>+GETPIVOTDATA("Suma de Abiertos",'Calculos 2'!$A$9,"Responsable ","DIRECCIÓNDERECURSOSFÍSICOS")+GETPIVOTDATA("Suma de Abiertos",'Calculos 2'!$A$9,"Responsable ","DIRECCIÓNDERECURSOSFÍSICOSYNEGOCIOS")</f>
        <v>1</v>
      </c>
      <c r="N9" s="183">
        <f>+GETPIVOTDATA("Suma de Vencidos",'Calculos 2'!$A$9,"Responsable ","DIRECCIÓNDERECURSOSFÍSICOS")+GETPIVOTDATA("Suma de Vencidos",'Calculos 2'!$A$9,"Responsable ","DIRECCIÓNDERECURSOSFÍSICOSYNEGOCIOS")</f>
        <v>0</v>
      </c>
      <c r="O9" s="183">
        <f>+GETPIVOTDATA("Suma de Finalizados",'Calculos 2'!$A$9,"Responsable ","DIRECCIÓNDERECURSOSFÍSICOS")+GETPIVOTDATA("Suma de Finalizados",'Calculos 2'!$A$9,"Responsable ","DIRECCIÓNDERECURSOSFÍSICOSYNEGOCIOS")</f>
        <v>5</v>
      </c>
    </row>
    <row r="10" spans="3:15">
      <c r="K10" s="182" t="s">
        <v>740</v>
      </c>
      <c r="L10" s="183">
        <f>+GETPIVOTDATA("Suma de Total Planes de acción",'Calculos 2'!$A$9,"Responsable ","DIRECCIÓNDESEGURIDADOPERACIONAL")</f>
        <v>1</v>
      </c>
      <c r="M10" s="183">
        <f>+GETPIVOTDATA("Suma de Abiertos",'Calculos 2'!$A$9,"Responsable ","DIRECCIÓNDESEGURIDADOPERACIONAL")</f>
        <v>0</v>
      </c>
      <c r="N10" s="183">
        <f>+GETPIVOTDATA("Suma de Vencidos",'Calculos 2'!$A$9,"Responsable ","DIRECCIÓNDESEGURIDADOPERACIONAL")</f>
        <v>0</v>
      </c>
      <c r="O10" s="183">
        <f>+GETPIVOTDATA("Suma de Finalizados",'Calculos 2'!$A$9,"Responsable ","DIRECCIÓNDESEGURIDADOPERACIONAL")</f>
        <v>1</v>
      </c>
    </row>
    <row r="11" spans="3:15">
      <c r="K11" s="182" t="s">
        <v>741</v>
      </c>
      <c r="L11" s="183">
        <f>+GETPIVOTDATA("Suma de Total Planes de acción",'Calculos 2'!$A$9,"Responsable ","DIRECCIÓNDESERVICIOALTRANSPORTADOR")</f>
        <v>2</v>
      </c>
      <c r="M11" s="183">
        <f>+GETPIVOTDATA("Suma de Abiertos",'Calculos 2'!$A$9,"Responsable ","DIRECCIÓNDESERVICIOALTRANSPORTADOR")</f>
        <v>0</v>
      </c>
      <c r="N11" s="183">
        <f>+GETPIVOTDATA("Suma de Vencidos",'Calculos 2'!$A$9,"Responsable ","DIRECCIÓNDESERVICIOALTRANSPORTADOR")</f>
        <v>0</v>
      </c>
      <c r="O11" s="183">
        <f>+GETPIVOTDATA("Suma de Finalizados",'Calculos 2'!$A$9,"Responsable ","DIRECCIÓNDESERVICIOALTRANSPORTADOR")</f>
        <v>2</v>
      </c>
    </row>
    <row r="12" spans="3:15">
      <c r="I12" s="19"/>
      <c r="J12" s="19"/>
      <c r="K12" s="182" t="s">
        <v>742</v>
      </c>
      <c r="L12" s="183">
        <f>+GETPIVOTDATA("Suma de Total Planes de acción",'Calculos 2'!$A$9,"Responsable ","SUBGERENCIACORPORATIVA")</f>
        <v>3</v>
      </c>
      <c r="M12" s="183">
        <f>+GETPIVOTDATA("Suma de Abiertos",'Calculos 2'!$A$9,"Responsable ","SUBGERENCIACORPORATIVA")</f>
        <v>2</v>
      </c>
      <c r="N12" s="183">
        <f>+GETPIVOTDATA("Suma de Vencidos",'Calculos 2'!$A$9,"Responsable ","SUBGERENCIACORPORATIVA")</f>
        <v>0</v>
      </c>
      <c r="O12" s="183">
        <f>+GETPIVOTDATA("Suma de Finalizados",'Calculos 2'!$A$9,"Responsable ","SUBGERENCIACORPORATIVA")</f>
        <v>1</v>
      </c>
    </row>
    <row r="13" spans="3:15">
      <c r="K13" s="182" t="s">
        <v>743</v>
      </c>
      <c r="L13" s="183">
        <f>+GETPIVOTDATA("Suma de Total Planes de acción",'Calculos 2'!$A$9,"Responsable ","SUBGERENCIADEPLANEACIÓNYPROYECTOS")+GETPIVOTDATA("Suma de Total Planes de acción",'Calculos 2'!$A$9,"Responsable ","SUBGERENCIAPLANEACIÓNYPROYECTOS")+GETPIVOTDATA("Suma de Total Planes de acción",'Calculos 2'!$A$9,"Responsable ","SUBGERENCIAPLANEACIÓNYPROYECTOS(ZPP)")</f>
        <v>17</v>
      </c>
      <c r="M13" s="183">
        <f>+GETPIVOTDATA("Suma de Abiertos",'Calculos 2'!$A$9,"Responsable ","SUBGERENCIADEPLANEACIÓNYPROYECTOS")+GETPIVOTDATA("Suma de Abiertos",'Calculos 2'!$A$9,"Responsable ","SUBGERENCIAPLANEACIÓNYPROYECTOS")+GETPIVOTDATA("Suma de Abiertos",'Calculos 2'!$A$9,"Responsable ","SUBGERENCIAPLANEACIÓNYPROYECTOS(ZPP)")</f>
        <v>0</v>
      </c>
      <c r="N13" s="183">
        <f>+GETPIVOTDATA("Suma de Vencidos",'Calculos 2'!$A$9,"Responsable ","SUBGERENCIADEPLANEACIÓNYPROYECTOS")+GETPIVOTDATA("Suma de Vencidos",'Calculos 2'!$A$9,"Responsable ","SUBGERENCIAPLANEACIÓNYPROYECTOS")+GETPIVOTDATA("Suma de Vencidos",'Calculos 2'!$A$9,"Responsable ","SUBGERENCIAPLANEACIÓNYPROYECTOS(ZPP)")</f>
        <v>0</v>
      </c>
      <c r="O13" s="183">
        <f>+GETPIVOTDATA("Suma de Finalizados",'Calculos 2'!$A$9,"Responsable ","SUBGERENCIADEPLANEACIÓNYPROYECTOS")+GETPIVOTDATA("Suma de Finalizados",'Calculos 2'!$A$9,"Responsable ","SUBGERENCIAPLANEACIÓNYPROYECTOS")+GETPIVOTDATA("Suma de Finalizados",'Calculos 2'!$A$9,"Responsable ","SUBGERENCIAPLANEACIÓNYPROYECTOS(ZPP)")</f>
        <v>17</v>
      </c>
    </row>
    <row r="14" spans="3:15">
      <c r="D14" s="167"/>
      <c r="E14" s="167"/>
      <c r="F14" s="167"/>
      <c r="G14" s="167"/>
      <c r="K14" s="182" t="s">
        <v>744</v>
      </c>
      <c r="L14" s="183">
        <f>+GETPIVOTDATA("Suma de Total Planes de acción",'Calculos 2'!$A$9,"Responsable ","SUBGERENCIADESERVICIOSOPERACIONALESEINFRAESTRUCTURA")</f>
        <v>2</v>
      </c>
      <c r="M14" s="183">
        <f>+GETPIVOTDATA("Suma de Abiertos",'Calculos 2'!$A$9,"Responsable ","SUBGERENCIADESERVICIOSOPERACIONALESEINFRAESTRUCTURA")</f>
        <v>1</v>
      </c>
      <c r="N14" s="183">
        <f>+GETPIVOTDATA("Suma de Vencidos",'Calculos 2'!$A$9,"Responsable ","SUBGERENCIADESERVICIOSOPERACIONALESEINFRAESTRUCTURA")</f>
        <v>0</v>
      </c>
      <c r="O14" s="183">
        <f>+GETPIVOTDATA("Suma de Finalizados",'Calculos 2'!$A$9,"Responsable ","SUBGERENCIADESERVICIOSOPERACIONALESEINFRAESTRUCTURA")</f>
        <v>1</v>
      </c>
    </row>
    <row r="15" spans="3:15">
      <c r="D15" s="167"/>
      <c r="E15" s="167"/>
      <c r="F15" s="167"/>
      <c r="G15" s="167"/>
      <c r="K15" s="182" t="s">
        <v>745</v>
      </c>
      <c r="L15" s="183">
        <f>+GETPIVOTDATA("Suma de Total Planes de acción",'Calculos 2'!$A$9,"Responsable ","SUBGERENCIAJURÍDICA")</f>
        <v>10</v>
      </c>
      <c r="M15" s="183">
        <f>+GETPIVOTDATA("Suma de Abiertos",'Calculos 2'!$A$9,"Responsable ","SUBGERENCIAJURÍDICA")</f>
        <v>3</v>
      </c>
      <c r="N15" s="183">
        <f>+GETPIVOTDATA("Suma de Vencidos",'Calculos 2'!$A$9,"Responsable ","SUBGERENCIAJURÍDICA")</f>
        <v>0</v>
      </c>
      <c r="O15" s="183">
        <f>+GETPIVOTDATA("Suma de Finalizados",'Calculos 2'!$A$9,"Responsable ","SUBGERENCIAJURÍDICA")</f>
        <v>7</v>
      </c>
    </row>
    <row r="16" spans="3:15" ht="12">
      <c r="D16" s="167"/>
      <c r="E16" s="167"/>
      <c r="F16" s="167"/>
      <c r="G16" s="167"/>
      <c r="K16" s="185" t="s">
        <v>749</v>
      </c>
      <c r="L16" s="185">
        <f>SUM(L6:L15)</f>
        <v>68</v>
      </c>
      <c r="M16" s="185">
        <f>SUM(M6:M15)</f>
        <v>9</v>
      </c>
      <c r="N16" s="185">
        <f>SUM(N6:N15)</f>
        <v>1</v>
      </c>
      <c r="O16" s="185">
        <f>SUM(O6:O15)</f>
        <v>58</v>
      </c>
    </row>
    <row r="17" spans="4:15">
      <c r="D17" s="167"/>
      <c r="E17" s="167"/>
      <c r="F17" s="167"/>
      <c r="G17" s="167"/>
    </row>
    <row r="18" spans="4:15" ht="13.2">
      <c r="D18" s="167"/>
      <c r="E18" s="167"/>
      <c r="F18" s="167"/>
      <c r="G18" s="167"/>
      <c r="K18" s="176" t="s">
        <v>753</v>
      </c>
    </row>
    <row r="20" spans="4:15" ht="24">
      <c r="K20" s="178" t="s">
        <v>731</v>
      </c>
      <c r="L20" s="179" t="s">
        <v>732</v>
      </c>
      <c r="M20" s="179" t="s">
        <v>733</v>
      </c>
      <c r="N20" s="180" t="s">
        <v>734</v>
      </c>
      <c r="O20" s="180" t="s">
        <v>735</v>
      </c>
    </row>
    <row r="21" spans="4:15" ht="22.8">
      <c r="K21" s="188" t="s">
        <v>754</v>
      </c>
      <c r="L21" s="29">
        <f>+GETPIVOTDATA("Suma de Total Planes de acción",'Calculos 2'!$A$9,"Responsable ","DIRECCIÓNDEGESTIÓNFINANCIERA/DIRECCIÓNDERECURSOSFÍSICOSYNEGOCIOS")</f>
        <v>1</v>
      </c>
      <c r="M21" s="29">
        <f>+GETPIVOTDATA("Suma de Abiertos",'Calculos 2'!$A$9,"Responsable ","DIRECCIÓNDEGESTIÓNFINANCIERA/DIRECCIÓNDERECURSOSFÍSICOSYNEGOCIOS")</f>
        <v>1</v>
      </c>
      <c r="N21" s="29">
        <f>+GETPIVOTDATA("Suma de Vencidos",'Calculos 2'!$A$9,"Responsable ","DIRECCIÓNDEGESTIÓNFINANCIERA/DIRECCIÓNDERECURSOSFÍSICOSYNEGOCIOS")</f>
        <v>0</v>
      </c>
      <c r="O21" s="29">
        <f>+GETPIVOTDATA("Suma de Finalizados",'Calculos 2'!$A$9,"Responsable ","DIRECCIÓNDEGESTIÓNFINANCIERA/DIRECCIÓNDERECURSOSFÍSICOSYNEGOCIOS")</f>
        <v>0</v>
      </c>
    </row>
    <row r="22" spans="4:15" ht="22.8">
      <c r="K22" s="188" t="s">
        <v>755</v>
      </c>
      <c r="L22" s="29">
        <f>+GETPIVOTDATA("Suma de Total Planes de acción",'Calculos 2'!$A$9,"Responsable ","DIRECCIÓNDEGESTIÓNFINANCIERA/SUBGERENCIAJURÍDICA")</f>
        <v>1</v>
      </c>
      <c r="M22" s="29">
        <f>+GETPIVOTDATA("Suma de Abiertos",'Calculos 2'!$A$9,"Responsable ","DIRECCIÓNDEGESTIÓNFINANCIERA/SUBGERENCIAJURÍDICA")</f>
        <v>0</v>
      </c>
      <c r="N22" s="29">
        <f>+GETPIVOTDATA("Suma de Vencidos",'Calculos 2'!$A$9,"Responsable ","DIRECCIÓNDEGESTIÓNFINANCIERA/SUBGERENCIAJURÍDICA")</f>
        <v>0</v>
      </c>
      <c r="O22" s="29">
        <f>+GETPIVOTDATA("Suma de Finalizados",'Calculos 2'!$A$9,"Responsable ","DIRECCIÓNDEGESTIÓNFINANCIERA/SUBGERENCIAJURÍDICA")</f>
        <v>1</v>
      </c>
    </row>
    <row r="23" spans="4:15" ht="22.8">
      <c r="K23" s="188" t="s">
        <v>756</v>
      </c>
      <c r="L23" s="29">
        <f>+GETPIVOTDATA("Suma de Total Planes de acción",'Calculos 2'!$A$9,"Responsable ","DIRECCIÓNDERECURSOSFÍSICOSYNEGOCIOS/SUBGERENCIAJURÍDICA")</f>
        <v>1</v>
      </c>
      <c r="M23" s="29">
        <f>+GETPIVOTDATA("Suma de Abiertos",'Calculos 2'!$A$9,"Responsable ","DIRECCIÓNDERECURSOSFÍSICOSYNEGOCIOS/SUBGERENCIAJURÍDICA")</f>
        <v>1</v>
      </c>
      <c r="N23" s="29">
        <f>+GETPIVOTDATA("Suma de Vencidos",'Calculos 2'!$A$9,"Responsable ","DIRECCIÓNDERECURSOSFÍSICOSYNEGOCIOS/SUBGERENCIAJURÍDICA")</f>
        <v>0</v>
      </c>
      <c r="O23" s="29">
        <f>+GETPIVOTDATA("Suma de Finalizados",'Calculos 2'!$A$9,"Responsable ","DIRECCIÓNDERECURSOSFÍSICOSYNEGOCIOS/SUBGERENCIAJURÍDICA")</f>
        <v>0</v>
      </c>
    </row>
    <row r="24" spans="4:15" ht="22.8">
      <c r="K24" s="188" t="s">
        <v>757</v>
      </c>
      <c r="L24" s="29">
        <f>+GETPIVOTDATA("Suma de Total Planes de acción",'Calculos 2'!$A$9,"Responsable ","DIRECCIÓNDERECURSOSTECNOLÓGICOS
DIRECCIÓNDEGESTIÓNFINANCIERA")</f>
        <v>1</v>
      </c>
      <c r="M24" s="29">
        <f>+GETPIVOTDATA("Suma de Abiertos",'Calculos 2'!$A$9,"Responsable ","DIRECCIÓNDERECURSOSTECNOLÓGICOS
DIRECCIÓNDEGESTIÓNFINANCIERA")</f>
        <v>0</v>
      </c>
      <c r="N24" s="29">
        <f>+GETPIVOTDATA("Suma de Vencidos",'Calculos 2'!$A$9,"Responsable ","DIRECCIÓNDERECURSOSTECNOLÓGICOS
DIRECCIÓNDEGESTIÓNFINANCIERA")</f>
        <v>0</v>
      </c>
      <c r="O24" s="29">
        <f>+GETPIVOTDATA("Suma de Finalizados",'Calculos 2'!$A$9,"Responsable ","DIRECCIÓNDERECURSOSTECNOLÓGICOS
DIRECCIÓNDEGESTIÓNFINANCIERA")</f>
        <v>1</v>
      </c>
    </row>
    <row r="25" spans="4:15" ht="22.8">
      <c r="K25" s="188" t="s">
        <v>758</v>
      </c>
      <c r="L25" s="29">
        <f>+GETPIVOTDATA("Suma de Total Planes de acción",'Calculos 2'!$A$9,"Responsable ","DIRECCIÓNDESERVICIOALTRANSPORTADOR/DIRECCIÓNDERECURSOSTECNOLÓGICOS")</f>
        <v>1</v>
      </c>
      <c r="M25" s="29">
        <f>+GETPIVOTDATA("Suma de Abiertos",'Calculos 2'!$A$9,"Responsable ","DIRECCIÓNDESERVICIOALTRANSPORTADOR/DIRECCIÓNDERECURSOSTECNOLÓGICOS")</f>
        <v>0</v>
      </c>
      <c r="N25" s="29">
        <f>+GETPIVOTDATA("Suma de Vencidos",'Calculos 2'!$A$9,"Responsable ","DIRECCIÓNDESERVICIOALTRANSPORTADOR/DIRECCIÓNDERECURSOSTECNOLÓGICOS")</f>
        <v>0</v>
      </c>
      <c r="O25" s="29">
        <f>+GETPIVOTDATA("Suma de Finalizados",'Calculos 2'!$A$9,"Responsable ","DIRECCIÓNDESERVICIOALTRANSPORTADOR/DIRECCIÓNDERECURSOSTECNOLÓGICOS")</f>
        <v>1</v>
      </c>
    </row>
    <row r="26" spans="4:15" ht="34.200000000000003">
      <c r="K26" s="188" t="s">
        <v>759</v>
      </c>
      <c r="L26" s="29">
        <f>+GETPIVOTDATA("Suma de Total Planes de acción",'Calculos 2'!$A$9,"Responsable ","OFICINADEAUDITORÍAINTERNASUBGERENCIAJURÍDICADIRECCIÓNFINANCIERA")</f>
        <v>1</v>
      </c>
      <c r="M26" s="29">
        <f>+GETPIVOTDATA("Suma de Abiertos",'Calculos 2'!$A$9,"Responsable ","OFICINADEAUDITORÍAINTERNASUBGERENCIAJURÍDICADIRECCIÓNFINANCIERA")</f>
        <v>0</v>
      </c>
      <c r="N26" s="29">
        <f>+GETPIVOTDATA("Suma de Vencidos",'Calculos 2'!$A$9,"Responsable ","OFICINADEAUDITORÍAINTERNASUBGERENCIAJURÍDICADIRECCIÓNFINANCIERA")</f>
        <v>0</v>
      </c>
      <c r="O26" s="29">
        <f>+GETPIVOTDATA("Suma de Finalizados",'Calculos 2'!$A$9,"Responsable ","OFICINADEAUDITORÍAINTERNASUBGERENCIAJURÍDICADIRECCIÓNFINANCIERA")</f>
        <v>1</v>
      </c>
    </row>
    <row r="27" spans="4:15" ht="22.8">
      <c r="K27" s="188" t="s">
        <v>760</v>
      </c>
      <c r="L27" s="29">
        <f>+GETPIVOTDATA("Suma de Total Planes de acción",'Calculos 2'!$A$9,"Responsable ","SUBGERENCIACORPORATIVA/DIRECCIÓNDEGESTIÓNFINANCIERA")</f>
        <v>3</v>
      </c>
      <c r="M27" s="29">
        <f>+GETPIVOTDATA("Suma de Abiertos",'Calculos 2'!$A$9,"Responsable ","SUBGERENCIACORPORATIVA/DIRECCIÓNDEGESTIÓNFINANCIERA")</f>
        <v>0</v>
      </c>
      <c r="N27" s="29">
        <f>+GETPIVOTDATA("Suma de Vencidos",'Calculos 2'!$A$9,"Responsable ","SUBGERENCIACORPORATIVA/DIRECCIÓNDEGESTIÓNFINANCIERA")</f>
        <v>3</v>
      </c>
      <c r="O27" s="29">
        <f>+GETPIVOTDATA("Suma de Finalizados",'Calculos 2'!$A$9,"Responsable ","SUBGERENCIACORPORATIVA/DIRECCIÓNDEGESTIÓNFINANCIERA")</f>
        <v>0</v>
      </c>
    </row>
    <row r="28" spans="4:15" ht="22.8">
      <c r="K28" s="188" t="s">
        <v>761</v>
      </c>
      <c r="L28" s="29">
        <f>+GETPIVOTDATA("Suma de Total Planes de acción",'Calculos 2'!$A$9,"Responsable ","SUBGERENCIACORPORATIVA/DIRECCIÓNDERECURSOSTECNOLÓGICOS")</f>
        <v>2</v>
      </c>
      <c r="M28" s="29">
        <f>+GETPIVOTDATA("Suma de Abiertos",'Calculos 2'!$A$9,"Responsable ","SUBGERENCIACORPORATIVA/DIRECCIÓNDERECURSOSTECNOLÓGICOS")</f>
        <v>0</v>
      </c>
      <c r="N28" s="29">
        <f>+GETPIVOTDATA("Suma de Vencidos",'Calculos 2'!$A$9,"Responsable ","SUBGERENCIACORPORATIVA/DIRECCIÓNDERECURSOSTECNOLÓGICOS")</f>
        <v>2</v>
      </c>
      <c r="O28" s="29">
        <f>+GETPIVOTDATA("Suma de Finalizados",'Calculos 2'!$A$9,"Responsable ","SUBGERENCIACORPORATIVA/DIRECCIÓNDERECURSOSTECNOLÓGICOS")</f>
        <v>0</v>
      </c>
    </row>
    <row r="29" spans="4:15" ht="34.200000000000003">
      <c r="K29" s="188" t="s">
        <v>762</v>
      </c>
      <c r="L29" s="29">
        <f>+GETPIVOTDATA("Suma de Total Planes de acción",'Calculos 2'!$A$9,"Responsable ","SUBGERENCIACORPORATIVADIRECCIÓNDEGESTIÓNFINANCIERADIRECCIÓNDERECURSOSTECNOLÓGICOS")</f>
        <v>1</v>
      </c>
      <c r="M29" s="29">
        <f>+GETPIVOTDATA("Suma de Abiertos",'Calculos 2'!$A$9,"Responsable ","SUBGERENCIACORPORATIVADIRECCIÓNDEGESTIÓNFINANCIERADIRECCIÓNDERECURSOSTECNOLÓGICOS")</f>
        <v>0</v>
      </c>
      <c r="N29" s="29">
        <f>+GETPIVOTDATA("Suma de Vencidos",'Calculos 2'!$A$9,"Responsable ","SUBGERENCIACORPORATIVADIRECCIÓNDEGESTIÓNFINANCIERADIRECCIÓNDERECURSOSTECNOLÓGICOS")</f>
        <v>0</v>
      </c>
      <c r="O29" s="29">
        <f>+GETPIVOTDATA("Suma de Finalizados",'Calculos 2'!$A$9,"Responsable ","SUBGERENCIACORPORATIVADIRECCIÓNDEGESTIÓNFINANCIERADIRECCIÓNDERECURSOSTECNOLÓGICOS")</f>
        <v>1</v>
      </c>
    </row>
    <row r="30" spans="4:15" ht="22.8">
      <c r="K30" s="188" t="s">
        <v>763</v>
      </c>
      <c r="L30" s="29">
        <f>+GETPIVOTDATA("Suma de Total Planes de acción",'Calculos 2'!$A$9,"Responsable ","SUBGERENCIADEPLANEACIÓNYPROYECTOSDIRECCIÓNDEGESTIÓNHUMANA")</f>
        <v>2</v>
      </c>
      <c r="M30" s="29">
        <f>+GETPIVOTDATA("Suma de Abiertos",'Calculos 2'!$A$9,"Responsable ","SUBGERENCIADEPLANEACIÓNYPROYECTOSDIRECCIÓNDEGESTIÓNHUMANA")</f>
        <v>0</v>
      </c>
      <c r="N30" s="29">
        <f>+GETPIVOTDATA("Suma de Vencidos",'Calculos 2'!$A$9,"Responsable ","SUBGERENCIADEPLANEACIÓNYPROYECTOSDIRECCIÓNDEGESTIÓNHUMANA")</f>
        <v>0</v>
      </c>
      <c r="O30" s="29">
        <f>+GETPIVOTDATA("Suma de Finalizados",'Calculos 2'!$A$9,"Responsable ","SUBGERENCIADEPLANEACIÓNYPROYECTOSDIRECCIÓNDEGESTIÓNHUMANA")</f>
        <v>2</v>
      </c>
    </row>
    <row r="31" spans="4:15" ht="22.8">
      <c r="K31" s="188" t="s">
        <v>764</v>
      </c>
      <c r="L31" s="29">
        <f>+GETPIVOTDATA("Suma de Total Planes de acción",'Calculos 2'!$A$9,"Responsable ","SUBGERENCIADEPLANEACIÓNYPROYECTOSDIRECCIÓNDERECURSOSFÍSICOSYNEGOCIOS")</f>
        <v>1</v>
      </c>
      <c r="M31" s="29">
        <f>+GETPIVOTDATA("Suma de Abiertos",'Calculos 2'!$A$9,"Responsable ","SUBGERENCIADEPLANEACIÓNYPROYECTOSDIRECCIÓNDERECURSOSFÍSICOSYNEGOCIOS")</f>
        <v>0</v>
      </c>
      <c r="N31" s="29">
        <f>+GETPIVOTDATA("Suma de Vencidos",'Calculos 2'!$A$9,"Responsable ","SUBGERENCIADEPLANEACIÓNYPROYECTOSDIRECCIÓNDERECURSOSFÍSICOSYNEGOCIOS")</f>
        <v>0</v>
      </c>
      <c r="O31" s="29">
        <f>+GETPIVOTDATA("Suma de Finalizados",'Calculos 2'!$A$9,"Responsable ","SUBGERENCIADEPLANEACIÓNYPROYECTOSDIRECCIÓNDERECURSOSFÍSICOSYNEGOCIOS")</f>
        <v>1</v>
      </c>
    </row>
    <row r="32" spans="4:15" ht="22.8">
      <c r="K32" s="188" t="s">
        <v>765</v>
      </c>
      <c r="L32" s="29">
        <f>+GETPIVOTDATA("Suma de Total Planes de acción",'Calculos 2'!$A$9,"Responsable ","SUBGERENCIAJURÍDICADIRECCIÓNDEGESTIÓNHUMANA")</f>
        <v>1</v>
      </c>
      <c r="M32" s="29">
        <f>+GETPIVOTDATA("Suma de Abiertos",'Calculos 2'!$A$9,"Responsable ","SUBGERENCIAJURÍDICADIRECCIÓNDEGESTIÓNHUMANA")</f>
        <v>0</v>
      </c>
      <c r="N32" s="29">
        <f>+GETPIVOTDATA("Suma de Vencidos",'Calculos 2'!$A$9,"Responsable ","SUBGERENCIAJURÍDICADIRECCIÓNDEGESTIÓNHUMANA")</f>
        <v>0</v>
      </c>
      <c r="O32" s="29">
        <f>+GETPIVOTDATA("Suma de Finalizados",'Calculos 2'!$A$9,"Responsable ","SUBGERENCIAJURÍDICADIRECCIÓNDEGESTIÓNHUMANA")</f>
        <v>1</v>
      </c>
    </row>
    <row r="33" spans="11:19" ht="12">
      <c r="K33" s="185" t="s">
        <v>749</v>
      </c>
      <c r="L33" s="185">
        <f>SUM(L21:L32)</f>
        <v>16</v>
      </c>
      <c r="M33" s="185">
        <f>SUM(M21:M32)</f>
        <v>2</v>
      </c>
      <c r="N33" s="185">
        <f>SUM(N21:N32)</f>
        <v>5</v>
      </c>
      <c r="O33" s="185">
        <f>SUM(O21:O32)</f>
        <v>9</v>
      </c>
    </row>
    <row r="36" spans="11:19">
      <c r="K36" s="177" t="s">
        <v>767</v>
      </c>
      <c r="L36" s="30"/>
      <c r="M36" s="30"/>
      <c r="N36" s="30"/>
      <c r="O36" s="30"/>
      <c r="P36" s="30"/>
      <c r="Q36" s="30"/>
      <c r="S36" s="177"/>
    </row>
    <row r="37" spans="11:19">
      <c r="K37" s="177"/>
      <c r="L37" s="30"/>
      <c r="M37" s="30"/>
      <c r="N37" s="30"/>
      <c r="O37" s="30"/>
      <c r="P37" s="30"/>
      <c r="Q37" s="30"/>
      <c r="S37" s="177"/>
    </row>
    <row r="38" spans="11:19" ht="24">
      <c r="K38" s="237" t="s">
        <v>732</v>
      </c>
      <c r="L38" s="179" t="s">
        <v>732</v>
      </c>
      <c r="M38" s="179" t="s">
        <v>733</v>
      </c>
      <c r="N38" s="180" t="s">
        <v>734</v>
      </c>
      <c r="O38" s="180" t="s">
        <v>735</v>
      </c>
      <c r="P38" s="189"/>
      <c r="Q38" s="189" t="s">
        <v>766</v>
      </c>
      <c r="S38" s="177"/>
    </row>
    <row r="39" spans="11:19" ht="12">
      <c r="K39" s="238"/>
      <c r="L39" s="190">
        <f>+L16+L33</f>
        <v>84</v>
      </c>
      <c r="M39" s="190">
        <f>+M16+M33</f>
        <v>11</v>
      </c>
      <c r="N39" s="190">
        <f>+N16+N33</f>
        <v>6</v>
      </c>
      <c r="O39" s="190">
        <f>+O16+O33</f>
        <v>67</v>
      </c>
      <c r="P39" s="191"/>
      <c r="Q39" s="191"/>
      <c r="S39" s="177"/>
    </row>
  </sheetData>
  <mergeCells count="2">
    <mergeCell ref="C9:E9"/>
    <mergeCell ref="K38:K3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6884C-84EB-4052-BB79-916E9F54E54A}">
  <sheetPr codeName="Hoja5"/>
  <dimension ref="A1:T89"/>
  <sheetViews>
    <sheetView showGridLines="0" topLeftCell="A13" workbookViewId="0">
      <selection activeCell="A4" sqref="A4:G15"/>
    </sheetView>
  </sheetViews>
  <sheetFormatPr baseColWidth="10" defaultRowHeight="14.4"/>
  <cols>
    <col min="1" max="1" width="11.44140625" customWidth="1"/>
    <col min="2" max="2" width="9.88671875" customWidth="1"/>
    <col min="3" max="3" width="15.33203125" customWidth="1"/>
    <col min="4" max="4" width="34.5546875" customWidth="1"/>
    <col min="5" max="5" width="35.109375" customWidth="1"/>
    <col min="6" max="6" width="33.21875" customWidth="1"/>
    <col min="7" max="7" width="26" customWidth="1"/>
    <col min="8" max="8" width="13.33203125" customWidth="1"/>
    <col min="9" max="9" width="10.33203125" customWidth="1"/>
    <col min="10" max="10" width="10.44140625" customWidth="1"/>
    <col min="11" max="11" width="10.5546875" bestFit="1" customWidth="1"/>
    <col min="12" max="12" width="16.77734375" style="20" customWidth="1"/>
    <col min="20" max="20" width="12.6640625" bestFit="1" customWidth="1"/>
  </cols>
  <sheetData>
    <row r="1" spans="1:20">
      <c r="A1" s="31"/>
      <c r="B1" s="31"/>
      <c r="C1" s="31"/>
      <c r="D1" s="31"/>
      <c r="E1" s="31"/>
      <c r="F1" s="31"/>
      <c r="G1" s="31"/>
      <c r="H1" s="31"/>
      <c r="I1" s="31"/>
      <c r="J1" s="31"/>
      <c r="K1" s="31"/>
      <c r="L1" s="52"/>
    </row>
    <row r="2" spans="1:20">
      <c r="A2" s="31"/>
      <c r="B2" s="31"/>
      <c r="C2" s="31"/>
      <c r="D2" s="31"/>
      <c r="E2" s="31"/>
      <c r="F2" s="31"/>
      <c r="G2" s="31"/>
      <c r="H2" s="31"/>
      <c r="I2" s="31"/>
      <c r="J2" s="31"/>
      <c r="K2" s="31"/>
      <c r="L2" s="52"/>
    </row>
    <row r="3" spans="1:20">
      <c r="A3" s="31"/>
      <c r="B3" s="31"/>
      <c r="C3" s="31"/>
      <c r="D3" s="31"/>
      <c r="E3" s="31"/>
      <c r="F3" s="31"/>
      <c r="G3" s="31"/>
      <c r="H3" s="31"/>
      <c r="I3" s="31"/>
      <c r="J3" s="31"/>
      <c r="K3" s="31"/>
      <c r="L3" s="52"/>
    </row>
    <row r="4" spans="1:20">
      <c r="A4" s="38" t="s">
        <v>5</v>
      </c>
      <c r="B4" s="38" t="s">
        <v>6</v>
      </c>
      <c r="C4" s="38" t="s">
        <v>7</v>
      </c>
      <c r="D4" s="49" t="s">
        <v>13</v>
      </c>
      <c r="E4" s="49" t="s">
        <v>15</v>
      </c>
      <c r="F4" s="49" t="s">
        <v>19</v>
      </c>
      <c r="G4" s="49" t="s">
        <v>21</v>
      </c>
      <c r="H4" s="49" t="s">
        <v>24</v>
      </c>
      <c r="I4" s="50" t="s">
        <v>618</v>
      </c>
      <c r="J4" s="50" t="s">
        <v>619</v>
      </c>
      <c r="K4" s="50" t="s">
        <v>620</v>
      </c>
      <c r="L4" s="53" t="s">
        <v>636</v>
      </c>
    </row>
    <row r="5" spans="1:20" ht="72">
      <c r="A5" s="165">
        <v>2025</v>
      </c>
      <c r="B5" s="20">
        <v>90</v>
      </c>
      <c r="C5" s="20" t="s">
        <v>30</v>
      </c>
      <c r="D5" s="166" t="s">
        <v>33</v>
      </c>
      <c r="E5" s="166" t="s">
        <v>35</v>
      </c>
      <c r="F5" s="166" t="s">
        <v>676</v>
      </c>
      <c r="G5" s="165" t="s">
        <v>39</v>
      </c>
      <c r="H5" s="164" t="s">
        <v>42</v>
      </c>
      <c r="I5" s="20">
        <v>0</v>
      </c>
      <c r="J5" s="20">
        <v>0</v>
      </c>
      <c r="K5" s="20">
        <v>0</v>
      </c>
      <c r="L5">
        <v>0</v>
      </c>
    </row>
    <row r="6" spans="1:20" ht="172.8">
      <c r="A6" s="165"/>
      <c r="B6" s="20"/>
      <c r="C6" s="20" t="s">
        <v>80</v>
      </c>
      <c r="D6" s="166" t="s">
        <v>81</v>
      </c>
      <c r="E6" s="166" t="s">
        <v>83</v>
      </c>
      <c r="F6" s="166" t="s">
        <v>677</v>
      </c>
      <c r="G6" s="165" t="s">
        <v>86</v>
      </c>
      <c r="H6" s="164" t="s">
        <v>42</v>
      </c>
      <c r="I6" s="20">
        <v>0</v>
      </c>
      <c r="J6" s="20">
        <v>0</v>
      </c>
      <c r="K6" s="20">
        <v>0</v>
      </c>
      <c r="L6">
        <v>0</v>
      </c>
    </row>
    <row r="7" spans="1:20" ht="216">
      <c r="A7" s="165"/>
      <c r="B7" s="20"/>
      <c r="C7" s="20" t="s">
        <v>88</v>
      </c>
      <c r="D7" s="166" t="s">
        <v>89</v>
      </c>
      <c r="E7" s="166" t="s">
        <v>99</v>
      </c>
      <c r="F7" s="166" t="s">
        <v>660</v>
      </c>
      <c r="G7" s="165" t="s">
        <v>86</v>
      </c>
      <c r="H7" s="164" t="s">
        <v>42</v>
      </c>
      <c r="I7" s="20">
        <v>0</v>
      </c>
      <c r="J7" s="20">
        <v>0</v>
      </c>
      <c r="K7" s="20">
        <v>0</v>
      </c>
      <c r="L7">
        <v>0</v>
      </c>
    </row>
    <row r="8" spans="1:20" ht="72">
      <c r="A8" s="165"/>
      <c r="B8" s="20"/>
      <c r="C8" s="20"/>
      <c r="D8" s="166"/>
      <c r="E8" s="166" t="s">
        <v>91</v>
      </c>
      <c r="F8" s="166" t="s">
        <v>658</v>
      </c>
      <c r="G8" s="165" t="s">
        <v>86</v>
      </c>
      <c r="H8" s="164" t="s">
        <v>42</v>
      </c>
      <c r="I8" s="20">
        <v>0</v>
      </c>
      <c r="J8" s="20">
        <v>0</v>
      </c>
      <c r="K8" s="20">
        <v>0</v>
      </c>
      <c r="L8">
        <v>0</v>
      </c>
    </row>
    <row r="9" spans="1:20" ht="72">
      <c r="A9" s="165"/>
      <c r="B9" s="20"/>
      <c r="C9" s="20"/>
      <c r="D9" s="166"/>
      <c r="E9" s="166" t="s">
        <v>95</v>
      </c>
      <c r="F9" s="166" t="s">
        <v>657</v>
      </c>
      <c r="G9" s="165" t="s">
        <v>86</v>
      </c>
      <c r="H9" s="164" t="s">
        <v>42</v>
      </c>
      <c r="I9" s="20">
        <v>0</v>
      </c>
      <c r="J9" s="20">
        <v>0</v>
      </c>
      <c r="K9" s="20">
        <v>0</v>
      </c>
      <c r="L9">
        <v>0</v>
      </c>
    </row>
    <row r="10" spans="1:20" ht="201.6">
      <c r="A10" s="165"/>
      <c r="B10" s="20"/>
      <c r="C10" s="20" t="s">
        <v>115</v>
      </c>
      <c r="D10" s="166" t="s">
        <v>116</v>
      </c>
      <c r="E10" s="166" t="s">
        <v>123</v>
      </c>
      <c r="F10" s="166" t="s">
        <v>660</v>
      </c>
      <c r="G10" s="165" t="s">
        <v>86</v>
      </c>
      <c r="H10" s="164" t="s">
        <v>42</v>
      </c>
      <c r="I10" s="20">
        <v>0</v>
      </c>
      <c r="J10" s="20">
        <v>0</v>
      </c>
      <c r="K10" s="20">
        <v>0</v>
      </c>
      <c r="L10">
        <v>0</v>
      </c>
    </row>
    <row r="11" spans="1:20" ht="144">
      <c r="A11" s="165"/>
      <c r="B11" s="20"/>
      <c r="C11" s="20" t="s">
        <v>179</v>
      </c>
      <c r="D11" s="166" t="s">
        <v>180</v>
      </c>
      <c r="E11" s="166" t="s">
        <v>182</v>
      </c>
      <c r="F11" s="166" t="s">
        <v>662</v>
      </c>
      <c r="G11" s="165" t="s">
        <v>86</v>
      </c>
      <c r="H11" s="164" t="s">
        <v>42</v>
      </c>
      <c r="I11" s="20">
        <v>0</v>
      </c>
      <c r="J11" s="20">
        <v>0</v>
      </c>
      <c r="K11" s="20">
        <v>0</v>
      </c>
      <c r="L11">
        <v>0</v>
      </c>
      <c r="T11" s="186" t="s">
        <v>752</v>
      </c>
    </row>
    <row r="12" spans="1:20" ht="57.6">
      <c r="A12" s="165"/>
      <c r="B12" s="20"/>
      <c r="C12" s="20"/>
      <c r="D12" s="166"/>
      <c r="E12" s="166" t="s">
        <v>186</v>
      </c>
      <c r="F12" s="166" t="s">
        <v>662</v>
      </c>
      <c r="G12" s="165" t="s">
        <v>86</v>
      </c>
      <c r="H12" s="164" t="s">
        <v>42</v>
      </c>
      <c r="I12" s="20">
        <v>0</v>
      </c>
      <c r="J12" s="20">
        <v>0</v>
      </c>
      <c r="K12" s="20">
        <v>0</v>
      </c>
      <c r="L12">
        <v>0</v>
      </c>
    </row>
    <row r="13" spans="1:20" ht="115.2">
      <c r="A13" s="165"/>
      <c r="B13" s="20"/>
      <c r="C13" s="20" t="s">
        <v>190</v>
      </c>
      <c r="D13" s="166" t="s">
        <v>191</v>
      </c>
      <c r="E13" s="166" t="s">
        <v>193</v>
      </c>
      <c r="F13" s="166" t="s">
        <v>663</v>
      </c>
      <c r="G13" s="165" t="s">
        <v>86</v>
      </c>
      <c r="H13" s="164" t="s">
        <v>42</v>
      </c>
      <c r="I13" s="20">
        <v>0</v>
      </c>
      <c r="J13" s="20">
        <v>0</v>
      </c>
      <c r="K13" s="20">
        <v>0</v>
      </c>
      <c r="L13">
        <v>0</v>
      </c>
    </row>
    <row r="14" spans="1:20" ht="100.8">
      <c r="A14" s="165"/>
      <c r="B14" s="20"/>
      <c r="C14" s="20" t="s">
        <v>197</v>
      </c>
      <c r="D14" s="166" t="s">
        <v>198</v>
      </c>
      <c r="E14" s="166" t="s">
        <v>200</v>
      </c>
      <c r="F14" s="166" t="s">
        <v>660</v>
      </c>
      <c r="G14" s="165" t="s">
        <v>86</v>
      </c>
      <c r="H14" s="164" t="s">
        <v>42</v>
      </c>
      <c r="I14" s="20">
        <v>0</v>
      </c>
      <c r="J14" s="20">
        <v>0</v>
      </c>
      <c r="K14" s="20">
        <v>0</v>
      </c>
      <c r="L14">
        <v>0</v>
      </c>
    </row>
    <row r="15" spans="1:20" ht="172.8">
      <c r="A15" s="165"/>
      <c r="B15" s="20"/>
      <c r="C15" s="20" t="s">
        <v>229</v>
      </c>
      <c r="D15" s="166" t="s">
        <v>230</v>
      </c>
      <c r="E15" s="166" t="s">
        <v>232</v>
      </c>
      <c r="F15" s="166" t="s">
        <v>661</v>
      </c>
      <c r="G15" s="165" t="s">
        <v>39</v>
      </c>
      <c r="H15" s="164" t="s">
        <v>42</v>
      </c>
      <c r="I15" s="20">
        <v>0</v>
      </c>
      <c r="J15" s="20">
        <v>0</v>
      </c>
      <c r="K15" s="20">
        <v>0</v>
      </c>
      <c r="L15">
        <v>0</v>
      </c>
    </row>
    <row r="16" spans="1:20">
      <c r="A16" s="20" t="s">
        <v>624</v>
      </c>
      <c r="B16" s="20"/>
      <c r="C16" s="20"/>
      <c r="D16" s="20"/>
      <c r="E16" s="20"/>
      <c r="F16" s="20"/>
      <c r="G16" s="20"/>
      <c r="H16" s="20"/>
      <c r="I16" s="20"/>
      <c r="J16" s="20"/>
      <c r="K16" s="20"/>
    </row>
    <row r="17" spans="12:12">
      <c r="L17"/>
    </row>
    <row r="18" spans="12:12">
      <c r="L18"/>
    </row>
    <row r="19" spans="12:12">
      <c r="L19"/>
    </row>
    <row r="20" spans="12:12">
      <c r="L20"/>
    </row>
    <row r="21" spans="12:12">
      <c r="L21"/>
    </row>
    <row r="22" spans="12:12">
      <c r="L22"/>
    </row>
    <row r="23" spans="12:12">
      <c r="L23"/>
    </row>
    <row r="24" spans="12:12">
      <c r="L24"/>
    </row>
    <row r="25" spans="12:12">
      <c r="L25"/>
    </row>
    <row r="26" spans="12:12">
      <c r="L26"/>
    </row>
    <row r="27" spans="12:12">
      <c r="L27"/>
    </row>
    <row r="28" spans="12:12">
      <c r="L28"/>
    </row>
    <row r="29" spans="12:12">
      <c r="L29"/>
    </row>
    <row r="30" spans="12:12">
      <c r="L30"/>
    </row>
    <row r="31" spans="12:12">
      <c r="L31"/>
    </row>
    <row r="32" spans="12:12">
      <c r="L32"/>
    </row>
    <row r="33" spans="12:12">
      <c r="L33"/>
    </row>
    <row r="34" spans="12:12">
      <c r="L34"/>
    </row>
    <row r="35" spans="12:12">
      <c r="L35"/>
    </row>
    <row r="36" spans="12:12">
      <c r="L36"/>
    </row>
    <row r="37" spans="12:12">
      <c r="L37"/>
    </row>
    <row r="38" spans="12:12">
      <c r="L38"/>
    </row>
    <row r="39" spans="12:12">
      <c r="L39"/>
    </row>
    <row r="40" spans="12:12">
      <c r="L40"/>
    </row>
    <row r="41" spans="12:12">
      <c r="L41"/>
    </row>
    <row r="42" spans="12:12">
      <c r="L42"/>
    </row>
    <row r="43" spans="12:12">
      <c r="L43"/>
    </row>
    <row r="44" spans="12:12">
      <c r="L44"/>
    </row>
    <row r="45" spans="12:12">
      <c r="L45"/>
    </row>
    <row r="46" spans="12:12">
      <c r="L46"/>
    </row>
    <row r="47" spans="12:12">
      <c r="L47"/>
    </row>
    <row r="48" spans="12:12">
      <c r="L48"/>
    </row>
    <row r="49" spans="12:12">
      <c r="L49"/>
    </row>
    <row r="50" spans="12:12">
      <c r="L50"/>
    </row>
    <row r="51" spans="12:12">
      <c r="L51"/>
    </row>
    <row r="52" spans="12:12">
      <c r="L52"/>
    </row>
    <row r="53" spans="12:12">
      <c r="L53"/>
    </row>
    <row r="54" spans="12:12">
      <c r="L54"/>
    </row>
    <row r="55" spans="12:12">
      <c r="L55"/>
    </row>
    <row r="56" spans="12:12">
      <c r="L56"/>
    </row>
    <row r="57" spans="12:12">
      <c r="L57"/>
    </row>
    <row r="58" spans="12:12">
      <c r="L58"/>
    </row>
    <row r="59" spans="12:12">
      <c r="L59"/>
    </row>
    <row r="60" spans="12:12">
      <c r="L60"/>
    </row>
    <row r="61" spans="12:12">
      <c r="L61"/>
    </row>
    <row r="62" spans="12:12">
      <c r="L62"/>
    </row>
    <row r="63" spans="12:12">
      <c r="L63"/>
    </row>
    <row r="64" spans="12:12">
      <c r="L64"/>
    </row>
    <row r="65" spans="12:12">
      <c r="L65"/>
    </row>
    <row r="66" spans="12:12">
      <c r="L66"/>
    </row>
    <row r="67" spans="12:12">
      <c r="L67"/>
    </row>
    <row r="68" spans="12:12">
      <c r="L68"/>
    </row>
    <row r="69" spans="12:12">
      <c r="L69"/>
    </row>
    <row r="70" spans="12:12">
      <c r="L70"/>
    </row>
    <row r="71" spans="12:12">
      <c r="L71"/>
    </row>
    <row r="72" spans="12:12">
      <c r="L72"/>
    </row>
    <row r="73" spans="12:12">
      <c r="L73"/>
    </row>
    <row r="74" spans="12:12">
      <c r="L74"/>
    </row>
    <row r="75" spans="12:12">
      <c r="L75"/>
    </row>
    <row r="76" spans="12:12">
      <c r="L76"/>
    </row>
    <row r="77" spans="12:12">
      <c r="L77"/>
    </row>
    <row r="78" spans="12:12">
      <c r="L78"/>
    </row>
    <row r="79" spans="12:12">
      <c r="L79"/>
    </row>
    <row r="80" spans="12:12">
      <c r="L80"/>
    </row>
    <row r="81" spans="12:12">
      <c r="L81"/>
    </row>
    <row r="82" spans="12:12">
      <c r="L82"/>
    </row>
    <row r="83" spans="12:12">
      <c r="L83"/>
    </row>
    <row r="84" spans="12:12">
      <c r="L84"/>
    </row>
    <row r="85" spans="12:12">
      <c r="L85"/>
    </row>
    <row r="86" spans="12:12">
      <c r="L86"/>
    </row>
    <row r="87" spans="12:12">
      <c r="L87"/>
    </row>
    <row r="88" spans="12:12">
      <c r="L88"/>
    </row>
    <row r="89" spans="12:12">
      <c r="L89"/>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1D614-2DAE-4002-A898-4C12BEE06757}">
  <dimension ref="B2:I11"/>
  <sheetViews>
    <sheetView showGridLines="0" topLeftCell="A8" workbookViewId="0">
      <selection activeCell="F15" sqref="F15"/>
    </sheetView>
  </sheetViews>
  <sheetFormatPr baseColWidth="10" defaultRowHeight="10.199999999999999"/>
  <cols>
    <col min="1" max="1" width="11.5546875" style="26" customWidth="1"/>
    <col min="2" max="2" width="11.44140625" style="26" customWidth="1"/>
    <col min="3" max="3" width="9.88671875" style="26" customWidth="1"/>
    <col min="4" max="4" width="15.33203125" style="26" customWidth="1"/>
    <col min="5" max="5" width="34.5546875" style="26" customWidth="1"/>
    <col min="6" max="6" width="35.109375" style="26" customWidth="1"/>
    <col min="7" max="7" width="33.21875" style="26" customWidth="1"/>
    <col min="8" max="8" width="20.77734375" style="26" customWidth="1"/>
    <col min="9" max="9" width="19.109375" style="26" customWidth="1"/>
    <col min="10" max="16384" width="11.5546875" style="26"/>
  </cols>
  <sheetData>
    <row r="2" spans="2:9" s="199" customFormat="1">
      <c r="B2" s="198" t="s">
        <v>768</v>
      </c>
      <c r="C2" s="198" t="s">
        <v>747</v>
      </c>
      <c r="D2" s="198" t="s">
        <v>7</v>
      </c>
      <c r="E2" s="198" t="s">
        <v>13</v>
      </c>
      <c r="F2" s="198" t="s">
        <v>15</v>
      </c>
      <c r="G2" s="198" t="s">
        <v>19</v>
      </c>
      <c r="H2" s="198" t="s">
        <v>21</v>
      </c>
      <c r="I2" s="193" t="s">
        <v>771</v>
      </c>
    </row>
    <row r="3" spans="2:9" ht="61.2">
      <c r="B3" s="196">
        <v>2024</v>
      </c>
      <c r="C3" s="194">
        <v>90</v>
      </c>
      <c r="D3" s="194" t="s">
        <v>257</v>
      </c>
      <c r="E3" s="195" t="s">
        <v>258</v>
      </c>
      <c r="F3" s="195" t="s">
        <v>260</v>
      </c>
      <c r="G3" s="195" t="s">
        <v>681</v>
      </c>
      <c r="H3" s="196" t="s">
        <v>263</v>
      </c>
      <c r="I3" s="72" t="s">
        <v>265</v>
      </c>
    </row>
    <row r="4" spans="2:9" ht="61.2">
      <c r="B4" s="196">
        <v>2024</v>
      </c>
      <c r="C4" s="194">
        <v>90</v>
      </c>
      <c r="D4" s="194" t="s">
        <v>279</v>
      </c>
      <c r="E4" s="195" t="s">
        <v>280</v>
      </c>
      <c r="F4" s="195" t="s">
        <v>288</v>
      </c>
      <c r="G4" s="195" t="s">
        <v>681</v>
      </c>
      <c r="H4" s="196" t="s">
        <v>263</v>
      </c>
      <c r="I4" s="72" t="s">
        <v>286</v>
      </c>
    </row>
    <row r="5" spans="2:9" ht="72">
      <c r="B5" s="196">
        <v>2025</v>
      </c>
      <c r="C5" s="194">
        <v>90</v>
      </c>
      <c r="D5" s="194" t="s">
        <v>152</v>
      </c>
      <c r="E5" s="195" t="s">
        <v>153</v>
      </c>
      <c r="F5" s="195" t="s">
        <v>155</v>
      </c>
      <c r="G5" s="195" t="s">
        <v>679</v>
      </c>
      <c r="H5" s="197">
        <v>46142</v>
      </c>
      <c r="I5" s="97" t="s">
        <v>159</v>
      </c>
    </row>
    <row r="6" spans="2:9" ht="51">
      <c r="B6" s="196">
        <v>2025</v>
      </c>
      <c r="C6" s="194">
        <v>90</v>
      </c>
      <c r="D6" s="194" t="s">
        <v>160</v>
      </c>
      <c r="E6" s="195" t="s">
        <v>161</v>
      </c>
      <c r="F6" s="195" t="s">
        <v>155</v>
      </c>
      <c r="G6" s="195" t="s">
        <v>679</v>
      </c>
      <c r="H6" s="196" t="s">
        <v>158</v>
      </c>
      <c r="I6" s="65" t="s">
        <v>163</v>
      </c>
    </row>
    <row r="7" spans="2:9" ht="61.2">
      <c r="B7" s="196">
        <v>2025</v>
      </c>
      <c r="C7" s="194">
        <v>90</v>
      </c>
      <c r="D7" s="194" t="s">
        <v>164</v>
      </c>
      <c r="E7" s="195" t="s">
        <v>165</v>
      </c>
      <c r="F7" s="195" t="s">
        <v>155</v>
      </c>
      <c r="G7" s="195" t="s">
        <v>679</v>
      </c>
      <c r="H7" s="196" t="s">
        <v>158</v>
      </c>
      <c r="I7" s="65" t="s">
        <v>167</v>
      </c>
    </row>
    <row r="8" spans="2:9" ht="112.2">
      <c r="B8" s="196">
        <v>2025</v>
      </c>
      <c r="C8" s="194">
        <v>90</v>
      </c>
      <c r="D8" s="194" t="s">
        <v>168</v>
      </c>
      <c r="E8" s="195" t="s">
        <v>169</v>
      </c>
      <c r="F8" s="195" t="s">
        <v>171</v>
      </c>
      <c r="G8" s="195" t="s">
        <v>661</v>
      </c>
      <c r="H8" s="196" t="s">
        <v>77</v>
      </c>
      <c r="I8" s="97" t="s">
        <v>175</v>
      </c>
    </row>
    <row r="9" spans="2:9" ht="72">
      <c r="B9" s="196">
        <v>2025</v>
      </c>
      <c r="C9" s="194">
        <v>90</v>
      </c>
      <c r="D9" s="194" t="s">
        <v>204</v>
      </c>
      <c r="E9" s="195" t="s">
        <v>205</v>
      </c>
      <c r="F9" s="195" t="s">
        <v>211</v>
      </c>
      <c r="G9" s="195" t="s">
        <v>660</v>
      </c>
      <c r="H9" s="196" t="s">
        <v>121</v>
      </c>
      <c r="I9" s="97" t="s">
        <v>214</v>
      </c>
    </row>
    <row r="10" spans="2:9" ht="102">
      <c r="B10" s="196">
        <v>2025</v>
      </c>
      <c r="C10" s="194">
        <v>90</v>
      </c>
      <c r="D10" s="194" t="s">
        <v>215</v>
      </c>
      <c r="E10" s="195" t="s">
        <v>216</v>
      </c>
      <c r="F10" s="195" t="s">
        <v>218</v>
      </c>
      <c r="G10" s="195" t="s">
        <v>657</v>
      </c>
      <c r="H10" s="196" t="s">
        <v>158</v>
      </c>
      <c r="I10" s="65" t="s">
        <v>221</v>
      </c>
    </row>
    <row r="11" spans="2:9" ht="102">
      <c r="B11" s="196">
        <v>2025</v>
      </c>
      <c r="C11" s="194">
        <v>90</v>
      </c>
      <c r="D11" s="194" t="s">
        <v>215</v>
      </c>
      <c r="E11" s="195" t="s">
        <v>216</v>
      </c>
      <c r="F11" s="195" t="s">
        <v>222</v>
      </c>
      <c r="G11" s="195" t="s">
        <v>657</v>
      </c>
      <c r="H11" s="196" t="s">
        <v>158</v>
      </c>
      <c r="I11" s="97" t="s">
        <v>225</v>
      </c>
    </row>
  </sheetData>
  <hyperlinks>
    <hyperlink ref="I3" r:id="rId1" xr:uid="{87BF709C-C6E3-4815-A4C6-6BADFE3BA9D1}"/>
    <hyperlink ref="I4" r:id="rId2" xr:uid="{79505C90-4DAE-4BBC-8328-CA85A923DE50}"/>
    <hyperlink ref="I5" r:id="rId3" xr:uid="{55C26041-7A87-4166-9EBB-1CE232AD77DD}"/>
    <hyperlink ref="I6" r:id="rId4" xr:uid="{DDE977D0-99A9-44D6-A8AB-20AAD36F44C8}"/>
    <hyperlink ref="I7" r:id="rId5" xr:uid="{DB05FC5E-C392-4DB9-9BCB-AB424C59A7B8}"/>
    <hyperlink ref="I8" r:id="rId6" xr:uid="{12263D79-7F1A-40A5-B5D0-07ECE70658A1}"/>
    <hyperlink ref="I9" r:id="rId7" xr:uid="{14E886D3-5E83-421A-B3DC-BC95F50C3122}"/>
    <hyperlink ref="I10" r:id="rId8" xr:uid="{3AC7C819-0009-4959-BB0B-72AC0478467C}"/>
    <hyperlink ref="I11" r:id="rId9" xr:uid="{E4CDB18C-D570-471C-B9C8-785EC5035A34}"/>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EAD92-0BF0-49A1-893A-2B86DA2F0B43}">
  <dimension ref="B2:I13"/>
  <sheetViews>
    <sheetView showGridLines="0" workbookViewId="0">
      <selection activeCell="I2" sqref="I2"/>
    </sheetView>
  </sheetViews>
  <sheetFormatPr baseColWidth="10" defaultRowHeight="10.199999999999999"/>
  <cols>
    <col min="1" max="1" width="11.5546875" style="26"/>
    <col min="2" max="2" width="10" style="26" customWidth="1"/>
    <col min="3" max="3" width="7.44140625" style="26" customWidth="1"/>
    <col min="4" max="4" width="13.77734375" style="26" customWidth="1"/>
    <col min="5" max="5" width="27.44140625" style="26" customWidth="1"/>
    <col min="6" max="6" width="30" style="26" customWidth="1"/>
    <col min="7" max="7" width="33.21875" style="26" customWidth="1"/>
    <col min="8" max="8" width="19.21875" style="26" customWidth="1"/>
    <col min="9" max="9" width="24.21875" style="26" customWidth="1"/>
    <col min="10" max="16384" width="11.5546875" style="26"/>
  </cols>
  <sheetData>
    <row r="2" spans="2:9" s="25" customFormat="1">
      <c r="B2" s="193" t="s">
        <v>769</v>
      </c>
      <c r="C2" s="193" t="s">
        <v>770</v>
      </c>
      <c r="D2" s="193" t="s">
        <v>7</v>
      </c>
      <c r="E2" s="193" t="s">
        <v>13</v>
      </c>
      <c r="F2" s="193" t="s">
        <v>15</v>
      </c>
      <c r="G2" s="193" t="s">
        <v>19</v>
      </c>
      <c r="H2" s="193" t="s">
        <v>21</v>
      </c>
      <c r="I2" s="193" t="s">
        <v>771</v>
      </c>
    </row>
    <row r="3" spans="2:9" ht="61.2">
      <c r="B3" s="200">
        <v>2025</v>
      </c>
      <c r="C3" s="201">
        <v>90</v>
      </c>
      <c r="D3" s="194" t="s">
        <v>30</v>
      </c>
      <c r="E3" s="202" t="s">
        <v>33</v>
      </c>
      <c r="F3" s="195" t="s">
        <v>35</v>
      </c>
      <c r="G3" s="202" t="s">
        <v>676</v>
      </c>
      <c r="H3" s="196" t="s">
        <v>39</v>
      </c>
      <c r="I3" s="97" t="s">
        <v>43</v>
      </c>
    </row>
    <row r="4" spans="2:9" ht="122.4">
      <c r="B4" s="200">
        <v>2025</v>
      </c>
      <c r="C4" s="201">
        <v>90</v>
      </c>
      <c r="D4" s="194" t="s">
        <v>80</v>
      </c>
      <c r="E4" s="202" t="s">
        <v>81</v>
      </c>
      <c r="F4" s="195" t="s">
        <v>83</v>
      </c>
      <c r="G4" s="202" t="s">
        <v>677</v>
      </c>
      <c r="H4" s="196" t="s">
        <v>86</v>
      </c>
      <c r="I4" s="97" t="s">
        <v>87</v>
      </c>
    </row>
    <row r="5" spans="2:9" ht="163.19999999999999">
      <c r="B5" s="200">
        <v>2025</v>
      </c>
      <c r="C5" s="201">
        <v>90</v>
      </c>
      <c r="D5" s="194" t="s">
        <v>88</v>
      </c>
      <c r="E5" s="202" t="s">
        <v>89</v>
      </c>
      <c r="F5" s="195" t="s">
        <v>99</v>
      </c>
      <c r="G5" s="202" t="s">
        <v>660</v>
      </c>
      <c r="H5" s="196" t="s">
        <v>86</v>
      </c>
      <c r="I5" s="97" t="s">
        <v>94</v>
      </c>
    </row>
    <row r="6" spans="2:9" ht="163.19999999999999">
      <c r="B6" s="200">
        <v>2025</v>
      </c>
      <c r="C6" s="201">
        <v>90</v>
      </c>
      <c r="D6" s="194" t="s">
        <v>88</v>
      </c>
      <c r="E6" s="202" t="s">
        <v>89</v>
      </c>
      <c r="F6" s="195" t="s">
        <v>91</v>
      </c>
      <c r="G6" s="202" t="s">
        <v>658</v>
      </c>
      <c r="H6" s="196" t="s">
        <v>86</v>
      </c>
      <c r="I6" s="97" t="s">
        <v>98</v>
      </c>
    </row>
    <row r="7" spans="2:9" ht="163.19999999999999">
      <c r="B7" s="200">
        <v>2025</v>
      </c>
      <c r="C7" s="201">
        <v>90</v>
      </c>
      <c r="D7" s="194" t="s">
        <v>88</v>
      </c>
      <c r="E7" s="202" t="s">
        <v>89</v>
      </c>
      <c r="F7" s="195" t="s">
        <v>95</v>
      </c>
      <c r="G7" s="202" t="s">
        <v>657</v>
      </c>
      <c r="H7" s="196" t="s">
        <v>86</v>
      </c>
      <c r="I7" s="97" t="s">
        <v>102</v>
      </c>
    </row>
    <row r="8" spans="2:9" ht="153">
      <c r="B8" s="200">
        <v>2025</v>
      </c>
      <c r="C8" s="201">
        <v>90</v>
      </c>
      <c r="D8" s="194" t="s">
        <v>115</v>
      </c>
      <c r="E8" s="202" t="s">
        <v>116</v>
      </c>
      <c r="F8" s="195" t="s">
        <v>123</v>
      </c>
      <c r="G8" s="202" t="s">
        <v>660</v>
      </c>
      <c r="H8" s="196" t="s">
        <v>86</v>
      </c>
      <c r="I8" s="97" t="s">
        <v>126</v>
      </c>
    </row>
    <row r="9" spans="2:9" ht="102">
      <c r="B9" s="200">
        <v>2025</v>
      </c>
      <c r="C9" s="201">
        <v>90</v>
      </c>
      <c r="D9" s="194" t="s">
        <v>179</v>
      </c>
      <c r="E9" s="202" t="s">
        <v>180</v>
      </c>
      <c r="F9" s="195" t="s">
        <v>182</v>
      </c>
      <c r="G9" s="202" t="s">
        <v>662</v>
      </c>
      <c r="H9" s="196" t="s">
        <v>86</v>
      </c>
      <c r="I9" s="97" t="s">
        <v>185</v>
      </c>
    </row>
    <row r="10" spans="2:9" ht="102">
      <c r="B10" s="200">
        <v>2025</v>
      </c>
      <c r="C10" s="201">
        <v>90</v>
      </c>
      <c r="D10" s="194" t="s">
        <v>179</v>
      </c>
      <c r="E10" s="202" t="s">
        <v>180</v>
      </c>
      <c r="F10" s="195" t="s">
        <v>186</v>
      </c>
      <c r="G10" s="202" t="s">
        <v>662</v>
      </c>
      <c r="H10" s="196" t="s">
        <v>86</v>
      </c>
      <c r="I10" s="97" t="s">
        <v>189</v>
      </c>
    </row>
    <row r="11" spans="2:9" ht="91.8">
      <c r="B11" s="200">
        <v>2025</v>
      </c>
      <c r="C11" s="201">
        <v>90</v>
      </c>
      <c r="D11" s="194" t="s">
        <v>190</v>
      </c>
      <c r="E11" s="202" t="s">
        <v>191</v>
      </c>
      <c r="F11" s="195" t="s">
        <v>193</v>
      </c>
      <c r="G11" s="202" t="s">
        <v>663</v>
      </c>
      <c r="H11" s="196" t="s">
        <v>86</v>
      </c>
      <c r="I11" s="97" t="s">
        <v>196</v>
      </c>
    </row>
    <row r="12" spans="2:9" ht="81.599999999999994">
      <c r="B12" s="200">
        <v>2025</v>
      </c>
      <c r="C12" s="201">
        <v>90</v>
      </c>
      <c r="D12" s="194" t="s">
        <v>197</v>
      </c>
      <c r="E12" s="202" t="s">
        <v>198</v>
      </c>
      <c r="F12" s="195" t="s">
        <v>200</v>
      </c>
      <c r="G12" s="202" t="s">
        <v>660</v>
      </c>
      <c r="H12" s="196" t="s">
        <v>86</v>
      </c>
      <c r="I12" s="97" t="s">
        <v>203</v>
      </c>
    </row>
    <row r="13" spans="2:9" ht="132.6">
      <c r="B13" s="200">
        <v>2025</v>
      </c>
      <c r="C13" s="201">
        <v>90</v>
      </c>
      <c r="D13" s="194" t="s">
        <v>229</v>
      </c>
      <c r="E13" s="202" t="s">
        <v>230</v>
      </c>
      <c r="F13" s="195" t="s">
        <v>232</v>
      </c>
      <c r="G13" s="202" t="s">
        <v>661</v>
      </c>
      <c r="H13" s="196" t="s">
        <v>39</v>
      </c>
      <c r="I13" s="97" t="s">
        <v>235</v>
      </c>
    </row>
  </sheetData>
  <hyperlinks>
    <hyperlink ref="I3" r:id="rId1" xr:uid="{0154A84E-5081-4C93-9ECD-09C378A90208}"/>
    <hyperlink ref="I4" r:id="rId2" xr:uid="{F87DE926-1D92-4A08-8286-F20BE1DE1D1C}"/>
    <hyperlink ref="I5" r:id="rId3" xr:uid="{BC13432E-2407-46A5-BD90-1E8A9499E458}"/>
    <hyperlink ref="I6" r:id="rId4" xr:uid="{C12FB04D-EED3-4515-8A29-A2904850AE69}"/>
    <hyperlink ref="I7" r:id="rId5" xr:uid="{EBC17364-276E-4600-87AB-CB1AFB82597C}"/>
    <hyperlink ref="I8" r:id="rId6" xr:uid="{557677B3-29EE-49FE-9DEE-DD4FD2E19375}"/>
    <hyperlink ref="I9" r:id="rId7" xr:uid="{B5B9DDD3-4976-4F02-9DEC-65E32F17D21B}"/>
    <hyperlink ref="I10" r:id="rId8" xr:uid="{971E6E11-764A-4D80-96B5-10AA792DA2C3}"/>
    <hyperlink ref="I11" r:id="rId9" xr:uid="{A349EB80-4A80-4705-B318-7F37D0154A5A}"/>
    <hyperlink ref="I12" r:id="rId10" xr:uid="{7045ACB9-D035-4E30-AE1C-B66602F6D306}"/>
    <hyperlink ref="I13" r:id="rId11" xr:uid="{0A21E782-83A8-4512-B75F-AA346D787E89}"/>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8D415-DCCB-4474-83C7-BE2D4B5310E5}">
  <sheetPr codeName="Hoja8"/>
  <dimension ref="B2:H11"/>
  <sheetViews>
    <sheetView showGridLines="0" topLeftCell="A8" workbookViewId="0">
      <selection activeCell="B18" sqref="B18"/>
    </sheetView>
  </sheetViews>
  <sheetFormatPr baseColWidth="10" defaultRowHeight="11.4"/>
  <cols>
    <col min="1" max="1" width="11.5546875" style="167"/>
    <col min="2" max="2" width="13.5546875" style="167" customWidth="1"/>
    <col min="3" max="3" width="15.21875" style="168" customWidth="1"/>
    <col min="4" max="4" width="13.88671875" style="168" customWidth="1"/>
    <col min="5" max="5" width="37.21875" style="168" customWidth="1"/>
    <col min="6" max="6" width="36.44140625" style="168" customWidth="1"/>
    <col min="7" max="7" width="33.21875" style="168" customWidth="1"/>
    <col min="8" max="8" width="16.21875" style="168" customWidth="1"/>
    <col min="9" max="16384" width="11.5546875" style="167"/>
  </cols>
  <sheetData>
    <row r="2" spans="2:8" ht="48">
      <c r="B2" s="169" t="s">
        <v>5</v>
      </c>
      <c r="C2" s="169" t="s">
        <v>6</v>
      </c>
      <c r="D2" s="169" t="s">
        <v>7</v>
      </c>
      <c r="E2" s="169" t="s">
        <v>13</v>
      </c>
      <c r="F2" s="169" t="s">
        <v>15</v>
      </c>
      <c r="G2" s="169" t="s">
        <v>19</v>
      </c>
      <c r="H2" s="169" t="s">
        <v>21</v>
      </c>
    </row>
    <row r="3" spans="2:8" ht="68.400000000000006">
      <c r="B3" s="170">
        <v>2024</v>
      </c>
      <c r="C3" s="170">
        <v>90</v>
      </c>
      <c r="D3" s="28" t="s">
        <v>257</v>
      </c>
      <c r="E3" s="171" t="s">
        <v>258</v>
      </c>
      <c r="F3" s="171" t="s">
        <v>260</v>
      </c>
      <c r="G3" s="172" t="s">
        <v>681</v>
      </c>
      <c r="H3" s="28" t="s">
        <v>263</v>
      </c>
    </row>
    <row r="4" spans="2:8" ht="68.400000000000006">
      <c r="B4" s="170">
        <v>2024</v>
      </c>
      <c r="C4" s="170">
        <v>90</v>
      </c>
      <c r="D4" s="28" t="s">
        <v>279</v>
      </c>
      <c r="E4" s="171" t="s">
        <v>280</v>
      </c>
      <c r="F4" s="171" t="s">
        <v>288</v>
      </c>
      <c r="G4" s="172" t="s">
        <v>681</v>
      </c>
      <c r="H4" s="28" t="s">
        <v>263</v>
      </c>
    </row>
    <row r="5" spans="2:8" ht="68.400000000000006">
      <c r="B5" s="170">
        <v>2025</v>
      </c>
      <c r="C5" s="170">
        <v>90</v>
      </c>
      <c r="D5" s="28" t="s">
        <v>152</v>
      </c>
      <c r="E5" s="171" t="s">
        <v>153</v>
      </c>
      <c r="F5" s="171" t="s">
        <v>155</v>
      </c>
      <c r="G5" s="172" t="s">
        <v>679</v>
      </c>
      <c r="H5" s="173">
        <v>46142</v>
      </c>
    </row>
    <row r="6" spans="2:8" ht="68.400000000000006">
      <c r="B6" s="170">
        <v>2025</v>
      </c>
      <c r="C6" s="170"/>
      <c r="D6" s="28" t="s">
        <v>160</v>
      </c>
      <c r="E6" s="171" t="s">
        <v>161</v>
      </c>
      <c r="F6" s="171" t="s">
        <v>155</v>
      </c>
      <c r="G6" s="172" t="s">
        <v>679</v>
      </c>
      <c r="H6" s="28" t="s">
        <v>158</v>
      </c>
    </row>
    <row r="7" spans="2:8" ht="68.400000000000006">
      <c r="B7" s="170">
        <v>2025</v>
      </c>
      <c r="C7" s="170"/>
      <c r="D7" s="28" t="s">
        <v>164</v>
      </c>
      <c r="E7" s="171" t="s">
        <v>165</v>
      </c>
      <c r="F7" s="171" t="s">
        <v>155</v>
      </c>
      <c r="G7" s="172" t="s">
        <v>679</v>
      </c>
      <c r="H7" s="28" t="s">
        <v>158</v>
      </c>
    </row>
    <row r="8" spans="2:8" ht="125.4">
      <c r="B8" s="170">
        <v>2025</v>
      </c>
      <c r="C8" s="170"/>
      <c r="D8" s="28" t="s">
        <v>168</v>
      </c>
      <c r="E8" s="171" t="s">
        <v>169</v>
      </c>
      <c r="F8" s="171" t="s">
        <v>171</v>
      </c>
      <c r="G8" s="172" t="s">
        <v>661</v>
      </c>
      <c r="H8" s="28" t="s">
        <v>77</v>
      </c>
    </row>
    <row r="9" spans="2:8" ht="91.2">
      <c r="B9" s="170">
        <v>2025</v>
      </c>
      <c r="C9" s="170"/>
      <c r="D9" s="28" t="s">
        <v>204</v>
      </c>
      <c r="E9" s="171" t="s">
        <v>205</v>
      </c>
      <c r="F9" s="171" t="s">
        <v>211</v>
      </c>
      <c r="G9" s="172" t="s">
        <v>660</v>
      </c>
      <c r="H9" s="28" t="s">
        <v>121</v>
      </c>
    </row>
    <row r="10" spans="2:8" ht="97.2" customHeight="1">
      <c r="B10" s="170">
        <v>2025</v>
      </c>
      <c r="C10" s="170"/>
      <c r="D10" s="28" t="s">
        <v>215</v>
      </c>
      <c r="E10" s="239" t="s">
        <v>216</v>
      </c>
      <c r="F10" s="171" t="s">
        <v>218</v>
      </c>
      <c r="G10" s="172" t="s">
        <v>657</v>
      </c>
      <c r="H10" s="28" t="s">
        <v>158</v>
      </c>
    </row>
    <row r="11" spans="2:8" ht="22.8">
      <c r="B11" s="170">
        <v>2025</v>
      </c>
      <c r="C11" s="170"/>
      <c r="D11" s="28" t="s">
        <v>215</v>
      </c>
      <c r="E11" s="239"/>
      <c r="F11" s="171" t="s">
        <v>222</v>
      </c>
      <c r="G11" s="172" t="s">
        <v>657</v>
      </c>
      <c r="H11" s="28" t="s">
        <v>158</v>
      </c>
    </row>
  </sheetData>
  <mergeCells count="1">
    <mergeCell ref="E10:E1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84C86-F435-4553-91DF-C17F40D7F206}">
  <sheetPr codeName="Hoja2"/>
  <dimension ref="A1:X88"/>
  <sheetViews>
    <sheetView showGridLines="0" topLeftCell="C14" workbookViewId="0">
      <selection activeCell="H43" sqref="H43"/>
    </sheetView>
  </sheetViews>
  <sheetFormatPr baseColWidth="10" defaultRowHeight="13.2"/>
  <cols>
    <col min="1" max="1" width="0.44140625" style="14" customWidth="1"/>
    <col min="2" max="2" width="2.33203125" style="16" customWidth="1"/>
    <col min="3" max="3" width="13.5546875" style="25" customWidth="1"/>
    <col min="4" max="4" width="13.109375" style="25" customWidth="1"/>
    <col min="5" max="5" width="13" style="25" customWidth="1"/>
    <col min="6" max="6" width="61.44140625" style="25" customWidth="1"/>
    <col min="7" max="7" width="14.77734375" style="19" customWidth="1"/>
    <col min="8" max="8" width="20.6640625" style="30" bestFit="1" customWidth="1"/>
    <col min="9" max="9" width="17.6640625" style="30" customWidth="1"/>
    <col min="10" max="10" width="18.6640625" style="30" customWidth="1"/>
    <col min="11" max="11" width="14.5546875" style="30" customWidth="1"/>
    <col min="12" max="14" width="11.5546875" style="30"/>
    <col min="15" max="15" width="11.5546875" style="23"/>
    <col min="16" max="17" width="11.5546875" style="16"/>
    <col min="18" max="18" width="13.44140625" style="16" customWidth="1"/>
    <col min="19" max="16384" width="11.5546875" style="16"/>
  </cols>
  <sheetData>
    <row r="1" spans="1:21" s="14" customFormat="1" ht="2.4" customHeight="1">
      <c r="C1" s="24"/>
      <c r="D1" s="24"/>
      <c r="E1" s="24"/>
      <c r="F1" s="24"/>
      <c r="G1" s="18"/>
      <c r="H1" s="27"/>
      <c r="I1" s="27"/>
      <c r="J1" s="27"/>
      <c r="K1" s="27"/>
      <c r="L1" s="27"/>
      <c r="M1" s="27"/>
      <c r="N1" s="27"/>
      <c r="O1" s="22"/>
    </row>
    <row r="3" spans="1:21" s="17" customFormat="1">
      <c r="A3" s="15"/>
      <c r="C3" s="33" t="s">
        <v>610</v>
      </c>
      <c r="D3" s="33" t="s">
        <v>611</v>
      </c>
      <c r="E3" s="33" t="s">
        <v>612</v>
      </c>
      <c r="F3" s="33" t="s">
        <v>622</v>
      </c>
      <c r="G3" s="34" t="s">
        <v>614</v>
      </c>
      <c r="H3" s="35" t="s">
        <v>613</v>
      </c>
      <c r="I3" s="35" t="s">
        <v>617</v>
      </c>
      <c r="J3" s="35" t="s">
        <v>615</v>
      </c>
      <c r="K3" s="35" t="s">
        <v>616</v>
      </c>
      <c r="L3" s="36" t="s">
        <v>618</v>
      </c>
      <c r="M3" s="36" t="s">
        <v>619</v>
      </c>
      <c r="N3" s="37" t="s">
        <v>620</v>
      </c>
      <c r="O3" s="36" t="s">
        <v>636</v>
      </c>
      <c r="P3" s="174" t="s">
        <v>724</v>
      </c>
      <c r="Q3" s="174" t="s">
        <v>725</v>
      </c>
      <c r="R3" s="174" t="s">
        <v>729</v>
      </c>
      <c r="S3" s="174" t="s">
        <v>726</v>
      </c>
      <c r="T3" s="174" t="s">
        <v>727</v>
      </c>
      <c r="U3" s="174" t="s">
        <v>728</v>
      </c>
    </row>
    <row r="4" spans="1:21">
      <c r="C4" s="4">
        <v>2025</v>
      </c>
      <c r="D4" s="4">
        <v>90</v>
      </c>
      <c r="E4" s="4" t="s">
        <v>30</v>
      </c>
      <c r="F4" s="5" t="s">
        <v>676</v>
      </c>
      <c r="G4" s="28">
        <f>IF(COUNTIFS($C$4:C4, C4, $D$4:D4, D4, $E$4:E4, E4)=1, 1, 0)</f>
        <v>1</v>
      </c>
      <c r="H4" s="29" cm="1">
        <f t="array" ref="H4">SUMPRODUCT((TRIM(CLEAN('Base de Datos'!$F$2:$F$3000))&amp;""=TRIM(CLEAN(C4))&amp;"")*(TRIM(CLEAN('Base de Datos'!$G$2:$G$3000))&amp;""=TRIM(CLEAN(D4))&amp;"")*(TRIM(CLEAN('Base de Datos'!$H$2:$H$3000))&amp;""=TRIM(CLEAN(E4))&amp;"")*(TRIM(CLEAN('Base de Datos'!$U$2:$U$3000))&amp;""=TRIM(CLEAN(F4))&amp;""))</f>
        <v>0</v>
      </c>
      <c r="I4" s="29">
        <f>COUNTIFS('Base de Datos'!$F:$F,$C4,'Base de Datos'!$G:$G,$D4,'Base de Datos'!$H:$H,$E4,'Base de Datos'!$U:$U,$F4,'Base de Datos'!$AA:$AA,"Abierta")</f>
        <v>0</v>
      </c>
      <c r="J4" s="29">
        <f>COUNTIFS('Base de Datos'!$F:$F,$C4,'Base de Datos'!$G:$G,$D4,'Base de Datos'!$H:$H,$E4,'Base de Datos'!$U:$U,$F4,'Base de Datos'!$AA:$AA,"Vencida")</f>
        <v>0</v>
      </c>
      <c r="K4" s="29">
        <f>COUNTIFS('Base de Datos'!$F:$F,$C4,'Base de Datos'!$G:$G,$D4,'Base de Datos'!$H:$H,$E4,'Base de Datos'!$U:$U,$F4,'Base de Datos'!$AA:$AA,"Finalizada")</f>
        <v>0</v>
      </c>
      <c r="L4" s="29">
        <f>COUNTIFS('Base de Datos'!$F:$F,$C4,'Base de Datos'!$G:$G,$D4,'Base de Datos'!$H:$H,$E4,'Base de Datos'!$U:$U,$F4,'Base de Datos'!$AA:$AA,"Abierta",'Base de Datos'!$AC:$AC,"&lt;=10",'Base de Datos'!$AC:$AC,"&gt;0")</f>
        <v>0</v>
      </c>
      <c r="M4" s="29">
        <f>COUNTIFS('Base de Datos'!$F:$F,$C4,'Base de Datos'!$G:$G,$D4,'Base de Datos'!$H:$H,$E4,'Base de Datos'!$U:$U,$F4,'Base de Datos'!$AA:$AA,"Abierta",'Base de Datos'!$AC:$AC,"&lt;=20",'Base de Datos'!$AC:$AC,"&gt;10")</f>
        <v>0</v>
      </c>
      <c r="N4" s="32">
        <f>COUNTIFS('Base de Datos'!$F:$F,$C4,'Base de Datos'!$G:$G,$D4,'Base de Datos'!$H:$H,$E4,'Base de Datos'!$U:$U,$F4,'Base de Datos'!$AA:$AA,"Abierta",'Base de Datos'!$AC:$AC,"&lt;=30",'Base de Datos'!$AC:$AC,"&gt;20")</f>
        <v>0</v>
      </c>
      <c r="O4" s="51">
        <f>COUNTIFS('Base de Datos'!$F:$F,$C4,'Base de Datos'!$G:$G,$D4,'Base de Datos'!$H:$H,$E4,'Base de Datos'!$U:$U,$F4,'Base de Datos'!$AA:$AA,"Abierta",'Base de Datos'!$AG:$AG,1)</f>
        <v>0</v>
      </c>
      <c r="P4" s="29" t="e">
        <f>COUNTIFS('Base de Datos'!$F:$F, $C4, 'Base de Datos'!$H:$H, $E4, 'Base de Datos'!$U:$U, $F4, 'Base de Datos'!$AA:$AA, "Finalizada", 'Base de Datos'!#REF!, "&gt;=01/01/2026", 'Base de Datos'!#REF!, "&lt;=31/01/2026")</f>
        <v>#REF!</v>
      </c>
      <c r="Q4" s="29" t="e">
        <f>COUNTIFS('Base de Datos'!$F:$F, $C4, 'Base de Datos'!$H:$H, $E4, 'Base de Datos'!$U:$U, $F4, 'Base de Datos'!$AA:$AA, "Finalizada", 'Base de Datos'!#REF!, "&gt;=01/02/2026", 'Base de Datos'!#REF!, "&lt;=28/02/2026")</f>
        <v>#REF!</v>
      </c>
      <c r="R4" s="29" t="e">
        <f>COUNTIFS('Base de Datos'!$F:$F, $C4, 'Base de Datos'!$H:$H, $E4, 'Base de Datos'!$U:$U, $F4, 'Base de Datos'!$AA:$AA, "Finalizada", 'Base de Datos'!#REF!, "&gt;=01/03/2026", 'Base de Datos'!#REF!, "&lt;=31/03/2026")</f>
        <v>#REF!</v>
      </c>
      <c r="S4" s="29" t="e">
        <f>COUNTIFS('Base de Datos'!$F:$F, $C4, 'Base de Datos'!$H:$H, $E4, 'Base de Datos'!$U:$U, $F4, 'Base de Datos'!$AA:$AA, "Finalizada", 'Base de Datos'!#REF!, "&gt;=01/04/2026", 'Base de Datos'!#REF!, "&lt;=30/04/2026")</f>
        <v>#REF!</v>
      </c>
      <c r="T4" s="29" t="e">
        <f>COUNTIFS('Base de Datos'!$F:$F, $C4, 'Base de Datos'!$H:$H, $E4, 'Base de Datos'!$U:$U, $F4, 'Base de Datos'!$AA:$AA, "Finalizada", 'Base de Datos'!#REF!, "&gt;=01/05/2026", 'Base de Datos'!#REF!, "&lt;=31/05/2026")</f>
        <v>#REF!</v>
      </c>
      <c r="U4" s="29" t="e">
        <f>COUNTIFS('Base de Datos'!$F:$F, $C4, 'Base de Datos'!$H:$H, $E4, 'Base de Datos'!$U:$U, $F4, 'Base de Datos'!$AA:$AA, "Finalizada", 'Base de Datos'!#REF!, "&gt;=01/06/2026", 'Base de Datos'!#REF!, "&lt;=30/06/2026")</f>
        <v>#REF!</v>
      </c>
    </row>
    <row r="5" spans="1:21">
      <c r="C5" s="4">
        <v>2025</v>
      </c>
      <c r="D5" s="4">
        <v>90</v>
      </c>
      <c r="E5" s="4" t="s">
        <v>30</v>
      </c>
      <c r="F5" s="5" t="s">
        <v>657</v>
      </c>
      <c r="G5" s="28">
        <f>IF(COUNTIFS($C$4:C5, C5, $D$4:D5, D5, $E$4:E5, E5)=1, 1, 0)</f>
        <v>0</v>
      </c>
      <c r="H5" s="29" cm="1">
        <f t="array" ref="H5">SUMPRODUCT((TRIM(CLEAN('Base de Datos'!$F$2:$F$3000))&amp;""=TRIM(CLEAN(C5))&amp;"")*(TRIM(CLEAN('Base de Datos'!$G$2:$G$3000))&amp;""=TRIM(CLEAN(D5))&amp;"")*(TRIM(CLEAN('Base de Datos'!$H$2:$H$3000))&amp;""=TRIM(CLEAN(E5))&amp;"")*(TRIM(CLEAN('Base de Datos'!$U$2:$U$3000))&amp;""=TRIM(CLEAN(F5))&amp;""))</f>
        <v>0</v>
      </c>
      <c r="I5" s="29">
        <f>COUNTIFS('Base de Datos'!$F:$F,$C5,'Base de Datos'!$G:$G,$D5,'Base de Datos'!$H:$H,$E5,'Base de Datos'!$U:$U,$F5,'Base de Datos'!$AA:$AA,"Abierta")</f>
        <v>0</v>
      </c>
      <c r="J5" s="29">
        <f>COUNTIFS('Base de Datos'!$F:$F,$C5,'Base de Datos'!$G:$G,$D5,'Base de Datos'!$H:$H,$E5,'Base de Datos'!$U:$U,$F5,'Base de Datos'!$AA:$AA,"Vencida")</f>
        <v>0</v>
      </c>
      <c r="K5" s="29">
        <f>COUNTIFS('Base de Datos'!$F:$F,$C5,'Base de Datos'!$G:$G,$D5,'Base de Datos'!$H:$H,$E5,'Base de Datos'!$U:$U,$F5,'Base de Datos'!$AA:$AA,"Finalizada")</f>
        <v>0</v>
      </c>
      <c r="L5" s="29">
        <f>COUNTIFS('Base de Datos'!$F:$F,$C5,'Base de Datos'!$G:$G,$D5,'Base de Datos'!$H:$H,$E5,'Base de Datos'!$U:$U,$F5,'Base de Datos'!$AA:$AA,"Abierta",'Base de Datos'!$AC:$AC,"&lt;=10",'Base de Datos'!$AC:$AC,"&gt;0")</f>
        <v>0</v>
      </c>
      <c r="M5" s="29">
        <f>COUNTIFS('Base de Datos'!$F:$F,$C5,'Base de Datos'!$G:$G,$D5,'Base de Datos'!$H:$H,$E5,'Base de Datos'!$U:$U,$F5,'Base de Datos'!$AA:$AA,"Abierta",'Base de Datos'!$AC:$AC,"&lt;=20",'Base de Datos'!$AC:$AC,"&gt;10")</f>
        <v>0</v>
      </c>
      <c r="N5" s="32">
        <f>COUNTIFS('Base de Datos'!$F:$F,$C5,'Base de Datos'!$G:$G,$D5,'Base de Datos'!$H:$H,$E5,'Base de Datos'!$U:$U,$F5,'Base de Datos'!$AA:$AA,"Abierta",'Base de Datos'!$AC:$AC,"&lt;=30",'Base de Datos'!$AC:$AC,"&gt;20")</f>
        <v>0</v>
      </c>
      <c r="O5" s="29">
        <f>COUNTIFS('Base de Datos'!$F:$F,$C5,'Base de Datos'!$G:$G,$D5,'Base de Datos'!$H:$H,$E5,'Base de Datos'!$U:$U,$F5,'Base de Datos'!$AA:$AA,"Abierta",'Base de Datos'!$AG:$AG,1)</f>
        <v>0</v>
      </c>
      <c r="P5" s="29" t="e">
        <f>COUNTIFS('Base de Datos'!$F:$F, $C5, 'Base de Datos'!$H:$H, $E5, 'Base de Datos'!$U:$U, $F5, 'Base de Datos'!$AA:$AA, "Finalizada", 'Base de Datos'!#REF!, "&gt;=01/01/2026", 'Base de Datos'!#REF!, "&lt;=31/01/2026")</f>
        <v>#REF!</v>
      </c>
      <c r="Q5" s="29" t="e">
        <f>COUNTIFS('Base de Datos'!$F:$F, $C5, 'Base de Datos'!$H:$H, $E5, 'Base de Datos'!$U:$U, $F5, 'Base de Datos'!$AA:$AA, "Finalizada", 'Base de Datos'!#REF!, "&gt;=01/02/2026", 'Base de Datos'!#REF!, "&lt;=28/02/2026")</f>
        <v>#REF!</v>
      </c>
      <c r="R5" s="29" t="e">
        <f>COUNTIFS('Base de Datos'!$F:$F, $C5, 'Base de Datos'!$H:$H, $E5, 'Base de Datos'!$U:$U, $F5, 'Base de Datos'!$AA:$AA, "Finalizada", 'Base de Datos'!#REF!, "&gt;=01/03/2026", 'Base de Datos'!#REF!, "&lt;=31/03/2026")</f>
        <v>#REF!</v>
      </c>
      <c r="S5" s="29" t="e">
        <f>COUNTIFS('Base de Datos'!$F:$F, $C5, 'Base de Datos'!$H:$H, $E5, 'Base de Datos'!$U:$U, $F5, 'Base de Datos'!$AA:$AA, "Finalizada", 'Base de Datos'!#REF!, "&gt;=01/04/2026", 'Base de Datos'!#REF!, "&lt;=30/04/2026")</f>
        <v>#REF!</v>
      </c>
      <c r="T5" s="29" t="e">
        <f>COUNTIFS('Base de Datos'!$F:$F, $C5, 'Base de Datos'!$H:$H, $E5, 'Base de Datos'!$U:$U, $F5, 'Base de Datos'!$AA:$AA, "Finalizada", 'Base de Datos'!#REF!, "&gt;=01/05/2026", 'Base de Datos'!#REF!, "&lt;=31/05/2026")</f>
        <v>#REF!</v>
      </c>
      <c r="U5" s="29" t="e">
        <f>COUNTIFS('Base de Datos'!$F:$F, $C5, 'Base de Datos'!$H:$H, $E5, 'Base de Datos'!$U:$U, $F5, 'Base de Datos'!$AA:$AA, "Finalizada", 'Base de Datos'!#REF!, "&gt;=01/06/2026", 'Base de Datos'!#REF!, "&lt;=30/06/2026")</f>
        <v>#REF!</v>
      </c>
    </row>
    <row r="6" spans="1:21">
      <c r="C6" s="4">
        <v>2025</v>
      </c>
      <c r="D6" s="4">
        <v>90</v>
      </c>
      <c r="E6" s="4" t="s">
        <v>48</v>
      </c>
      <c r="F6" s="5" t="s">
        <v>658</v>
      </c>
      <c r="G6" s="28">
        <f>IF(COUNTIFS($C$4:C6, C6, $D$4:D6, D6, $E$4:E6, E6)=1, 1, 0)</f>
        <v>1</v>
      </c>
      <c r="H6" s="29" cm="1">
        <f t="array" ref="H6">SUMPRODUCT((TRIM(CLEAN('Base de Datos'!$F$2:$F$3000))&amp;""=TRIM(CLEAN(C6))&amp;"")*(TRIM(CLEAN('Base de Datos'!$G$2:$G$3000))&amp;""=TRIM(CLEAN(D6))&amp;"")*(TRIM(CLEAN('Base de Datos'!$H$2:$H$3000))&amp;""=TRIM(CLEAN(E6))&amp;"")*(TRIM(CLEAN('Base de Datos'!$U$2:$U$3000))&amp;""=TRIM(CLEAN(F6))&amp;""))</f>
        <v>0</v>
      </c>
      <c r="I6" s="29">
        <f>COUNTIFS('Base de Datos'!$F:$F,$C6,'Base de Datos'!$G:$G,$D6,'Base de Datos'!$H:$H,$E6,'Base de Datos'!$U:$U,$F6,'Base de Datos'!$AA:$AA,"Abierta")</f>
        <v>0</v>
      </c>
      <c r="J6" s="29">
        <f>COUNTIFS('Base de Datos'!$F:$F,$C6,'Base de Datos'!$G:$G,$D6,'Base de Datos'!$H:$H,$E6,'Base de Datos'!$U:$U,$F6,'Base de Datos'!$AA:$AA,"Vencida")</f>
        <v>0</v>
      </c>
      <c r="K6" s="29">
        <f>COUNTIFS('Base de Datos'!$F:$F,$C6,'Base de Datos'!$G:$G,$D6,'Base de Datos'!$H:$H,$E6,'Base de Datos'!$U:$U,$F6,'Base de Datos'!$AA:$AA,"Finalizada")</f>
        <v>0</v>
      </c>
      <c r="L6" s="29">
        <f>COUNTIFS('Base de Datos'!$F:$F,$C6,'Base de Datos'!$G:$G,$D6,'Base de Datos'!$H:$H,$E6,'Base de Datos'!$U:$U,$F6,'Base de Datos'!$AA:$AA,"Abierta",'Base de Datos'!$AC:$AC,"&lt;=10",'Base de Datos'!$AC:$AC,"&gt;0")</f>
        <v>0</v>
      </c>
      <c r="M6" s="29">
        <f>COUNTIFS('Base de Datos'!$F:$F,$C6,'Base de Datos'!$G:$G,$D6,'Base de Datos'!$H:$H,$E6,'Base de Datos'!$U:$U,$F6,'Base de Datos'!$AA:$AA,"Abierta",'Base de Datos'!$AC:$AC,"&lt;=20",'Base de Datos'!$AC:$AC,"&gt;10")</f>
        <v>0</v>
      </c>
      <c r="N6" s="32">
        <f>COUNTIFS('Base de Datos'!$F:$F,$C6,'Base de Datos'!$G:$G,$D6,'Base de Datos'!$H:$H,$E6,'Base de Datos'!$U:$U,$F6,'Base de Datos'!$AA:$AA,"Abierta",'Base de Datos'!$AC:$AC,"&lt;=30",'Base de Datos'!$AC:$AC,"&gt;20")</f>
        <v>0</v>
      </c>
      <c r="O6" s="29">
        <f>COUNTIFS('Base de Datos'!$F:$F,$C6,'Base de Datos'!$G:$G,$D6,'Base de Datos'!$H:$H,$E6,'Base de Datos'!$U:$U,$F6,'Base de Datos'!$AA:$AA,"Abierta",'Base de Datos'!$AG:$AG,1)</f>
        <v>0</v>
      </c>
      <c r="P6" s="29" t="e">
        <f>COUNTIFS('Base de Datos'!$F:$F, $C6, 'Base de Datos'!$H:$H, $E6, 'Base de Datos'!$U:$U, $F6, 'Base de Datos'!$AA:$AA, "Finalizada", 'Base de Datos'!#REF!, "&gt;=01/01/2026", 'Base de Datos'!#REF!, "&lt;=31/01/2026")</f>
        <v>#REF!</v>
      </c>
      <c r="Q6" s="29" t="e">
        <f>COUNTIFS('Base de Datos'!$F:$F, $C6, 'Base de Datos'!$H:$H, $E6, 'Base de Datos'!$U:$U, $F6, 'Base de Datos'!$AA:$AA, "Finalizada", 'Base de Datos'!#REF!, "&gt;=01/02/2026", 'Base de Datos'!#REF!, "&lt;=28/02/2026")</f>
        <v>#REF!</v>
      </c>
      <c r="R6" s="29" t="e">
        <f>COUNTIFS('Base de Datos'!$F:$F, $C6, 'Base de Datos'!$H:$H, $E6, 'Base de Datos'!$U:$U, $F6, 'Base de Datos'!$AA:$AA, "Finalizada", 'Base de Datos'!#REF!, "&gt;=01/03/2026", 'Base de Datos'!#REF!, "&lt;=31/03/2026")</f>
        <v>#REF!</v>
      </c>
      <c r="S6" s="29" t="e">
        <f>COUNTIFS('Base de Datos'!$F:$F, $C6, 'Base de Datos'!$H:$H, $E6, 'Base de Datos'!$U:$U, $F6, 'Base de Datos'!$AA:$AA, "Finalizada", 'Base de Datos'!#REF!, "&gt;=01/04/2026", 'Base de Datos'!#REF!, "&lt;=30/04/2026")</f>
        <v>#REF!</v>
      </c>
      <c r="T6" s="29" t="e">
        <f>COUNTIFS('Base de Datos'!$F:$F, $C6, 'Base de Datos'!$H:$H, $E6, 'Base de Datos'!$U:$U, $F6, 'Base de Datos'!$AA:$AA, "Finalizada", 'Base de Datos'!#REF!, "&gt;=01/05/2026", 'Base de Datos'!#REF!, "&lt;=31/05/2026")</f>
        <v>#REF!</v>
      </c>
      <c r="U6" s="29" t="e">
        <f>COUNTIFS('Base de Datos'!$F:$F, $C6, 'Base de Datos'!$H:$H, $E6, 'Base de Datos'!$U:$U, $F6, 'Base de Datos'!$AA:$AA, "Finalizada", 'Base de Datos'!#REF!, "&gt;=01/06/2026", 'Base de Datos'!#REF!, "&lt;=30/06/2026")</f>
        <v>#REF!</v>
      </c>
    </row>
    <row r="7" spans="1:21">
      <c r="C7" s="4">
        <v>2025</v>
      </c>
      <c r="D7" s="4">
        <v>90</v>
      </c>
      <c r="E7" s="4" t="s">
        <v>62</v>
      </c>
      <c r="F7" s="5" t="s">
        <v>659</v>
      </c>
      <c r="G7" s="28">
        <f>IF(COUNTIFS($C$4:C7, C7, $D$4:D7, D7, $E$4:E7, E7)=1, 1, 0)</f>
        <v>1</v>
      </c>
      <c r="H7" s="29" cm="1">
        <f t="array" ref="H7">SUMPRODUCT((TRIM(CLEAN('Base de Datos'!$F$2:$F$3000))&amp;""=TRIM(CLEAN(C7))&amp;"")*(TRIM(CLEAN('Base de Datos'!$G$2:$G$3000))&amp;""=TRIM(CLEAN(D7))&amp;"")*(TRIM(CLEAN('Base de Datos'!$H$2:$H$3000))&amp;""=TRIM(CLEAN(E7))&amp;"")*(TRIM(CLEAN('Base de Datos'!$U$2:$U$3000))&amp;""=TRIM(CLEAN(F7))&amp;""))</f>
        <v>0</v>
      </c>
      <c r="I7" s="29">
        <f>COUNTIFS('Base de Datos'!$F:$F,$C7,'Base de Datos'!$G:$G,$D7,'Base de Datos'!$H:$H,$E7,'Base de Datos'!$U:$U,$F7,'Base de Datos'!$AA:$AA,"Abierta")</f>
        <v>0</v>
      </c>
      <c r="J7" s="29">
        <f>COUNTIFS('Base de Datos'!$F:$F,$C7,'Base de Datos'!$G:$G,$D7,'Base de Datos'!$H:$H,$E7,'Base de Datos'!$U:$U,$F7,'Base de Datos'!$AA:$AA,"Vencida")</f>
        <v>0</v>
      </c>
      <c r="K7" s="29">
        <f>COUNTIFS('Base de Datos'!$F:$F,$C7,'Base de Datos'!$G:$G,$D7,'Base de Datos'!$H:$H,$E7,'Base de Datos'!$U:$U,$F7,'Base de Datos'!$AA:$AA,"Finalizada")</f>
        <v>0</v>
      </c>
      <c r="L7" s="29">
        <f>COUNTIFS('Base de Datos'!$F:$F,$C7,'Base de Datos'!$G:$G,$D7,'Base de Datos'!$H:$H,$E7,'Base de Datos'!$U:$U,$F7,'Base de Datos'!$AA:$AA,"Abierta",'Base de Datos'!$AC:$AC,"&lt;=10",'Base de Datos'!$AC:$AC,"&gt;0")</f>
        <v>0</v>
      </c>
      <c r="M7" s="29">
        <f>COUNTIFS('Base de Datos'!$F:$F,$C7,'Base de Datos'!$G:$G,$D7,'Base de Datos'!$H:$H,$E7,'Base de Datos'!$U:$U,$F7,'Base de Datos'!$AA:$AA,"Abierta",'Base de Datos'!$AC:$AC,"&lt;=20",'Base de Datos'!$AC:$AC,"&gt;10")</f>
        <v>0</v>
      </c>
      <c r="N7" s="32">
        <f>COUNTIFS('Base de Datos'!$F:$F,$C7,'Base de Datos'!$G:$G,$D7,'Base de Datos'!$H:$H,$E7,'Base de Datos'!$U:$U,$F7,'Base de Datos'!$AA:$AA,"Abierta",'Base de Datos'!$AC:$AC,"&lt;=30",'Base de Datos'!$AC:$AC,"&gt;20")</f>
        <v>0</v>
      </c>
      <c r="O7" s="29">
        <f>COUNTIFS('Base de Datos'!$F:$F,$C7,'Base de Datos'!$G:$G,$D7,'Base de Datos'!$H:$H,$E7,'Base de Datos'!$U:$U,$F7,'Base de Datos'!$AA:$AA,"Abierta",'Base de Datos'!$AG:$AG,1)</f>
        <v>0</v>
      </c>
      <c r="P7" s="29" t="e">
        <f>COUNTIFS('Base de Datos'!$F:$F, $C7, 'Base de Datos'!$H:$H, $E7, 'Base de Datos'!$U:$U, $F7, 'Base de Datos'!$AA:$AA, "Finalizada", 'Base de Datos'!#REF!, "&gt;=01/01/2026", 'Base de Datos'!#REF!, "&lt;=31/01/2026")</f>
        <v>#REF!</v>
      </c>
      <c r="Q7" s="29" t="e">
        <f>COUNTIFS('Base de Datos'!$F:$F, $C7, 'Base de Datos'!$H:$H, $E7, 'Base de Datos'!$U:$U, $F7, 'Base de Datos'!$AA:$AA, "Finalizada", 'Base de Datos'!#REF!, "&gt;=01/02/2026", 'Base de Datos'!#REF!, "&lt;=28/02/2026")</f>
        <v>#REF!</v>
      </c>
      <c r="R7" s="29" t="e">
        <f>COUNTIFS('Base de Datos'!$F:$F, $C7, 'Base de Datos'!$H:$H, $E7, 'Base de Datos'!$U:$U, $F7, 'Base de Datos'!$AA:$AA, "Finalizada", 'Base de Datos'!#REF!, "&gt;=01/03/2026", 'Base de Datos'!#REF!, "&lt;=31/03/2026")</f>
        <v>#REF!</v>
      </c>
      <c r="S7" s="29" t="e">
        <f>COUNTIFS('Base de Datos'!$F:$F, $C7, 'Base de Datos'!$H:$H, $E7, 'Base de Datos'!$U:$U, $F7, 'Base de Datos'!$AA:$AA, "Finalizada", 'Base de Datos'!#REF!, "&gt;=01/04/2026", 'Base de Datos'!#REF!, "&lt;=30/04/2026")</f>
        <v>#REF!</v>
      </c>
      <c r="T7" s="29" t="e">
        <f>COUNTIFS('Base de Datos'!$F:$F, $C7, 'Base de Datos'!$H:$H, $E7, 'Base de Datos'!$U:$U, $F7, 'Base de Datos'!$AA:$AA, "Finalizada", 'Base de Datos'!#REF!, "&gt;=01/05/2026", 'Base de Datos'!#REF!, "&lt;=31/05/2026")</f>
        <v>#REF!</v>
      </c>
      <c r="U7" s="29" t="e">
        <f>COUNTIFS('Base de Datos'!$F:$F, $C7, 'Base de Datos'!$H:$H, $E7, 'Base de Datos'!$U:$U, $F7, 'Base de Datos'!$AA:$AA, "Finalizada", 'Base de Datos'!#REF!, "&gt;=01/06/2026", 'Base de Datos'!#REF!, "&lt;=30/06/2026")</f>
        <v>#REF!</v>
      </c>
    </row>
    <row r="8" spans="1:21">
      <c r="C8" s="4">
        <v>2025</v>
      </c>
      <c r="D8" s="4">
        <v>90</v>
      </c>
      <c r="E8" s="4" t="s">
        <v>80</v>
      </c>
      <c r="F8" s="5" t="s">
        <v>677</v>
      </c>
      <c r="G8" s="28">
        <f>IF(COUNTIFS($C$4:C8, C8, $D$4:D8, D8, $E$4:E8, E8)=1, 1, 0)</f>
        <v>1</v>
      </c>
      <c r="H8" s="29" cm="1">
        <f t="array" ref="H8">SUMPRODUCT((TRIM(CLEAN('Base de Datos'!$F$2:$F$3000))&amp;""=TRIM(CLEAN(C8))&amp;"")*(TRIM(CLEAN('Base de Datos'!$G$2:$G$3000))&amp;""=TRIM(CLEAN(D8))&amp;"")*(TRIM(CLEAN('Base de Datos'!$H$2:$H$3000))&amp;""=TRIM(CLEAN(E8))&amp;"")*(TRIM(CLEAN('Base de Datos'!$U$2:$U$3000))&amp;""=TRIM(CLEAN(F8))&amp;""))</f>
        <v>0</v>
      </c>
      <c r="I8" s="29">
        <f>COUNTIFS('Base de Datos'!$F:$F,$C8,'Base de Datos'!$G:$G,$D8,'Base de Datos'!$H:$H,$E8,'Base de Datos'!$U:$U,$F8,'Base de Datos'!$AA:$AA,"Abierta")</f>
        <v>0</v>
      </c>
      <c r="J8" s="29">
        <f>COUNTIFS('Base de Datos'!$F:$F,$C8,'Base de Datos'!$G:$G,$D8,'Base de Datos'!$H:$H,$E8,'Base de Datos'!$U:$U,$F8,'Base de Datos'!$AA:$AA,"Vencida")</f>
        <v>0</v>
      </c>
      <c r="K8" s="29">
        <f>COUNTIFS('Base de Datos'!$F:$F,$C8,'Base de Datos'!$G:$G,$D8,'Base de Datos'!$H:$H,$E8,'Base de Datos'!$U:$U,$F8,'Base de Datos'!$AA:$AA,"Finalizada")</f>
        <v>0</v>
      </c>
      <c r="L8" s="29">
        <f>COUNTIFS('Base de Datos'!$F:$F,$C8,'Base de Datos'!$G:$G,$D8,'Base de Datos'!$H:$H,$E8,'Base de Datos'!$U:$U,$F8,'Base de Datos'!$AA:$AA,"Abierta",'Base de Datos'!$AC:$AC,"&lt;=10",'Base de Datos'!$AC:$AC,"&gt;0")</f>
        <v>0</v>
      </c>
      <c r="M8" s="29">
        <f>COUNTIFS('Base de Datos'!$F:$F,$C8,'Base de Datos'!$G:$G,$D8,'Base de Datos'!$H:$H,$E8,'Base de Datos'!$U:$U,$F8,'Base de Datos'!$AA:$AA,"Abierta",'Base de Datos'!$AC:$AC,"&lt;=20",'Base de Datos'!$AC:$AC,"&gt;10")</f>
        <v>0</v>
      </c>
      <c r="N8" s="32">
        <f>COUNTIFS('Base de Datos'!$F:$F,$C8,'Base de Datos'!$G:$G,$D8,'Base de Datos'!$H:$H,$E8,'Base de Datos'!$U:$U,$F8,'Base de Datos'!$AA:$AA,"Abierta",'Base de Datos'!$AC:$AC,"&lt;=30",'Base de Datos'!$AC:$AC,"&gt;20")</f>
        <v>0</v>
      </c>
      <c r="O8" s="29">
        <f>COUNTIFS('Base de Datos'!$F:$F,$C8,'Base de Datos'!$G:$G,$D8,'Base de Datos'!$H:$H,$E8,'Base de Datos'!$U:$U,$F8,'Base de Datos'!$AA:$AA,"Abierta",'Base de Datos'!$AG:$AG,1)</f>
        <v>0</v>
      </c>
      <c r="P8" s="29" t="e">
        <f>COUNTIFS('Base de Datos'!$F:$F, $C8, 'Base de Datos'!$H:$H, $E8, 'Base de Datos'!$U:$U, $F8, 'Base de Datos'!$AA:$AA, "Finalizada", 'Base de Datos'!#REF!, "&gt;=01/01/2026", 'Base de Datos'!#REF!, "&lt;=31/01/2026")</f>
        <v>#REF!</v>
      </c>
      <c r="Q8" s="29" t="e">
        <f>COUNTIFS('Base de Datos'!$F:$F, $C8, 'Base de Datos'!$H:$H, $E8, 'Base de Datos'!$U:$U, $F8, 'Base de Datos'!$AA:$AA, "Finalizada", 'Base de Datos'!#REF!, "&gt;=01/02/2026", 'Base de Datos'!#REF!, "&lt;=28/02/2026")</f>
        <v>#REF!</v>
      </c>
      <c r="R8" s="29" t="e">
        <f>COUNTIFS('Base de Datos'!$F:$F, $C8, 'Base de Datos'!$H:$H, $E8, 'Base de Datos'!$U:$U, $F8, 'Base de Datos'!$AA:$AA, "Finalizada", 'Base de Datos'!#REF!, "&gt;=01/03/2026", 'Base de Datos'!#REF!, "&lt;=31/03/2026")</f>
        <v>#REF!</v>
      </c>
      <c r="S8" s="29" t="e">
        <f>COUNTIFS('Base de Datos'!$F:$F, $C8, 'Base de Datos'!$H:$H, $E8, 'Base de Datos'!$U:$U, $F8, 'Base de Datos'!$AA:$AA, "Finalizada", 'Base de Datos'!#REF!, "&gt;=01/04/2026", 'Base de Datos'!#REF!, "&lt;=30/04/2026")</f>
        <v>#REF!</v>
      </c>
      <c r="T8" s="29" t="e">
        <f>COUNTIFS('Base de Datos'!$F:$F, $C8, 'Base de Datos'!$H:$H, $E8, 'Base de Datos'!$U:$U, $F8, 'Base de Datos'!$AA:$AA, "Finalizada", 'Base de Datos'!#REF!, "&gt;=01/05/2026", 'Base de Datos'!#REF!, "&lt;=31/05/2026")</f>
        <v>#REF!</v>
      </c>
      <c r="U8" s="29" t="e">
        <f>COUNTIFS('Base de Datos'!$F:$F, $C8, 'Base de Datos'!$H:$H, $E8, 'Base de Datos'!$U:$U, $F8, 'Base de Datos'!$AA:$AA, "Finalizada", 'Base de Datos'!#REF!, "&gt;=01/06/2026", 'Base de Datos'!#REF!, "&lt;=30/06/2026")</f>
        <v>#REF!</v>
      </c>
    </row>
    <row r="9" spans="1:21">
      <c r="C9" s="4">
        <v>2025</v>
      </c>
      <c r="D9" s="4">
        <v>90</v>
      </c>
      <c r="E9" s="4" t="s">
        <v>88</v>
      </c>
      <c r="F9" s="5" t="s">
        <v>658</v>
      </c>
      <c r="G9" s="28">
        <f>IF(COUNTIFS($C$4:C9, C9, $D$4:D9, D9, $E$4:E9, E9)=1, 1, 0)</f>
        <v>1</v>
      </c>
      <c r="H9" s="29" cm="1">
        <f t="array" ref="H9">SUMPRODUCT((TRIM(CLEAN('Base de Datos'!$F$2:$F$3000))&amp;""=TRIM(CLEAN(C9))&amp;"")*(TRIM(CLEAN('Base de Datos'!$G$2:$G$3000))&amp;""=TRIM(CLEAN(D9))&amp;"")*(TRIM(CLEAN('Base de Datos'!$H$2:$H$3000))&amp;""=TRIM(CLEAN(E9))&amp;"")*(TRIM(CLEAN('Base de Datos'!$U$2:$U$3000))&amp;""=TRIM(CLEAN(F9))&amp;""))</f>
        <v>0</v>
      </c>
      <c r="I9" s="29">
        <f>COUNTIFS('Base de Datos'!$F:$F,$C9,'Base de Datos'!$G:$G,$D9,'Base de Datos'!$H:$H,$E9,'Base de Datos'!$U:$U,$F9,'Base de Datos'!$AA:$AA,"Abierta")</f>
        <v>0</v>
      </c>
      <c r="J9" s="29">
        <f>COUNTIFS('Base de Datos'!$F:$F,$C9,'Base de Datos'!$G:$G,$D9,'Base de Datos'!$H:$H,$E9,'Base de Datos'!$U:$U,$F9,'Base de Datos'!$AA:$AA,"Vencida")</f>
        <v>0</v>
      </c>
      <c r="K9" s="29">
        <f>COUNTIFS('Base de Datos'!$F:$F,$C9,'Base de Datos'!$G:$G,$D9,'Base de Datos'!$H:$H,$E9,'Base de Datos'!$U:$U,$F9,'Base de Datos'!$AA:$AA,"Finalizada")</f>
        <v>0</v>
      </c>
      <c r="L9" s="29">
        <f>COUNTIFS('Base de Datos'!$F:$F,$C9,'Base de Datos'!$G:$G,$D9,'Base de Datos'!$H:$H,$E9,'Base de Datos'!$U:$U,$F9,'Base de Datos'!$AA:$AA,"Abierta",'Base de Datos'!$AC:$AC,"&lt;=10",'Base de Datos'!$AC:$AC,"&gt;0")</f>
        <v>0</v>
      </c>
      <c r="M9" s="29">
        <f>COUNTIFS('Base de Datos'!$F:$F,$C9,'Base de Datos'!$G:$G,$D9,'Base de Datos'!$H:$H,$E9,'Base de Datos'!$U:$U,$F9,'Base de Datos'!$AA:$AA,"Abierta",'Base de Datos'!$AC:$AC,"&lt;=20",'Base de Datos'!$AC:$AC,"&gt;10")</f>
        <v>0</v>
      </c>
      <c r="N9" s="32">
        <f>COUNTIFS('Base de Datos'!$F:$F,$C9,'Base de Datos'!$G:$G,$D9,'Base de Datos'!$H:$H,$E9,'Base de Datos'!$U:$U,$F9,'Base de Datos'!$AA:$AA,"Abierta",'Base de Datos'!$AC:$AC,"&lt;=30",'Base de Datos'!$AC:$AC,"&gt;20")</f>
        <v>0</v>
      </c>
      <c r="O9" s="29">
        <f>COUNTIFS('Base de Datos'!$F:$F,$C9,'Base de Datos'!$G:$G,$D9,'Base de Datos'!$H:$H,$E9,'Base de Datos'!$U:$U,$F9,'Base de Datos'!$AA:$AA,"Abierta",'Base de Datos'!$AG:$AG,1)</f>
        <v>0</v>
      </c>
      <c r="P9" s="29" t="e">
        <f>COUNTIFS('Base de Datos'!$F:$F, $C9, 'Base de Datos'!$H:$H, $E9, 'Base de Datos'!$U:$U, $F9, 'Base de Datos'!$AA:$AA, "Finalizada", 'Base de Datos'!#REF!, "&gt;=01/01/2026", 'Base de Datos'!#REF!, "&lt;=31/01/2026")</f>
        <v>#REF!</v>
      </c>
      <c r="Q9" s="29" t="e">
        <f>COUNTIFS('Base de Datos'!$F:$F, $C9, 'Base de Datos'!$H:$H, $E9, 'Base de Datos'!$U:$U, $F9, 'Base de Datos'!$AA:$AA, "Finalizada", 'Base de Datos'!#REF!, "&gt;=01/02/2026", 'Base de Datos'!#REF!, "&lt;=28/02/2026")</f>
        <v>#REF!</v>
      </c>
      <c r="R9" s="29" t="e">
        <f>COUNTIFS('Base de Datos'!$F:$F, $C9, 'Base de Datos'!$H:$H, $E9, 'Base de Datos'!$U:$U, $F9, 'Base de Datos'!$AA:$AA, "Finalizada", 'Base de Datos'!#REF!, "&gt;=01/03/2026", 'Base de Datos'!#REF!, "&lt;=31/03/2026")</f>
        <v>#REF!</v>
      </c>
      <c r="S9" s="29" t="e">
        <f>COUNTIFS('Base de Datos'!$F:$F, $C9, 'Base de Datos'!$H:$H, $E9, 'Base de Datos'!$U:$U, $F9, 'Base de Datos'!$AA:$AA, "Finalizada", 'Base de Datos'!#REF!, "&gt;=01/04/2026", 'Base de Datos'!#REF!, "&lt;=30/04/2026")</f>
        <v>#REF!</v>
      </c>
      <c r="T9" s="29" t="e">
        <f>COUNTIFS('Base de Datos'!$F:$F, $C9, 'Base de Datos'!$H:$H, $E9, 'Base de Datos'!$U:$U, $F9, 'Base de Datos'!$AA:$AA, "Finalizada", 'Base de Datos'!#REF!, "&gt;=01/05/2026", 'Base de Datos'!#REF!, "&lt;=31/05/2026")</f>
        <v>#REF!</v>
      </c>
      <c r="U9" s="29" t="e">
        <f>COUNTIFS('Base de Datos'!$F:$F, $C9, 'Base de Datos'!$H:$H, $E9, 'Base de Datos'!$U:$U, $F9, 'Base de Datos'!$AA:$AA, "Finalizada", 'Base de Datos'!#REF!, "&gt;=01/06/2026", 'Base de Datos'!#REF!, "&lt;=30/06/2026")</f>
        <v>#REF!</v>
      </c>
    </row>
    <row r="10" spans="1:21">
      <c r="C10" s="4">
        <v>2025</v>
      </c>
      <c r="D10" s="4">
        <v>90</v>
      </c>
      <c r="E10" s="4" t="s">
        <v>88</v>
      </c>
      <c r="F10" s="5" t="s">
        <v>657</v>
      </c>
      <c r="G10" s="28">
        <f>IF(COUNTIFS($C$4:C10, C10, $D$4:D10, D10, $E$4:E10, E10)=1, 1, 0)</f>
        <v>0</v>
      </c>
      <c r="H10" s="29" cm="1">
        <f t="array" ref="H10">SUMPRODUCT((TRIM(CLEAN('Base de Datos'!$F$2:$F$3000))&amp;""=TRIM(CLEAN(C10))&amp;"")*(TRIM(CLEAN('Base de Datos'!$G$2:$G$3000))&amp;""=TRIM(CLEAN(D10))&amp;"")*(TRIM(CLEAN('Base de Datos'!$H$2:$H$3000))&amp;""=TRIM(CLEAN(E10))&amp;"")*(TRIM(CLEAN('Base de Datos'!$U$2:$U$3000))&amp;""=TRIM(CLEAN(F10))&amp;""))</f>
        <v>0</v>
      </c>
      <c r="I10" s="29">
        <f>COUNTIFS('Base de Datos'!$F:$F,$C10,'Base de Datos'!$G:$G,$D10,'Base de Datos'!$H:$H,$E10,'Base de Datos'!$U:$U,$F10,'Base de Datos'!$AA:$AA,"Abierta")</f>
        <v>0</v>
      </c>
      <c r="J10" s="29">
        <f>COUNTIFS('Base de Datos'!$F:$F,$C10,'Base de Datos'!$G:$G,$D10,'Base de Datos'!$H:$H,$E10,'Base de Datos'!$U:$U,$F10,'Base de Datos'!$AA:$AA,"Vencida")</f>
        <v>0</v>
      </c>
      <c r="K10" s="29">
        <f>COUNTIFS('Base de Datos'!$F:$F,$C10,'Base de Datos'!$G:$G,$D10,'Base de Datos'!$H:$H,$E10,'Base de Datos'!$U:$U,$F10,'Base de Datos'!$AA:$AA,"Finalizada")</f>
        <v>0</v>
      </c>
      <c r="L10" s="29">
        <f>COUNTIFS('Base de Datos'!$F:$F,$C10,'Base de Datos'!$G:$G,$D10,'Base de Datos'!$H:$H,$E10,'Base de Datos'!$U:$U,$F10,'Base de Datos'!$AA:$AA,"Abierta",'Base de Datos'!$AC:$AC,"&lt;=10",'Base de Datos'!$AC:$AC,"&gt;0")</f>
        <v>0</v>
      </c>
      <c r="M10" s="29">
        <f>COUNTIFS('Base de Datos'!$F:$F,$C10,'Base de Datos'!$G:$G,$D10,'Base de Datos'!$H:$H,$E10,'Base de Datos'!$U:$U,$F10,'Base de Datos'!$AA:$AA,"Abierta",'Base de Datos'!$AC:$AC,"&lt;=20",'Base de Datos'!$AC:$AC,"&gt;10")</f>
        <v>0</v>
      </c>
      <c r="N10" s="32">
        <f>COUNTIFS('Base de Datos'!$F:$F,$C10,'Base de Datos'!$G:$G,$D10,'Base de Datos'!$H:$H,$E10,'Base de Datos'!$U:$U,$F10,'Base de Datos'!$AA:$AA,"Abierta",'Base de Datos'!$AC:$AC,"&lt;=30",'Base de Datos'!$AC:$AC,"&gt;20")</f>
        <v>0</v>
      </c>
      <c r="O10" s="29">
        <f>COUNTIFS('Base de Datos'!$F:$F,$C10,'Base de Datos'!$G:$G,$D10,'Base de Datos'!$H:$H,$E10,'Base de Datos'!$U:$U,$F10,'Base de Datos'!$AA:$AA,"Abierta",'Base de Datos'!$AG:$AG,1)</f>
        <v>0</v>
      </c>
      <c r="P10" s="29" t="e">
        <f>COUNTIFS('Base de Datos'!$F:$F, $C10, 'Base de Datos'!$H:$H, $E10, 'Base de Datos'!$U:$U, $F10, 'Base de Datos'!$AA:$AA, "Finalizada", 'Base de Datos'!#REF!, "&gt;=01/01/2026", 'Base de Datos'!#REF!, "&lt;=31/01/2026")</f>
        <v>#REF!</v>
      </c>
      <c r="Q10" s="29" t="e">
        <f>COUNTIFS('Base de Datos'!$F:$F, $C10, 'Base de Datos'!$H:$H, $E10, 'Base de Datos'!$U:$U, $F10, 'Base de Datos'!$AA:$AA, "Finalizada", 'Base de Datos'!#REF!, "&gt;=01/02/2026", 'Base de Datos'!#REF!, "&lt;=28/02/2026")</f>
        <v>#REF!</v>
      </c>
      <c r="R10" s="29" t="e">
        <f>COUNTIFS('Base de Datos'!$F:$F, $C10, 'Base de Datos'!$H:$H, $E10, 'Base de Datos'!$U:$U, $F10, 'Base de Datos'!$AA:$AA, "Finalizada", 'Base de Datos'!#REF!, "&gt;=01/03/2026", 'Base de Datos'!#REF!, "&lt;=31/03/2026")</f>
        <v>#REF!</v>
      </c>
      <c r="S10" s="29" t="e">
        <f>COUNTIFS('Base de Datos'!$F:$F, $C10, 'Base de Datos'!$H:$H, $E10, 'Base de Datos'!$U:$U, $F10, 'Base de Datos'!$AA:$AA, "Finalizada", 'Base de Datos'!#REF!, "&gt;=01/04/2026", 'Base de Datos'!#REF!, "&lt;=30/04/2026")</f>
        <v>#REF!</v>
      </c>
      <c r="T10" s="29" t="e">
        <f>COUNTIFS('Base de Datos'!$F:$F, $C10, 'Base de Datos'!$H:$H, $E10, 'Base de Datos'!$U:$U, $F10, 'Base de Datos'!$AA:$AA, "Finalizada", 'Base de Datos'!#REF!, "&gt;=01/05/2026", 'Base de Datos'!#REF!, "&lt;=31/05/2026")</f>
        <v>#REF!</v>
      </c>
      <c r="U10" s="29" t="e">
        <f>COUNTIFS('Base de Datos'!$F:$F, $C10, 'Base de Datos'!$H:$H, $E10, 'Base de Datos'!$U:$U, $F10, 'Base de Datos'!$AA:$AA, "Finalizada", 'Base de Datos'!#REF!, "&gt;=01/06/2026", 'Base de Datos'!#REF!, "&lt;=30/06/2026")</f>
        <v>#REF!</v>
      </c>
    </row>
    <row r="11" spans="1:21">
      <c r="C11" s="4">
        <v>2025</v>
      </c>
      <c r="D11" s="4">
        <v>90</v>
      </c>
      <c r="E11" s="4" t="s">
        <v>88</v>
      </c>
      <c r="F11" s="5" t="s">
        <v>660</v>
      </c>
      <c r="G11" s="28">
        <f>IF(COUNTIFS($C$4:C11, C11, $D$4:D11, D11, $E$4:E11, E11)=1, 1, 0)</f>
        <v>0</v>
      </c>
      <c r="H11" s="29" cm="1">
        <f t="array" ref="H11">SUMPRODUCT((TRIM(CLEAN('Base de Datos'!$F$2:$F$3000))&amp;""=TRIM(CLEAN(C11))&amp;"")*(TRIM(CLEAN('Base de Datos'!$G$2:$G$3000))&amp;""=TRIM(CLEAN(D11))&amp;"")*(TRIM(CLEAN('Base de Datos'!$H$2:$H$3000))&amp;""=TRIM(CLEAN(E11))&amp;"")*(TRIM(CLEAN('Base de Datos'!$U$2:$U$3000))&amp;""=TRIM(CLEAN(F11))&amp;""))</f>
        <v>0</v>
      </c>
      <c r="I11" s="29">
        <f>COUNTIFS('Base de Datos'!$F:$F,$C11,'Base de Datos'!$G:$G,$D11,'Base de Datos'!$H:$H,$E11,'Base de Datos'!$U:$U,$F11,'Base de Datos'!$AA:$AA,"Abierta")</f>
        <v>0</v>
      </c>
      <c r="J11" s="29">
        <f>COUNTIFS('Base de Datos'!$F:$F,$C11,'Base de Datos'!$G:$G,$D11,'Base de Datos'!$H:$H,$E11,'Base de Datos'!$U:$U,$F11,'Base de Datos'!$AA:$AA,"Vencida")</f>
        <v>0</v>
      </c>
      <c r="K11" s="29">
        <f>COUNTIFS('Base de Datos'!$F:$F,$C11,'Base de Datos'!$G:$G,$D11,'Base de Datos'!$H:$H,$E11,'Base de Datos'!$U:$U,$F11,'Base de Datos'!$AA:$AA,"Finalizada")</f>
        <v>0</v>
      </c>
      <c r="L11" s="29">
        <f>COUNTIFS('Base de Datos'!$F:$F,$C11,'Base de Datos'!$G:$G,$D11,'Base de Datos'!$H:$H,$E11,'Base de Datos'!$U:$U,$F11,'Base de Datos'!$AA:$AA,"Abierta",'Base de Datos'!$AC:$AC,"&lt;=10",'Base de Datos'!$AC:$AC,"&gt;0")</f>
        <v>0</v>
      </c>
      <c r="M11" s="29">
        <f>COUNTIFS('Base de Datos'!$F:$F,$C11,'Base de Datos'!$G:$G,$D11,'Base de Datos'!$H:$H,$E11,'Base de Datos'!$U:$U,$F11,'Base de Datos'!$AA:$AA,"Abierta",'Base de Datos'!$AC:$AC,"&lt;=20",'Base de Datos'!$AC:$AC,"&gt;10")</f>
        <v>0</v>
      </c>
      <c r="N11" s="32">
        <f>COUNTIFS('Base de Datos'!$F:$F,$C11,'Base de Datos'!$G:$G,$D11,'Base de Datos'!$H:$H,$E11,'Base de Datos'!$U:$U,$F11,'Base de Datos'!$AA:$AA,"Abierta",'Base de Datos'!$AC:$AC,"&lt;=30",'Base de Datos'!$AC:$AC,"&gt;20")</f>
        <v>0</v>
      </c>
      <c r="O11" s="29">
        <f>COUNTIFS('Base de Datos'!$F:$F,$C11,'Base de Datos'!$G:$G,$D11,'Base de Datos'!$H:$H,$E11,'Base de Datos'!$U:$U,$F11,'Base de Datos'!$AA:$AA,"Abierta",'Base de Datos'!$AG:$AG,1)</f>
        <v>0</v>
      </c>
      <c r="P11" s="29" t="e">
        <f>COUNTIFS('Base de Datos'!$F:$F, $C11, 'Base de Datos'!$H:$H, $E11, 'Base de Datos'!$U:$U, $F11, 'Base de Datos'!$AA:$AA, "Finalizada", 'Base de Datos'!#REF!, "&gt;=01/01/2026", 'Base de Datos'!#REF!, "&lt;=31/01/2026")</f>
        <v>#REF!</v>
      </c>
      <c r="Q11" s="29" t="e">
        <f>COUNTIFS('Base de Datos'!$F:$F, $C11, 'Base de Datos'!$H:$H, $E11, 'Base de Datos'!$U:$U, $F11, 'Base de Datos'!$AA:$AA, "Finalizada", 'Base de Datos'!#REF!, "&gt;=01/02/2026", 'Base de Datos'!#REF!, "&lt;=28/02/2026")</f>
        <v>#REF!</v>
      </c>
      <c r="R11" s="29" t="e">
        <f>COUNTIFS('Base de Datos'!$F:$F, $C11, 'Base de Datos'!$H:$H, $E11, 'Base de Datos'!$U:$U, $F11, 'Base de Datos'!$AA:$AA, "Finalizada", 'Base de Datos'!#REF!, "&gt;=01/03/2026", 'Base de Datos'!#REF!, "&lt;=31/03/2026")</f>
        <v>#REF!</v>
      </c>
      <c r="S11" s="29" t="e">
        <f>COUNTIFS('Base de Datos'!$F:$F, $C11, 'Base de Datos'!$H:$H, $E11, 'Base de Datos'!$U:$U, $F11, 'Base de Datos'!$AA:$AA, "Finalizada", 'Base de Datos'!#REF!, "&gt;=01/04/2026", 'Base de Datos'!#REF!, "&lt;=30/04/2026")</f>
        <v>#REF!</v>
      </c>
      <c r="T11" s="29" t="e">
        <f>COUNTIFS('Base de Datos'!$F:$F, $C11, 'Base de Datos'!$H:$H, $E11, 'Base de Datos'!$U:$U, $F11, 'Base de Datos'!$AA:$AA, "Finalizada", 'Base de Datos'!#REF!, "&gt;=01/05/2026", 'Base de Datos'!#REF!, "&lt;=31/05/2026")</f>
        <v>#REF!</v>
      </c>
      <c r="U11" s="29" t="e">
        <f>COUNTIFS('Base de Datos'!$F:$F, $C11, 'Base de Datos'!$H:$H, $E11, 'Base de Datos'!$U:$U, $F11, 'Base de Datos'!$AA:$AA, "Finalizada", 'Base de Datos'!#REF!, "&gt;=01/06/2026", 'Base de Datos'!#REF!, "&lt;=30/06/2026")</f>
        <v>#REF!</v>
      </c>
    </row>
    <row r="12" spans="1:21">
      <c r="C12" s="4">
        <v>2025</v>
      </c>
      <c r="D12" s="4">
        <v>90</v>
      </c>
      <c r="E12" s="4" t="s">
        <v>103</v>
      </c>
      <c r="F12" s="5" t="s">
        <v>658</v>
      </c>
      <c r="G12" s="28">
        <f>IF(COUNTIFS($C$4:C12, C12, $D$4:D12, D12, $E$4:E12, E12)=1, 1, 0)</f>
        <v>1</v>
      </c>
      <c r="H12" s="29" cm="1">
        <f t="array" ref="H12">SUMPRODUCT((TRIM(CLEAN('Base de Datos'!$F$2:$F$3000))&amp;""=TRIM(CLEAN(C12))&amp;"")*(TRIM(CLEAN('Base de Datos'!$G$2:$G$3000))&amp;""=TRIM(CLEAN(D12))&amp;"")*(TRIM(CLEAN('Base de Datos'!$H$2:$H$3000))&amp;""=TRIM(CLEAN(E12))&amp;"")*(TRIM(CLEAN('Base de Datos'!$U$2:$U$3000))&amp;""=TRIM(CLEAN(F12))&amp;""))</f>
        <v>0</v>
      </c>
      <c r="I12" s="29">
        <f>COUNTIFS('Base de Datos'!$F:$F,$C12,'Base de Datos'!$G:$G,$D12,'Base de Datos'!$H:$H,$E12,'Base de Datos'!$U:$U,$F12,'Base de Datos'!$AA:$AA,"Abierta")</f>
        <v>0</v>
      </c>
      <c r="J12" s="29">
        <f>COUNTIFS('Base de Datos'!$F:$F,$C12,'Base de Datos'!$G:$G,$D12,'Base de Datos'!$H:$H,$E12,'Base de Datos'!$U:$U,$F12,'Base de Datos'!$AA:$AA,"Vencida")</f>
        <v>0</v>
      </c>
      <c r="K12" s="29">
        <f>COUNTIFS('Base de Datos'!$F:$F,$C12,'Base de Datos'!$G:$G,$D12,'Base de Datos'!$H:$H,$E12,'Base de Datos'!$U:$U,$F12,'Base de Datos'!$AA:$AA,"Finalizada")</f>
        <v>0</v>
      </c>
      <c r="L12" s="29">
        <f>COUNTIFS('Base de Datos'!$F:$F,$C12,'Base de Datos'!$G:$G,$D12,'Base de Datos'!$H:$H,$E12,'Base de Datos'!$U:$U,$F12,'Base de Datos'!$AA:$AA,"Abierta",'Base de Datos'!$AC:$AC,"&lt;=10",'Base de Datos'!$AC:$AC,"&gt;0")</f>
        <v>0</v>
      </c>
      <c r="M12" s="29">
        <f>COUNTIFS('Base de Datos'!$F:$F,$C12,'Base de Datos'!$G:$G,$D12,'Base de Datos'!$H:$H,$E12,'Base de Datos'!$U:$U,$F12,'Base de Datos'!$AA:$AA,"Abierta",'Base de Datos'!$AC:$AC,"&lt;=20",'Base de Datos'!$AC:$AC,"&gt;10")</f>
        <v>0</v>
      </c>
      <c r="N12" s="32">
        <f>COUNTIFS('Base de Datos'!$F:$F,$C12,'Base de Datos'!$G:$G,$D12,'Base de Datos'!$H:$H,$E12,'Base de Datos'!$U:$U,$F12,'Base de Datos'!$AA:$AA,"Abierta",'Base de Datos'!$AC:$AC,"&lt;=30",'Base de Datos'!$AC:$AC,"&gt;20")</f>
        <v>0</v>
      </c>
      <c r="O12" s="29">
        <f>COUNTIFS('Base de Datos'!$F:$F,$C12,'Base de Datos'!$G:$G,$D12,'Base de Datos'!$H:$H,$E12,'Base de Datos'!$U:$U,$F12,'Base de Datos'!$AA:$AA,"Abierta",'Base de Datos'!$AG:$AG,1)</f>
        <v>0</v>
      </c>
      <c r="P12" s="29" t="e">
        <f>COUNTIFS('Base de Datos'!$F:$F, $C12, 'Base de Datos'!$H:$H, $E12, 'Base de Datos'!$U:$U, $F12, 'Base de Datos'!$AA:$AA, "Finalizada", 'Base de Datos'!#REF!, "&gt;=01/01/2026", 'Base de Datos'!#REF!, "&lt;=31/01/2026")</f>
        <v>#REF!</v>
      </c>
      <c r="Q12" s="29" t="e">
        <f>COUNTIFS('Base de Datos'!$F:$F, $C12, 'Base de Datos'!$H:$H, $E12, 'Base de Datos'!$U:$U, $F12, 'Base de Datos'!$AA:$AA, "Finalizada", 'Base de Datos'!#REF!, "&gt;=01/02/2026", 'Base de Datos'!#REF!, "&lt;=28/02/2026")</f>
        <v>#REF!</v>
      </c>
      <c r="R12" s="29" t="e">
        <f>COUNTIFS('Base de Datos'!$F:$F, $C12, 'Base de Datos'!$H:$H, $E12, 'Base de Datos'!$U:$U, $F12, 'Base de Datos'!$AA:$AA, "Finalizada", 'Base de Datos'!#REF!, "&gt;=01/03/2026", 'Base de Datos'!#REF!, "&lt;=31/03/2026")</f>
        <v>#REF!</v>
      </c>
      <c r="S12" s="29" t="e">
        <f>COUNTIFS('Base de Datos'!$F:$F, $C12, 'Base de Datos'!$H:$H, $E12, 'Base de Datos'!$U:$U, $F12, 'Base de Datos'!$AA:$AA, "Finalizada", 'Base de Datos'!#REF!, "&gt;=01/04/2026", 'Base de Datos'!#REF!, "&lt;=30/04/2026")</f>
        <v>#REF!</v>
      </c>
      <c r="T12" s="29" t="e">
        <f>COUNTIFS('Base de Datos'!$F:$F, $C12, 'Base de Datos'!$H:$H, $E12, 'Base de Datos'!$U:$U, $F12, 'Base de Datos'!$AA:$AA, "Finalizada", 'Base de Datos'!#REF!, "&gt;=01/05/2026", 'Base de Datos'!#REF!, "&lt;=31/05/2026")</f>
        <v>#REF!</v>
      </c>
      <c r="U12" s="29" t="e">
        <f>COUNTIFS('Base de Datos'!$F:$F, $C12, 'Base de Datos'!$H:$H, $E12, 'Base de Datos'!$U:$U, $F12, 'Base de Datos'!$AA:$AA, "Finalizada", 'Base de Datos'!#REF!, "&gt;=01/06/2026", 'Base de Datos'!#REF!, "&lt;=30/06/2026")</f>
        <v>#REF!</v>
      </c>
    </row>
    <row r="13" spans="1:21">
      <c r="C13" s="4">
        <v>2025</v>
      </c>
      <c r="D13" s="4">
        <v>90</v>
      </c>
      <c r="E13" s="4" t="s">
        <v>103</v>
      </c>
      <c r="F13" s="5" t="s">
        <v>657</v>
      </c>
      <c r="G13" s="28">
        <f>IF(COUNTIFS($C$4:C13, C13, $D$4:D13, D13, $E$4:E13, E13)=1, 1, 0)</f>
        <v>0</v>
      </c>
      <c r="H13" s="29" cm="1">
        <f t="array" ref="H13">SUMPRODUCT((TRIM(CLEAN('Base de Datos'!$F$2:$F$3000))&amp;""=TRIM(CLEAN(C13))&amp;"")*(TRIM(CLEAN('Base de Datos'!$G$2:$G$3000))&amp;""=TRIM(CLEAN(D13))&amp;"")*(TRIM(CLEAN('Base de Datos'!$H$2:$H$3000))&amp;""=TRIM(CLEAN(E13))&amp;"")*(TRIM(CLEAN('Base de Datos'!$U$2:$U$3000))&amp;""=TRIM(CLEAN(F13))&amp;""))</f>
        <v>0</v>
      </c>
      <c r="I13" s="29">
        <f>COUNTIFS('Base de Datos'!$F:$F,$C13,'Base de Datos'!$G:$G,$D13,'Base de Datos'!$H:$H,$E13,'Base de Datos'!$U:$U,$F13,'Base de Datos'!$AA:$AA,"Abierta")</f>
        <v>0</v>
      </c>
      <c r="J13" s="29">
        <f>COUNTIFS('Base de Datos'!$F:$F,$C13,'Base de Datos'!$G:$G,$D13,'Base de Datos'!$H:$H,$E13,'Base de Datos'!$U:$U,$F13,'Base de Datos'!$AA:$AA,"Vencida")</f>
        <v>0</v>
      </c>
      <c r="K13" s="29">
        <f>COUNTIFS('Base de Datos'!$F:$F,$C13,'Base de Datos'!$G:$G,$D13,'Base de Datos'!$H:$H,$E13,'Base de Datos'!$U:$U,$F13,'Base de Datos'!$AA:$AA,"Finalizada")</f>
        <v>0</v>
      </c>
      <c r="L13" s="29">
        <f>COUNTIFS('Base de Datos'!$F:$F,$C13,'Base de Datos'!$G:$G,$D13,'Base de Datos'!$H:$H,$E13,'Base de Datos'!$U:$U,$F13,'Base de Datos'!$AA:$AA,"Abierta",'Base de Datos'!$AC:$AC,"&lt;=10",'Base de Datos'!$AC:$AC,"&gt;0")</f>
        <v>0</v>
      </c>
      <c r="M13" s="29">
        <f>COUNTIFS('Base de Datos'!$F:$F,$C13,'Base de Datos'!$G:$G,$D13,'Base de Datos'!$H:$H,$E13,'Base de Datos'!$U:$U,$F13,'Base de Datos'!$AA:$AA,"Abierta",'Base de Datos'!$AC:$AC,"&lt;=20",'Base de Datos'!$AC:$AC,"&gt;10")</f>
        <v>0</v>
      </c>
      <c r="N13" s="32">
        <f>COUNTIFS('Base de Datos'!$F:$F,$C13,'Base de Datos'!$G:$G,$D13,'Base de Datos'!$H:$H,$E13,'Base de Datos'!$U:$U,$F13,'Base de Datos'!$AA:$AA,"Abierta",'Base de Datos'!$AC:$AC,"&lt;=30",'Base de Datos'!$AC:$AC,"&gt;20")</f>
        <v>0</v>
      </c>
      <c r="O13" s="29">
        <f>COUNTIFS('Base de Datos'!$F:$F,$C13,'Base de Datos'!$G:$G,$D13,'Base de Datos'!$H:$H,$E13,'Base de Datos'!$U:$U,$F13,'Base de Datos'!$AA:$AA,"Abierta",'Base de Datos'!$AG:$AG,1)</f>
        <v>0</v>
      </c>
      <c r="P13" s="29" t="e">
        <f>COUNTIFS('Base de Datos'!$F:$F, $C13, 'Base de Datos'!$H:$H, $E13, 'Base de Datos'!$U:$U, $F13, 'Base de Datos'!$AA:$AA, "Finalizada", 'Base de Datos'!#REF!, "&gt;=01/01/2026", 'Base de Datos'!#REF!, "&lt;=31/01/2026")</f>
        <v>#REF!</v>
      </c>
      <c r="Q13" s="29" t="e">
        <f>COUNTIFS('Base de Datos'!$F:$F, $C13, 'Base de Datos'!$H:$H, $E13, 'Base de Datos'!$U:$U, $F13, 'Base de Datos'!$AA:$AA, "Finalizada", 'Base de Datos'!#REF!, "&gt;=01/02/2026", 'Base de Datos'!#REF!, "&lt;=28/02/2026")</f>
        <v>#REF!</v>
      </c>
      <c r="R13" s="29" t="e">
        <f>COUNTIFS('Base de Datos'!$F:$F, $C13, 'Base de Datos'!$H:$H, $E13, 'Base de Datos'!$U:$U, $F13, 'Base de Datos'!$AA:$AA, "Finalizada", 'Base de Datos'!#REF!, "&gt;=01/03/2026", 'Base de Datos'!#REF!, "&lt;=31/03/2026")</f>
        <v>#REF!</v>
      </c>
      <c r="S13" s="29" t="e">
        <f>COUNTIFS('Base de Datos'!$F:$F, $C13, 'Base de Datos'!$H:$H, $E13, 'Base de Datos'!$U:$U, $F13, 'Base de Datos'!$AA:$AA, "Finalizada", 'Base de Datos'!#REF!, "&gt;=01/04/2026", 'Base de Datos'!#REF!, "&lt;=30/04/2026")</f>
        <v>#REF!</v>
      </c>
      <c r="T13" s="29" t="e">
        <f>COUNTIFS('Base de Datos'!$F:$F, $C13, 'Base de Datos'!$H:$H, $E13, 'Base de Datos'!$U:$U, $F13, 'Base de Datos'!$AA:$AA, "Finalizada", 'Base de Datos'!#REF!, "&gt;=01/05/2026", 'Base de Datos'!#REF!, "&lt;=31/05/2026")</f>
        <v>#REF!</v>
      </c>
      <c r="U13" s="29" t="e">
        <f>COUNTIFS('Base de Datos'!$F:$F, $C13, 'Base de Datos'!$H:$H, $E13, 'Base de Datos'!$U:$U, $F13, 'Base de Datos'!$AA:$AA, "Finalizada", 'Base de Datos'!#REF!, "&gt;=01/06/2026", 'Base de Datos'!#REF!, "&lt;=30/06/2026")</f>
        <v>#REF!</v>
      </c>
    </row>
    <row r="14" spans="1:21">
      <c r="C14" s="4">
        <v>2025</v>
      </c>
      <c r="D14" s="4">
        <v>90</v>
      </c>
      <c r="E14" s="4" t="s">
        <v>115</v>
      </c>
      <c r="F14" s="5" t="s">
        <v>657</v>
      </c>
      <c r="G14" s="28">
        <f>IF(COUNTIFS($C$4:C14, C14, $D$4:D14, D14, $E$4:E14, E14)=1, 1, 0)</f>
        <v>1</v>
      </c>
      <c r="H14" s="29" cm="1">
        <f t="array" ref="H14">SUMPRODUCT((TRIM(CLEAN('Base de Datos'!$F$2:$F$3000))&amp;""=TRIM(CLEAN(C14))&amp;"")*(TRIM(CLEAN('Base de Datos'!$G$2:$G$3000))&amp;""=TRIM(CLEAN(D14))&amp;"")*(TRIM(CLEAN('Base de Datos'!$H$2:$H$3000))&amp;""=TRIM(CLEAN(E14))&amp;"")*(TRIM(CLEAN('Base de Datos'!$U$2:$U$3000))&amp;""=TRIM(CLEAN(F14))&amp;""))</f>
        <v>0</v>
      </c>
      <c r="I14" s="29">
        <f>COUNTIFS('Base de Datos'!$F:$F,$C14,'Base de Datos'!$G:$G,$D14,'Base de Datos'!$H:$H,$E14,'Base de Datos'!$U:$U,$F14,'Base de Datos'!$AA:$AA,"Abierta")</f>
        <v>0</v>
      </c>
      <c r="J14" s="29">
        <f>COUNTIFS('Base de Datos'!$F:$F,$C14,'Base de Datos'!$G:$G,$D14,'Base de Datos'!$H:$H,$E14,'Base de Datos'!$U:$U,$F14,'Base de Datos'!$AA:$AA,"Vencida")</f>
        <v>0</v>
      </c>
      <c r="K14" s="29">
        <f>COUNTIFS('Base de Datos'!$F:$F,$C14,'Base de Datos'!$G:$G,$D14,'Base de Datos'!$H:$H,$E14,'Base de Datos'!$U:$U,$F14,'Base de Datos'!$AA:$AA,"Finalizada")</f>
        <v>0</v>
      </c>
      <c r="L14" s="29">
        <f>COUNTIFS('Base de Datos'!$F:$F,$C14,'Base de Datos'!$G:$G,$D14,'Base de Datos'!$H:$H,$E14,'Base de Datos'!$U:$U,$F14,'Base de Datos'!$AA:$AA,"Abierta",'Base de Datos'!$AC:$AC,"&lt;=10",'Base de Datos'!$AC:$AC,"&gt;0")</f>
        <v>0</v>
      </c>
      <c r="M14" s="29">
        <f>COUNTIFS('Base de Datos'!$F:$F,$C14,'Base de Datos'!$G:$G,$D14,'Base de Datos'!$H:$H,$E14,'Base de Datos'!$U:$U,$F14,'Base de Datos'!$AA:$AA,"Abierta",'Base de Datos'!$AC:$AC,"&lt;=20",'Base de Datos'!$AC:$AC,"&gt;10")</f>
        <v>0</v>
      </c>
      <c r="N14" s="32">
        <f>COUNTIFS('Base de Datos'!$F:$F,$C14,'Base de Datos'!$G:$G,$D14,'Base de Datos'!$H:$H,$E14,'Base de Datos'!$U:$U,$F14,'Base de Datos'!$AA:$AA,"Abierta",'Base de Datos'!$AC:$AC,"&lt;=30",'Base de Datos'!$AC:$AC,"&gt;20")</f>
        <v>0</v>
      </c>
      <c r="O14" s="29">
        <f>COUNTIFS('Base de Datos'!$F:$F,$C14,'Base de Datos'!$G:$G,$D14,'Base de Datos'!$H:$H,$E14,'Base de Datos'!$U:$U,$F14,'Base de Datos'!$AA:$AA,"Abierta",'Base de Datos'!$AG:$AG,1)</f>
        <v>0</v>
      </c>
      <c r="P14" s="29" t="e">
        <f>COUNTIFS('Base de Datos'!$F:$F, $C14, 'Base de Datos'!$H:$H, $E14, 'Base de Datos'!$U:$U, $F14, 'Base de Datos'!$AA:$AA, "Finalizada", 'Base de Datos'!#REF!, "&gt;=01/01/2026", 'Base de Datos'!#REF!, "&lt;=31/01/2026")</f>
        <v>#REF!</v>
      </c>
      <c r="Q14" s="29" t="e">
        <f>COUNTIFS('Base de Datos'!$F:$F, $C14, 'Base de Datos'!$H:$H, $E14, 'Base de Datos'!$U:$U, $F14, 'Base de Datos'!$AA:$AA, "Finalizada", 'Base de Datos'!#REF!, "&gt;=01/02/2026", 'Base de Datos'!#REF!, "&lt;=28/02/2026")</f>
        <v>#REF!</v>
      </c>
      <c r="R14" s="29" t="e">
        <f>COUNTIFS('Base de Datos'!$F:$F, $C14, 'Base de Datos'!$H:$H, $E14, 'Base de Datos'!$U:$U, $F14, 'Base de Datos'!$AA:$AA, "Finalizada", 'Base de Datos'!#REF!, "&gt;=01/03/2026", 'Base de Datos'!#REF!, "&lt;=31/03/2026")</f>
        <v>#REF!</v>
      </c>
      <c r="S14" s="29" t="e">
        <f>COUNTIFS('Base de Datos'!$F:$F, $C14, 'Base de Datos'!$H:$H, $E14, 'Base de Datos'!$U:$U, $F14, 'Base de Datos'!$AA:$AA, "Finalizada", 'Base de Datos'!#REF!, "&gt;=01/04/2026", 'Base de Datos'!#REF!, "&lt;=30/04/2026")</f>
        <v>#REF!</v>
      </c>
      <c r="T14" s="29" t="e">
        <f>COUNTIFS('Base de Datos'!$F:$F, $C14, 'Base de Datos'!$H:$H, $E14, 'Base de Datos'!$U:$U, $F14, 'Base de Datos'!$AA:$AA, "Finalizada", 'Base de Datos'!#REF!, "&gt;=01/05/2026", 'Base de Datos'!#REF!, "&lt;=31/05/2026")</f>
        <v>#REF!</v>
      </c>
      <c r="U14" s="29" t="e">
        <f>COUNTIFS('Base de Datos'!$F:$F, $C14, 'Base de Datos'!$H:$H, $E14, 'Base de Datos'!$U:$U, $F14, 'Base de Datos'!$AA:$AA, "Finalizada", 'Base de Datos'!#REF!, "&gt;=01/06/2026", 'Base de Datos'!#REF!, "&lt;=30/06/2026")</f>
        <v>#REF!</v>
      </c>
    </row>
    <row r="15" spans="1:21">
      <c r="C15" s="4">
        <v>2025</v>
      </c>
      <c r="D15" s="4">
        <v>90</v>
      </c>
      <c r="E15" s="4" t="s">
        <v>115</v>
      </c>
      <c r="F15" s="5" t="s">
        <v>660</v>
      </c>
      <c r="G15" s="28">
        <f>IF(COUNTIFS($C$4:C15, C15, $D$4:D15, D15, $E$4:E15, E15)=1, 1, 0)</f>
        <v>0</v>
      </c>
      <c r="H15" s="29" cm="1">
        <f t="array" ref="H15">SUMPRODUCT((TRIM(CLEAN('Base de Datos'!$F$2:$F$3000))&amp;""=TRIM(CLEAN(C15))&amp;"")*(TRIM(CLEAN('Base de Datos'!$G$2:$G$3000))&amp;""=TRIM(CLEAN(D15))&amp;"")*(TRIM(CLEAN('Base de Datos'!$H$2:$H$3000))&amp;""=TRIM(CLEAN(E15))&amp;"")*(TRIM(CLEAN('Base de Datos'!$U$2:$U$3000))&amp;""=TRIM(CLEAN(F15))&amp;""))</f>
        <v>0</v>
      </c>
      <c r="I15" s="29">
        <f>COUNTIFS('Base de Datos'!$F:$F,$C15,'Base de Datos'!$G:$G,$D15,'Base de Datos'!$H:$H,$E15,'Base de Datos'!$U:$U,$F15,'Base de Datos'!$AA:$AA,"Abierta")</f>
        <v>0</v>
      </c>
      <c r="J15" s="29">
        <f>COUNTIFS('Base de Datos'!$F:$F,$C15,'Base de Datos'!$G:$G,$D15,'Base de Datos'!$H:$H,$E15,'Base de Datos'!$U:$U,$F15,'Base de Datos'!$AA:$AA,"Vencida")</f>
        <v>0</v>
      </c>
      <c r="K15" s="29">
        <f>COUNTIFS('Base de Datos'!$F:$F,$C15,'Base de Datos'!$G:$G,$D15,'Base de Datos'!$H:$H,$E15,'Base de Datos'!$U:$U,$F15,'Base de Datos'!$AA:$AA,"Finalizada")</f>
        <v>0</v>
      </c>
      <c r="L15" s="29">
        <f>COUNTIFS('Base de Datos'!$F:$F,$C15,'Base de Datos'!$G:$G,$D15,'Base de Datos'!$H:$H,$E15,'Base de Datos'!$U:$U,$F15,'Base de Datos'!$AA:$AA,"Abierta",'Base de Datos'!$AC:$AC,"&lt;=10",'Base de Datos'!$AC:$AC,"&gt;0")</f>
        <v>0</v>
      </c>
      <c r="M15" s="29">
        <f>COUNTIFS('Base de Datos'!$F:$F,$C15,'Base de Datos'!$G:$G,$D15,'Base de Datos'!$H:$H,$E15,'Base de Datos'!$U:$U,$F15,'Base de Datos'!$AA:$AA,"Abierta",'Base de Datos'!$AC:$AC,"&lt;=20",'Base de Datos'!$AC:$AC,"&gt;10")</f>
        <v>0</v>
      </c>
      <c r="N15" s="32">
        <f>COUNTIFS('Base de Datos'!$F:$F,$C15,'Base de Datos'!$G:$G,$D15,'Base de Datos'!$H:$H,$E15,'Base de Datos'!$U:$U,$F15,'Base de Datos'!$AA:$AA,"Abierta",'Base de Datos'!$AC:$AC,"&lt;=30",'Base de Datos'!$AC:$AC,"&gt;20")</f>
        <v>0</v>
      </c>
      <c r="O15" s="29">
        <f>COUNTIFS('Base de Datos'!$F:$F,$C15,'Base de Datos'!$G:$G,$D15,'Base de Datos'!$H:$H,$E15,'Base de Datos'!$U:$U,$F15,'Base de Datos'!$AA:$AA,"Abierta",'Base de Datos'!$AG:$AG,1)</f>
        <v>0</v>
      </c>
      <c r="P15" s="29" t="e">
        <f>COUNTIFS('Base de Datos'!$F:$F, $C15, 'Base de Datos'!$H:$H, $E15, 'Base de Datos'!$U:$U, $F15, 'Base de Datos'!$AA:$AA, "Finalizada", 'Base de Datos'!#REF!, "&gt;=01/01/2026", 'Base de Datos'!#REF!, "&lt;=31/01/2026")</f>
        <v>#REF!</v>
      </c>
      <c r="Q15" s="29" t="e">
        <f>COUNTIFS('Base de Datos'!$F:$F, $C15, 'Base de Datos'!$H:$H, $E15, 'Base de Datos'!$U:$U, $F15, 'Base de Datos'!$AA:$AA, "Finalizada", 'Base de Datos'!#REF!, "&gt;=01/02/2026", 'Base de Datos'!#REF!, "&lt;=28/02/2026")</f>
        <v>#REF!</v>
      </c>
      <c r="R15" s="29" t="e">
        <f>COUNTIFS('Base de Datos'!$F:$F, $C15, 'Base de Datos'!$H:$H, $E15, 'Base de Datos'!$U:$U, $F15, 'Base de Datos'!$AA:$AA, "Finalizada", 'Base de Datos'!#REF!, "&gt;=01/03/2026", 'Base de Datos'!#REF!, "&lt;=31/03/2026")</f>
        <v>#REF!</v>
      </c>
      <c r="S15" s="29" t="e">
        <f>COUNTIFS('Base de Datos'!$F:$F, $C15, 'Base de Datos'!$H:$H, $E15, 'Base de Datos'!$U:$U, $F15, 'Base de Datos'!$AA:$AA, "Finalizada", 'Base de Datos'!#REF!, "&gt;=01/04/2026", 'Base de Datos'!#REF!, "&lt;=30/04/2026")</f>
        <v>#REF!</v>
      </c>
      <c r="T15" s="29" t="e">
        <f>COUNTIFS('Base de Datos'!$F:$F, $C15, 'Base de Datos'!$H:$H, $E15, 'Base de Datos'!$U:$U, $F15, 'Base de Datos'!$AA:$AA, "Finalizada", 'Base de Datos'!#REF!, "&gt;=01/05/2026", 'Base de Datos'!#REF!, "&lt;=31/05/2026")</f>
        <v>#REF!</v>
      </c>
      <c r="U15" s="29" t="e">
        <f>COUNTIFS('Base de Datos'!$F:$F, $C15, 'Base de Datos'!$H:$H, $E15, 'Base de Datos'!$U:$U, $F15, 'Base de Datos'!$AA:$AA, "Finalizada", 'Base de Datos'!#REF!, "&gt;=01/06/2026", 'Base de Datos'!#REF!, "&lt;=30/06/2026")</f>
        <v>#REF!</v>
      </c>
    </row>
    <row r="16" spans="1:21">
      <c r="C16" s="4">
        <v>2025</v>
      </c>
      <c r="D16" s="4">
        <v>90</v>
      </c>
      <c r="E16" s="4" t="s">
        <v>127</v>
      </c>
      <c r="F16" s="5" t="s">
        <v>678</v>
      </c>
      <c r="G16" s="28">
        <f>IF(COUNTIFS($C$4:C16, C16, $D$4:D16, D16, $E$4:E16, E16)=1, 1, 0)</f>
        <v>1</v>
      </c>
      <c r="H16" s="29" cm="1">
        <f t="array" ref="H16">SUMPRODUCT((TRIM(CLEAN('Base de Datos'!$F$2:$F$3000))&amp;""=TRIM(CLEAN(C16))&amp;"")*(TRIM(CLEAN('Base de Datos'!$G$2:$G$3000))&amp;""=TRIM(CLEAN(D16))&amp;"")*(TRIM(CLEAN('Base de Datos'!$H$2:$H$3000))&amp;""=TRIM(CLEAN(E16))&amp;"")*(TRIM(CLEAN('Base de Datos'!$U$2:$U$3000))&amp;""=TRIM(CLEAN(F16))&amp;""))</f>
        <v>0</v>
      </c>
      <c r="I16" s="29">
        <f>COUNTIFS('Base de Datos'!$F:$F,$C16,'Base de Datos'!$G:$G,$D16,'Base de Datos'!$H:$H,$E16,'Base de Datos'!$U:$U,$F16,'Base de Datos'!$AA:$AA,"Abierta")</f>
        <v>0</v>
      </c>
      <c r="J16" s="29">
        <f>COUNTIFS('Base de Datos'!$F:$F,$C16,'Base de Datos'!$G:$G,$D16,'Base de Datos'!$H:$H,$E16,'Base de Datos'!$U:$U,$F16,'Base de Datos'!$AA:$AA,"Vencida")</f>
        <v>0</v>
      </c>
      <c r="K16" s="29">
        <f>COUNTIFS('Base de Datos'!$F:$F,$C16,'Base de Datos'!$G:$G,$D16,'Base de Datos'!$H:$H,$E16,'Base de Datos'!$U:$U,$F16,'Base de Datos'!$AA:$AA,"Finalizada")</f>
        <v>0</v>
      </c>
      <c r="L16" s="29">
        <f>COUNTIFS('Base de Datos'!$F:$F,$C16,'Base de Datos'!$G:$G,$D16,'Base de Datos'!$H:$H,$E16,'Base de Datos'!$U:$U,$F16,'Base de Datos'!$AA:$AA,"Abierta",'Base de Datos'!$AC:$AC,"&lt;=10",'Base de Datos'!$AC:$AC,"&gt;0")</f>
        <v>0</v>
      </c>
      <c r="M16" s="29">
        <f>COUNTIFS('Base de Datos'!$F:$F,$C16,'Base de Datos'!$G:$G,$D16,'Base de Datos'!$H:$H,$E16,'Base de Datos'!$U:$U,$F16,'Base de Datos'!$AA:$AA,"Abierta",'Base de Datos'!$AC:$AC,"&lt;=20",'Base de Datos'!$AC:$AC,"&gt;10")</f>
        <v>0</v>
      </c>
      <c r="N16" s="32">
        <f>COUNTIFS('Base de Datos'!$F:$F,$C16,'Base de Datos'!$G:$G,$D16,'Base de Datos'!$H:$H,$E16,'Base de Datos'!$U:$U,$F16,'Base de Datos'!$AA:$AA,"Abierta",'Base de Datos'!$AC:$AC,"&lt;=30",'Base de Datos'!$AC:$AC,"&gt;20")</f>
        <v>0</v>
      </c>
      <c r="O16" s="29">
        <f>COUNTIFS('Base de Datos'!$F:$F,$C16,'Base de Datos'!$G:$G,$D16,'Base de Datos'!$H:$H,$E16,'Base de Datos'!$U:$U,$F16,'Base de Datos'!$AA:$AA,"Abierta",'Base de Datos'!$AG:$AG,1)</f>
        <v>0</v>
      </c>
      <c r="P16" s="29" t="e">
        <f>COUNTIFS('Base de Datos'!$F:$F, $C16, 'Base de Datos'!$H:$H, $E16, 'Base de Datos'!$U:$U, $F16, 'Base de Datos'!$AA:$AA, "Finalizada", 'Base de Datos'!#REF!, "&gt;=01/01/2026", 'Base de Datos'!#REF!, "&lt;=31/01/2026")</f>
        <v>#REF!</v>
      </c>
      <c r="Q16" s="29" t="e">
        <f>COUNTIFS('Base de Datos'!$F:$F, $C16, 'Base de Datos'!$H:$H, $E16, 'Base de Datos'!$U:$U, $F16, 'Base de Datos'!$AA:$AA, "Finalizada", 'Base de Datos'!#REF!, "&gt;=01/02/2026", 'Base de Datos'!#REF!, "&lt;=28/02/2026")</f>
        <v>#REF!</v>
      </c>
      <c r="R16" s="29" t="e">
        <f>COUNTIFS('Base de Datos'!$F:$F, $C16, 'Base de Datos'!$H:$H, $E16, 'Base de Datos'!$U:$U, $F16, 'Base de Datos'!$AA:$AA, "Finalizada", 'Base de Datos'!#REF!, "&gt;=01/03/2026", 'Base de Datos'!#REF!, "&lt;=31/03/2026")</f>
        <v>#REF!</v>
      </c>
      <c r="S16" s="29" t="e">
        <f>COUNTIFS('Base de Datos'!$F:$F, $C16, 'Base de Datos'!$H:$H, $E16, 'Base de Datos'!$U:$U, $F16, 'Base de Datos'!$AA:$AA, "Finalizada", 'Base de Datos'!#REF!, "&gt;=01/04/2026", 'Base de Datos'!#REF!, "&lt;=30/04/2026")</f>
        <v>#REF!</v>
      </c>
      <c r="T16" s="29" t="e">
        <f>COUNTIFS('Base de Datos'!$F:$F, $C16, 'Base de Datos'!$H:$H, $E16, 'Base de Datos'!$U:$U, $F16, 'Base de Datos'!$AA:$AA, "Finalizada", 'Base de Datos'!#REF!, "&gt;=01/05/2026", 'Base de Datos'!#REF!, "&lt;=31/05/2026")</f>
        <v>#REF!</v>
      </c>
      <c r="U16" s="29" t="e">
        <f>COUNTIFS('Base de Datos'!$F:$F, $C16, 'Base de Datos'!$H:$H, $E16, 'Base de Datos'!$U:$U, $F16, 'Base de Datos'!$AA:$AA, "Finalizada", 'Base de Datos'!#REF!, "&gt;=01/06/2026", 'Base de Datos'!#REF!, "&lt;=30/06/2026")</f>
        <v>#REF!</v>
      </c>
    </row>
    <row r="17" spans="3:24">
      <c r="C17" s="4">
        <v>2025</v>
      </c>
      <c r="D17" s="4">
        <v>90</v>
      </c>
      <c r="E17" s="4" t="s">
        <v>134</v>
      </c>
      <c r="F17" s="5" t="s">
        <v>657</v>
      </c>
      <c r="G17" s="28">
        <f>IF(COUNTIFS($C$4:C17, C17, $D$4:D17, D17, $E$4:E17, E17)=1, 1, 0)</f>
        <v>1</v>
      </c>
      <c r="H17" s="29" cm="1">
        <f t="array" ref="H17">SUMPRODUCT((TRIM(CLEAN('Base de Datos'!$F$2:$F$3000))&amp;""=TRIM(CLEAN(C17))&amp;"")*(TRIM(CLEAN('Base de Datos'!$G$2:$G$3000))&amp;""=TRIM(CLEAN(D17))&amp;"")*(TRIM(CLEAN('Base de Datos'!$H$2:$H$3000))&amp;""=TRIM(CLEAN(E17))&amp;"")*(TRIM(CLEAN('Base de Datos'!$U$2:$U$3000))&amp;""=TRIM(CLEAN(F17))&amp;""))</f>
        <v>0</v>
      </c>
      <c r="I17" s="29">
        <f>COUNTIFS('Base de Datos'!$F:$F,$C17,'Base de Datos'!$G:$G,$D17,'Base de Datos'!$H:$H,$E17,'Base de Datos'!$U:$U,$F17,'Base de Datos'!$AA:$AA,"Abierta")</f>
        <v>0</v>
      </c>
      <c r="J17" s="29">
        <f>COUNTIFS('Base de Datos'!$F:$F,$C17,'Base de Datos'!$G:$G,$D17,'Base de Datos'!$H:$H,$E17,'Base de Datos'!$U:$U,$F17,'Base de Datos'!$AA:$AA,"Vencida")</f>
        <v>0</v>
      </c>
      <c r="K17" s="29">
        <f>COUNTIFS('Base de Datos'!$F:$F,$C17,'Base de Datos'!$G:$G,$D17,'Base de Datos'!$H:$H,$E17,'Base de Datos'!$U:$U,$F17,'Base de Datos'!$AA:$AA,"Finalizada")</f>
        <v>0</v>
      </c>
      <c r="L17" s="29">
        <f>COUNTIFS('Base de Datos'!$F:$F,$C17,'Base de Datos'!$G:$G,$D17,'Base de Datos'!$H:$H,$E17,'Base de Datos'!$U:$U,$F17,'Base de Datos'!$AA:$AA,"Abierta",'Base de Datos'!$AC:$AC,"&lt;=10",'Base de Datos'!$AC:$AC,"&gt;0")</f>
        <v>0</v>
      </c>
      <c r="M17" s="29">
        <f>COUNTIFS('Base de Datos'!$F:$F,$C17,'Base de Datos'!$G:$G,$D17,'Base de Datos'!$H:$H,$E17,'Base de Datos'!$U:$U,$F17,'Base de Datos'!$AA:$AA,"Abierta",'Base de Datos'!$AC:$AC,"&lt;=20",'Base de Datos'!$AC:$AC,"&gt;10")</f>
        <v>0</v>
      </c>
      <c r="N17" s="32">
        <f>COUNTIFS('Base de Datos'!$F:$F,$C17,'Base de Datos'!$G:$G,$D17,'Base de Datos'!$H:$H,$E17,'Base de Datos'!$U:$U,$F17,'Base de Datos'!$AA:$AA,"Abierta",'Base de Datos'!$AC:$AC,"&lt;=30",'Base de Datos'!$AC:$AC,"&gt;20")</f>
        <v>0</v>
      </c>
      <c r="O17" s="29">
        <f>COUNTIFS('Base de Datos'!$F:$F,$C17,'Base de Datos'!$G:$G,$D17,'Base de Datos'!$H:$H,$E17,'Base de Datos'!$U:$U,$F17,'Base de Datos'!$AA:$AA,"Abierta",'Base de Datos'!$AG:$AG,1)</f>
        <v>0</v>
      </c>
      <c r="P17" s="29" t="e">
        <f>COUNTIFS('Base de Datos'!$F:$F, $C17, 'Base de Datos'!$H:$H, $E17, 'Base de Datos'!$U:$U, $F17, 'Base de Datos'!$AA:$AA, "Finalizada", 'Base de Datos'!#REF!, "&gt;=01/01/2026", 'Base de Datos'!#REF!, "&lt;=31/01/2026")</f>
        <v>#REF!</v>
      </c>
      <c r="Q17" s="29" t="e">
        <f>COUNTIFS('Base de Datos'!$F:$F, $C17, 'Base de Datos'!$H:$H, $E17, 'Base de Datos'!$U:$U, $F17, 'Base de Datos'!$AA:$AA, "Finalizada", 'Base de Datos'!#REF!, "&gt;=01/02/2026", 'Base de Datos'!#REF!, "&lt;=28/02/2026")</f>
        <v>#REF!</v>
      </c>
      <c r="R17" s="29" t="e">
        <f>COUNTIFS('Base de Datos'!$F:$F, $C17, 'Base de Datos'!$H:$H, $E17, 'Base de Datos'!$U:$U, $F17, 'Base de Datos'!$AA:$AA, "Finalizada", 'Base de Datos'!#REF!, "&gt;=01/03/2026", 'Base de Datos'!#REF!, "&lt;=31/03/2026")</f>
        <v>#REF!</v>
      </c>
      <c r="S17" s="29" t="e">
        <f>COUNTIFS('Base de Datos'!$F:$F, $C17, 'Base de Datos'!$H:$H, $E17, 'Base de Datos'!$U:$U, $F17, 'Base de Datos'!$AA:$AA, "Finalizada", 'Base de Datos'!#REF!, "&gt;=01/04/2026", 'Base de Datos'!#REF!, "&lt;=30/04/2026")</f>
        <v>#REF!</v>
      </c>
      <c r="T17" s="29" t="e">
        <f>COUNTIFS('Base de Datos'!$F:$F, $C17, 'Base de Datos'!$H:$H, $E17, 'Base de Datos'!$U:$U, $F17, 'Base de Datos'!$AA:$AA, "Finalizada", 'Base de Datos'!#REF!, "&gt;=01/05/2026", 'Base de Datos'!#REF!, "&lt;=31/05/2026")</f>
        <v>#REF!</v>
      </c>
      <c r="U17" s="29" t="e">
        <f>COUNTIFS('Base de Datos'!$F:$F, $C17, 'Base de Datos'!$H:$H, $E17, 'Base de Datos'!$U:$U, $F17, 'Base de Datos'!$AA:$AA, "Finalizada", 'Base de Datos'!#REF!, "&gt;=01/06/2026", 'Base de Datos'!#REF!, "&lt;=30/06/2026")</f>
        <v>#REF!</v>
      </c>
    </row>
    <row r="18" spans="3:24">
      <c r="C18" s="4">
        <v>2025</v>
      </c>
      <c r="D18" s="4">
        <v>90</v>
      </c>
      <c r="E18" s="4" t="s">
        <v>141</v>
      </c>
      <c r="F18" s="5" t="s">
        <v>657</v>
      </c>
      <c r="G18" s="28">
        <f>IF(COUNTIFS($C$4:C18, C18, $D$4:D18, D18, $E$4:E18, E18)=1, 1, 0)</f>
        <v>1</v>
      </c>
      <c r="H18" s="29" cm="1">
        <f t="array" ref="H18">SUMPRODUCT((TRIM(CLEAN('Base de Datos'!$F$2:$F$3000))&amp;""=TRIM(CLEAN(C18))&amp;"")*(TRIM(CLEAN('Base de Datos'!$G$2:$G$3000))&amp;""=TRIM(CLEAN(D18))&amp;"")*(TRIM(CLEAN('Base de Datos'!$H$2:$H$3000))&amp;""=TRIM(CLEAN(E18))&amp;"")*(TRIM(CLEAN('Base de Datos'!$U$2:$U$3000))&amp;""=TRIM(CLEAN(F18))&amp;""))</f>
        <v>0</v>
      </c>
      <c r="I18" s="29">
        <f>COUNTIFS('Base de Datos'!$F:$F,$C18,'Base de Datos'!$G:$G,$D18,'Base de Datos'!$H:$H,$E18,'Base de Datos'!$U:$U,$F18,'Base de Datos'!$AA:$AA,"Abierta")</f>
        <v>0</v>
      </c>
      <c r="J18" s="29">
        <f>COUNTIFS('Base de Datos'!$F:$F,$C18,'Base de Datos'!$G:$G,$D18,'Base de Datos'!$H:$H,$E18,'Base de Datos'!$U:$U,$F18,'Base de Datos'!$AA:$AA,"Vencida")</f>
        <v>0</v>
      </c>
      <c r="K18" s="29">
        <f>COUNTIFS('Base de Datos'!$F:$F,$C18,'Base de Datos'!$G:$G,$D18,'Base de Datos'!$H:$H,$E18,'Base de Datos'!$U:$U,$F18,'Base de Datos'!$AA:$AA,"Finalizada")</f>
        <v>0</v>
      </c>
      <c r="L18" s="29">
        <f>COUNTIFS('Base de Datos'!$F:$F,$C18,'Base de Datos'!$G:$G,$D18,'Base de Datos'!$H:$H,$E18,'Base de Datos'!$U:$U,$F18,'Base de Datos'!$AA:$AA,"Abierta",'Base de Datos'!$AC:$AC,"&lt;=10",'Base de Datos'!$AC:$AC,"&gt;0")</f>
        <v>0</v>
      </c>
      <c r="M18" s="29">
        <f>COUNTIFS('Base de Datos'!$F:$F,$C18,'Base de Datos'!$G:$G,$D18,'Base de Datos'!$H:$H,$E18,'Base de Datos'!$U:$U,$F18,'Base de Datos'!$AA:$AA,"Abierta",'Base de Datos'!$AC:$AC,"&lt;=20",'Base de Datos'!$AC:$AC,"&gt;10")</f>
        <v>0</v>
      </c>
      <c r="N18" s="32">
        <f>COUNTIFS('Base de Datos'!$F:$F,$C18,'Base de Datos'!$G:$G,$D18,'Base de Datos'!$H:$H,$E18,'Base de Datos'!$U:$U,$F18,'Base de Datos'!$AA:$AA,"Abierta",'Base de Datos'!$AC:$AC,"&lt;=30",'Base de Datos'!$AC:$AC,"&gt;20")</f>
        <v>0</v>
      </c>
      <c r="O18" s="29">
        <f>COUNTIFS('Base de Datos'!$F:$F,$C18,'Base de Datos'!$G:$G,$D18,'Base de Datos'!$H:$H,$E18,'Base de Datos'!$U:$U,$F18,'Base de Datos'!$AA:$AA,"Abierta",'Base de Datos'!$AG:$AG,1)</f>
        <v>0</v>
      </c>
      <c r="P18" s="29" t="e">
        <f>COUNTIFS('Base de Datos'!$F:$F, $C18, 'Base de Datos'!$H:$H, $E18, 'Base de Datos'!$U:$U, $F18, 'Base de Datos'!$AA:$AA, "Finalizada", 'Base de Datos'!#REF!, "&gt;=01/01/2026", 'Base de Datos'!#REF!, "&lt;=31/01/2026")</f>
        <v>#REF!</v>
      </c>
      <c r="Q18" s="29" t="e">
        <f>COUNTIFS('Base de Datos'!$F:$F, $C18, 'Base de Datos'!$H:$H, $E18, 'Base de Datos'!$U:$U, $F18, 'Base de Datos'!$AA:$AA, "Finalizada", 'Base de Datos'!#REF!, "&gt;=01/02/2026", 'Base de Datos'!#REF!, "&lt;=28/02/2026")</f>
        <v>#REF!</v>
      </c>
      <c r="R18" s="29" t="e">
        <f>COUNTIFS('Base de Datos'!$F:$F, $C18, 'Base de Datos'!$H:$H, $E18, 'Base de Datos'!$U:$U, $F18, 'Base de Datos'!$AA:$AA, "Finalizada", 'Base de Datos'!#REF!, "&gt;=01/03/2026", 'Base de Datos'!#REF!, "&lt;=31/03/2026")</f>
        <v>#REF!</v>
      </c>
      <c r="S18" s="29" t="e">
        <f>COUNTIFS('Base de Datos'!$F:$F, $C18, 'Base de Datos'!$H:$H, $E18, 'Base de Datos'!$U:$U, $F18, 'Base de Datos'!$AA:$AA, "Finalizada", 'Base de Datos'!#REF!, "&gt;=01/04/2026", 'Base de Datos'!#REF!, "&lt;=30/04/2026")</f>
        <v>#REF!</v>
      </c>
      <c r="T18" s="29" t="e">
        <f>COUNTIFS('Base de Datos'!$F:$F, $C18, 'Base de Datos'!$H:$H, $E18, 'Base de Datos'!$U:$U, $F18, 'Base de Datos'!$AA:$AA, "Finalizada", 'Base de Datos'!#REF!, "&gt;=01/05/2026", 'Base de Datos'!#REF!, "&lt;=31/05/2026")</f>
        <v>#REF!</v>
      </c>
      <c r="U18" s="29" t="e">
        <f>COUNTIFS('Base de Datos'!$F:$F, $C18, 'Base de Datos'!$H:$H, $E18, 'Base de Datos'!$U:$U, $F18, 'Base de Datos'!$AA:$AA, "Finalizada", 'Base de Datos'!#REF!, "&gt;=01/06/2026", 'Base de Datos'!#REF!, "&lt;=30/06/2026")</f>
        <v>#REF!</v>
      </c>
    </row>
    <row r="19" spans="3:24">
      <c r="C19" s="4">
        <v>2025</v>
      </c>
      <c r="D19" s="4">
        <v>90</v>
      </c>
      <c r="E19" s="4" t="s">
        <v>148</v>
      </c>
      <c r="F19" s="5" t="s">
        <v>657</v>
      </c>
      <c r="G19" s="28">
        <f>IF(COUNTIFS($C$4:C19, C19, $D$4:D19, D19, $E$4:E19, E19)=1, 1, 0)</f>
        <v>1</v>
      </c>
      <c r="H19" s="29" cm="1">
        <f t="array" ref="H19">SUMPRODUCT((TRIM(CLEAN('Base de Datos'!$F$2:$F$3000))&amp;""=TRIM(CLEAN(C19))&amp;"")*(TRIM(CLEAN('Base de Datos'!$G$2:$G$3000))&amp;""=TRIM(CLEAN(D19))&amp;"")*(TRIM(CLEAN('Base de Datos'!$H$2:$H$3000))&amp;""=TRIM(CLEAN(E19))&amp;"")*(TRIM(CLEAN('Base de Datos'!$U$2:$U$3000))&amp;""=TRIM(CLEAN(F19))&amp;""))</f>
        <v>0</v>
      </c>
      <c r="I19" s="29">
        <f>COUNTIFS('Base de Datos'!$F:$F,$C19,'Base de Datos'!$G:$G,$D19,'Base de Datos'!$H:$H,$E19,'Base de Datos'!$U:$U,$F19,'Base de Datos'!$AA:$AA,"Abierta")</f>
        <v>0</v>
      </c>
      <c r="J19" s="29">
        <f>COUNTIFS('Base de Datos'!$F:$F,$C19,'Base de Datos'!$G:$G,$D19,'Base de Datos'!$H:$H,$E19,'Base de Datos'!$U:$U,$F19,'Base de Datos'!$AA:$AA,"Vencida")</f>
        <v>0</v>
      </c>
      <c r="K19" s="29">
        <f>COUNTIFS('Base de Datos'!$F:$F,$C19,'Base de Datos'!$G:$G,$D19,'Base de Datos'!$H:$H,$E19,'Base de Datos'!$U:$U,$F19,'Base de Datos'!$AA:$AA,"Finalizada")</f>
        <v>0</v>
      </c>
      <c r="L19" s="29">
        <f>COUNTIFS('Base de Datos'!$F:$F,$C19,'Base de Datos'!$G:$G,$D19,'Base de Datos'!$H:$H,$E19,'Base de Datos'!$U:$U,$F19,'Base de Datos'!$AA:$AA,"Abierta",'Base de Datos'!$AC:$AC,"&lt;=10",'Base de Datos'!$AC:$AC,"&gt;0")</f>
        <v>0</v>
      </c>
      <c r="M19" s="29">
        <f>COUNTIFS('Base de Datos'!$F:$F,$C19,'Base de Datos'!$G:$G,$D19,'Base de Datos'!$H:$H,$E19,'Base de Datos'!$U:$U,$F19,'Base de Datos'!$AA:$AA,"Abierta",'Base de Datos'!$AC:$AC,"&lt;=20",'Base de Datos'!$AC:$AC,"&gt;10")</f>
        <v>0</v>
      </c>
      <c r="N19" s="32">
        <f>COUNTIFS('Base de Datos'!$F:$F,$C19,'Base de Datos'!$G:$G,$D19,'Base de Datos'!$H:$H,$E19,'Base de Datos'!$U:$U,$F19,'Base de Datos'!$AA:$AA,"Abierta",'Base de Datos'!$AC:$AC,"&lt;=30",'Base de Datos'!$AC:$AC,"&gt;20")</f>
        <v>0</v>
      </c>
      <c r="O19" s="29">
        <f>COUNTIFS('Base de Datos'!$F:$F,$C19,'Base de Datos'!$G:$G,$D19,'Base de Datos'!$H:$H,$E19,'Base de Datos'!$U:$U,$F19,'Base de Datos'!$AA:$AA,"Abierta",'Base de Datos'!$AG:$AG,1)</f>
        <v>0</v>
      </c>
      <c r="P19" s="29" t="e">
        <f>COUNTIFS('Base de Datos'!$F:$F, $C19, 'Base de Datos'!$H:$H, $E19, 'Base de Datos'!$U:$U, $F19, 'Base de Datos'!$AA:$AA, "Finalizada", 'Base de Datos'!#REF!, "&gt;=01/01/2026", 'Base de Datos'!#REF!, "&lt;=31/01/2026")</f>
        <v>#REF!</v>
      </c>
      <c r="Q19" s="29" t="e">
        <f>COUNTIFS('Base de Datos'!$F:$F, $C19, 'Base de Datos'!$H:$H, $E19, 'Base de Datos'!$U:$U, $F19, 'Base de Datos'!$AA:$AA, "Finalizada", 'Base de Datos'!#REF!, "&gt;=01/02/2026", 'Base de Datos'!#REF!, "&lt;=28/02/2026")</f>
        <v>#REF!</v>
      </c>
      <c r="R19" s="29" t="e">
        <f>COUNTIFS('Base de Datos'!$F:$F, $C19, 'Base de Datos'!$H:$H, $E19, 'Base de Datos'!$U:$U, $F19, 'Base de Datos'!$AA:$AA, "Finalizada", 'Base de Datos'!#REF!, "&gt;=01/03/2026", 'Base de Datos'!#REF!, "&lt;=31/03/2026")</f>
        <v>#REF!</v>
      </c>
      <c r="S19" s="29" t="e">
        <f>COUNTIFS('Base de Datos'!$F:$F, $C19, 'Base de Datos'!$H:$H, $E19, 'Base de Datos'!$U:$U, $F19, 'Base de Datos'!$AA:$AA, "Finalizada", 'Base de Datos'!#REF!, "&gt;=01/04/2026", 'Base de Datos'!#REF!, "&lt;=30/04/2026")</f>
        <v>#REF!</v>
      </c>
      <c r="T19" s="29" t="e">
        <f>COUNTIFS('Base de Datos'!$F:$F, $C19, 'Base de Datos'!$H:$H, $E19, 'Base de Datos'!$U:$U, $F19, 'Base de Datos'!$AA:$AA, "Finalizada", 'Base de Datos'!#REF!, "&gt;=01/05/2026", 'Base de Datos'!#REF!, "&lt;=31/05/2026")</f>
        <v>#REF!</v>
      </c>
      <c r="U19" s="29" t="e">
        <f>COUNTIFS('Base de Datos'!$F:$F, $C19, 'Base de Datos'!$H:$H, $E19, 'Base de Datos'!$U:$U, $F19, 'Base de Datos'!$AA:$AA, "Finalizada", 'Base de Datos'!#REF!, "&gt;=01/06/2026", 'Base de Datos'!#REF!, "&lt;=30/06/2026")</f>
        <v>#REF!</v>
      </c>
    </row>
    <row r="20" spans="3:24">
      <c r="C20" s="4">
        <v>2025</v>
      </c>
      <c r="D20" s="4">
        <v>90</v>
      </c>
      <c r="E20" s="4" t="s">
        <v>152</v>
      </c>
      <c r="F20" s="5" t="s">
        <v>679</v>
      </c>
      <c r="G20" s="28">
        <f>IF(COUNTIFS($C$4:C20, C20, $D$4:D20, D20, $E$4:E20, E20)=1, 1, 0)</f>
        <v>1</v>
      </c>
      <c r="H20" s="29" cm="1">
        <f t="array" ref="H20">SUMPRODUCT((TRIM(CLEAN('Base de Datos'!$F$2:$F$3000))&amp;""=TRIM(CLEAN(C20))&amp;"")*(TRIM(CLEAN('Base de Datos'!$G$2:$G$3000))&amp;""=TRIM(CLEAN(D20))&amp;"")*(TRIM(CLEAN('Base de Datos'!$H$2:$H$3000))&amp;""=TRIM(CLEAN(E20))&amp;"")*(TRIM(CLEAN('Base de Datos'!$U$2:$U$3000))&amp;""=TRIM(CLEAN(F20))&amp;""))</f>
        <v>0</v>
      </c>
      <c r="I20" s="29">
        <f>COUNTIFS('Base de Datos'!$F:$F,$C20,'Base de Datos'!$G:$G,$D20,'Base de Datos'!$H:$H,$E20,'Base de Datos'!$U:$U,$F20,'Base de Datos'!$AA:$AA,"Abierta")</f>
        <v>0</v>
      </c>
      <c r="J20" s="29">
        <f>COUNTIFS('Base de Datos'!$F:$F,$C20,'Base de Datos'!$G:$G,$D20,'Base de Datos'!$H:$H,$E20,'Base de Datos'!$U:$U,$F20,'Base de Datos'!$AA:$AA,"Vencida")</f>
        <v>0</v>
      </c>
      <c r="K20" s="29">
        <f>COUNTIFS('Base de Datos'!$F:$F,$C20,'Base de Datos'!$G:$G,$D20,'Base de Datos'!$H:$H,$E20,'Base de Datos'!$U:$U,$F20,'Base de Datos'!$AA:$AA,"Finalizada")</f>
        <v>0</v>
      </c>
      <c r="L20" s="29">
        <f>COUNTIFS('Base de Datos'!$F:$F,$C20,'Base de Datos'!$G:$G,$D20,'Base de Datos'!$H:$H,$E20,'Base de Datos'!$U:$U,$F20,'Base de Datos'!$AA:$AA,"Abierta",'Base de Datos'!$AC:$AC,"&lt;=10",'Base de Datos'!$AC:$AC,"&gt;0")</f>
        <v>0</v>
      </c>
      <c r="M20" s="29">
        <f>COUNTIFS('Base de Datos'!$F:$F,$C20,'Base de Datos'!$G:$G,$D20,'Base de Datos'!$H:$H,$E20,'Base de Datos'!$U:$U,$F20,'Base de Datos'!$AA:$AA,"Abierta",'Base de Datos'!$AC:$AC,"&lt;=20",'Base de Datos'!$AC:$AC,"&gt;10")</f>
        <v>0</v>
      </c>
      <c r="N20" s="32">
        <f>COUNTIFS('Base de Datos'!$F:$F,$C20,'Base de Datos'!$G:$G,$D20,'Base de Datos'!$H:$H,$E20,'Base de Datos'!$U:$U,$F20,'Base de Datos'!$AA:$AA,"Abierta",'Base de Datos'!$AC:$AC,"&lt;=30",'Base de Datos'!$AC:$AC,"&gt;20")</f>
        <v>0</v>
      </c>
      <c r="O20" s="29">
        <f>COUNTIFS('Base de Datos'!$F:$F,$C20,'Base de Datos'!$G:$G,$D20,'Base de Datos'!$H:$H,$E20,'Base de Datos'!$U:$U,$F20,'Base de Datos'!$AA:$AA,"Abierta",'Base de Datos'!$AG:$AG,1)</f>
        <v>0</v>
      </c>
      <c r="P20" s="29" t="e">
        <f>COUNTIFS('Base de Datos'!$F:$F, $C20, 'Base de Datos'!$H:$H, $E20, 'Base de Datos'!$U:$U, $F20, 'Base de Datos'!$AA:$AA, "Finalizada", 'Base de Datos'!#REF!, "&gt;=01/01/2026", 'Base de Datos'!#REF!, "&lt;=31/01/2026")</f>
        <v>#REF!</v>
      </c>
      <c r="Q20" s="29" t="e">
        <f>COUNTIFS('Base de Datos'!$F:$F, $C20, 'Base de Datos'!$H:$H, $E20, 'Base de Datos'!$U:$U, $F20, 'Base de Datos'!$AA:$AA, "Finalizada", 'Base de Datos'!#REF!, "&gt;=01/02/2026", 'Base de Datos'!#REF!, "&lt;=28/02/2026")</f>
        <v>#REF!</v>
      </c>
      <c r="R20" s="29" t="e">
        <f>COUNTIFS('Base de Datos'!$F:$F, $C20, 'Base de Datos'!$H:$H, $E20, 'Base de Datos'!$U:$U, $F20, 'Base de Datos'!$AA:$AA, "Finalizada", 'Base de Datos'!#REF!, "&gt;=01/03/2026", 'Base de Datos'!#REF!, "&lt;=31/03/2026")</f>
        <v>#REF!</v>
      </c>
      <c r="S20" s="29" t="e">
        <f>COUNTIFS('Base de Datos'!$F:$F, $C20, 'Base de Datos'!$H:$H, $E20, 'Base de Datos'!$U:$U, $F20, 'Base de Datos'!$AA:$AA, "Finalizada", 'Base de Datos'!#REF!, "&gt;=01/04/2026", 'Base de Datos'!#REF!, "&lt;=30/04/2026")</f>
        <v>#REF!</v>
      </c>
      <c r="T20" s="29" t="e">
        <f>COUNTIFS('Base de Datos'!$F:$F, $C20, 'Base de Datos'!$H:$H, $E20, 'Base de Datos'!$U:$U, $F20, 'Base de Datos'!$AA:$AA, "Finalizada", 'Base de Datos'!#REF!, "&gt;=01/05/2026", 'Base de Datos'!#REF!, "&lt;=31/05/2026")</f>
        <v>#REF!</v>
      </c>
      <c r="U20" s="29" t="e">
        <f>COUNTIFS('Base de Datos'!$F:$F, $C20, 'Base de Datos'!$H:$H, $E20, 'Base de Datos'!$U:$U, $F20, 'Base de Datos'!$AA:$AA, "Finalizada", 'Base de Datos'!#REF!, "&gt;=01/06/2026", 'Base de Datos'!#REF!, "&lt;=30/06/2026")</f>
        <v>#REF!</v>
      </c>
    </row>
    <row r="21" spans="3:24">
      <c r="C21" s="4">
        <v>2025</v>
      </c>
      <c r="D21" s="4">
        <v>90</v>
      </c>
      <c r="E21" s="4" t="s">
        <v>160</v>
      </c>
      <c r="F21" s="5" t="s">
        <v>679</v>
      </c>
      <c r="G21" s="28">
        <f>IF(COUNTIFS($C$4:C21, C21, $D$4:D21, D21, $E$4:E21, E21)=1, 1, 0)</f>
        <v>1</v>
      </c>
      <c r="H21" s="29" cm="1">
        <f t="array" ref="H21">SUMPRODUCT((TRIM(CLEAN('Base de Datos'!$F$2:$F$3000))&amp;""=TRIM(CLEAN(C21))&amp;"")*(TRIM(CLEAN('Base de Datos'!$G$2:$G$3000))&amp;""=TRIM(CLEAN(D21))&amp;"")*(TRIM(CLEAN('Base de Datos'!$H$2:$H$3000))&amp;""=TRIM(CLEAN(E21))&amp;"")*(TRIM(CLEAN('Base de Datos'!$U$2:$U$3000))&amp;""=TRIM(CLEAN(F21))&amp;""))</f>
        <v>0</v>
      </c>
      <c r="I21" s="29">
        <f>COUNTIFS('Base de Datos'!$F:$F,$C21,'Base de Datos'!$G:$G,$D21,'Base de Datos'!$H:$H,$E21,'Base de Datos'!$U:$U,$F21,'Base de Datos'!$AA:$AA,"Abierta")</f>
        <v>0</v>
      </c>
      <c r="J21" s="29">
        <f>COUNTIFS('Base de Datos'!$F:$F,$C21,'Base de Datos'!$G:$G,$D21,'Base de Datos'!$H:$H,$E21,'Base de Datos'!$U:$U,$F21,'Base de Datos'!$AA:$AA,"Vencida")</f>
        <v>0</v>
      </c>
      <c r="K21" s="29">
        <f>COUNTIFS('Base de Datos'!$F:$F,$C21,'Base de Datos'!$G:$G,$D21,'Base de Datos'!$H:$H,$E21,'Base de Datos'!$U:$U,$F21,'Base de Datos'!$AA:$AA,"Finalizada")</f>
        <v>0</v>
      </c>
      <c r="L21" s="29">
        <f>COUNTIFS('Base de Datos'!$F:$F,$C21,'Base de Datos'!$G:$G,$D21,'Base de Datos'!$H:$H,$E21,'Base de Datos'!$U:$U,$F21,'Base de Datos'!$AA:$AA,"Abierta",'Base de Datos'!$AC:$AC,"&lt;=10",'Base de Datos'!$AC:$AC,"&gt;0")</f>
        <v>0</v>
      </c>
      <c r="M21" s="29">
        <f>COUNTIFS('Base de Datos'!$F:$F,$C21,'Base de Datos'!$G:$G,$D21,'Base de Datos'!$H:$H,$E21,'Base de Datos'!$U:$U,$F21,'Base de Datos'!$AA:$AA,"Abierta",'Base de Datos'!$AC:$AC,"&lt;=20",'Base de Datos'!$AC:$AC,"&gt;10")</f>
        <v>0</v>
      </c>
      <c r="N21" s="32">
        <f>COUNTIFS('Base de Datos'!$F:$F,$C21,'Base de Datos'!$G:$G,$D21,'Base de Datos'!$H:$H,$E21,'Base de Datos'!$U:$U,$F21,'Base de Datos'!$AA:$AA,"Abierta",'Base de Datos'!$AC:$AC,"&lt;=30",'Base de Datos'!$AC:$AC,"&gt;20")</f>
        <v>0</v>
      </c>
      <c r="O21" s="29">
        <f>COUNTIFS('Base de Datos'!$F:$F,$C21,'Base de Datos'!$G:$G,$D21,'Base de Datos'!$H:$H,$E21,'Base de Datos'!$U:$U,$F21,'Base de Datos'!$AA:$AA,"Abierta",'Base de Datos'!$AG:$AG,1)</f>
        <v>0</v>
      </c>
      <c r="P21" s="29" t="e">
        <f>COUNTIFS('Base de Datos'!$F:$F, $C21, 'Base de Datos'!$H:$H, $E21, 'Base de Datos'!$U:$U, $F21, 'Base de Datos'!$AA:$AA, "Finalizada", 'Base de Datos'!#REF!, "&gt;=01/01/2026", 'Base de Datos'!#REF!, "&lt;=31/01/2026")</f>
        <v>#REF!</v>
      </c>
      <c r="Q21" s="29" t="e">
        <f>COUNTIFS('Base de Datos'!$F:$F, $C21, 'Base de Datos'!$H:$H, $E21, 'Base de Datos'!$U:$U, $F21, 'Base de Datos'!$AA:$AA, "Finalizada", 'Base de Datos'!#REF!, "&gt;=01/02/2026", 'Base de Datos'!#REF!, "&lt;=28/02/2026")</f>
        <v>#REF!</v>
      </c>
      <c r="R21" s="29" t="e">
        <f>COUNTIFS('Base de Datos'!$F:$F, $C21, 'Base de Datos'!$H:$H, $E21, 'Base de Datos'!$U:$U, $F21, 'Base de Datos'!$AA:$AA, "Finalizada", 'Base de Datos'!#REF!, "&gt;=01/03/2026", 'Base de Datos'!#REF!, "&lt;=31/03/2026")</f>
        <v>#REF!</v>
      </c>
      <c r="S21" s="29" t="e">
        <f>COUNTIFS('Base de Datos'!$F:$F, $C21, 'Base de Datos'!$H:$H, $E21, 'Base de Datos'!$U:$U, $F21, 'Base de Datos'!$AA:$AA, "Finalizada", 'Base de Datos'!#REF!, "&gt;=01/04/2026", 'Base de Datos'!#REF!, "&lt;=30/04/2026")</f>
        <v>#REF!</v>
      </c>
      <c r="T21" s="29" t="e">
        <f>COUNTIFS('Base de Datos'!$F:$F, $C21, 'Base de Datos'!$H:$H, $E21, 'Base de Datos'!$U:$U, $F21, 'Base de Datos'!$AA:$AA, "Finalizada", 'Base de Datos'!#REF!, "&gt;=01/05/2026", 'Base de Datos'!#REF!, "&lt;=31/05/2026")</f>
        <v>#REF!</v>
      </c>
      <c r="U21" s="29" t="e">
        <f>COUNTIFS('Base de Datos'!$F:$F, $C21, 'Base de Datos'!$H:$H, $E21, 'Base de Datos'!$U:$U, $F21, 'Base de Datos'!$AA:$AA, "Finalizada", 'Base de Datos'!#REF!, "&gt;=01/06/2026", 'Base de Datos'!#REF!, "&lt;=30/06/2026")</f>
        <v>#REF!</v>
      </c>
    </row>
    <row r="22" spans="3:24">
      <c r="C22" s="4">
        <v>2025</v>
      </c>
      <c r="D22" s="4">
        <v>90</v>
      </c>
      <c r="E22" s="4" t="s">
        <v>164</v>
      </c>
      <c r="F22" s="5" t="s">
        <v>679</v>
      </c>
      <c r="G22" s="28">
        <f>IF(COUNTIFS($C$4:C22, C22, $D$4:D22, D22, $E$4:E22, E22)=1, 1, 0)</f>
        <v>1</v>
      </c>
      <c r="H22" s="29" cm="1">
        <f t="array" ref="H22">SUMPRODUCT((TRIM(CLEAN('Base de Datos'!$F$2:$F$3000))&amp;""=TRIM(CLEAN(C22))&amp;"")*(TRIM(CLEAN('Base de Datos'!$G$2:$G$3000))&amp;""=TRIM(CLEAN(D22))&amp;"")*(TRIM(CLEAN('Base de Datos'!$H$2:$H$3000))&amp;""=TRIM(CLEAN(E22))&amp;"")*(TRIM(CLEAN('Base de Datos'!$U$2:$U$3000))&amp;""=TRIM(CLEAN(F22))&amp;""))</f>
        <v>0</v>
      </c>
      <c r="I22" s="29">
        <f>COUNTIFS('Base de Datos'!$F:$F,$C22,'Base de Datos'!$G:$G,$D22,'Base de Datos'!$H:$H,$E22,'Base de Datos'!$U:$U,$F22,'Base de Datos'!$AA:$AA,"Abierta")</f>
        <v>0</v>
      </c>
      <c r="J22" s="29">
        <f>COUNTIFS('Base de Datos'!$F:$F,$C22,'Base de Datos'!$G:$G,$D22,'Base de Datos'!$H:$H,$E22,'Base de Datos'!$U:$U,$F22,'Base de Datos'!$AA:$AA,"Vencida")</f>
        <v>0</v>
      </c>
      <c r="K22" s="29">
        <f>COUNTIFS('Base de Datos'!$F:$F,$C22,'Base de Datos'!$G:$G,$D22,'Base de Datos'!$H:$H,$E22,'Base de Datos'!$U:$U,$F22,'Base de Datos'!$AA:$AA,"Finalizada")</f>
        <v>0</v>
      </c>
      <c r="L22" s="29">
        <f>COUNTIFS('Base de Datos'!$F:$F,$C22,'Base de Datos'!$G:$G,$D22,'Base de Datos'!$H:$H,$E22,'Base de Datos'!$U:$U,$F22,'Base de Datos'!$AA:$AA,"Abierta",'Base de Datos'!$AC:$AC,"&lt;=10",'Base de Datos'!$AC:$AC,"&gt;0")</f>
        <v>0</v>
      </c>
      <c r="M22" s="29">
        <f>COUNTIFS('Base de Datos'!$F:$F,$C22,'Base de Datos'!$G:$G,$D22,'Base de Datos'!$H:$H,$E22,'Base de Datos'!$U:$U,$F22,'Base de Datos'!$AA:$AA,"Abierta",'Base de Datos'!$AC:$AC,"&lt;=20",'Base de Datos'!$AC:$AC,"&gt;10")</f>
        <v>0</v>
      </c>
      <c r="N22" s="32">
        <f>COUNTIFS('Base de Datos'!$F:$F,$C22,'Base de Datos'!$G:$G,$D22,'Base de Datos'!$H:$H,$E22,'Base de Datos'!$U:$U,$F22,'Base de Datos'!$AA:$AA,"Abierta",'Base de Datos'!$AC:$AC,"&lt;=30",'Base de Datos'!$AC:$AC,"&gt;20")</f>
        <v>0</v>
      </c>
      <c r="O22" s="29">
        <f>COUNTIFS('Base de Datos'!$F:$F,$C22,'Base de Datos'!$G:$G,$D22,'Base de Datos'!$H:$H,$E22,'Base de Datos'!$U:$U,$F22,'Base de Datos'!$AA:$AA,"Abierta",'Base de Datos'!$AG:$AG,1)</f>
        <v>0</v>
      </c>
      <c r="P22" s="29" t="e">
        <f>COUNTIFS('Base de Datos'!$F:$F, $C22, 'Base de Datos'!$H:$H, $E22, 'Base de Datos'!$U:$U, $F22, 'Base de Datos'!$AA:$AA, "Finalizada", 'Base de Datos'!#REF!, "&gt;=01/01/2026", 'Base de Datos'!#REF!, "&lt;=31/01/2026")</f>
        <v>#REF!</v>
      </c>
      <c r="Q22" s="29" t="e">
        <f>COUNTIFS('Base de Datos'!$F:$F, $C22, 'Base de Datos'!$H:$H, $E22, 'Base de Datos'!$U:$U, $F22, 'Base de Datos'!$AA:$AA, "Finalizada", 'Base de Datos'!#REF!, "&gt;=01/02/2026", 'Base de Datos'!#REF!, "&lt;=28/02/2026")</f>
        <v>#REF!</v>
      </c>
      <c r="R22" s="29" t="e">
        <f>COUNTIFS('Base de Datos'!$F:$F, $C22, 'Base de Datos'!$H:$H, $E22, 'Base de Datos'!$U:$U, $F22, 'Base de Datos'!$AA:$AA, "Finalizada", 'Base de Datos'!#REF!, "&gt;=01/03/2026", 'Base de Datos'!#REF!, "&lt;=31/03/2026")</f>
        <v>#REF!</v>
      </c>
      <c r="S22" s="29" t="e">
        <f>COUNTIFS('Base de Datos'!$F:$F, $C22, 'Base de Datos'!$H:$H, $E22, 'Base de Datos'!$U:$U, $F22, 'Base de Datos'!$AA:$AA, "Finalizada", 'Base de Datos'!#REF!, "&gt;=01/04/2026", 'Base de Datos'!#REF!, "&lt;=30/04/2026")</f>
        <v>#REF!</v>
      </c>
      <c r="T22" s="29" t="e">
        <f>COUNTIFS('Base de Datos'!$F:$F, $C22, 'Base de Datos'!$H:$H, $E22, 'Base de Datos'!$U:$U, $F22, 'Base de Datos'!$AA:$AA, "Finalizada", 'Base de Datos'!#REF!, "&gt;=01/05/2026", 'Base de Datos'!#REF!, "&lt;=31/05/2026")</f>
        <v>#REF!</v>
      </c>
      <c r="U22" s="29" t="e">
        <f>COUNTIFS('Base de Datos'!$F:$F, $C22, 'Base de Datos'!$H:$H, $E22, 'Base de Datos'!$U:$U, $F22, 'Base de Datos'!$AA:$AA, "Finalizada", 'Base de Datos'!#REF!, "&gt;=01/06/2026", 'Base de Datos'!#REF!, "&lt;=30/06/2026")</f>
        <v>#REF!</v>
      </c>
    </row>
    <row r="23" spans="3:24">
      <c r="C23" s="4">
        <v>2025</v>
      </c>
      <c r="D23" s="4">
        <v>90</v>
      </c>
      <c r="E23" s="4" t="s">
        <v>168</v>
      </c>
      <c r="F23" s="5" t="s">
        <v>661</v>
      </c>
      <c r="G23" s="28">
        <f>IF(COUNTIFS($C$4:C23, C23, $D$4:D23, D23, $E$4:E23, E23)=1, 1, 0)</f>
        <v>1</v>
      </c>
      <c r="H23" s="29" cm="1">
        <f t="array" ref="H23">SUMPRODUCT((TRIM(CLEAN('Base de Datos'!$F$2:$F$3000))&amp;""=TRIM(CLEAN(C23))&amp;"")*(TRIM(CLEAN('Base de Datos'!$G$2:$G$3000))&amp;""=TRIM(CLEAN(D23))&amp;"")*(TRIM(CLEAN('Base de Datos'!$H$2:$H$3000))&amp;""=TRIM(CLEAN(E23))&amp;"")*(TRIM(CLEAN('Base de Datos'!$U$2:$U$3000))&amp;""=TRIM(CLEAN(F23))&amp;""))</f>
        <v>0</v>
      </c>
      <c r="I23" s="29">
        <f>COUNTIFS('Base de Datos'!$F:$F,$C23,'Base de Datos'!$G:$G,$D23,'Base de Datos'!$H:$H,$E23,'Base de Datos'!$U:$U,$F23,'Base de Datos'!$AA:$AA,"Abierta")</f>
        <v>0</v>
      </c>
      <c r="J23" s="29">
        <f>COUNTIFS('Base de Datos'!$F:$F,$C23,'Base de Datos'!$G:$G,$D23,'Base de Datos'!$H:$H,$E23,'Base de Datos'!$U:$U,$F23,'Base de Datos'!$AA:$AA,"Vencida")</f>
        <v>0</v>
      </c>
      <c r="K23" s="29">
        <f>COUNTIFS('Base de Datos'!$F:$F,$C23,'Base de Datos'!$G:$G,$D23,'Base de Datos'!$H:$H,$E23,'Base de Datos'!$U:$U,$F23,'Base de Datos'!$AA:$AA,"Finalizada")</f>
        <v>0</v>
      </c>
      <c r="L23" s="29">
        <f>COUNTIFS('Base de Datos'!$F:$F,$C23,'Base de Datos'!$G:$G,$D23,'Base de Datos'!$H:$H,$E23,'Base de Datos'!$U:$U,$F23,'Base de Datos'!$AA:$AA,"Abierta",'Base de Datos'!$AC:$AC,"&lt;=10",'Base de Datos'!$AC:$AC,"&gt;0")</f>
        <v>0</v>
      </c>
      <c r="M23" s="29">
        <f>COUNTIFS('Base de Datos'!$F:$F,$C23,'Base de Datos'!$G:$G,$D23,'Base de Datos'!$H:$H,$E23,'Base de Datos'!$U:$U,$F23,'Base de Datos'!$AA:$AA,"Abierta",'Base de Datos'!$AC:$AC,"&lt;=20",'Base de Datos'!$AC:$AC,"&gt;10")</f>
        <v>0</v>
      </c>
      <c r="N23" s="32">
        <f>COUNTIFS('Base de Datos'!$F:$F,$C23,'Base de Datos'!$G:$G,$D23,'Base de Datos'!$H:$H,$E23,'Base de Datos'!$U:$U,$F23,'Base de Datos'!$AA:$AA,"Abierta",'Base de Datos'!$AC:$AC,"&lt;=30",'Base de Datos'!$AC:$AC,"&gt;20")</f>
        <v>0</v>
      </c>
      <c r="O23" s="29">
        <f>COUNTIFS('Base de Datos'!$F:$F,$C23,'Base de Datos'!$G:$G,$D23,'Base de Datos'!$H:$H,$E23,'Base de Datos'!$U:$U,$F23,'Base de Datos'!$AA:$AA,"Abierta",'Base de Datos'!$AG:$AG,1)</f>
        <v>0</v>
      </c>
      <c r="P23" s="29" t="e">
        <f>COUNTIFS('Base de Datos'!$F:$F, $C23, 'Base de Datos'!$H:$H, $E23, 'Base de Datos'!$U:$U, $F23, 'Base de Datos'!$AA:$AA, "Finalizada", 'Base de Datos'!#REF!, "&gt;=01/01/2026", 'Base de Datos'!#REF!, "&lt;=31/01/2026")</f>
        <v>#REF!</v>
      </c>
      <c r="Q23" s="29" t="e">
        <f>COUNTIFS('Base de Datos'!$F:$F, $C23, 'Base de Datos'!$H:$H, $E23, 'Base de Datos'!$U:$U, $F23, 'Base de Datos'!$AA:$AA, "Finalizada", 'Base de Datos'!#REF!, "&gt;=01/02/2026", 'Base de Datos'!#REF!, "&lt;=28/02/2026")</f>
        <v>#REF!</v>
      </c>
      <c r="R23" s="29" t="e">
        <f>COUNTIFS('Base de Datos'!$F:$F, $C23, 'Base de Datos'!$H:$H, $E23, 'Base de Datos'!$U:$U, $F23, 'Base de Datos'!$AA:$AA, "Finalizada", 'Base de Datos'!#REF!, "&gt;=01/03/2026", 'Base de Datos'!#REF!, "&lt;=31/03/2026")</f>
        <v>#REF!</v>
      </c>
      <c r="S23" s="29" t="e">
        <f>COUNTIFS('Base de Datos'!$F:$F, $C23, 'Base de Datos'!$H:$H, $E23, 'Base de Datos'!$U:$U, $F23, 'Base de Datos'!$AA:$AA, "Finalizada", 'Base de Datos'!#REF!, "&gt;=01/04/2026", 'Base de Datos'!#REF!, "&lt;=30/04/2026")</f>
        <v>#REF!</v>
      </c>
      <c r="T23" s="29" t="e">
        <f>COUNTIFS('Base de Datos'!$F:$F, $C23, 'Base de Datos'!$H:$H, $E23, 'Base de Datos'!$U:$U, $F23, 'Base de Datos'!$AA:$AA, "Finalizada", 'Base de Datos'!#REF!, "&gt;=01/05/2026", 'Base de Datos'!#REF!, "&lt;=31/05/2026")</f>
        <v>#REF!</v>
      </c>
      <c r="U23" s="29" t="e">
        <f>COUNTIFS('Base de Datos'!$F:$F, $C23, 'Base de Datos'!$H:$H, $E23, 'Base de Datos'!$U:$U, $F23, 'Base de Datos'!$AA:$AA, "Finalizada", 'Base de Datos'!#REF!, "&gt;=01/06/2026", 'Base de Datos'!#REF!, "&lt;=30/06/2026")</f>
        <v>#REF!</v>
      </c>
    </row>
    <row r="24" spans="3:24" ht="20.399999999999999">
      <c r="C24" s="4">
        <v>2025</v>
      </c>
      <c r="D24" s="4">
        <v>90</v>
      </c>
      <c r="E24" s="4" t="s">
        <v>168</v>
      </c>
      <c r="F24" s="5" t="s">
        <v>680</v>
      </c>
      <c r="G24" s="28">
        <f>IF(COUNTIFS($C$4:C24, C24, $D$4:D24, D24, $E$4:E24, E24)=1, 1, 0)</f>
        <v>0</v>
      </c>
      <c r="H24" s="29" cm="1">
        <f t="array" ref="H24">SUMPRODUCT((TRIM(CLEAN('Base de Datos'!$F$2:$F$3000))&amp;""=TRIM(CLEAN(C24))&amp;"")*(TRIM(CLEAN('Base de Datos'!$G$2:$G$3000))&amp;""=TRIM(CLEAN(D24))&amp;"")*(TRIM(CLEAN('Base de Datos'!$H$2:$H$3000))&amp;""=TRIM(CLEAN(E24))&amp;"")*(TRIM(CLEAN('Base de Datos'!$U$2:$U$3000))&amp;""=TRIM(CLEAN(F24))&amp;""))</f>
        <v>0</v>
      </c>
      <c r="I24" s="29">
        <f>COUNTIFS('Base de Datos'!$F:$F,$C24,'Base de Datos'!$G:$G,$D24,'Base de Datos'!$H:$H,$E24,'Base de Datos'!$U:$U,$F24,'Base de Datos'!$AA:$AA,"Abierta")</f>
        <v>0</v>
      </c>
      <c r="J24" s="29">
        <f>COUNTIFS('Base de Datos'!$F:$F,$C24,'Base de Datos'!$G:$G,$D24,'Base de Datos'!$H:$H,$E24,'Base de Datos'!$U:$U,$F24,'Base de Datos'!$AA:$AA,"Vencida")</f>
        <v>0</v>
      </c>
      <c r="K24" s="29">
        <f>COUNTIFS('Base de Datos'!$F:$F,$C24,'Base de Datos'!$G:$G,$D24,'Base de Datos'!$H:$H,$E24,'Base de Datos'!$U:$U,$F24,'Base de Datos'!$AA:$AA,"Finalizada")</f>
        <v>0</v>
      </c>
      <c r="L24" s="29">
        <f>COUNTIFS('Base de Datos'!$F:$F,$C24,'Base de Datos'!$G:$G,$D24,'Base de Datos'!$H:$H,$E24,'Base de Datos'!$U:$U,$F24,'Base de Datos'!$AA:$AA,"Abierta",'Base de Datos'!$AC:$AC,"&lt;=10",'Base de Datos'!$AC:$AC,"&gt;0")</f>
        <v>0</v>
      </c>
      <c r="M24" s="29">
        <f>COUNTIFS('Base de Datos'!$F:$F,$C24,'Base de Datos'!$G:$G,$D24,'Base de Datos'!$H:$H,$E24,'Base de Datos'!$U:$U,$F24,'Base de Datos'!$AA:$AA,"Abierta",'Base de Datos'!$AC:$AC,"&lt;=20",'Base de Datos'!$AC:$AC,"&gt;10")</f>
        <v>0</v>
      </c>
      <c r="N24" s="32">
        <f>COUNTIFS('Base de Datos'!$F:$F,$C24,'Base de Datos'!$G:$G,$D24,'Base de Datos'!$H:$H,$E24,'Base de Datos'!$U:$U,$F24,'Base de Datos'!$AA:$AA,"Abierta",'Base de Datos'!$AC:$AC,"&lt;=30",'Base de Datos'!$AC:$AC,"&gt;20")</f>
        <v>0</v>
      </c>
      <c r="O24" s="29">
        <f>COUNTIFS('Base de Datos'!$F:$F,$C24,'Base de Datos'!$G:$G,$D24,'Base de Datos'!$H:$H,$E24,'Base de Datos'!$U:$U,$F24,'Base de Datos'!$AA:$AA,"Abierta",'Base de Datos'!$AG:$AG,1)</f>
        <v>0</v>
      </c>
      <c r="P24" s="29" t="e">
        <f>COUNTIFS('Base de Datos'!$F:$F, $C24, 'Base de Datos'!$H:$H, $E24, 'Base de Datos'!$U:$U, $F24, 'Base de Datos'!$AA:$AA, "Finalizada", 'Base de Datos'!#REF!, "&gt;=01/01/2026", 'Base de Datos'!#REF!, "&lt;=31/01/2026")</f>
        <v>#REF!</v>
      </c>
      <c r="Q24" s="29" t="e">
        <f>COUNTIFS('Base de Datos'!$F:$F, $C24, 'Base de Datos'!$H:$H, $E24, 'Base de Datos'!$U:$U, $F24, 'Base de Datos'!$AA:$AA, "Finalizada", 'Base de Datos'!#REF!, "&gt;=01/02/2026", 'Base de Datos'!#REF!, "&lt;=28/02/2026")</f>
        <v>#REF!</v>
      </c>
      <c r="R24" s="29" t="e">
        <f>COUNTIFS('Base de Datos'!$F:$F, $C24, 'Base de Datos'!$H:$H, $E24, 'Base de Datos'!$U:$U, $F24, 'Base de Datos'!$AA:$AA, "Finalizada", 'Base de Datos'!#REF!, "&gt;=01/03/2026", 'Base de Datos'!#REF!, "&lt;=31/03/2026")</f>
        <v>#REF!</v>
      </c>
      <c r="S24" s="29" t="e">
        <f>COUNTIFS('Base de Datos'!$F:$F, $C24, 'Base de Datos'!$H:$H, $E24, 'Base de Datos'!$U:$U, $F24, 'Base de Datos'!$AA:$AA, "Finalizada", 'Base de Datos'!#REF!, "&gt;=01/04/2026", 'Base de Datos'!#REF!, "&lt;=30/04/2026")</f>
        <v>#REF!</v>
      </c>
      <c r="T24" s="29" t="e">
        <f>COUNTIFS('Base de Datos'!$F:$F, $C24, 'Base de Datos'!$H:$H, $E24, 'Base de Datos'!$U:$U, $F24, 'Base de Datos'!$AA:$AA, "Finalizada", 'Base de Datos'!#REF!, "&gt;=01/05/2026", 'Base de Datos'!#REF!, "&lt;=31/05/2026")</f>
        <v>#REF!</v>
      </c>
      <c r="U24" s="29" t="e">
        <f>COUNTIFS('Base de Datos'!$F:$F, $C24, 'Base de Datos'!$H:$H, $E24, 'Base de Datos'!$U:$U, $F24, 'Base de Datos'!$AA:$AA, "Finalizada", 'Base de Datos'!#REF!, "&gt;=01/06/2026", 'Base de Datos'!#REF!, "&lt;=30/06/2026")</f>
        <v>#REF!</v>
      </c>
    </row>
    <row r="25" spans="3:24" ht="14.4">
      <c r="C25" s="4">
        <v>2025</v>
      </c>
      <c r="D25" s="4">
        <v>90</v>
      </c>
      <c r="E25" s="4" t="s">
        <v>179</v>
      </c>
      <c r="F25" s="5" t="s">
        <v>662</v>
      </c>
      <c r="G25" s="28">
        <f>IF(COUNTIFS($C$4:C25, C25, $D$4:D25, D25, $E$4:E25, E25)=1, 1, 0)</f>
        <v>1</v>
      </c>
      <c r="H25" s="29" cm="1">
        <f t="array" ref="H25">SUMPRODUCT((TRIM(CLEAN('Base de Datos'!$F$2:$F$3000))&amp;""=TRIM(CLEAN(C25))&amp;"")*(TRIM(CLEAN('Base de Datos'!$G$2:$G$3000))&amp;""=TRIM(CLEAN(D25))&amp;"")*(TRIM(CLEAN('Base de Datos'!$H$2:$H$3000))&amp;""=TRIM(CLEAN(E25))&amp;"")*(TRIM(CLEAN('Base de Datos'!$U$2:$U$3000))&amp;""=TRIM(CLEAN(F25))&amp;""))</f>
        <v>0</v>
      </c>
      <c r="I25" s="29">
        <f>COUNTIFS('Base de Datos'!$F:$F,$C25,'Base de Datos'!$G:$G,$D25,'Base de Datos'!$H:$H,$E25,'Base de Datos'!$U:$U,$F25,'Base de Datos'!$AA:$AA,"Abierta")</f>
        <v>0</v>
      </c>
      <c r="J25" s="29">
        <f>COUNTIFS('Base de Datos'!$F:$F,$C25,'Base de Datos'!$G:$G,$D25,'Base de Datos'!$H:$H,$E25,'Base de Datos'!$U:$U,$F25,'Base de Datos'!$AA:$AA,"Vencida")</f>
        <v>0</v>
      </c>
      <c r="K25" s="29">
        <f>COUNTIFS('Base de Datos'!$F:$F,$C25,'Base de Datos'!$G:$G,$D25,'Base de Datos'!$H:$H,$E25,'Base de Datos'!$U:$U,$F25,'Base de Datos'!$AA:$AA,"Finalizada")</f>
        <v>0</v>
      </c>
      <c r="L25" s="29">
        <f>COUNTIFS('Base de Datos'!$F:$F,$C25,'Base de Datos'!$G:$G,$D25,'Base de Datos'!$H:$H,$E25,'Base de Datos'!$U:$U,$F25,'Base de Datos'!$AA:$AA,"Abierta",'Base de Datos'!$AC:$AC,"&lt;=10",'Base de Datos'!$AC:$AC,"&gt;0")</f>
        <v>0</v>
      </c>
      <c r="M25" s="29">
        <f>COUNTIFS('Base de Datos'!$F:$F,$C25,'Base de Datos'!$G:$G,$D25,'Base de Datos'!$H:$H,$E25,'Base de Datos'!$U:$U,$F25,'Base de Datos'!$AA:$AA,"Abierta",'Base de Datos'!$AC:$AC,"&lt;=20",'Base de Datos'!$AC:$AC,"&gt;10")</f>
        <v>0</v>
      </c>
      <c r="N25" s="32">
        <f>COUNTIFS('Base de Datos'!$F:$F,$C25,'Base de Datos'!$G:$G,$D25,'Base de Datos'!$H:$H,$E25,'Base de Datos'!$U:$U,$F25,'Base de Datos'!$AA:$AA,"Abierta",'Base de Datos'!$AC:$AC,"&lt;=30",'Base de Datos'!$AC:$AC,"&gt;20")</f>
        <v>0</v>
      </c>
      <c r="O25" s="29">
        <f>COUNTIFS('Base de Datos'!$F:$F,$C25,'Base de Datos'!$G:$G,$D25,'Base de Datos'!$H:$H,$E25,'Base de Datos'!$U:$U,$F25,'Base de Datos'!$AA:$AA,"Abierta",'Base de Datos'!$AG:$AG,1)</f>
        <v>0</v>
      </c>
      <c r="P25" s="29" t="e">
        <f>COUNTIFS('Base de Datos'!$F:$F, $C25, 'Base de Datos'!$H:$H, $E25, 'Base de Datos'!$U:$U, $F25, 'Base de Datos'!$AA:$AA, "Finalizada", 'Base de Datos'!#REF!, "&gt;=01/01/2026", 'Base de Datos'!#REF!, "&lt;=31/01/2026")</f>
        <v>#REF!</v>
      </c>
      <c r="Q25" s="29" t="e">
        <f>COUNTIFS('Base de Datos'!$F:$F, $C25, 'Base de Datos'!$H:$H, $E25, 'Base de Datos'!$U:$U, $F25, 'Base de Datos'!$AA:$AA, "Finalizada", 'Base de Datos'!#REF!, "&gt;=01/02/2026", 'Base de Datos'!#REF!, "&lt;=28/02/2026")</f>
        <v>#REF!</v>
      </c>
      <c r="R25" s="29" t="e">
        <f>COUNTIFS('Base de Datos'!$F:$F, $C25, 'Base de Datos'!$H:$H, $E25, 'Base de Datos'!$U:$U, $F25, 'Base de Datos'!$AA:$AA, "Finalizada", 'Base de Datos'!#REF!, "&gt;=01/03/2026", 'Base de Datos'!#REF!, "&lt;=31/03/2026")</f>
        <v>#REF!</v>
      </c>
      <c r="S25" s="29" t="e">
        <f>COUNTIFS('Base de Datos'!$F:$F, $C25, 'Base de Datos'!$H:$H, $E25, 'Base de Datos'!$U:$U, $F25, 'Base de Datos'!$AA:$AA, "Finalizada", 'Base de Datos'!#REF!, "&gt;=01/04/2026", 'Base de Datos'!#REF!, "&lt;=30/04/2026")</f>
        <v>#REF!</v>
      </c>
      <c r="T25" s="29" t="e">
        <f>COUNTIFS('Base de Datos'!$F:$F, $C25, 'Base de Datos'!$H:$H, $E25, 'Base de Datos'!$U:$U, $F25, 'Base de Datos'!$AA:$AA, "Finalizada", 'Base de Datos'!#REF!, "&gt;=01/05/2026", 'Base de Datos'!#REF!, "&lt;=31/05/2026")</f>
        <v>#REF!</v>
      </c>
      <c r="U25" s="29" t="e">
        <f>COUNTIFS('Base de Datos'!$F:$F, $C25, 'Base de Datos'!$H:$H, $E25, 'Base de Datos'!$U:$U, $F25, 'Base de Datos'!$AA:$AA, "Finalizada", 'Base de Datos'!#REF!, "&gt;=01/06/2026", 'Base de Datos'!#REF!, "&lt;=30/06/2026")</f>
        <v>#REF!</v>
      </c>
      <c r="X25" s="175" t="e">
        <f>COUNTIFS('[1]Base de datos'!$A:$A, $A27, '[1]Base de datos'!$B:$B, $B27, '[1]Base de datos'!$G:$G, $C27, '[1]Base de datos'!$S:$S, "&gt;=01/06/2026", '[1]Base de datos'!$S:$S, "&lt;=30/06/2026")</f>
        <v>#VALUE!</v>
      </c>
    </row>
    <row r="26" spans="3:24">
      <c r="C26" s="4">
        <v>2025</v>
      </c>
      <c r="D26" s="4">
        <v>90</v>
      </c>
      <c r="E26" s="4" t="s">
        <v>190</v>
      </c>
      <c r="F26" s="5" t="s">
        <v>663</v>
      </c>
      <c r="G26" s="28">
        <f>IF(COUNTIFS($C$4:C26, C26, $D$4:D26, D26, $E$4:E26, E26)=1, 1, 0)</f>
        <v>1</v>
      </c>
      <c r="H26" s="29" cm="1">
        <f t="array" ref="H26">SUMPRODUCT((TRIM(CLEAN('Base de Datos'!$F$2:$F$3000))&amp;""=TRIM(CLEAN(C26))&amp;"")*(TRIM(CLEAN('Base de Datos'!$G$2:$G$3000))&amp;""=TRIM(CLEAN(D26))&amp;"")*(TRIM(CLEAN('Base de Datos'!$H$2:$H$3000))&amp;""=TRIM(CLEAN(E26))&amp;"")*(TRIM(CLEAN('Base de Datos'!$U$2:$U$3000))&amp;""=TRIM(CLEAN(F26))&amp;""))</f>
        <v>0</v>
      </c>
      <c r="I26" s="29">
        <f>COUNTIFS('Base de Datos'!$F:$F,$C26,'Base de Datos'!$G:$G,$D26,'Base de Datos'!$H:$H,$E26,'Base de Datos'!$U:$U,$F26,'Base de Datos'!$AA:$AA,"Abierta")</f>
        <v>0</v>
      </c>
      <c r="J26" s="29">
        <f>COUNTIFS('Base de Datos'!$F:$F,$C26,'Base de Datos'!$G:$G,$D26,'Base de Datos'!$H:$H,$E26,'Base de Datos'!$U:$U,$F26,'Base de Datos'!$AA:$AA,"Vencida")</f>
        <v>0</v>
      </c>
      <c r="K26" s="29">
        <f>COUNTIFS('Base de Datos'!$F:$F,$C26,'Base de Datos'!$G:$G,$D26,'Base de Datos'!$H:$H,$E26,'Base de Datos'!$U:$U,$F26,'Base de Datos'!$AA:$AA,"Finalizada")</f>
        <v>0</v>
      </c>
      <c r="L26" s="29">
        <f>COUNTIFS('Base de Datos'!$F:$F,$C26,'Base de Datos'!$G:$G,$D26,'Base de Datos'!$H:$H,$E26,'Base de Datos'!$U:$U,$F26,'Base de Datos'!$AA:$AA,"Abierta",'Base de Datos'!$AC:$AC,"&lt;=10",'Base de Datos'!$AC:$AC,"&gt;0")</f>
        <v>0</v>
      </c>
      <c r="M26" s="29">
        <f>COUNTIFS('Base de Datos'!$F:$F,$C26,'Base de Datos'!$G:$G,$D26,'Base de Datos'!$H:$H,$E26,'Base de Datos'!$U:$U,$F26,'Base de Datos'!$AA:$AA,"Abierta",'Base de Datos'!$AC:$AC,"&lt;=20",'Base de Datos'!$AC:$AC,"&gt;10")</f>
        <v>0</v>
      </c>
      <c r="N26" s="32">
        <f>COUNTIFS('Base de Datos'!$F:$F,$C26,'Base de Datos'!$G:$G,$D26,'Base de Datos'!$H:$H,$E26,'Base de Datos'!$U:$U,$F26,'Base de Datos'!$AA:$AA,"Abierta",'Base de Datos'!$AC:$AC,"&lt;=30",'Base de Datos'!$AC:$AC,"&gt;20")</f>
        <v>0</v>
      </c>
      <c r="O26" s="29">
        <f>COUNTIFS('Base de Datos'!$F:$F,$C26,'Base de Datos'!$G:$G,$D26,'Base de Datos'!$H:$H,$E26,'Base de Datos'!$U:$U,$F26,'Base de Datos'!$AA:$AA,"Abierta",'Base de Datos'!$AG:$AG,1)</f>
        <v>0</v>
      </c>
      <c r="P26" s="29" t="e">
        <f>COUNTIFS('Base de Datos'!$F:$F, $C26, 'Base de Datos'!$H:$H, $E26, 'Base de Datos'!$U:$U, $F26, 'Base de Datos'!$AA:$AA, "Finalizada", 'Base de Datos'!#REF!, "&gt;=01/01/2026", 'Base de Datos'!#REF!, "&lt;=31/01/2026")</f>
        <v>#REF!</v>
      </c>
      <c r="Q26" s="29" t="e">
        <f>COUNTIFS('Base de Datos'!$F:$F, $C26, 'Base de Datos'!$H:$H, $E26, 'Base de Datos'!$U:$U, $F26, 'Base de Datos'!$AA:$AA, "Finalizada", 'Base de Datos'!#REF!, "&gt;=01/02/2026", 'Base de Datos'!#REF!, "&lt;=28/02/2026")</f>
        <v>#REF!</v>
      </c>
      <c r="R26" s="29" t="e">
        <f>COUNTIFS('Base de Datos'!$F:$F, $C26, 'Base de Datos'!$H:$H, $E26, 'Base de Datos'!$U:$U, $F26, 'Base de Datos'!$AA:$AA, "Finalizada", 'Base de Datos'!#REF!, "&gt;=01/03/2026", 'Base de Datos'!#REF!, "&lt;=31/03/2026")</f>
        <v>#REF!</v>
      </c>
      <c r="S26" s="29" t="e">
        <f>COUNTIFS('Base de Datos'!$F:$F, $C26, 'Base de Datos'!$H:$H, $E26, 'Base de Datos'!$U:$U, $F26, 'Base de Datos'!$AA:$AA, "Finalizada", 'Base de Datos'!#REF!, "&gt;=01/04/2026", 'Base de Datos'!#REF!, "&lt;=30/04/2026")</f>
        <v>#REF!</v>
      </c>
      <c r="T26" s="29" t="e">
        <f>COUNTIFS('Base de Datos'!$F:$F, $C26, 'Base de Datos'!$H:$H, $E26, 'Base de Datos'!$U:$U, $F26, 'Base de Datos'!$AA:$AA, "Finalizada", 'Base de Datos'!#REF!, "&gt;=01/05/2026", 'Base de Datos'!#REF!, "&lt;=31/05/2026")</f>
        <v>#REF!</v>
      </c>
      <c r="U26" s="29" t="e">
        <f>COUNTIFS('Base de Datos'!$F:$F, $C26, 'Base de Datos'!$H:$H, $E26, 'Base de Datos'!$U:$U, $F26, 'Base de Datos'!$AA:$AA, "Finalizada", 'Base de Datos'!#REF!, "&gt;=01/06/2026", 'Base de Datos'!#REF!, "&lt;=30/06/2026")</f>
        <v>#REF!</v>
      </c>
    </row>
    <row r="27" spans="3:24">
      <c r="C27" s="4">
        <v>2025</v>
      </c>
      <c r="D27" s="4">
        <v>90</v>
      </c>
      <c r="E27" s="4" t="s">
        <v>197</v>
      </c>
      <c r="F27" s="5" t="s">
        <v>660</v>
      </c>
      <c r="G27" s="28">
        <f>IF(COUNTIFS($C$4:C27, C27, $D$4:D27, D27, $E$4:E27, E27)=1, 1, 0)</f>
        <v>1</v>
      </c>
      <c r="H27" s="29" cm="1">
        <f t="array" ref="H27">SUMPRODUCT((TRIM(CLEAN('Base de Datos'!$F$2:$F$3000))&amp;""=TRIM(CLEAN(C27))&amp;"")*(TRIM(CLEAN('Base de Datos'!$G$2:$G$3000))&amp;""=TRIM(CLEAN(D27))&amp;"")*(TRIM(CLEAN('Base de Datos'!$H$2:$H$3000))&amp;""=TRIM(CLEAN(E27))&amp;"")*(TRIM(CLEAN('Base de Datos'!$U$2:$U$3000))&amp;""=TRIM(CLEAN(F27))&amp;""))</f>
        <v>0</v>
      </c>
      <c r="I27" s="29">
        <f>COUNTIFS('Base de Datos'!$F:$F,$C27,'Base de Datos'!$G:$G,$D27,'Base de Datos'!$H:$H,$E27,'Base de Datos'!$U:$U,$F27,'Base de Datos'!$AA:$AA,"Abierta")</f>
        <v>0</v>
      </c>
      <c r="J27" s="29">
        <f>COUNTIFS('Base de Datos'!$F:$F,$C27,'Base de Datos'!$G:$G,$D27,'Base de Datos'!$H:$H,$E27,'Base de Datos'!$U:$U,$F27,'Base de Datos'!$AA:$AA,"Vencida")</f>
        <v>0</v>
      </c>
      <c r="K27" s="29">
        <f>COUNTIFS('Base de Datos'!$F:$F,$C27,'Base de Datos'!$G:$G,$D27,'Base de Datos'!$H:$H,$E27,'Base de Datos'!$U:$U,$F27,'Base de Datos'!$AA:$AA,"Finalizada")</f>
        <v>0</v>
      </c>
      <c r="L27" s="29">
        <f>COUNTIFS('Base de Datos'!$F:$F,$C27,'Base de Datos'!$G:$G,$D27,'Base de Datos'!$H:$H,$E27,'Base de Datos'!$U:$U,$F27,'Base de Datos'!$AA:$AA,"Abierta",'Base de Datos'!$AC:$AC,"&lt;=10",'Base de Datos'!$AC:$AC,"&gt;0")</f>
        <v>0</v>
      </c>
      <c r="M27" s="29">
        <f>COUNTIFS('Base de Datos'!$F:$F,$C27,'Base de Datos'!$G:$G,$D27,'Base de Datos'!$H:$H,$E27,'Base de Datos'!$U:$U,$F27,'Base de Datos'!$AA:$AA,"Abierta",'Base de Datos'!$AC:$AC,"&lt;=20",'Base de Datos'!$AC:$AC,"&gt;10")</f>
        <v>0</v>
      </c>
      <c r="N27" s="32">
        <f>COUNTIFS('Base de Datos'!$F:$F,$C27,'Base de Datos'!$G:$G,$D27,'Base de Datos'!$H:$H,$E27,'Base de Datos'!$U:$U,$F27,'Base de Datos'!$AA:$AA,"Abierta",'Base de Datos'!$AC:$AC,"&lt;=30",'Base de Datos'!$AC:$AC,"&gt;20")</f>
        <v>0</v>
      </c>
      <c r="O27" s="29">
        <f>COUNTIFS('Base de Datos'!$F:$F,$C27,'Base de Datos'!$G:$G,$D27,'Base de Datos'!$H:$H,$E27,'Base de Datos'!$U:$U,$F27,'Base de Datos'!$AA:$AA,"Abierta",'Base de Datos'!$AG:$AG,1)</f>
        <v>0</v>
      </c>
      <c r="P27" s="29" t="e">
        <f>COUNTIFS('Base de Datos'!$F:$F, $C27, 'Base de Datos'!$H:$H, $E27, 'Base de Datos'!$U:$U, $F27, 'Base de Datos'!$AA:$AA, "Finalizada", 'Base de Datos'!#REF!, "&gt;=01/01/2026", 'Base de Datos'!#REF!, "&lt;=31/01/2026")</f>
        <v>#REF!</v>
      </c>
      <c r="Q27" s="29" t="e">
        <f>COUNTIFS('Base de Datos'!$F:$F, $C27, 'Base de Datos'!$H:$H, $E27, 'Base de Datos'!$U:$U, $F27, 'Base de Datos'!$AA:$AA, "Finalizada", 'Base de Datos'!#REF!, "&gt;=01/02/2026", 'Base de Datos'!#REF!, "&lt;=28/02/2026")</f>
        <v>#REF!</v>
      </c>
      <c r="R27" s="29" t="e">
        <f>COUNTIFS('Base de Datos'!$F:$F, $C27, 'Base de Datos'!$H:$H, $E27, 'Base de Datos'!$U:$U, $F27, 'Base de Datos'!$AA:$AA, "Finalizada", 'Base de Datos'!#REF!, "&gt;=01/03/2026", 'Base de Datos'!#REF!, "&lt;=31/03/2026")</f>
        <v>#REF!</v>
      </c>
      <c r="S27" s="29" t="e">
        <f>COUNTIFS('Base de Datos'!$F:$F, $C27, 'Base de Datos'!$H:$H, $E27, 'Base de Datos'!$U:$U, $F27, 'Base de Datos'!$AA:$AA, "Finalizada", 'Base de Datos'!#REF!, "&gt;=01/04/2026", 'Base de Datos'!#REF!, "&lt;=30/04/2026")</f>
        <v>#REF!</v>
      </c>
      <c r="T27" s="29" t="e">
        <f>COUNTIFS('Base de Datos'!$F:$F, $C27, 'Base de Datos'!$H:$H, $E27, 'Base de Datos'!$U:$U, $F27, 'Base de Datos'!$AA:$AA, "Finalizada", 'Base de Datos'!#REF!, "&gt;=01/05/2026", 'Base de Datos'!#REF!, "&lt;=31/05/2026")</f>
        <v>#REF!</v>
      </c>
      <c r="U27" s="29" t="e">
        <f>COUNTIFS('Base de Datos'!$F:$F, $C27, 'Base de Datos'!$H:$H, $E27, 'Base de Datos'!$U:$U, $F27, 'Base de Datos'!$AA:$AA, "Finalizada", 'Base de Datos'!#REF!, "&gt;=01/06/2026", 'Base de Datos'!#REF!, "&lt;=30/06/2026")</f>
        <v>#REF!</v>
      </c>
    </row>
    <row r="28" spans="3:24">
      <c r="C28" s="4">
        <v>2025</v>
      </c>
      <c r="D28" s="4">
        <v>90</v>
      </c>
      <c r="E28" s="4" t="s">
        <v>204</v>
      </c>
      <c r="F28" s="5" t="s">
        <v>663</v>
      </c>
      <c r="G28" s="28">
        <f>IF(COUNTIFS($C$4:C28, C28, $D$4:D28, D28, $E$4:E28, E28)=1, 1, 0)</f>
        <v>1</v>
      </c>
      <c r="H28" s="29" cm="1">
        <f t="array" ref="H28">SUMPRODUCT((TRIM(CLEAN('Base de Datos'!$F$2:$F$3000))&amp;""=TRIM(CLEAN(C28))&amp;"")*(TRIM(CLEAN('Base de Datos'!$G$2:$G$3000))&amp;""=TRIM(CLEAN(D28))&amp;"")*(TRIM(CLEAN('Base de Datos'!$H$2:$H$3000))&amp;""=TRIM(CLEAN(E28))&amp;"")*(TRIM(CLEAN('Base de Datos'!$U$2:$U$3000))&amp;""=TRIM(CLEAN(F28))&amp;""))</f>
        <v>0</v>
      </c>
      <c r="I28" s="29">
        <f>COUNTIFS('Base de Datos'!$F:$F,$C28,'Base de Datos'!$G:$G,$D28,'Base de Datos'!$H:$H,$E28,'Base de Datos'!$U:$U,$F28,'Base de Datos'!$AA:$AA,"Abierta")</f>
        <v>0</v>
      </c>
      <c r="J28" s="29">
        <f>COUNTIFS('Base de Datos'!$F:$F,$C28,'Base de Datos'!$G:$G,$D28,'Base de Datos'!$H:$H,$E28,'Base de Datos'!$U:$U,$F28,'Base de Datos'!$AA:$AA,"Vencida")</f>
        <v>0</v>
      </c>
      <c r="K28" s="29">
        <f>COUNTIFS('Base de Datos'!$F:$F,$C28,'Base de Datos'!$G:$G,$D28,'Base de Datos'!$H:$H,$E28,'Base de Datos'!$U:$U,$F28,'Base de Datos'!$AA:$AA,"Finalizada")</f>
        <v>0</v>
      </c>
      <c r="L28" s="29">
        <f>COUNTIFS('Base de Datos'!$F:$F,$C28,'Base de Datos'!$G:$G,$D28,'Base de Datos'!$H:$H,$E28,'Base de Datos'!$U:$U,$F28,'Base de Datos'!$AA:$AA,"Abierta",'Base de Datos'!$AC:$AC,"&lt;=10",'Base de Datos'!$AC:$AC,"&gt;0")</f>
        <v>0</v>
      </c>
      <c r="M28" s="29">
        <f>COUNTIFS('Base de Datos'!$F:$F,$C28,'Base de Datos'!$G:$G,$D28,'Base de Datos'!$H:$H,$E28,'Base de Datos'!$U:$U,$F28,'Base de Datos'!$AA:$AA,"Abierta",'Base de Datos'!$AC:$AC,"&lt;=20",'Base de Datos'!$AC:$AC,"&gt;10")</f>
        <v>0</v>
      </c>
      <c r="N28" s="32">
        <f>COUNTIFS('Base de Datos'!$F:$F,$C28,'Base de Datos'!$G:$G,$D28,'Base de Datos'!$H:$H,$E28,'Base de Datos'!$U:$U,$F28,'Base de Datos'!$AA:$AA,"Abierta",'Base de Datos'!$AC:$AC,"&lt;=30",'Base de Datos'!$AC:$AC,"&gt;20")</f>
        <v>0</v>
      </c>
      <c r="O28" s="29">
        <f>COUNTIFS('Base de Datos'!$F:$F,$C28,'Base de Datos'!$G:$G,$D28,'Base de Datos'!$H:$H,$E28,'Base de Datos'!$U:$U,$F28,'Base de Datos'!$AA:$AA,"Abierta",'Base de Datos'!$AG:$AG,1)</f>
        <v>0</v>
      </c>
      <c r="P28" s="29" t="e">
        <f>COUNTIFS('Base de Datos'!$F:$F, $C28, 'Base de Datos'!$H:$H, $E28, 'Base de Datos'!$U:$U, $F28, 'Base de Datos'!$AA:$AA, "Finalizada", 'Base de Datos'!#REF!, "&gt;=01/01/2026", 'Base de Datos'!#REF!, "&lt;=31/01/2026")</f>
        <v>#REF!</v>
      </c>
      <c r="Q28" s="29" t="e">
        <f>COUNTIFS('Base de Datos'!$F:$F, $C28, 'Base de Datos'!$H:$H, $E28, 'Base de Datos'!$U:$U, $F28, 'Base de Datos'!$AA:$AA, "Finalizada", 'Base de Datos'!#REF!, "&gt;=01/02/2026", 'Base de Datos'!#REF!, "&lt;=28/02/2026")</f>
        <v>#REF!</v>
      </c>
      <c r="R28" s="29" t="e">
        <f>COUNTIFS('Base de Datos'!$F:$F, $C28, 'Base de Datos'!$H:$H, $E28, 'Base de Datos'!$U:$U, $F28, 'Base de Datos'!$AA:$AA, "Finalizada", 'Base de Datos'!#REF!, "&gt;=01/03/2026", 'Base de Datos'!#REF!, "&lt;=31/03/2026")</f>
        <v>#REF!</v>
      </c>
      <c r="S28" s="29" t="e">
        <f>COUNTIFS('Base de Datos'!$F:$F, $C28, 'Base de Datos'!$H:$H, $E28, 'Base de Datos'!$U:$U, $F28, 'Base de Datos'!$AA:$AA, "Finalizada", 'Base de Datos'!#REF!, "&gt;=01/04/2026", 'Base de Datos'!#REF!, "&lt;=30/04/2026")</f>
        <v>#REF!</v>
      </c>
      <c r="T28" s="29" t="e">
        <f>COUNTIFS('Base de Datos'!$F:$F, $C28, 'Base de Datos'!$H:$H, $E28, 'Base de Datos'!$U:$U, $F28, 'Base de Datos'!$AA:$AA, "Finalizada", 'Base de Datos'!#REF!, "&gt;=01/05/2026", 'Base de Datos'!#REF!, "&lt;=31/05/2026")</f>
        <v>#REF!</v>
      </c>
      <c r="U28" s="29" t="e">
        <f>COUNTIFS('Base de Datos'!$F:$F, $C28, 'Base de Datos'!$H:$H, $E28, 'Base de Datos'!$U:$U, $F28, 'Base de Datos'!$AA:$AA, "Finalizada", 'Base de Datos'!#REF!, "&gt;=01/06/2026", 'Base de Datos'!#REF!, "&lt;=30/06/2026")</f>
        <v>#REF!</v>
      </c>
    </row>
    <row r="29" spans="3:24">
      <c r="C29" s="4">
        <v>2025</v>
      </c>
      <c r="D29" s="4">
        <v>90</v>
      </c>
      <c r="E29" s="4" t="s">
        <v>204</v>
      </c>
      <c r="F29" s="5" t="s">
        <v>660</v>
      </c>
      <c r="G29" s="28">
        <f>IF(COUNTIFS($C$4:C29, C29, $D$4:D29, D29, $E$4:E29, E29)=1, 1, 0)</f>
        <v>0</v>
      </c>
      <c r="H29" s="29" cm="1">
        <f t="array" ref="H29">SUMPRODUCT((TRIM(CLEAN('Base de Datos'!$F$2:$F$3000))&amp;""=TRIM(CLEAN(C29))&amp;"")*(TRIM(CLEAN('Base de Datos'!$G$2:$G$3000))&amp;""=TRIM(CLEAN(D29))&amp;"")*(TRIM(CLEAN('Base de Datos'!$H$2:$H$3000))&amp;""=TRIM(CLEAN(E29))&amp;"")*(TRIM(CLEAN('Base de Datos'!$U$2:$U$3000))&amp;""=TRIM(CLEAN(F29))&amp;""))</f>
        <v>0</v>
      </c>
      <c r="I29" s="29">
        <f>COUNTIFS('Base de Datos'!$F:$F,$C29,'Base de Datos'!$G:$G,$D29,'Base de Datos'!$H:$H,$E29,'Base de Datos'!$U:$U,$F29,'Base de Datos'!$AA:$AA,"Abierta")</f>
        <v>0</v>
      </c>
      <c r="J29" s="29">
        <f>COUNTIFS('Base de Datos'!$F:$F,$C29,'Base de Datos'!$G:$G,$D29,'Base de Datos'!$H:$H,$E29,'Base de Datos'!$U:$U,$F29,'Base de Datos'!$AA:$AA,"Vencida")</f>
        <v>0</v>
      </c>
      <c r="K29" s="29">
        <f>COUNTIFS('Base de Datos'!$F:$F,$C29,'Base de Datos'!$G:$G,$D29,'Base de Datos'!$H:$H,$E29,'Base de Datos'!$U:$U,$F29,'Base de Datos'!$AA:$AA,"Finalizada")</f>
        <v>0</v>
      </c>
      <c r="L29" s="29">
        <f>COUNTIFS('Base de Datos'!$F:$F,$C29,'Base de Datos'!$G:$G,$D29,'Base de Datos'!$H:$H,$E29,'Base de Datos'!$U:$U,$F29,'Base de Datos'!$AA:$AA,"Abierta",'Base de Datos'!$AC:$AC,"&lt;=10",'Base de Datos'!$AC:$AC,"&gt;0")</f>
        <v>0</v>
      </c>
      <c r="M29" s="29">
        <f>COUNTIFS('Base de Datos'!$F:$F,$C29,'Base de Datos'!$G:$G,$D29,'Base de Datos'!$H:$H,$E29,'Base de Datos'!$U:$U,$F29,'Base de Datos'!$AA:$AA,"Abierta",'Base de Datos'!$AC:$AC,"&lt;=20",'Base de Datos'!$AC:$AC,"&gt;10")</f>
        <v>0</v>
      </c>
      <c r="N29" s="32">
        <f>COUNTIFS('Base de Datos'!$F:$F,$C29,'Base de Datos'!$G:$G,$D29,'Base de Datos'!$H:$H,$E29,'Base de Datos'!$U:$U,$F29,'Base de Datos'!$AA:$AA,"Abierta",'Base de Datos'!$AC:$AC,"&lt;=30",'Base de Datos'!$AC:$AC,"&gt;20")</f>
        <v>0</v>
      </c>
      <c r="O29" s="29">
        <f>COUNTIFS('Base de Datos'!$F:$F,$C29,'Base de Datos'!$G:$G,$D29,'Base de Datos'!$H:$H,$E29,'Base de Datos'!$U:$U,$F29,'Base de Datos'!$AA:$AA,"Abierta",'Base de Datos'!$AG:$AG,1)</f>
        <v>0</v>
      </c>
      <c r="P29" s="29" t="e">
        <f>COUNTIFS('Base de Datos'!$F:$F, $C29, 'Base de Datos'!$H:$H, $E29, 'Base de Datos'!$U:$U, $F29, 'Base de Datos'!$AA:$AA, "Finalizada", 'Base de Datos'!#REF!, "&gt;=01/01/2026", 'Base de Datos'!#REF!, "&lt;=31/01/2026")</f>
        <v>#REF!</v>
      </c>
      <c r="Q29" s="29" t="e">
        <f>COUNTIFS('Base de Datos'!$F:$F, $C29, 'Base de Datos'!$H:$H, $E29, 'Base de Datos'!$U:$U, $F29, 'Base de Datos'!$AA:$AA, "Finalizada", 'Base de Datos'!#REF!, "&gt;=01/02/2026", 'Base de Datos'!#REF!, "&lt;=28/02/2026")</f>
        <v>#REF!</v>
      </c>
      <c r="R29" s="29" t="e">
        <f>COUNTIFS('Base de Datos'!$F:$F, $C29, 'Base de Datos'!$H:$H, $E29, 'Base de Datos'!$U:$U, $F29, 'Base de Datos'!$AA:$AA, "Finalizada", 'Base de Datos'!#REF!, "&gt;=01/03/2026", 'Base de Datos'!#REF!, "&lt;=31/03/2026")</f>
        <v>#REF!</v>
      </c>
      <c r="S29" s="29" t="e">
        <f>COUNTIFS('Base de Datos'!$F:$F, $C29, 'Base de Datos'!$H:$H, $E29, 'Base de Datos'!$U:$U, $F29, 'Base de Datos'!$AA:$AA, "Finalizada", 'Base de Datos'!#REF!, "&gt;=01/04/2026", 'Base de Datos'!#REF!, "&lt;=30/04/2026")</f>
        <v>#REF!</v>
      </c>
      <c r="T29" s="29" t="e">
        <f>COUNTIFS('Base de Datos'!$F:$F, $C29, 'Base de Datos'!$H:$H, $E29, 'Base de Datos'!$U:$U, $F29, 'Base de Datos'!$AA:$AA, "Finalizada", 'Base de Datos'!#REF!, "&gt;=01/05/2026", 'Base de Datos'!#REF!, "&lt;=31/05/2026")</f>
        <v>#REF!</v>
      </c>
      <c r="U29" s="29" t="e">
        <f>COUNTIFS('Base de Datos'!$F:$F, $C29, 'Base de Datos'!$H:$H, $E29, 'Base de Datos'!$U:$U, $F29, 'Base de Datos'!$AA:$AA, "Finalizada", 'Base de Datos'!#REF!, "&gt;=01/06/2026", 'Base de Datos'!#REF!, "&lt;=30/06/2026")</f>
        <v>#REF!</v>
      </c>
    </row>
    <row r="30" spans="3:24">
      <c r="C30" s="4">
        <v>2025</v>
      </c>
      <c r="D30" s="4">
        <v>90</v>
      </c>
      <c r="E30" s="4" t="s">
        <v>215</v>
      </c>
      <c r="F30" s="5" t="s">
        <v>657</v>
      </c>
      <c r="G30" s="28">
        <f>IF(COUNTIFS($C$4:C30, C30, $D$4:D30, D30, $E$4:E30, E30)=1, 1, 0)</f>
        <v>1</v>
      </c>
      <c r="H30" s="29" cm="1">
        <f t="array" ref="H30">SUMPRODUCT((TRIM(CLEAN('Base de Datos'!$F$2:$F$3000))&amp;""=TRIM(CLEAN(C30))&amp;"")*(TRIM(CLEAN('Base de Datos'!$G$2:$G$3000))&amp;""=TRIM(CLEAN(D30))&amp;"")*(TRIM(CLEAN('Base de Datos'!$H$2:$H$3000))&amp;""=TRIM(CLEAN(E30))&amp;"")*(TRIM(CLEAN('Base de Datos'!$U$2:$U$3000))&amp;""=TRIM(CLEAN(F30))&amp;""))</f>
        <v>0</v>
      </c>
      <c r="I30" s="29">
        <f>COUNTIFS('Base de Datos'!$F:$F,$C30,'Base de Datos'!$G:$G,$D30,'Base de Datos'!$H:$H,$E30,'Base de Datos'!$U:$U,$F30,'Base de Datos'!$AA:$AA,"Abierta")</f>
        <v>0</v>
      </c>
      <c r="J30" s="29">
        <f>COUNTIFS('Base de Datos'!$F:$F,$C30,'Base de Datos'!$G:$G,$D30,'Base de Datos'!$H:$H,$E30,'Base de Datos'!$U:$U,$F30,'Base de Datos'!$AA:$AA,"Vencida")</f>
        <v>0</v>
      </c>
      <c r="K30" s="29">
        <f>COUNTIFS('Base de Datos'!$F:$F,$C30,'Base de Datos'!$G:$G,$D30,'Base de Datos'!$H:$H,$E30,'Base de Datos'!$U:$U,$F30,'Base de Datos'!$AA:$AA,"Finalizada")</f>
        <v>0</v>
      </c>
      <c r="L30" s="29">
        <f>COUNTIFS('Base de Datos'!$F:$F,$C30,'Base de Datos'!$G:$G,$D30,'Base de Datos'!$H:$H,$E30,'Base de Datos'!$U:$U,$F30,'Base de Datos'!$AA:$AA,"Abierta",'Base de Datos'!$AC:$AC,"&lt;=10",'Base de Datos'!$AC:$AC,"&gt;0")</f>
        <v>0</v>
      </c>
      <c r="M30" s="29">
        <f>COUNTIFS('Base de Datos'!$F:$F,$C30,'Base de Datos'!$G:$G,$D30,'Base de Datos'!$H:$H,$E30,'Base de Datos'!$U:$U,$F30,'Base de Datos'!$AA:$AA,"Abierta",'Base de Datos'!$AC:$AC,"&lt;=20",'Base de Datos'!$AC:$AC,"&gt;10")</f>
        <v>0</v>
      </c>
      <c r="N30" s="32">
        <f>COUNTIFS('Base de Datos'!$F:$F,$C30,'Base de Datos'!$G:$G,$D30,'Base de Datos'!$H:$H,$E30,'Base de Datos'!$U:$U,$F30,'Base de Datos'!$AA:$AA,"Abierta",'Base de Datos'!$AC:$AC,"&lt;=30",'Base de Datos'!$AC:$AC,"&gt;20")</f>
        <v>0</v>
      </c>
      <c r="O30" s="29">
        <f>COUNTIFS('Base de Datos'!$F:$F,$C30,'Base de Datos'!$G:$G,$D30,'Base de Datos'!$H:$H,$E30,'Base de Datos'!$U:$U,$F30,'Base de Datos'!$AA:$AA,"Abierta",'Base de Datos'!$AG:$AG,1)</f>
        <v>0</v>
      </c>
      <c r="P30" s="29" t="e">
        <f>COUNTIFS('Base de Datos'!$F:$F, $C30, 'Base de Datos'!$H:$H, $E30, 'Base de Datos'!$U:$U, $F30, 'Base de Datos'!$AA:$AA, "Finalizada", 'Base de Datos'!#REF!, "&gt;=01/01/2026", 'Base de Datos'!#REF!, "&lt;=31/01/2026")</f>
        <v>#REF!</v>
      </c>
      <c r="Q30" s="29" t="e">
        <f>COUNTIFS('Base de Datos'!$F:$F, $C30, 'Base de Datos'!$H:$H, $E30, 'Base de Datos'!$U:$U, $F30, 'Base de Datos'!$AA:$AA, "Finalizada", 'Base de Datos'!#REF!, "&gt;=01/02/2026", 'Base de Datos'!#REF!, "&lt;=28/02/2026")</f>
        <v>#REF!</v>
      </c>
      <c r="R30" s="29" t="e">
        <f>COUNTIFS('Base de Datos'!$F:$F, $C30, 'Base de Datos'!$H:$H, $E30, 'Base de Datos'!$U:$U, $F30, 'Base de Datos'!$AA:$AA, "Finalizada", 'Base de Datos'!#REF!, "&gt;=01/03/2026", 'Base de Datos'!#REF!, "&lt;=31/03/2026")</f>
        <v>#REF!</v>
      </c>
      <c r="S30" s="29" t="e">
        <f>COUNTIFS('Base de Datos'!$F:$F, $C30, 'Base de Datos'!$H:$H, $E30, 'Base de Datos'!$U:$U, $F30, 'Base de Datos'!$AA:$AA, "Finalizada", 'Base de Datos'!#REF!, "&gt;=01/04/2026", 'Base de Datos'!#REF!, "&lt;=30/04/2026")</f>
        <v>#REF!</v>
      </c>
      <c r="T30" s="29" t="e">
        <f>COUNTIFS('Base de Datos'!$F:$F, $C30, 'Base de Datos'!$H:$H, $E30, 'Base de Datos'!$U:$U, $F30, 'Base de Datos'!$AA:$AA, "Finalizada", 'Base de Datos'!#REF!, "&gt;=01/05/2026", 'Base de Datos'!#REF!, "&lt;=31/05/2026")</f>
        <v>#REF!</v>
      </c>
      <c r="U30" s="29" t="e">
        <f>COUNTIFS('Base de Datos'!$F:$F, $C30, 'Base de Datos'!$H:$H, $E30, 'Base de Datos'!$U:$U, $F30, 'Base de Datos'!$AA:$AA, "Finalizada", 'Base de Datos'!#REF!, "&gt;=01/06/2026", 'Base de Datos'!#REF!, "&lt;=30/06/2026")</f>
        <v>#REF!</v>
      </c>
    </row>
    <row r="31" spans="3:24">
      <c r="C31" s="4">
        <v>2025</v>
      </c>
      <c r="D31" s="4">
        <v>90</v>
      </c>
      <c r="E31" s="4" t="s">
        <v>215</v>
      </c>
      <c r="F31" s="5" t="s">
        <v>659</v>
      </c>
      <c r="G31" s="28">
        <f>IF(COUNTIFS($C$4:C31, C31, $D$4:D31, D31, $E$4:E31, E31)=1, 1, 0)</f>
        <v>0</v>
      </c>
      <c r="H31" s="29" cm="1">
        <f t="array" ref="H31">SUMPRODUCT((TRIM(CLEAN('Base de Datos'!$F$2:$F$3000))&amp;""=TRIM(CLEAN(C31))&amp;"")*(TRIM(CLEAN('Base de Datos'!$G$2:$G$3000))&amp;""=TRIM(CLEAN(D31))&amp;"")*(TRIM(CLEAN('Base de Datos'!$H$2:$H$3000))&amp;""=TRIM(CLEAN(E31))&amp;"")*(TRIM(CLEAN('Base de Datos'!$U$2:$U$3000))&amp;""=TRIM(CLEAN(F31))&amp;""))</f>
        <v>0</v>
      </c>
      <c r="I31" s="29">
        <f>COUNTIFS('Base de Datos'!$F:$F,$C31,'Base de Datos'!$G:$G,$D31,'Base de Datos'!$H:$H,$E31,'Base de Datos'!$U:$U,$F31,'Base de Datos'!$AA:$AA,"Abierta")</f>
        <v>0</v>
      </c>
      <c r="J31" s="29">
        <f>COUNTIFS('Base de Datos'!$F:$F,$C31,'Base de Datos'!$G:$G,$D31,'Base de Datos'!$H:$H,$E31,'Base de Datos'!$U:$U,$F31,'Base de Datos'!$AA:$AA,"Vencida")</f>
        <v>0</v>
      </c>
      <c r="K31" s="29">
        <f>COUNTIFS('Base de Datos'!$F:$F,$C31,'Base de Datos'!$G:$G,$D31,'Base de Datos'!$H:$H,$E31,'Base de Datos'!$U:$U,$F31,'Base de Datos'!$AA:$AA,"Finalizada")</f>
        <v>0</v>
      </c>
      <c r="L31" s="29">
        <f>COUNTIFS('Base de Datos'!$F:$F,$C31,'Base de Datos'!$G:$G,$D31,'Base de Datos'!$H:$H,$E31,'Base de Datos'!$U:$U,$F31,'Base de Datos'!$AA:$AA,"Abierta",'Base de Datos'!$AC:$AC,"&lt;=10",'Base de Datos'!$AC:$AC,"&gt;0")</f>
        <v>0</v>
      </c>
      <c r="M31" s="29">
        <f>COUNTIFS('Base de Datos'!$F:$F,$C31,'Base de Datos'!$G:$G,$D31,'Base de Datos'!$H:$H,$E31,'Base de Datos'!$U:$U,$F31,'Base de Datos'!$AA:$AA,"Abierta",'Base de Datos'!$AC:$AC,"&lt;=20",'Base de Datos'!$AC:$AC,"&gt;10")</f>
        <v>0</v>
      </c>
      <c r="N31" s="32">
        <f>COUNTIFS('Base de Datos'!$F:$F,$C31,'Base de Datos'!$G:$G,$D31,'Base de Datos'!$H:$H,$E31,'Base de Datos'!$U:$U,$F31,'Base de Datos'!$AA:$AA,"Abierta",'Base de Datos'!$AC:$AC,"&lt;=30",'Base de Datos'!$AC:$AC,"&gt;20")</f>
        <v>0</v>
      </c>
      <c r="O31" s="29">
        <f>COUNTIFS('Base de Datos'!$F:$F,$C31,'Base de Datos'!$G:$G,$D31,'Base de Datos'!$H:$H,$E31,'Base de Datos'!$U:$U,$F31,'Base de Datos'!$AA:$AA,"Abierta",'Base de Datos'!$AG:$AG,1)</f>
        <v>0</v>
      </c>
      <c r="P31" s="29" t="e">
        <f>COUNTIFS('Base de Datos'!$F:$F, $C31, 'Base de Datos'!$H:$H, $E31, 'Base de Datos'!$U:$U, $F31, 'Base de Datos'!$AA:$AA, "Finalizada", 'Base de Datos'!#REF!, "&gt;=01/01/2026", 'Base de Datos'!#REF!, "&lt;=31/01/2026")</f>
        <v>#REF!</v>
      </c>
      <c r="Q31" s="29" t="e">
        <f>COUNTIFS('Base de Datos'!$F:$F, $C31, 'Base de Datos'!$H:$H, $E31, 'Base de Datos'!$U:$U, $F31, 'Base de Datos'!$AA:$AA, "Finalizada", 'Base de Datos'!#REF!, "&gt;=01/02/2026", 'Base de Datos'!#REF!, "&lt;=28/02/2026")</f>
        <v>#REF!</v>
      </c>
      <c r="R31" s="29" t="e">
        <f>COUNTIFS('Base de Datos'!$F:$F, $C31, 'Base de Datos'!$H:$H, $E31, 'Base de Datos'!$U:$U, $F31, 'Base de Datos'!$AA:$AA, "Finalizada", 'Base de Datos'!#REF!, "&gt;=01/03/2026", 'Base de Datos'!#REF!, "&lt;=31/03/2026")</f>
        <v>#REF!</v>
      </c>
      <c r="S31" s="29" t="e">
        <f>COUNTIFS('Base de Datos'!$F:$F, $C31, 'Base de Datos'!$H:$H, $E31, 'Base de Datos'!$U:$U, $F31, 'Base de Datos'!$AA:$AA, "Finalizada", 'Base de Datos'!#REF!, "&gt;=01/04/2026", 'Base de Datos'!#REF!, "&lt;=30/04/2026")</f>
        <v>#REF!</v>
      </c>
      <c r="T31" s="29" t="e">
        <f>COUNTIFS('Base de Datos'!$F:$F, $C31, 'Base de Datos'!$H:$H, $E31, 'Base de Datos'!$U:$U, $F31, 'Base de Datos'!$AA:$AA, "Finalizada", 'Base de Datos'!#REF!, "&gt;=01/05/2026", 'Base de Datos'!#REF!, "&lt;=31/05/2026")</f>
        <v>#REF!</v>
      </c>
      <c r="U31" s="29" t="e">
        <f>COUNTIFS('Base de Datos'!$F:$F, $C31, 'Base de Datos'!$H:$H, $E31, 'Base de Datos'!$U:$U, $F31, 'Base de Datos'!$AA:$AA, "Finalizada", 'Base de Datos'!#REF!, "&gt;=01/06/2026", 'Base de Datos'!#REF!, "&lt;=30/06/2026")</f>
        <v>#REF!</v>
      </c>
    </row>
    <row r="32" spans="3:24">
      <c r="C32" s="4">
        <v>2025</v>
      </c>
      <c r="D32" s="4">
        <v>90</v>
      </c>
      <c r="E32" s="4" t="s">
        <v>229</v>
      </c>
      <c r="F32" s="5" t="s">
        <v>661</v>
      </c>
      <c r="G32" s="28">
        <f>IF(COUNTIFS($C$4:C32, C32, $D$4:D32, D32, $E$4:E32, E32)=1, 1, 0)</f>
        <v>1</v>
      </c>
      <c r="H32" s="29" cm="1">
        <f t="array" ref="H32">SUMPRODUCT((TRIM(CLEAN('Base de Datos'!$F$2:$F$3000))&amp;""=TRIM(CLEAN(C32))&amp;"")*(TRIM(CLEAN('Base de Datos'!$G$2:$G$3000))&amp;""=TRIM(CLEAN(D32))&amp;"")*(TRIM(CLEAN('Base de Datos'!$H$2:$H$3000))&amp;""=TRIM(CLEAN(E32))&amp;"")*(TRIM(CLEAN('Base de Datos'!$U$2:$U$3000))&amp;""=TRIM(CLEAN(F32))&amp;""))</f>
        <v>0</v>
      </c>
      <c r="I32" s="29">
        <f>COUNTIFS('Base de Datos'!$F:$F,$C32,'Base de Datos'!$G:$G,$D32,'Base de Datos'!$H:$H,$E32,'Base de Datos'!$U:$U,$F32,'Base de Datos'!$AA:$AA,"Abierta")</f>
        <v>0</v>
      </c>
      <c r="J32" s="29">
        <f>COUNTIFS('Base de Datos'!$F:$F,$C32,'Base de Datos'!$G:$G,$D32,'Base de Datos'!$H:$H,$E32,'Base de Datos'!$U:$U,$F32,'Base de Datos'!$AA:$AA,"Vencida")</f>
        <v>0</v>
      </c>
      <c r="K32" s="29">
        <f>COUNTIFS('Base de Datos'!$F:$F,$C32,'Base de Datos'!$G:$G,$D32,'Base de Datos'!$H:$H,$E32,'Base de Datos'!$U:$U,$F32,'Base de Datos'!$AA:$AA,"Finalizada")</f>
        <v>0</v>
      </c>
      <c r="L32" s="29">
        <f>COUNTIFS('Base de Datos'!$F:$F,$C32,'Base de Datos'!$G:$G,$D32,'Base de Datos'!$H:$H,$E32,'Base de Datos'!$U:$U,$F32,'Base de Datos'!$AA:$AA,"Abierta",'Base de Datos'!$AC:$AC,"&lt;=10",'Base de Datos'!$AC:$AC,"&gt;0")</f>
        <v>0</v>
      </c>
      <c r="M32" s="29">
        <f>COUNTIFS('Base de Datos'!$F:$F,$C32,'Base de Datos'!$G:$G,$D32,'Base de Datos'!$H:$H,$E32,'Base de Datos'!$U:$U,$F32,'Base de Datos'!$AA:$AA,"Abierta",'Base de Datos'!$AC:$AC,"&lt;=20",'Base de Datos'!$AC:$AC,"&gt;10")</f>
        <v>0</v>
      </c>
      <c r="N32" s="32">
        <f>COUNTIFS('Base de Datos'!$F:$F,$C32,'Base de Datos'!$G:$G,$D32,'Base de Datos'!$H:$H,$E32,'Base de Datos'!$U:$U,$F32,'Base de Datos'!$AA:$AA,"Abierta",'Base de Datos'!$AC:$AC,"&lt;=30",'Base de Datos'!$AC:$AC,"&gt;20")</f>
        <v>0</v>
      </c>
      <c r="O32" s="29">
        <f>COUNTIFS('Base de Datos'!$F:$F,$C32,'Base de Datos'!$G:$G,$D32,'Base de Datos'!$H:$H,$E32,'Base de Datos'!$U:$U,$F32,'Base de Datos'!$AA:$AA,"Abierta",'Base de Datos'!$AG:$AG,1)</f>
        <v>0</v>
      </c>
      <c r="P32" s="29" t="e">
        <f>COUNTIFS('Base de Datos'!$F:$F, $C32, 'Base de Datos'!$H:$H, $E32, 'Base de Datos'!$U:$U, $F32, 'Base de Datos'!$AA:$AA, "Finalizada", 'Base de Datos'!#REF!, "&gt;=01/01/2026", 'Base de Datos'!#REF!, "&lt;=31/01/2026")</f>
        <v>#REF!</v>
      </c>
      <c r="Q32" s="29" t="e">
        <f>COUNTIFS('Base de Datos'!$F:$F, $C32, 'Base de Datos'!$H:$H, $E32, 'Base de Datos'!$U:$U, $F32, 'Base de Datos'!$AA:$AA, "Finalizada", 'Base de Datos'!#REF!, "&gt;=01/02/2026", 'Base de Datos'!#REF!, "&lt;=28/02/2026")</f>
        <v>#REF!</v>
      </c>
      <c r="R32" s="29" t="e">
        <f>COUNTIFS('Base de Datos'!$F:$F, $C32, 'Base de Datos'!$H:$H, $E32, 'Base de Datos'!$U:$U, $F32, 'Base de Datos'!$AA:$AA, "Finalizada", 'Base de Datos'!#REF!, "&gt;=01/03/2026", 'Base de Datos'!#REF!, "&lt;=31/03/2026")</f>
        <v>#REF!</v>
      </c>
      <c r="S32" s="29" t="e">
        <f>COUNTIFS('Base de Datos'!$F:$F, $C32, 'Base de Datos'!$H:$H, $E32, 'Base de Datos'!$U:$U, $F32, 'Base de Datos'!$AA:$AA, "Finalizada", 'Base de Datos'!#REF!, "&gt;=01/04/2026", 'Base de Datos'!#REF!, "&lt;=30/04/2026")</f>
        <v>#REF!</v>
      </c>
      <c r="T32" s="29" t="e">
        <f>COUNTIFS('Base de Datos'!$F:$F, $C32, 'Base de Datos'!$H:$H, $E32, 'Base de Datos'!$U:$U, $F32, 'Base de Datos'!$AA:$AA, "Finalizada", 'Base de Datos'!#REF!, "&gt;=01/05/2026", 'Base de Datos'!#REF!, "&lt;=31/05/2026")</f>
        <v>#REF!</v>
      </c>
      <c r="U32" s="29" t="e">
        <f>COUNTIFS('Base de Datos'!$F:$F, $C32, 'Base de Datos'!$H:$H, $E32, 'Base de Datos'!$U:$U, $F32, 'Base de Datos'!$AA:$AA, "Finalizada", 'Base de Datos'!#REF!, "&gt;=01/06/2026", 'Base de Datos'!#REF!, "&lt;=30/06/2026")</f>
        <v>#REF!</v>
      </c>
    </row>
    <row r="33" spans="3:21">
      <c r="C33" s="4">
        <v>2024</v>
      </c>
      <c r="D33" s="4">
        <v>90</v>
      </c>
      <c r="E33" s="4" t="s">
        <v>237</v>
      </c>
      <c r="F33" s="5" t="s">
        <v>657</v>
      </c>
      <c r="G33" s="28">
        <f>IF(COUNTIFS($C$4:C33, C33, $D$4:D33, D33, $E$4:E33, E33)=1, 1, 0)</f>
        <v>1</v>
      </c>
      <c r="H33" s="29" cm="1">
        <f t="array" ref="H33">SUMPRODUCT((TRIM(CLEAN('Base de Datos'!$F$2:$F$3000))&amp;""=TRIM(CLEAN(C33))&amp;"")*(TRIM(CLEAN('Base de Datos'!$G$2:$G$3000))&amp;""=TRIM(CLEAN(D33))&amp;"")*(TRIM(CLEAN('Base de Datos'!$H$2:$H$3000))&amp;""=TRIM(CLEAN(E33))&amp;"")*(TRIM(CLEAN('Base de Datos'!$U$2:$U$3000))&amp;""=TRIM(CLEAN(F33))&amp;""))</f>
        <v>0</v>
      </c>
      <c r="I33" s="29">
        <f>COUNTIFS('Base de Datos'!$F:$F,$C33,'Base de Datos'!$G:$G,$D33,'Base de Datos'!$H:$H,$E33,'Base de Datos'!$U:$U,$F33,'Base de Datos'!$AA:$AA,"Abierta")</f>
        <v>0</v>
      </c>
      <c r="J33" s="29">
        <f>COUNTIFS('Base de Datos'!$F:$F,$C33,'Base de Datos'!$G:$G,$D33,'Base de Datos'!$H:$H,$E33,'Base de Datos'!$U:$U,$F33,'Base de Datos'!$AA:$AA,"Vencida")</f>
        <v>0</v>
      </c>
      <c r="K33" s="29">
        <f>COUNTIFS('Base de Datos'!$F:$F,$C33,'Base de Datos'!$G:$G,$D33,'Base de Datos'!$H:$H,$E33,'Base de Datos'!$U:$U,$F33,'Base de Datos'!$AA:$AA,"Finalizada")</f>
        <v>0</v>
      </c>
      <c r="L33" s="29">
        <f>COUNTIFS('Base de Datos'!$F:$F,$C33,'Base de Datos'!$G:$G,$D33,'Base de Datos'!$H:$H,$E33,'Base de Datos'!$U:$U,$F33,'Base de Datos'!$AA:$AA,"Abierta",'Base de Datos'!$AC:$AC,"&lt;=10",'Base de Datos'!$AC:$AC,"&gt;0")</f>
        <v>0</v>
      </c>
      <c r="M33" s="29">
        <f>COUNTIFS('Base de Datos'!$F:$F,$C33,'Base de Datos'!$G:$G,$D33,'Base de Datos'!$H:$H,$E33,'Base de Datos'!$U:$U,$F33,'Base de Datos'!$AA:$AA,"Abierta",'Base de Datos'!$AC:$AC,"&lt;=20",'Base de Datos'!$AC:$AC,"&gt;10")</f>
        <v>0</v>
      </c>
      <c r="N33" s="32">
        <f>COUNTIFS('Base de Datos'!$F:$F,$C33,'Base de Datos'!$G:$G,$D33,'Base de Datos'!$H:$H,$E33,'Base de Datos'!$U:$U,$F33,'Base de Datos'!$AA:$AA,"Abierta",'Base de Datos'!$AC:$AC,"&lt;=30",'Base de Datos'!$AC:$AC,"&gt;20")</f>
        <v>0</v>
      </c>
      <c r="O33" s="29">
        <f>COUNTIFS('Base de Datos'!$F:$F,$C33,'Base de Datos'!$G:$G,$D33,'Base de Datos'!$H:$H,$E33,'Base de Datos'!$U:$U,$F33,'Base de Datos'!$AA:$AA,"Abierta",'Base de Datos'!$AG:$AG,1)</f>
        <v>0</v>
      </c>
      <c r="P33" s="29" t="e">
        <f>COUNTIFS('Base de Datos'!$F:$F, $C33, 'Base de Datos'!$H:$H, $E33, 'Base de Datos'!$U:$U, $F33, 'Base de Datos'!$AA:$AA, "Finalizada", 'Base de Datos'!#REF!, "&gt;=01/01/2026", 'Base de Datos'!#REF!, "&lt;=31/01/2026")</f>
        <v>#REF!</v>
      </c>
      <c r="Q33" s="29" t="e">
        <f>COUNTIFS('Base de Datos'!$F:$F, $C33, 'Base de Datos'!$H:$H, $E33, 'Base de Datos'!$U:$U, $F33, 'Base de Datos'!$AA:$AA, "Finalizada", 'Base de Datos'!#REF!, "&gt;=01/02/2026", 'Base de Datos'!#REF!, "&lt;=28/02/2026")</f>
        <v>#REF!</v>
      </c>
      <c r="R33" s="29" t="e">
        <f>COUNTIFS('Base de Datos'!$F:$F, $C33, 'Base de Datos'!$H:$H, $E33, 'Base de Datos'!$U:$U, $F33, 'Base de Datos'!$AA:$AA, "Finalizada", 'Base de Datos'!#REF!, "&gt;=01/03/2026", 'Base de Datos'!#REF!, "&lt;=31/03/2026")</f>
        <v>#REF!</v>
      </c>
      <c r="S33" s="29" t="e">
        <f>COUNTIFS('Base de Datos'!$F:$F, $C33, 'Base de Datos'!$H:$H, $E33, 'Base de Datos'!$U:$U, $F33, 'Base de Datos'!$AA:$AA, "Finalizada", 'Base de Datos'!#REF!, "&gt;=01/04/2026", 'Base de Datos'!#REF!, "&lt;=30/04/2026")</f>
        <v>#REF!</v>
      </c>
      <c r="T33" s="29" t="e">
        <f>COUNTIFS('Base de Datos'!$F:$F, $C33, 'Base de Datos'!$H:$H, $E33, 'Base de Datos'!$U:$U, $F33, 'Base de Datos'!$AA:$AA, "Finalizada", 'Base de Datos'!#REF!, "&gt;=01/05/2026", 'Base de Datos'!#REF!, "&lt;=31/05/2026")</f>
        <v>#REF!</v>
      </c>
      <c r="U33" s="29" t="e">
        <f>COUNTIFS('Base de Datos'!$F:$F, $C33, 'Base de Datos'!$H:$H, $E33, 'Base de Datos'!$U:$U, $F33, 'Base de Datos'!$AA:$AA, "Finalizada", 'Base de Datos'!#REF!, "&gt;=01/06/2026", 'Base de Datos'!#REF!, "&lt;=30/06/2026")</f>
        <v>#REF!</v>
      </c>
    </row>
    <row r="34" spans="3:21" ht="20.399999999999999">
      <c r="C34" s="4">
        <v>2024</v>
      </c>
      <c r="D34" s="4">
        <v>90</v>
      </c>
      <c r="E34" s="4" t="s">
        <v>237</v>
      </c>
      <c r="F34" s="5" t="s">
        <v>664</v>
      </c>
      <c r="G34" s="28">
        <f>IF(COUNTIFS($C$4:C34, C34, $D$4:D34, D34, $E$4:E34, E34)=1, 1, 0)</f>
        <v>0</v>
      </c>
      <c r="H34" s="29" cm="1">
        <f t="array" ref="H34">SUMPRODUCT((TRIM(CLEAN('Base de Datos'!$F$2:$F$3000))&amp;""=TRIM(CLEAN(C34))&amp;"")*(TRIM(CLEAN('Base de Datos'!$G$2:$G$3000))&amp;""=TRIM(CLEAN(D34))&amp;"")*(TRIM(CLEAN('Base de Datos'!$H$2:$H$3000))&amp;""=TRIM(CLEAN(E34))&amp;"")*(TRIM(CLEAN('Base de Datos'!$U$2:$U$3000))&amp;""=TRIM(CLEAN(F34))&amp;""))</f>
        <v>0</v>
      </c>
      <c r="I34" s="29">
        <f>COUNTIFS('Base de Datos'!$F:$F,$C34,'Base de Datos'!$G:$G,$D34,'Base de Datos'!$H:$H,$E34,'Base de Datos'!$U:$U,$F34,'Base de Datos'!$AA:$AA,"Abierta")</f>
        <v>0</v>
      </c>
      <c r="J34" s="29">
        <f>COUNTIFS('Base de Datos'!$F:$F,$C34,'Base de Datos'!$G:$G,$D34,'Base de Datos'!$H:$H,$E34,'Base de Datos'!$U:$U,$F34,'Base de Datos'!$AA:$AA,"Vencida")</f>
        <v>0</v>
      </c>
      <c r="K34" s="29">
        <f>COUNTIFS('Base de Datos'!$F:$F,$C34,'Base de Datos'!$G:$G,$D34,'Base de Datos'!$H:$H,$E34,'Base de Datos'!$U:$U,$F34,'Base de Datos'!$AA:$AA,"Finalizada")</f>
        <v>0</v>
      </c>
      <c r="L34" s="29">
        <f>COUNTIFS('Base de Datos'!$F:$F,$C34,'Base de Datos'!$G:$G,$D34,'Base de Datos'!$H:$H,$E34,'Base de Datos'!$U:$U,$F34,'Base de Datos'!$AA:$AA,"Abierta",'Base de Datos'!$AC:$AC,"&lt;=10",'Base de Datos'!$AC:$AC,"&gt;0")</f>
        <v>0</v>
      </c>
      <c r="M34" s="29">
        <f>COUNTIFS('Base de Datos'!$F:$F,$C34,'Base de Datos'!$G:$G,$D34,'Base de Datos'!$H:$H,$E34,'Base de Datos'!$U:$U,$F34,'Base de Datos'!$AA:$AA,"Abierta",'Base de Datos'!$AC:$AC,"&lt;=20",'Base de Datos'!$AC:$AC,"&gt;10")</f>
        <v>0</v>
      </c>
      <c r="N34" s="32">
        <f>COUNTIFS('Base de Datos'!$F:$F,$C34,'Base de Datos'!$G:$G,$D34,'Base de Datos'!$H:$H,$E34,'Base de Datos'!$U:$U,$F34,'Base de Datos'!$AA:$AA,"Abierta",'Base de Datos'!$AC:$AC,"&lt;=30",'Base de Datos'!$AC:$AC,"&gt;20")</f>
        <v>0</v>
      </c>
      <c r="O34" s="29">
        <f>COUNTIFS('Base de Datos'!$F:$F,$C34,'Base de Datos'!$G:$G,$D34,'Base de Datos'!$H:$H,$E34,'Base de Datos'!$U:$U,$F34,'Base de Datos'!$AA:$AA,"Abierta",'Base de Datos'!$AG:$AG,1)</f>
        <v>0</v>
      </c>
      <c r="P34" s="29" t="e">
        <f>COUNTIFS('Base de Datos'!$F:$F, $C34, 'Base de Datos'!$H:$H, $E34, 'Base de Datos'!$U:$U, $F34, 'Base de Datos'!$AA:$AA, "Finalizada", 'Base de Datos'!#REF!, "&gt;=01/01/2026", 'Base de Datos'!#REF!, "&lt;=31/01/2026")</f>
        <v>#REF!</v>
      </c>
      <c r="Q34" s="29" t="e">
        <f>COUNTIFS('Base de Datos'!$F:$F, $C34, 'Base de Datos'!$H:$H, $E34, 'Base de Datos'!$U:$U, $F34, 'Base de Datos'!$AA:$AA, "Finalizada", 'Base de Datos'!#REF!, "&gt;=01/02/2026", 'Base de Datos'!#REF!, "&lt;=28/02/2026")</f>
        <v>#REF!</v>
      </c>
      <c r="R34" s="29" t="e">
        <f>COUNTIFS('Base de Datos'!$F:$F, $C34, 'Base de Datos'!$H:$H, $E34, 'Base de Datos'!$U:$U, $F34, 'Base de Datos'!$AA:$AA, "Finalizada", 'Base de Datos'!#REF!, "&gt;=01/03/2026", 'Base de Datos'!#REF!, "&lt;=31/03/2026")</f>
        <v>#REF!</v>
      </c>
      <c r="S34" s="29" t="e">
        <f>COUNTIFS('Base de Datos'!$F:$F, $C34, 'Base de Datos'!$H:$H, $E34, 'Base de Datos'!$U:$U, $F34, 'Base de Datos'!$AA:$AA, "Finalizada", 'Base de Datos'!#REF!, "&gt;=01/04/2026", 'Base de Datos'!#REF!, "&lt;=30/04/2026")</f>
        <v>#REF!</v>
      </c>
      <c r="T34" s="29" t="e">
        <f>COUNTIFS('Base de Datos'!$F:$F, $C34, 'Base de Datos'!$H:$H, $E34, 'Base de Datos'!$U:$U, $F34, 'Base de Datos'!$AA:$AA, "Finalizada", 'Base de Datos'!#REF!, "&gt;=01/05/2026", 'Base de Datos'!#REF!, "&lt;=31/05/2026")</f>
        <v>#REF!</v>
      </c>
      <c r="U34" s="29" t="e">
        <f>COUNTIFS('Base de Datos'!$F:$F, $C34, 'Base de Datos'!$H:$H, $E34, 'Base de Datos'!$U:$U, $F34, 'Base de Datos'!$AA:$AA, "Finalizada", 'Base de Datos'!#REF!, "&gt;=01/06/2026", 'Base de Datos'!#REF!, "&lt;=30/06/2026")</f>
        <v>#REF!</v>
      </c>
    </row>
    <row r="35" spans="3:21">
      <c r="C35" s="4">
        <v>2024</v>
      </c>
      <c r="D35" s="4">
        <v>90</v>
      </c>
      <c r="E35" s="4" t="s">
        <v>237</v>
      </c>
      <c r="F35" s="5" t="s">
        <v>662</v>
      </c>
      <c r="G35" s="28">
        <f>IF(COUNTIFS($C$4:C35, C35, $D$4:D35, D35, $E$4:E35, E35)=1, 1, 0)</f>
        <v>0</v>
      </c>
      <c r="H35" s="29" cm="1">
        <f t="array" ref="H35">SUMPRODUCT((TRIM(CLEAN('Base de Datos'!$F$2:$F$3000))&amp;""=TRIM(CLEAN(C35))&amp;"")*(TRIM(CLEAN('Base de Datos'!$G$2:$G$3000))&amp;""=TRIM(CLEAN(D35))&amp;"")*(TRIM(CLEAN('Base de Datos'!$H$2:$H$3000))&amp;""=TRIM(CLEAN(E35))&amp;"")*(TRIM(CLEAN('Base de Datos'!$U$2:$U$3000))&amp;""=TRIM(CLEAN(F35))&amp;""))</f>
        <v>0</v>
      </c>
      <c r="I35" s="29">
        <f>COUNTIFS('Base de Datos'!$F:$F,$C35,'Base de Datos'!$G:$G,$D35,'Base de Datos'!$H:$H,$E35,'Base de Datos'!$U:$U,$F35,'Base de Datos'!$AA:$AA,"Abierta")</f>
        <v>0</v>
      </c>
      <c r="J35" s="29">
        <f>COUNTIFS('Base de Datos'!$F:$F,$C35,'Base de Datos'!$G:$G,$D35,'Base de Datos'!$H:$H,$E35,'Base de Datos'!$U:$U,$F35,'Base de Datos'!$AA:$AA,"Vencida")</f>
        <v>0</v>
      </c>
      <c r="K35" s="29">
        <f>COUNTIFS('Base de Datos'!$F:$F,$C35,'Base de Datos'!$G:$G,$D35,'Base de Datos'!$H:$H,$E35,'Base de Datos'!$U:$U,$F35,'Base de Datos'!$AA:$AA,"Finalizada")</f>
        <v>0</v>
      </c>
      <c r="L35" s="29">
        <f>COUNTIFS('Base de Datos'!$F:$F,$C35,'Base de Datos'!$G:$G,$D35,'Base de Datos'!$H:$H,$E35,'Base de Datos'!$U:$U,$F35,'Base de Datos'!$AA:$AA,"Abierta",'Base de Datos'!$AC:$AC,"&lt;=10",'Base de Datos'!$AC:$AC,"&gt;0")</f>
        <v>0</v>
      </c>
      <c r="M35" s="29">
        <f>COUNTIFS('Base de Datos'!$F:$F,$C35,'Base de Datos'!$G:$G,$D35,'Base de Datos'!$H:$H,$E35,'Base de Datos'!$U:$U,$F35,'Base de Datos'!$AA:$AA,"Abierta",'Base de Datos'!$AC:$AC,"&lt;=20",'Base de Datos'!$AC:$AC,"&gt;10")</f>
        <v>0</v>
      </c>
      <c r="N35" s="32">
        <f>COUNTIFS('Base de Datos'!$F:$F,$C35,'Base de Datos'!$G:$G,$D35,'Base de Datos'!$H:$H,$E35,'Base de Datos'!$U:$U,$F35,'Base de Datos'!$AA:$AA,"Abierta",'Base de Datos'!$AC:$AC,"&lt;=30",'Base de Datos'!$AC:$AC,"&gt;20")</f>
        <v>0</v>
      </c>
      <c r="O35" s="29">
        <f>COUNTIFS('Base de Datos'!$F:$F,$C35,'Base de Datos'!$G:$G,$D35,'Base de Datos'!$H:$H,$E35,'Base de Datos'!$U:$U,$F35,'Base de Datos'!$AA:$AA,"Abierta",'Base de Datos'!$AG:$AG,1)</f>
        <v>0</v>
      </c>
      <c r="P35" s="29" t="e">
        <f>COUNTIFS('Base de Datos'!$F:$F, $C35, 'Base de Datos'!$H:$H, $E35, 'Base de Datos'!$U:$U, $F35, 'Base de Datos'!$AA:$AA, "Finalizada", 'Base de Datos'!#REF!, "&gt;=01/01/2026", 'Base de Datos'!#REF!, "&lt;=31/01/2026")</f>
        <v>#REF!</v>
      </c>
      <c r="Q35" s="29" t="e">
        <f>COUNTIFS('Base de Datos'!$F:$F, $C35, 'Base de Datos'!$H:$H, $E35, 'Base de Datos'!$U:$U, $F35, 'Base de Datos'!$AA:$AA, "Finalizada", 'Base de Datos'!#REF!, "&gt;=01/02/2026", 'Base de Datos'!#REF!, "&lt;=28/02/2026")</f>
        <v>#REF!</v>
      </c>
      <c r="R35" s="29" t="e">
        <f>COUNTIFS('Base de Datos'!$F:$F, $C35, 'Base de Datos'!$H:$H, $E35, 'Base de Datos'!$U:$U, $F35, 'Base de Datos'!$AA:$AA, "Finalizada", 'Base de Datos'!#REF!, "&gt;=01/03/2026", 'Base de Datos'!#REF!, "&lt;=31/03/2026")</f>
        <v>#REF!</v>
      </c>
      <c r="S35" s="29" t="e">
        <f>COUNTIFS('Base de Datos'!$F:$F, $C35, 'Base de Datos'!$H:$H, $E35, 'Base de Datos'!$U:$U, $F35, 'Base de Datos'!$AA:$AA, "Finalizada", 'Base de Datos'!#REF!, "&gt;=01/04/2026", 'Base de Datos'!#REF!, "&lt;=30/04/2026")</f>
        <v>#REF!</v>
      </c>
      <c r="T35" s="29" t="e">
        <f>COUNTIFS('Base de Datos'!$F:$F, $C35, 'Base de Datos'!$H:$H, $E35, 'Base de Datos'!$U:$U, $F35, 'Base de Datos'!$AA:$AA, "Finalizada", 'Base de Datos'!#REF!, "&gt;=01/05/2026", 'Base de Datos'!#REF!, "&lt;=31/05/2026")</f>
        <v>#REF!</v>
      </c>
      <c r="U35" s="29" t="e">
        <f>COUNTIFS('Base de Datos'!$F:$F, $C35, 'Base de Datos'!$H:$H, $E35, 'Base de Datos'!$U:$U, $F35, 'Base de Datos'!$AA:$AA, "Finalizada", 'Base de Datos'!#REF!, "&gt;=01/06/2026", 'Base de Datos'!#REF!, "&lt;=30/06/2026")</f>
        <v>#REF!</v>
      </c>
    </row>
    <row r="36" spans="3:21">
      <c r="C36" s="4">
        <v>2024</v>
      </c>
      <c r="D36" s="4">
        <v>90</v>
      </c>
      <c r="E36" s="4" t="s">
        <v>257</v>
      </c>
      <c r="F36" s="5" t="s">
        <v>681</v>
      </c>
      <c r="G36" s="28">
        <f>IF(COUNTIFS($C$4:C36, C36, $D$4:D36, D36, $E$4:E36, E36)=1, 1, 0)</f>
        <v>1</v>
      </c>
      <c r="H36" s="29" cm="1">
        <f t="array" ref="H36">SUMPRODUCT((TRIM(CLEAN('Base de Datos'!$F$2:$F$3000))&amp;""=TRIM(CLEAN(C36))&amp;"")*(TRIM(CLEAN('Base de Datos'!$G$2:$G$3000))&amp;""=TRIM(CLEAN(D36))&amp;"")*(TRIM(CLEAN('Base de Datos'!$H$2:$H$3000))&amp;""=TRIM(CLEAN(E36))&amp;"")*(TRIM(CLEAN('Base de Datos'!$U$2:$U$3000))&amp;""=TRIM(CLEAN(F36))&amp;""))</f>
        <v>0</v>
      </c>
      <c r="I36" s="29">
        <f>COUNTIFS('Base de Datos'!$F:$F,$C36,'Base de Datos'!$G:$G,$D36,'Base de Datos'!$H:$H,$E36,'Base de Datos'!$U:$U,$F36,'Base de Datos'!$AA:$AA,"Abierta")</f>
        <v>0</v>
      </c>
      <c r="J36" s="29">
        <f>COUNTIFS('Base de Datos'!$F:$F,$C36,'Base de Datos'!$G:$G,$D36,'Base de Datos'!$H:$H,$E36,'Base de Datos'!$U:$U,$F36,'Base de Datos'!$AA:$AA,"Vencida")</f>
        <v>0</v>
      </c>
      <c r="K36" s="29">
        <f>COUNTIFS('Base de Datos'!$F:$F,$C36,'Base de Datos'!$G:$G,$D36,'Base de Datos'!$H:$H,$E36,'Base de Datos'!$U:$U,$F36,'Base de Datos'!$AA:$AA,"Finalizada")</f>
        <v>0</v>
      </c>
      <c r="L36" s="29">
        <f>COUNTIFS('Base de Datos'!$F:$F,$C36,'Base de Datos'!$G:$G,$D36,'Base de Datos'!$H:$H,$E36,'Base de Datos'!$U:$U,$F36,'Base de Datos'!$AA:$AA,"Abierta",'Base de Datos'!$AC:$AC,"&lt;=10",'Base de Datos'!$AC:$AC,"&gt;0")</f>
        <v>0</v>
      </c>
      <c r="M36" s="29">
        <f>COUNTIFS('Base de Datos'!$F:$F,$C36,'Base de Datos'!$G:$G,$D36,'Base de Datos'!$H:$H,$E36,'Base de Datos'!$U:$U,$F36,'Base de Datos'!$AA:$AA,"Abierta",'Base de Datos'!$AC:$AC,"&lt;=20",'Base de Datos'!$AC:$AC,"&gt;10")</f>
        <v>0</v>
      </c>
      <c r="N36" s="32">
        <f>COUNTIFS('Base de Datos'!$F:$F,$C36,'Base de Datos'!$G:$G,$D36,'Base de Datos'!$H:$H,$E36,'Base de Datos'!$U:$U,$F36,'Base de Datos'!$AA:$AA,"Abierta",'Base de Datos'!$AC:$AC,"&lt;=30",'Base de Datos'!$AC:$AC,"&gt;20")</f>
        <v>0</v>
      </c>
      <c r="O36" s="29">
        <f>COUNTIFS('Base de Datos'!$F:$F,$C36,'Base de Datos'!$G:$G,$D36,'Base de Datos'!$H:$H,$E36,'Base de Datos'!$U:$U,$F36,'Base de Datos'!$AA:$AA,"Abierta",'Base de Datos'!$AG:$AG,1)</f>
        <v>0</v>
      </c>
      <c r="P36" s="29" t="e">
        <f>COUNTIFS('Base de Datos'!$F:$F, $C36, 'Base de Datos'!$H:$H, $E36, 'Base de Datos'!$U:$U, $F36, 'Base de Datos'!$AA:$AA, "Finalizada", 'Base de Datos'!#REF!, "&gt;=01/01/2026", 'Base de Datos'!#REF!, "&lt;=31/01/2026")</f>
        <v>#REF!</v>
      </c>
      <c r="Q36" s="29" t="e">
        <f>COUNTIFS('Base de Datos'!$F:$F, $C36, 'Base de Datos'!$H:$H, $E36, 'Base de Datos'!$U:$U, $F36, 'Base de Datos'!$AA:$AA, "Finalizada", 'Base de Datos'!#REF!, "&gt;=01/02/2026", 'Base de Datos'!#REF!, "&lt;=28/02/2026")</f>
        <v>#REF!</v>
      </c>
      <c r="R36" s="29" t="e">
        <f>COUNTIFS('Base de Datos'!$F:$F, $C36, 'Base de Datos'!$H:$H, $E36, 'Base de Datos'!$U:$U, $F36, 'Base de Datos'!$AA:$AA, "Finalizada", 'Base de Datos'!#REF!, "&gt;=01/03/2026", 'Base de Datos'!#REF!, "&lt;=31/03/2026")</f>
        <v>#REF!</v>
      </c>
      <c r="S36" s="29" t="e">
        <f>COUNTIFS('Base de Datos'!$F:$F, $C36, 'Base de Datos'!$H:$H, $E36, 'Base de Datos'!$U:$U, $F36, 'Base de Datos'!$AA:$AA, "Finalizada", 'Base de Datos'!#REF!, "&gt;=01/04/2026", 'Base de Datos'!#REF!, "&lt;=30/04/2026")</f>
        <v>#REF!</v>
      </c>
      <c r="T36" s="29" t="e">
        <f>COUNTIFS('Base de Datos'!$F:$F, $C36, 'Base de Datos'!$H:$H, $E36, 'Base de Datos'!$U:$U, $F36, 'Base de Datos'!$AA:$AA, "Finalizada", 'Base de Datos'!#REF!, "&gt;=01/05/2026", 'Base de Datos'!#REF!, "&lt;=31/05/2026")</f>
        <v>#REF!</v>
      </c>
      <c r="U36" s="29" t="e">
        <f>COUNTIFS('Base de Datos'!$F:$F, $C36, 'Base de Datos'!$H:$H, $E36, 'Base de Datos'!$U:$U, $F36, 'Base de Datos'!$AA:$AA, "Finalizada", 'Base de Datos'!#REF!, "&gt;=01/06/2026", 'Base de Datos'!#REF!, "&lt;=30/06/2026")</f>
        <v>#REF!</v>
      </c>
    </row>
    <row r="37" spans="3:21">
      <c r="C37" s="4">
        <v>2024</v>
      </c>
      <c r="D37" s="4">
        <v>90</v>
      </c>
      <c r="E37" s="4" t="s">
        <v>257</v>
      </c>
      <c r="F37" s="5" t="s">
        <v>665</v>
      </c>
      <c r="G37" s="28">
        <f>IF(COUNTIFS($C$4:C37, C37, $D$4:D37, D37, $E$4:E37, E37)=1, 1, 0)</f>
        <v>0</v>
      </c>
      <c r="H37" s="29" cm="1">
        <f t="array" ref="H37">SUMPRODUCT((TRIM(CLEAN('Base de Datos'!$F$2:$F$3000))&amp;""=TRIM(CLEAN(C37))&amp;"")*(TRIM(CLEAN('Base de Datos'!$G$2:$G$3000))&amp;""=TRIM(CLEAN(D37))&amp;"")*(TRIM(CLEAN('Base de Datos'!$H$2:$H$3000))&amp;""=TRIM(CLEAN(E37))&amp;"")*(TRIM(CLEAN('Base de Datos'!$U$2:$U$3000))&amp;""=TRIM(CLEAN(F37))&amp;""))</f>
        <v>0</v>
      </c>
      <c r="I37" s="29">
        <f>COUNTIFS('Base de Datos'!$F:$F,$C37,'Base de Datos'!$G:$G,$D37,'Base de Datos'!$H:$H,$E37,'Base de Datos'!$U:$U,$F37,'Base de Datos'!$AA:$AA,"Abierta")</f>
        <v>0</v>
      </c>
      <c r="J37" s="29">
        <f>COUNTIFS('Base de Datos'!$F:$F,$C37,'Base de Datos'!$G:$G,$D37,'Base de Datos'!$H:$H,$E37,'Base de Datos'!$U:$U,$F37,'Base de Datos'!$AA:$AA,"Vencida")</f>
        <v>0</v>
      </c>
      <c r="K37" s="29">
        <f>COUNTIFS('Base de Datos'!$F:$F,$C37,'Base de Datos'!$G:$G,$D37,'Base de Datos'!$H:$H,$E37,'Base de Datos'!$U:$U,$F37,'Base de Datos'!$AA:$AA,"Finalizada")</f>
        <v>0</v>
      </c>
      <c r="L37" s="29">
        <f>COUNTIFS('Base de Datos'!$F:$F,$C37,'Base de Datos'!$G:$G,$D37,'Base de Datos'!$H:$H,$E37,'Base de Datos'!$U:$U,$F37,'Base de Datos'!$AA:$AA,"Abierta",'Base de Datos'!$AC:$AC,"&lt;=10",'Base de Datos'!$AC:$AC,"&gt;0")</f>
        <v>0</v>
      </c>
      <c r="M37" s="29">
        <f>COUNTIFS('Base de Datos'!$F:$F,$C37,'Base de Datos'!$G:$G,$D37,'Base de Datos'!$H:$H,$E37,'Base de Datos'!$U:$U,$F37,'Base de Datos'!$AA:$AA,"Abierta",'Base de Datos'!$AC:$AC,"&lt;=20",'Base de Datos'!$AC:$AC,"&gt;10")</f>
        <v>0</v>
      </c>
      <c r="N37" s="32">
        <f>COUNTIFS('Base de Datos'!$F:$F,$C37,'Base de Datos'!$G:$G,$D37,'Base de Datos'!$H:$H,$E37,'Base de Datos'!$U:$U,$F37,'Base de Datos'!$AA:$AA,"Abierta",'Base de Datos'!$AC:$AC,"&lt;=30",'Base de Datos'!$AC:$AC,"&gt;20")</f>
        <v>0</v>
      </c>
      <c r="O37" s="29">
        <f>COUNTIFS('Base de Datos'!$F:$F,$C37,'Base de Datos'!$G:$G,$D37,'Base de Datos'!$H:$H,$E37,'Base de Datos'!$U:$U,$F37,'Base de Datos'!$AA:$AA,"Abierta",'Base de Datos'!$AG:$AG,1)</f>
        <v>0</v>
      </c>
      <c r="P37" s="29" t="e">
        <f>COUNTIFS('Base de Datos'!$F:$F, $C37, 'Base de Datos'!$H:$H, $E37, 'Base de Datos'!$U:$U, $F37, 'Base de Datos'!$AA:$AA, "Finalizada", 'Base de Datos'!#REF!, "&gt;=01/01/2026", 'Base de Datos'!#REF!, "&lt;=31/01/2026")</f>
        <v>#REF!</v>
      </c>
      <c r="Q37" s="29" t="e">
        <f>COUNTIFS('Base de Datos'!$F:$F, $C37, 'Base de Datos'!$H:$H, $E37, 'Base de Datos'!$U:$U, $F37, 'Base de Datos'!$AA:$AA, "Finalizada", 'Base de Datos'!#REF!, "&gt;=01/02/2026", 'Base de Datos'!#REF!, "&lt;=28/02/2026")</f>
        <v>#REF!</v>
      </c>
      <c r="R37" s="29" t="e">
        <f>COUNTIFS('Base de Datos'!$F:$F, $C37, 'Base de Datos'!$H:$H, $E37, 'Base de Datos'!$U:$U, $F37, 'Base de Datos'!$AA:$AA, "Finalizada", 'Base de Datos'!#REF!, "&gt;=01/03/2026", 'Base de Datos'!#REF!, "&lt;=31/03/2026")</f>
        <v>#REF!</v>
      </c>
      <c r="S37" s="29" t="e">
        <f>COUNTIFS('Base de Datos'!$F:$F, $C37, 'Base de Datos'!$H:$H, $E37, 'Base de Datos'!$U:$U, $F37, 'Base de Datos'!$AA:$AA, "Finalizada", 'Base de Datos'!#REF!, "&gt;=01/04/2026", 'Base de Datos'!#REF!, "&lt;=30/04/2026")</f>
        <v>#REF!</v>
      </c>
      <c r="T37" s="29" t="e">
        <f>COUNTIFS('Base de Datos'!$F:$F, $C37, 'Base de Datos'!$H:$H, $E37, 'Base de Datos'!$U:$U, $F37, 'Base de Datos'!$AA:$AA, "Finalizada", 'Base de Datos'!#REF!, "&gt;=01/05/2026", 'Base de Datos'!#REF!, "&lt;=31/05/2026")</f>
        <v>#REF!</v>
      </c>
      <c r="U37" s="29" t="e">
        <f>COUNTIFS('Base de Datos'!$F:$F, $C37, 'Base de Datos'!$H:$H, $E37, 'Base de Datos'!$U:$U, $F37, 'Base de Datos'!$AA:$AA, "Finalizada", 'Base de Datos'!#REF!, "&gt;=01/06/2026", 'Base de Datos'!#REF!, "&lt;=30/06/2026")</f>
        <v>#REF!</v>
      </c>
    </row>
    <row r="38" spans="3:21">
      <c r="C38" s="4">
        <v>2024</v>
      </c>
      <c r="D38" s="4">
        <v>90</v>
      </c>
      <c r="E38" s="4" t="s">
        <v>257</v>
      </c>
      <c r="F38" s="5" t="s">
        <v>659</v>
      </c>
      <c r="G38" s="28">
        <f>IF(COUNTIFS($C$4:C38, C38, $D$4:D38, D38, $E$4:E38, E38)=1, 1, 0)</f>
        <v>0</v>
      </c>
      <c r="H38" s="29" cm="1">
        <f t="array" ref="H38">SUMPRODUCT((TRIM(CLEAN('Base de Datos'!$F$2:$F$3000))&amp;""=TRIM(CLEAN(C38))&amp;"")*(TRIM(CLEAN('Base de Datos'!$G$2:$G$3000))&amp;""=TRIM(CLEAN(D38))&amp;"")*(TRIM(CLEAN('Base de Datos'!$H$2:$H$3000))&amp;""=TRIM(CLEAN(E38))&amp;"")*(TRIM(CLEAN('Base de Datos'!$U$2:$U$3000))&amp;""=TRIM(CLEAN(F38))&amp;""))</f>
        <v>0</v>
      </c>
      <c r="I38" s="29">
        <f>COUNTIFS('Base de Datos'!$F:$F,$C38,'Base de Datos'!$G:$G,$D38,'Base de Datos'!$H:$H,$E38,'Base de Datos'!$U:$U,$F38,'Base de Datos'!$AA:$AA,"Abierta")</f>
        <v>0</v>
      </c>
      <c r="J38" s="29">
        <f>COUNTIFS('Base de Datos'!$F:$F,$C38,'Base de Datos'!$G:$G,$D38,'Base de Datos'!$H:$H,$E38,'Base de Datos'!$U:$U,$F38,'Base de Datos'!$AA:$AA,"Vencida")</f>
        <v>0</v>
      </c>
      <c r="K38" s="29">
        <f>COUNTIFS('Base de Datos'!$F:$F,$C38,'Base de Datos'!$G:$G,$D38,'Base de Datos'!$H:$H,$E38,'Base de Datos'!$U:$U,$F38,'Base de Datos'!$AA:$AA,"Finalizada")</f>
        <v>0</v>
      </c>
      <c r="L38" s="29">
        <f>COUNTIFS('Base de Datos'!$F:$F,$C38,'Base de Datos'!$G:$G,$D38,'Base de Datos'!$H:$H,$E38,'Base de Datos'!$U:$U,$F38,'Base de Datos'!$AA:$AA,"Abierta",'Base de Datos'!$AC:$AC,"&lt;=10",'Base de Datos'!$AC:$AC,"&gt;0")</f>
        <v>0</v>
      </c>
      <c r="M38" s="29">
        <f>COUNTIFS('Base de Datos'!$F:$F,$C38,'Base de Datos'!$G:$G,$D38,'Base de Datos'!$H:$H,$E38,'Base de Datos'!$U:$U,$F38,'Base de Datos'!$AA:$AA,"Abierta",'Base de Datos'!$AC:$AC,"&lt;=20",'Base de Datos'!$AC:$AC,"&gt;10")</f>
        <v>0</v>
      </c>
      <c r="N38" s="32">
        <f>COUNTIFS('Base de Datos'!$F:$F,$C38,'Base de Datos'!$G:$G,$D38,'Base de Datos'!$H:$H,$E38,'Base de Datos'!$U:$U,$F38,'Base de Datos'!$AA:$AA,"Abierta",'Base de Datos'!$AC:$AC,"&lt;=30",'Base de Datos'!$AC:$AC,"&gt;20")</f>
        <v>0</v>
      </c>
      <c r="O38" s="29">
        <f>COUNTIFS('Base de Datos'!$F:$F,$C38,'Base de Datos'!$G:$G,$D38,'Base de Datos'!$H:$H,$E38,'Base de Datos'!$U:$U,$F38,'Base de Datos'!$AA:$AA,"Abierta",'Base de Datos'!$AG:$AG,1)</f>
        <v>0</v>
      </c>
      <c r="P38" s="29" t="e">
        <f>COUNTIFS('Base de Datos'!$F:$F, $C38, 'Base de Datos'!$H:$H, $E38, 'Base de Datos'!$U:$U, $F38, 'Base de Datos'!$AA:$AA, "Finalizada", 'Base de Datos'!#REF!, "&gt;=01/01/2026", 'Base de Datos'!#REF!, "&lt;=31/01/2026")</f>
        <v>#REF!</v>
      </c>
      <c r="Q38" s="29" t="e">
        <f>COUNTIFS('Base de Datos'!$F:$F, $C38, 'Base de Datos'!$H:$H, $E38, 'Base de Datos'!$U:$U, $F38, 'Base de Datos'!$AA:$AA, "Finalizada", 'Base de Datos'!#REF!, "&gt;=01/02/2026", 'Base de Datos'!#REF!, "&lt;=28/02/2026")</f>
        <v>#REF!</v>
      </c>
      <c r="R38" s="29" t="e">
        <f>COUNTIFS('Base de Datos'!$F:$F, $C38, 'Base de Datos'!$H:$H, $E38, 'Base de Datos'!$U:$U, $F38, 'Base de Datos'!$AA:$AA, "Finalizada", 'Base de Datos'!#REF!, "&gt;=01/03/2026", 'Base de Datos'!#REF!, "&lt;=31/03/2026")</f>
        <v>#REF!</v>
      </c>
      <c r="S38" s="29" t="e">
        <f>COUNTIFS('Base de Datos'!$F:$F, $C38, 'Base de Datos'!$H:$H, $E38, 'Base de Datos'!$U:$U, $F38, 'Base de Datos'!$AA:$AA, "Finalizada", 'Base de Datos'!#REF!, "&gt;=01/04/2026", 'Base de Datos'!#REF!, "&lt;=30/04/2026")</f>
        <v>#REF!</v>
      </c>
      <c r="T38" s="29" t="e">
        <f>COUNTIFS('Base de Datos'!$F:$F, $C38, 'Base de Datos'!$H:$H, $E38, 'Base de Datos'!$U:$U, $F38, 'Base de Datos'!$AA:$AA, "Finalizada", 'Base de Datos'!#REF!, "&gt;=01/05/2026", 'Base de Datos'!#REF!, "&lt;=31/05/2026")</f>
        <v>#REF!</v>
      </c>
      <c r="U38" s="29" t="e">
        <f>COUNTIFS('Base de Datos'!$F:$F, $C38, 'Base de Datos'!$H:$H, $E38, 'Base de Datos'!$U:$U, $F38, 'Base de Datos'!$AA:$AA, "Finalizada", 'Base de Datos'!#REF!, "&gt;=01/06/2026", 'Base de Datos'!#REF!, "&lt;=30/06/2026")</f>
        <v>#REF!</v>
      </c>
    </row>
    <row r="39" spans="3:21">
      <c r="C39" s="4">
        <v>2024</v>
      </c>
      <c r="D39" s="4">
        <v>90</v>
      </c>
      <c r="E39" s="4" t="s">
        <v>279</v>
      </c>
      <c r="F39" s="5" t="s">
        <v>657</v>
      </c>
      <c r="G39" s="28">
        <f>IF(COUNTIFS($C$4:C39, C39, $D$4:D39, D39, $E$4:E39, E39)=1, 1, 0)</f>
        <v>1</v>
      </c>
      <c r="H39" s="29" cm="1">
        <f t="array" ref="H39">SUMPRODUCT((TRIM(CLEAN('Base de Datos'!$F$2:$F$3000))&amp;""=TRIM(CLEAN(C39))&amp;"")*(TRIM(CLEAN('Base de Datos'!$G$2:$G$3000))&amp;""=TRIM(CLEAN(D39))&amp;"")*(TRIM(CLEAN('Base de Datos'!$H$2:$H$3000))&amp;""=TRIM(CLEAN(E39))&amp;"")*(TRIM(CLEAN('Base de Datos'!$U$2:$U$3000))&amp;""=TRIM(CLEAN(F39))&amp;""))</f>
        <v>0</v>
      </c>
      <c r="I39" s="29">
        <f>COUNTIFS('Base de Datos'!$F:$F,$C39,'Base de Datos'!$G:$G,$D39,'Base de Datos'!$H:$H,$E39,'Base de Datos'!$U:$U,$F39,'Base de Datos'!$AA:$AA,"Abierta")</f>
        <v>0</v>
      </c>
      <c r="J39" s="29">
        <f>COUNTIFS('Base de Datos'!$F:$F,$C39,'Base de Datos'!$G:$G,$D39,'Base de Datos'!$H:$H,$E39,'Base de Datos'!$U:$U,$F39,'Base de Datos'!$AA:$AA,"Vencida")</f>
        <v>0</v>
      </c>
      <c r="K39" s="29">
        <f>COUNTIFS('Base de Datos'!$F:$F,$C39,'Base de Datos'!$G:$G,$D39,'Base de Datos'!$H:$H,$E39,'Base de Datos'!$U:$U,$F39,'Base de Datos'!$AA:$AA,"Finalizada")</f>
        <v>0</v>
      </c>
      <c r="L39" s="29">
        <f>COUNTIFS('Base de Datos'!$F:$F,$C39,'Base de Datos'!$G:$G,$D39,'Base de Datos'!$H:$H,$E39,'Base de Datos'!$U:$U,$F39,'Base de Datos'!$AA:$AA,"Abierta",'Base de Datos'!$AC:$AC,"&lt;=10",'Base de Datos'!$AC:$AC,"&gt;0")</f>
        <v>0</v>
      </c>
      <c r="M39" s="29">
        <f>COUNTIFS('Base de Datos'!$F:$F,$C39,'Base de Datos'!$G:$G,$D39,'Base de Datos'!$H:$H,$E39,'Base de Datos'!$U:$U,$F39,'Base de Datos'!$AA:$AA,"Abierta",'Base de Datos'!$AC:$AC,"&lt;=20",'Base de Datos'!$AC:$AC,"&gt;10")</f>
        <v>0</v>
      </c>
      <c r="N39" s="32">
        <f>COUNTIFS('Base de Datos'!$F:$F,$C39,'Base de Datos'!$G:$G,$D39,'Base de Datos'!$H:$H,$E39,'Base de Datos'!$U:$U,$F39,'Base de Datos'!$AA:$AA,"Abierta",'Base de Datos'!$AC:$AC,"&lt;=30",'Base de Datos'!$AC:$AC,"&gt;20")</f>
        <v>0</v>
      </c>
      <c r="O39" s="29">
        <f>COUNTIFS('Base de Datos'!$F:$F,$C39,'Base de Datos'!$G:$G,$D39,'Base de Datos'!$H:$H,$E39,'Base de Datos'!$U:$U,$F39,'Base de Datos'!$AA:$AA,"Abierta",'Base de Datos'!$AG:$AG,1)</f>
        <v>0</v>
      </c>
      <c r="P39" s="29" t="e">
        <f>COUNTIFS('Base de Datos'!$F:$F, $C39, 'Base de Datos'!$H:$H, $E39, 'Base de Datos'!$U:$U, $F39, 'Base de Datos'!$AA:$AA, "Finalizada", 'Base de Datos'!#REF!, "&gt;=01/01/2026", 'Base de Datos'!#REF!, "&lt;=31/01/2026")</f>
        <v>#REF!</v>
      </c>
      <c r="Q39" s="29" t="e">
        <f>COUNTIFS('Base de Datos'!$F:$F, $C39, 'Base de Datos'!$H:$H, $E39, 'Base de Datos'!$U:$U, $F39, 'Base de Datos'!$AA:$AA, "Finalizada", 'Base de Datos'!#REF!, "&gt;=01/02/2026", 'Base de Datos'!#REF!, "&lt;=28/02/2026")</f>
        <v>#REF!</v>
      </c>
      <c r="R39" s="29" t="e">
        <f>COUNTIFS('Base de Datos'!$F:$F, $C39, 'Base de Datos'!$H:$H, $E39, 'Base de Datos'!$U:$U, $F39, 'Base de Datos'!$AA:$AA, "Finalizada", 'Base de Datos'!#REF!, "&gt;=01/03/2026", 'Base de Datos'!#REF!, "&lt;=31/03/2026")</f>
        <v>#REF!</v>
      </c>
      <c r="S39" s="29" t="e">
        <f>COUNTIFS('Base de Datos'!$F:$F, $C39, 'Base de Datos'!$H:$H, $E39, 'Base de Datos'!$U:$U, $F39, 'Base de Datos'!$AA:$AA, "Finalizada", 'Base de Datos'!#REF!, "&gt;=01/04/2026", 'Base de Datos'!#REF!, "&lt;=30/04/2026")</f>
        <v>#REF!</v>
      </c>
      <c r="T39" s="29" t="e">
        <f>COUNTIFS('Base de Datos'!$F:$F, $C39, 'Base de Datos'!$H:$H, $E39, 'Base de Datos'!$U:$U, $F39, 'Base de Datos'!$AA:$AA, "Finalizada", 'Base de Datos'!#REF!, "&gt;=01/05/2026", 'Base de Datos'!#REF!, "&lt;=31/05/2026")</f>
        <v>#REF!</v>
      </c>
      <c r="U39" s="29" t="e">
        <f>COUNTIFS('Base de Datos'!$F:$F, $C39, 'Base de Datos'!$H:$H, $E39, 'Base de Datos'!$U:$U, $F39, 'Base de Datos'!$AA:$AA, "Finalizada", 'Base de Datos'!#REF!, "&gt;=01/06/2026", 'Base de Datos'!#REF!, "&lt;=30/06/2026")</f>
        <v>#REF!</v>
      </c>
    </row>
    <row r="40" spans="3:21">
      <c r="C40" s="4">
        <v>2024</v>
      </c>
      <c r="D40" s="4">
        <v>90</v>
      </c>
      <c r="E40" s="4" t="s">
        <v>279</v>
      </c>
      <c r="F40" s="5" t="s">
        <v>681</v>
      </c>
      <c r="G40" s="28">
        <f>IF(COUNTIFS($C$4:C40, C40, $D$4:D40, D40, $E$4:E40, E40)=1, 1, 0)</f>
        <v>0</v>
      </c>
      <c r="H40" s="29" cm="1">
        <f t="array" ref="H40">SUMPRODUCT((TRIM(CLEAN('Base de Datos'!$F$2:$F$3000))&amp;""=TRIM(CLEAN(C40))&amp;"")*(TRIM(CLEAN('Base de Datos'!$G$2:$G$3000))&amp;""=TRIM(CLEAN(D40))&amp;"")*(TRIM(CLEAN('Base de Datos'!$H$2:$H$3000))&amp;""=TRIM(CLEAN(E40))&amp;"")*(TRIM(CLEAN('Base de Datos'!$U$2:$U$3000))&amp;""=TRIM(CLEAN(F40))&amp;""))</f>
        <v>0</v>
      </c>
      <c r="I40" s="29">
        <f>COUNTIFS('Base de Datos'!$F:$F,$C40,'Base de Datos'!$G:$G,$D40,'Base de Datos'!$H:$H,$E40,'Base de Datos'!$U:$U,$F40,'Base de Datos'!$AA:$AA,"Abierta")</f>
        <v>0</v>
      </c>
      <c r="J40" s="29">
        <f>COUNTIFS('Base de Datos'!$F:$F,$C40,'Base de Datos'!$G:$G,$D40,'Base de Datos'!$H:$H,$E40,'Base de Datos'!$U:$U,$F40,'Base de Datos'!$AA:$AA,"Vencida")</f>
        <v>0</v>
      </c>
      <c r="K40" s="29">
        <f>COUNTIFS('Base de Datos'!$F:$F,$C40,'Base de Datos'!$G:$G,$D40,'Base de Datos'!$H:$H,$E40,'Base de Datos'!$U:$U,$F40,'Base de Datos'!$AA:$AA,"Finalizada")</f>
        <v>0</v>
      </c>
      <c r="L40" s="29">
        <f>COUNTIFS('Base de Datos'!$F:$F,$C40,'Base de Datos'!$G:$G,$D40,'Base de Datos'!$H:$H,$E40,'Base de Datos'!$U:$U,$F40,'Base de Datos'!$AA:$AA,"Abierta",'Base de Datos'!$AC:$AC,"&lt;=10",'Base de Datos'!$AC:$AC,"&gt;0")</f>
        <v>0</v>
      </c>
      <c r="M40" s="29">
        <f>COUNTIFS('Base de Datos'!$F:$F,$C40,'Base de Datos'!$G:$G,$D40,'Base de Datos'!$H:$H,$E40,'Base de Datos'!$U:$U,$F40,'Base de Datos'!$AA:$AA,"Abierta",'Base de Datos'!$AC:$AC,"&lt;=20",'Base de Datos'!$AC:$AC,"&gt;10")</f>
        <v>0</v>
      </c>
      <c r="N40" s="32">
        <f>COUNTIFS('Base de Datos'!$F:$F,$C40,'Base de Datos'!$G:$G,$D40,'Base de Datos'!$H:$H,$E40,'Base de Datos'!$U:$U,$F40,'Base de Datos'!$AA:$AA,"Abierta",'Base de Datos'!$AC:$AC,"&lt;=30",'Base de Datos'!$AC:$AC,"&gt;20")</f>
        <v>0</v>
      </c>
      <c r="O40" s="29">
        <f>COUNTIFS('Base de Datos'!$F:$F,$C40,'Base de Datos'!$G:$G,$D40,'Base de Datos'!$H:$H,$E40,'Base de Datos'!$U:$U,$F40,'Base de Datos'!$AA:$AA,"Abierta",'Base de Datos'!$AG:$AG,1)</f>
        <v>0</v>
      </c>
      <c r="P40" s="29" t="e">
        <f>COUNTIFS('Base de Datos'!$F:$F, $C40, 'Base de Datos'!$H:$H, $E40, 'Base de Datos'!$U:$U, $F40, 'Base de Datos'!$AA:$AA, "Finalizada", 'Base de Datos'!#REF!, "&gt;=01/01/2026", 'Base de Datos'!#REF!, "&lt;=31/01/2026")</f>
        <v>#REF!</v>
      </c>
      <c r="Q40" s="29" t="e">
        <f>COUNTIFS('Base de Datos'!$F:$F, $C40, 'Base de Datos'!$H:$H, $E40, 'Base de Datos'!$U:$U, $F40, 'Base de Datos'!$AA:$AA, "Finalizada", 'Base de Datos'!#REF!, "&gt;=01/02/2026", 'Base de Datos'!#REF!, "&lt;=28/02/2026")</f>
        <v>#REF!</v>
      </c>
      <c r="R40" s="29" t="e">
        <f>COUNTIFS('Base de Datos'!$F:$F, $C40, 'Base de Datos'!$H:$H, $E40, 'Base de Datos'!$U:$U, $F40, 'Base de Datos'!$AA:$AA, "Finalizada", 'Base de Datos'!#REF!, "&gt;=01/03/2026", 'Base de Datos'!#REF!, "&lt;=31/03/2026")</f>
        <v>#REF!</v>
      </c>
      <c r="S40" s="29" t="e">
        <f>COUNTIFS('Base de Datos'!$F:$F, $C40, 'Base de Datos'!$H:$H, $E40, 'Base de Datos'!$U:$U, $F40, 'Base de Datos'!$AA:$AA, "Finalizada", 'Base de Datos'!#REF!, "&gt;=01/04/2026", 'Base de Datos'!#REF!, "&lt;=30/04/2026")</f>
        <v>#REF!</v>
      </c>
      <c r="T40" s="29" t="e">
        <f>COUNTIFS('Base de Datos'!$F:$F, $C40, 'Base de Datos'!$H:$H, $E40, 'Base de Datos'!$U:$U, $F40, 'Base de Datos'!$AA:$AA, "Finalizada", 'Base de Datos'!#REF!, "&gt;=01/05/2026", 'Base de Datos'!#REF!, "&lt;=31/05/2026")</f>
        <v>#REF!</v>
      </c>
      <c r="U40" s="29" t="e">
        <f>COUNTIFS('Base de Datos'!$F:$F, $C40, 'Base de Datos'!$H:$H, $E40, 'Base de Datos'!$U:$U, $F40, 'Base de Datos'!$AA:$AA, "Finalizada", 'Base de Datos'!#REF!, "&gt;=01/06/2026", 'Base de Datos'!#REF!, "&lt;=30/06/2026")</f>
        <v>#REF!</v>
      </c>
    </row>
    <row r="41" spans="3:21">
      <c r="C41" s="4">
        <v>2024</v>
      </c>
      <c r="D41" s="4">
        <v>90</v>
      </c>
      <c r="E41" s="4" t="s">
        <v>290</v>
      </c>
      <c r="F41" s="5" t="s">
        <v>666</v>
      </c>
      <c r="G41" s="28">
        <f>IF(COUNTIFS($C$4:C41, C41, $D$4:D41, D41, $E$4:E41, E41)=1, 1, 0)</f>
        <v>1</v>
      </c>
      <c r="H41" s="29" cm="1">
        <f t="array" ref="H41">SUMPRODUCT((TRIM(CLEAN('Base de Datos'!$F$2:$F$3000))&amp;""=TRIM(CLEAN(C41))&amp;"")*(TRIM(CLEAN('Base de Datos'!$G$2:$G$3000))&amp;""=TRIM(CLEAN(D41))&amp;"")*(TRIM(CLEAN('Base de Datos'!$H$2:$H$3000))&amp;""=TRIM(CLEAN(E41))&amp;"")*(TRIM(CLEAN('Base de Datos'!$U$2:$U$3000))&amp;""=TRIM(CLEAN(F41))&amp;""))</f>
        <v>0</v>
      </c>
      <c r="I41" s="29">
        <f>COUNTIFS('Base de Datos'!$F:$F,$C41,'Base de Datos'!$G:$G,$D41,'Base de Datos'!$H:$H,$E41,'Base de Datos'!$U:$U,$F41,'Base de Datos'!$AA:$AA,"Abierta")</f>
        <v>0</v>
      </c>
      <c r="J41" s="29">
        <f>COUNTIFS('Base de Datos'!$F:$F,$C41,'Base de Datos'!$G:$G,$D41,'Base de Datos'!$H:$H,$E41,'Base de Datos'!$U:$U,$F41,'Base de Datos'!$AA:$AA,"Vencida")</f>
        <v>0</v>
      </c>
      <c r="K41" s="29">
        <f>COUNTIFS('Base de Datos'!$F:$F,$C41,'Base de Datos'!$G:$G,$D41,'Base de Datos'!$H:$H,$E41,'Base de Datos'!$U:$U,$F41,'Base de Datos'!$AA:$AA,"Finalizada")</f>
        <v>0</v>
      </c>
      <c r="L41" s="29">
        <f>COUNTIFS('Base de Datos'!$F:$F,$C41,'Base de Datos'!$G:$G,$D41,'Base de Datos'!$H:$H,$E41,'Base de Datos'!$U:$U,$F41,'Base de Datos'!$AA:$AA,"Abierta",'Base de Datos'!$AC:$AC,"&lt;=10",'Base de Datos'!$AC:$AC,"&gt;0")</f>
        <v>0</v>
      </c>
      <c r="M41" s="29">
        <f>COUNTIFS('Base de Datos'!$F:$F,$C41,'Base de Datos'!$G:$G,$D41,'Base de Datos'!$H:$H,$E41,'Base de Datos'!$U:$U,$F41,'Base de Datos'!$AA:$AA,"Abierta",'Base de Datos'!$AC:$AC,"&lt;=20",'Base de Datos'!$AC:$AC,"&gt;10")</f>
        <v>0</v>
      </c>
      <c r="N41" s="32">
        <f>COUNTIFS('Base de Datos'!$F:$F,$C41,'Base de Datos'!$G:$G,$D41,'Base de Datos'!$H:$H,$E41,'Base de Datos'!$U:$U,$F41,'Base de Datos'!$AA:$AA,"Abierta",'Base de Datos'!$AC:$AC,"&lt;=30",'Base de Datos'!$AC:$AC,"&gt;20")</f>
        <v>0</v>
      </c>
      <c r="O41" s="29">
        <f>COUNTIFS('Base de Datos'!$F:$F,$C41,'Base de Datos'!$G:$G,$D41,'Base de Datos'!$H:$H,$E41,'Base de Datos'!$U:$U,$F41,'Base de Datos'!$AA:$AA,"Abierta",'Base de Datos'!$AG:$AG,1)</f>
        <v>0</v>
      </c>
      <c r="P41" s="29" t="e">
        <f>COUNTIFS('Base de Datos'!$F:$F, $C41, 'Base de Datos'!$H:$H, $E41, 'Base de Datos'!$U:$U, $F41, 'Base de Datos'!$AA:$AA, "Finalizada", 'Base de Datos'!#REF!, "&gt;=01/01/2026", 'Base de Datos'!#REF!, "&lt;=31/01/2026")</f>
        <v>#REF!</v>
      </c>
      <c r="Q41" s="29" t="e">
        <f>COUNTIFS('Base de Datos'!$F:$F, $C41, 'Base de Datos'!$H:$H, $E41, 'Base de Datos'!$U:$U, $F41, 'Base de Datos'!$AA:$AA, "Finalizada", 'Base de Datos'!#REF!, "&gt;=01/02/2026", 'Base de Datos'!#REF!, "&lt;=28/02/2026")</f>
        <v>#REF!</v>
      </c>
      <c r="R41" s="29" t="e">
        <f>COUNTIFS('Base de Datos'!$F:$F, $C41, 'Base de Datos'!$H:$H, $E41, 'Base de Datos'!$U:$U, $F41, 'Base de Datos'!$AA:$AA, "Finalizada", 'Base de Datos'!#REF!, "&gt;=01/03/2026", 'Base de Datos'!#REF!, "&lt;=31/03/2026")</f>
        <v>#REF!</v>
      </c>
      <c r="S41" s="29" t="e">
        <f>COUNTIFS('Base de Datos'!$F:$F, $C41, 'Base de Datos'!$H:$H, $E41, 'Base de Datos'!$U:$U, $F41, 'Base de Datos'!$AA:$AA, "Finalizada", 'Base de Datos'!#REF!, "&gt;=01/04/2026", 'Base de Datos'!#REF!, "&lt;=30/04/2026")</f>
        <v>#REF!</v>
      </c>
      <c r="T41" s="29" t="e">
        <f>COUNTIFS('Base de Datos'!$F:$F, $C41, 'Base de Datos'!$H:$H, $E41, 'Base de Datos'!$U:$U, $F41, 'Base de Datos'!$AA:$AA, "Finalizada", 'Base de Datos'!#REF!, "&gt;=01/05/2026", 'Base de Datos'!#REF!, "&lt;=31/05/2026")</f>
        <v>#REF!</v>
      </c>
      <c r="U41" s="29" t="e">
        <f>COUNTIFS('Base de Datos'!$F:$F, $C41, 'Base de Datos'!$H:$H, $E41, 'Base de Datos'!$U:$U, $F41, 'Base de Datos'!$AA:$AA, "Finalizada", 'Base de Datos'!#REF!, "&gt;=01/06/2026", 'Base de Datos'!#REF!, "&lt;=30/06/2026")</f>
        <v>#REF!</v>
      </c>
    </row>
    <row r="42" spans="3:21">
      <c r="C42" s="4">
        <v>2024</v>
      </c>
      <c r="D42" s="4">
        <v>90</v>
      </c>
      <c r="E42" s="4" t="s">
        <v>302</v>
      </c>
      <c r="F42" s="5" t="s">
        <v>665</v>
      </c>
      <c r="G42" s="28">
        <f>IF(COUNTIFS($C$4:C42, C42, $D$4:D42, D42, $E$4:E42, E42)=1, 1, 0)</f>
        <v>1</v>
      </c>
      <c r="H42" s="29" cm="1">
        <f t="array" ref="H42">SUMPRODUCT((TRIM(CLEAN('Base de Datos'!$F$2:$F$3000))&amp;""=TRIM(CLEAN(C42))&amp;"")*(TRIM(CLEAN('Base de Datos'!$G$2:$G$3000))&amp;""=TRIM(CLEAN(D42))&amp;"")*(TRIM(CLEAN('Base de Datos'!$H$2:$H$3000))&amp;""=TRIM(CLEAN(E42))&amp;"")*(TRIM(CLEAN('Base de Datos'!$U$2:$U$3000))&amp;""=TRIM(CLEAN(F42))&amp;""))</f>
        <v>0</v>
      </c>
      <c r="I42" s="29">
        <f>COUNTIFS('Base de Datos'!$F:$F,$C42,'Base de Datos'!$G:$G,$D42,'Base de Datos'!$H:$H,$E42,'Base de Datos'!$U:$U,$F42,'Base de Datos'!$AA:$AA,"Abierta")</f>
        <v>0</v>
      </c>
      <c r="J42" s="29">
        <f>COUNTIFS('Base de Datos'!$F:$F,$C42,'Base de Datos'!$G:$G,$D42,'Base de Datos'!$H:$H,$E42,'Base de Datos'!$U:$U,$F42,'Base de Datos'!$AA:$AA,"Vencida")</f>
        <v>0</v>
      </c>
      <c r="K42" s="29">
        <f>COUNTIFS('Base de Datos'!$F:$F,$C42,'Base de Datos'!$G:$G,$D42,'Base de Datos'!$H:$H,$E42,'Base de Datos'!$U:$U,$F42,'Base de Datos'!$AA:$AA,"Finalizada")</f>
        <v>0</v>
      </c>
      <c r="L42" s="29">
        <f>COUNTIFS('Base de Datos'!$F:$F,$C42,'Base de Datos'!$G:$G,$D42,'Base de Datos'!$H:$H,$E42,'Base de Datos'!$U:$U,$F42,'Base de Datos'!$AA:$AA,"Abierta",'Base de Datos'!$AC:$AC,"&lt;=10",'Base de Datos'!$AC:$AC,"&gt;0")</f>
        <v>0</v>
      </c>
      <c r="M42" s="29">
        <f>COUNTIFS('Base de Datos'!$F:$F,$C42,'Base de Datos'!$G:$G,$D42,'Base de Datos'!$H:$H,$E42,'Base de Datos'!$U:$U,$F42,'Base de Datos'!$AA:$AA,"Abierta",'Base de Datos'!$AC:$AC,"&lt;=20",'Base de Datos'!$AC:$AC,"&gt;10")</f>
        <v>0</v>
      </c>
      <c r="N42" s="32">
        <f>COUNTIFS('Base de Datos'!$F:$F,$C42,'Base de Datos'!$G:$G,$D42,'Base de Datos'!$H:$H,$E42,'Base de Datos'!$U:$U,$F42,'Base de Datos'!$AA:$AA,"Abierta",'Base de Datos'!$AC:$AC,"&lt;=30",'Base de Datos'!$AC:$AC,"&gt;20")</f>
        <v>0</v>
      </c>
      <c r="O42" s="29">
        <f>COUNTIFS('Base de Datos'!$F:$F,$C42,'Base de Datos'!$G:$G,$D42,'Base de Datos'!$H:$H,$E42,'Base de Datos'!$U:$U,$F42,'Base de Datos'!$AA:$AA,"Abierta",'Base de Datos'!$AG:$AG,1)</f>
        <v>0</v>
      </c>
      <c r="P42" s="29" t="e">
        <f>COUNTIFS('Base de Datos'!$F:$F, $C42, 'Base de Datos'!$H:$H, $E42, 'Base de Datos'!$U:$U, $F42, 'Base de Datos'!$AA:$AA, "Finalizada", 'Base de Datos'!#REF!, "&gt;=01/01/2026", 'Base de Datos'!#REF!, "&lt;=31/01/2026")</f>
        <v>#REF!</v>
      </c>
      <c r="Q42" s="29" t="e">
        <f>COUNTIFS('Base de Datos'!$F:$F, $C42, 'Base de Datos'!$H:$H, $E42, 'Base de Datos'!$U:$U, $F42, 'Base de Datos'!$AA:$AA, "Finalizada", 'Base de Datos'!#REF!, "&gt;=01/02/2026", 'Base de Datos'!#REF!, "&lt;=28/02/2026")</f>
        <v>#REF!</v>
      </c>
      <c r="R42" s="29" t="e">
        <f>COUNTIFS('Base de Datos'!$F:$F, $C42, 'Base de Datos'!$H:$H, $E42, 'Base de Datos'!$U:$U, $F42, 'Base de Datos'!$AA:$AA, "Finalizada", 'Base de Datos'!#REF!, "&gt;=01/03/2026", 'Base de Datos'!#REF!, "&lt;=31/03/2026")</f>
        <v>#REF!</v>
      </c>
      <c r="S42" s="29" t="e">
        <f>COUNTIFS('Base de Datos'!$F:$F, $C42, 'Base de Datos'!$H:$H, $E42, 'Base de Datos'!$U:$U, $F42, 'Base de Datos'!$AA:$AA, "Finalizada", 'Base de Datos'!#REF!, "&gt;=01/04/2026", 'Base de Datos'!#REF!, "&lt;=30/04/2026")</f>
        <v>#REF!</v>
      </c>
      <c r="T42" s="29" t="e">
        <f>COUNTIFS('Base de Datos'!$F:$F, $C42, 'Base de Datos'!$H:$H, $E42, 'Base de Datos'!$U:$U, $F42, 'Base de Datos'!$AA:$AA, "Finalizada", 'Base de Datos'!#REF!, "&gt;=01/05/2026", 'Base de Datos'!#REF!, "&lt;=31/05/2026")</f>
        <v>#REF!</v>
      </c>
      <c r="U42" s="29" t="e">
        <f>COUNTIFS('Base de Datos'!$F:$F, $C42, 'Base de Datos'!$H:$H, $E42, 'Base de Datos'!$U:$U, $F42, 'Base de Datos'!$AA:$AA, "Finalizada", 'Base de Datos'!#REF!, "&gt;=01/06/2026", 'Base de Datos'!#REF!, "&lt;=30/06/2026")</f>
        <v>#REF!</v>
      </c>
    </row>
    <row r="43" spans="3:21">
      <c r="C43" s="4">
        <v>2024</v>
      </c>
      <c r="D43" s="4">
        <v>90</v>
      </c>
      <c r="E43" s="4" t="s">
        <v>168</v>
      </c>
      <c r="F43" s="5" t="s">
        <v>667</v>
      </c>
      <c r="G43" s="28">
        <f>IF(COUNTIFS($C$4:C43, C43, $D$4:D43, D43, $E$4:E43, E43)=1, 1, 0)</f>
        <v>1</v>
      </c>
      <c r="H43" s="29" cm="1">
        <f t="array" ref="H43">SUMPRODUCT((TRIM(CLEAN('Base de Datos'!$F$2:$F$3000))&amp;""=TRIM(CLEAN(C43))&amp;"")*(TRIM(CLEAN('Base de Datos'!$G$2:$G$3000))&amp;""=TRIM(CLEAN(D43))&amp;"")*(TRIM(CLEAN('Base de Datos'!$H$2:$H$3000))&amp;""=TRIM(CLEAN(E43))&amp;"")*(TRIM(CLEAN('Base de Datos'!$U$2:$U$3000))&amp;""=TRIM(CLEAN(F43))&amp;""))</f>
        <v>0</v>
      </c>
      <c r="I43" s="29">
        <f>COUNTIFS('Base de Datos'!$F:$F,$C43,'Base de Datos'!$G:$G,$D43,'Base de Datos'!$H:$H,$E43,'Base de Datos'!$U:$U,$F43,'Base de Datos'!$AA:$AA,"Abierta")</f>
        <v>0</v>
      </c>
      <c r="J43" s="29">
        <f>COUNTIFS('Base de Datos'!$F:$F,$C43,'Base de Datos'!$G:$G,$D43,'Base de Datos'!$H:$H,$E43,'Base de Datos'!$U:$U,$F43,'Base de Datos'!$AA:$AA,"Vencida")</f>
        <v>0</v>
      </c>
      <c r="K43" s="29">
        <f>COUNTIFS('Base de Datos'!$F:$F,$C43,'Base de Datos'!$G:$G,$D43,'Base de Datos'!$H:$H,$E43,'Base de Datos'!$U:$U,$F43,'Base de Datos'!$AA:$AA,"Finalizada")</f>
        <v>0</v>
      </c>
      <c r="L43" s="29">
        <f>COUNTIFS('Base de Datos'!$F:$F,$C43,'Base de Datos'!$G:$G,$D43,'Base de Datos'!$H:$H,$E43,'Base de Datos'!$U:$U,$F43,'Base de Datos'!$AA:$AA,"Abierta",'Base de Datos'!$AC:$AC,"&lt;=10",'Base de Datos'!$AC:$AC,"&gt;0")</f>
        <v>0</v>
      </c>
      <c r="M43" s="29">
        <f>COUNTIFS('Base de Datos'!$F:$F,$C43,'Base de Datos'!$G:$G,$D43,'Base de Datos'!$H:$H,$E43,'Base de Datos'!$U:$U,$F43,'Base de Datos'!$AA:$AA,"Abierta",'Base de Datos'!$AC:$AC,"&lt;=20",'Base de Datos'!$AC:$AC,"&gt;10")</f>
        <v>0</v>
      </c>
      <c r="N43" s="32">
        <f>COUNTIFS('Base de Datos'!$F:$F,$C43,'Base de Datos'!$G:$G,$D43,'Base de Datos'!$H:$H,$E43,'Base de Datos'!$U:$U,$F43,'Base de Datos'!$AA:$AA,"Abierta",'Base de Datos'!$AC:$AC,"&lt;=30",'Base de Datos'!$AC:$AC,"&gt;20")</f>
        <v>0</v>
      </c>
      <c r="O43" s="29">
        <f>COUNTIFS('Base de Datos'!$F:$F,$C43,'Base de Datos'!$G:$G,$D43,'Base de Datos'!$H:$H,$E43,'Base de Datos'!$U:$U,$F43,'Base de Datos'!$AA:$AA,"Abierta",'Base de Datos'!$AG:$AG,1)</f>
        <v>0</v>
      </c>
      <c r="P43" s="29" t="e">
        <f>COUNTIFS('Base de Datos'!$F:$F, $C43, 'Base de Datos'!$H:$H, $E43, 'Base de Datos'!$U:$U, $F43, 'Base de Datos'!$AA:$AA, "Finalizada", 'Base de Datos'!#REF!, "&gt;=01/01/2026", 'Base de Datos'!#REF!, "&lt;=31/01/2026")</f>
        <v>#REF!</v>
      </c>
      <c r="Q43" s="29" t="e">
        <f>COUNTIFS('Base de Datos'!$F:$F, $C43, 'Base de Datos'!$H:$H, $E43, 'Base de Datos'!$U:$U, $F43, 'Base de Datos'!$AA:$AA, "Finalizada", 'Base de Datos'!#REF!, "&gt;=01/02/2026", 'Base de Datos'!#REF!, "&lt;=28/02/2026")</f>
        <v>#REF!</v>
      </c>
      <c r="R43" s="29" t="e">
        <f>COUNTIFS('Base de Datos'!$F:$F, $C43, 'Base de Datos'!$H:$H, $E43, 'Base de Datos'!$U:$U, $F43, 'Base de Datos'!$AA:$AA, "Finalizada", 'Base de Datos'!#REF!, "&gt;=01/03/2026", 'Base de Datos'!#REF!, "&lt;=31/03/2026")</f>
        <v>#REF!</v>
      </c>
      <c r="S43" s="29" t="e">
        <f>COUNTIFS('Base de Datos'!$F:$F, $C43, 'Base de Datos'!$H:$H, $E43, 'Base de Datos'!$U:$U, $F43, 'Base de Datos'!$AA:$AA, "Finalizada", 'Base de Datos'!#REF!, "&gt;=01/04/2026", 'Base de Datos'!#REF!, "&lt;=30/04/2026")</f>
        <v>#REF!</v>
      </c>
      <c r="T43" s="29" t="e">
        <f>COUNTIFS('Base de Datos'!$F:$F, $C43, 'Base de Datos'!$H:$H, $E43, 'Base de Datos'!$U:$U, $F43, 'Base de Datos'!$AA:$AA, "Finalizada", 'Base de Datos'!#REF!, "&gt;=01/05/2026", 'Base de Datos'!#REF!, "&lt;=31/05/2026")</f>
        <v>#REF!</v>
      </c>
      <c r="U43" s="29" t="e">
        <f>COUNTIFS('Base de Datos'!$F:$F, $C43, 'Base de Datos'!$H:$H, $E43, 'Base de Datos'!$U:$U, $F43, 'Base de Datos'!$AA:$AA, "Finalizada", 'Base de Datos'!#REF!, "&gt;=01/06/2026", 'Base de Datos'!#REF!, "&lt;=30/06/2026")</f>
        <v>#REF!</v>
      </c>
    </row>
    <row r="44" spans="3:21">
      <c r="C44" s="4">
        <v>2024</v>
      </c>
      <c r="D44" s="4">
        <v>90</v>
      </c>
      <c r="E44" s="4" t="s">
        <v>179</v>
      </c>
      <c r="F44" s="5" t="s">
        <v>668</v>
      </c>
      <c r="G44" s="28">
        <f>IF(COUNTIFS($C$4:C44, C44, $D$4:D44, D44, $E$4:E44, E44)=1, 1, 0)</f>
        <v>1</v>
      </c>
      <c r="H44" s="29" cm="1">
        <f t="array" ref="H44">SUMPRODUCT((TRIM(CLEAN('Base de Datos'!$F$2:$F$3000))&amp;""=TRIM(CLEAN(C44))&amp;"")*(TRIM(CLEAN('Base de Datos'!$G$2:$G$3000))&amp;""=TRIM(CLEAN(D44))&amp;"")*(TRIM(CLEAN('Base de Datos'!$H$2:$H$3000))&amp;""=TRIM(CLEAN(E44))&amp;"")*(TRIM(CLEAN('Base de Datos'!$U$2:$U$3000))&amp;""=TRIM(CLEAN(F44))&amp;""))</f>
        <v>0</v>
      </c>
      <c r="I44" s="29">
        <f>COUNTIFS('Base de Datos'!$F:$F,$C44,'Base de Datos'!$G:$G,$D44,'Base de Datos'!$H:$H,$E44,'Base de Datos'!$U:$U,$F44,'Base de Datos'!$AA:$AA,"Abierta")</f>
        <v>0</v>
      </c>
      <c r="J44" s="29">
        <f>COUNTIFS('Base de Datos'!$F:$F,$C44,'Base de Datos'!$G:$G,$D44,'Base de Datos'!$H:$H,$E44,'Base de Datos'!$U:$U,$F44,'Base de Datos'!$AA:$AA,"Vencida")</f>
        <v>0</v>
      </c>
      <c r="K44" s="29">
        <f>COUNTIFS('Base de Datos'!$F:$F,$C44,'Base de Datos'!$G:$G,$D44,'Base de Datos'!$H:$H,$E44,'Base de Datos'!$U:$U,$F44,'Base de Datos'!$AA:$AA,"Finalizada")</f>
        <v>0</v>
      </c>
      <c r="L44" s="29">
        <f>COUNTIFS('Base de Datos'!$F:$F,$C44,'Base de Datos'!$G:$G,$D44,'Base de Datos'!$H:$H,$E44,'Base de Datos'!$U:$U,$F44,'Base de Datos'!$AA:$AA,"Abierta",'Base de Datos'!$AC:$AC,"&lt;=10",'Base de Datos'!$AC:$AC,"&gt;0")</f>
        <v>0</v>
      </c>
      <c r="M44" s="29">
        <f>COUNTIFS('Base de Datos'!$F:$F,$C44,'Base de Datos'!$G:$G,$D44,'Base de Datos'!$H:$H,$E44,'Base de Datos'!$U:$U,$F44,'Base de Datos'!$AA:$AA,"Abierta",'Base de Datos'!$AC:$AC,"&lt;=20",'Base de Datos'!$AC:$AC,"&gt;10")</f>
        <v>0</v>
      </c>
      <c r="N44" s="32">
        <f>COUNTIFS('Base de Datos'!$F:$F,$C44,'Base de Datos'!$G:$G,$D44,'Base de Datos'!$H:$H,$E44,'Base de Datos'!$U:$U,$F44,'Base de Datos'!$AA:$AA,"Abierta",'Base de Datos'!$AC:$AC,"&lt;=30",'Base de Datos'!$AC:$AC,"&gt;20")</f>
        <v>0</v>
      </c>
      <c r="O44" s="29">
        <f>COUNTIFS('Base de Datos'!$F:$F,$C44,'Base de Datos'!$G:$G,$D44,'Base de Datos'!$H:$H,$E44,'Base de Datos'!$U:$U,$F44,'Base de Datos'!$AA:$AA,"Abierta",'Base de Datos'!$AG:$AG,1)</f>
        <v>0</v>
      </c>
      <c r="P44" s="29" t="e">
        <f>COUNTIFS('Base de Datos'!$F:$F, $C44, 'Base de Datos'!$H:$H, $E44, 'Base de Datos'!$U:$U, $F44, 'Base de Datos'!$AA:$AA, "Finalizada", 'Base de Datos'!#REF!, "&gt;=01/01/2026", 'Base de Datos'!#REF!, "&lt;=31/01/2026")</f>
        <v>#REF!</v>
      </c>
      <c r="Q44" s="29" t="e">
        <f>COUNTIFS('Base de Datos'!$F:$F, $C44, 'Base de Datos'!$H:$H, $E44, 'Base de Datos'!$U:$U, $F44, 'Base de Datos'!$AA:$AA, "Finalizada", 'Base de Datos'!#REF!, "&gt;=01/02/2026", 'Base de Datos'!#REF!, "&lt;=28/02/2026")</f>
        <v>#REF!</v>
      </c>
      <c r="R44" s="29" t="e">
        <f>COUNTIFS('Base de Datos'!$F:$F, $C44, 'Base de Datos'!$H:$H, $E44, 'Base de Datos'!$U:$U, $F44, 'Base de Datos'!$AA:$AA, "Finalizada", 'Base de Datos'!#REF!, "&gt;=01/03/2026", 'Base de Datos'!#REF!, "&lt;=31/03/2026")</f>
        <v>#REF!</v>
      </c>
      <c r="S44" s="29" t="e">
        <f>COUNTIFS('Base de Datos'!$F:$F, $C44, 'Base de Datos'!$H:$H, $E44, 'Base de Datos'!$U:$U, $F44, 'Base de Datos'!$AA:$AA, "Finalizada", 'Base de Datos'!#REF!, "&gt;=01/04/2026", 'Base de Datos'!#REF!, "&lt;=30/04/2026")</f>
        <v>#REF!</v>
      </c>
      <c r="T44" s="29" t="e">
        <f>COUNTIFS('Base de Datos'!$F:$F, $C44, 'Base de Datos'!$H:$H, $E44, 'Base de Datos'!$U:$U, $F44, 'Base de Datos'!$AA:$AA, "Finalizada", 'Base de Datos'!#REF!, "&gt;=01/05/2026", 'Base de Datos'!#REF!, "&lt;=31/05/2026")</f>
        <v>#REF!</v>
      </c>
      <c r="U44" s="29" t="e">
        <f>COUNTIFS('Base de Datos'!$F:$F, $C44, 'Base de Datos'!$H:$H, $E44, 'Base de Datos'!$U:$U, $F44, 'Base de Datos'!$AA:$AA, "Finalizada", 'Base de Datos'!#REF!, "&gt;=01/06/2026", 'Base de Datos'!#REF!, "&lt;=30/06/2026")</f>
        <v>#REF!</v>
      </c>
    </row>
    <row r="45" spans="3:21">
      <c r="C45" s="4">
        <v>2024</v>
      </c>
      <c r="D45" s="4">
        <v>90</v>
      </c>
      <c r="E45" s="4" t="s">
        <v>190</v>
      </c>
      <c r="F45" s="5" t="s">
        <v>665</v>
      </c>
      <c r="G45" s="28">
        <f>IF(COUNTIFS($C$4:C45, C45, $D$4:D45, D45, $E$4:E45, E45)=1, 1, 0)</f>
        <v>1</v>
      </c>
      <c r="H45" s="29" cm="1">
        <f t="array" ref="H45">SUMPRODUCT((TRIM(CLEAN('Base de Datos'!$F$2:$F$3000))&amp;""=TRIM(CLEAN(C45))&amp;"")*(TRIM(CLEAN('Base de Datos'!$G$2:$G$3000))&amp;""=TRIM(CLEAN(D45))&amp;"")*(TRIM(CLEAN('Base de Datos'!$H$2:$H$3000))&amp;""=TRIM(CLEAN(E45))&amp;"")*(TRIM(CLEAN('Base de Datos'!$U$2:$U$3000))&amp;""=TRIM(CLEAN(F45))&amp;""))</f>
        <v>0</v>
      </c>
      <c r="I45" s="29">
        <f>COUNTIFS('Base de Datos'!$F:$F,$C45,'Base de Datos'!$G:$G,$D45,'Base de Datos'!$H:$H,$E45,'Base de Datos'!$U:$U,$F45,'Base de Datos'!$AA:$AA,"Abierta")</f>
        <v>0</v>
      </c>
      <c r="J45" s="29">
        <f>COUNTIFS('Base de Datos'!$F:$F,$C45,'Base de Datos'!$G:$G,$D45,'Base de Datos'!$H:$H,$E45,'Base de Datos'!$U:$U,$F45,'Base de Datos'!$AA:$AA,"Vencida")</f>
        <v>0</v>
      </c>
      <c r="K45" s="29">
        <f>COUNTIFS('Base de Datos'!$F:$F,$C45,'Base de Datos'!$G:$G,$D45,'Base de Datos'!$H:$H,$E45,'Base de Datos'!$U:$U,$F45,'Base de Datos'!$AA:$AA,"Finalizada")</f>
        <v>0</v>
      </c>
      <c r="L45" s="29">
        <f>COUNTIFS('Base de Datos'!$F:$F,$C45,'Base de Datos'!$G:$G,$D45,'Base de Datos'!$H:$H,$E45,'Base de Datos'!$U:$U,$F45,'Base de Datos'!$AA:$AA,"Abierta",'Base de Datos'!$AC:$AC,"&lt;=10",'Base de Datos'!$AC:$AC,"&gt;0")</f>
        <v>0</v>
      </c>
      <c r="M45" s="29">
        <f>COUNTIFS('Base de Datos'!$F:$F,$C45,'Base de Datos'!$G:$G,$D45,'Base de Datos'!$H:$H,$E45,'Base de Datos'!$U:$U,$F45,'Base de Datos'!$AA:$AA,"Abierta",'Base de Datos'!$AC:$AC,"&lt;=20",'Base de Datos'!$AC:$AC,"&gt;10")</f>
        <v>0</v>
      </c>
      <c r="N45" s="32">
        <f>COUNTIFS('Base de Datos'!$F:$F,$C45,'Base de Datos'!$G:$G,$D45,'Base de Datos'!$H:$H,$E45,'Base de Datos'!$U:$U,$F45,'Base de Datos'!$AA:$AA,"Abierta",'Base de Datos'!$AC:$AC,"&lt;=30",'Base de Datos'!$AC:$AC,"&gt;20")</f>
        <v>0</v>
      </c>
      <c r="O45" s="29">
        <f>COUNTIFS('Base de Datos'!$F:$F,$C45,'Base de Datos'!$G:$G,$D45,'Base de Datos'!$H:$H,$E45,'Base de Datos'!$U:$U,$F45,'Base de Datos'!$AA:$AA,"Abierta",'Base de Datos'!$AG:$AG,1)</f>
        <v>0</v>
      </c>
      <c r="P45" s="29" t="e">
        <f>COUNTIFS('Base de Datos'!$F:$F, $C45, 'Base de Datos'!$H:$H, $E45, 'Base de Datos'!$U:$U, $F45, 'Base de Datos'!$AA:$AA, "Finalizada", 'Base de Datos'!#REF!, "&gt;=01/01/2026", 'Base de Datos'!#REF!, "&lt;=31/01/2026")</f>
        <v>#REF!</v>
      </c>
      <c r="Q45" s="29" t="e">
        <f>COUNTIFS('Base de Datos'!$F:$F, $C45, 'Base de Datos'!$H:$H, $E45, 'Base de Datos'!$U:$U, $F45, 'Base de Datos'!$AA:$AA, "Finalizada", 'Base de Datos'!#REF!, "&gt;=01/02/2026", 'Base de Datos'!#REF!, "&lt;=28/02/2026")</f>
        <v>#REF!</v>
      </c>
      <c r="R45" s="29" t="e">
        <f>COUNTIFS('Base de Datos'!$F:$F, $C45, 'Base de Datos'!$H:$H, $E45, 'Base de Datos'!$U:$U, $F45, 'Base de Datos'!$AA:$AA, "Finalizada", 'Base de Datos'!#REF!, "&gt;=01/03/2026", 'Base de Datos'!#REF!, "&lt;=31/03/2026")</f>
        <v>#REF!</v>
      </c>
      <c r="S45" s="29" t="e">
        <f>COUNTIFS('Base de Datos'!$F:$F, $C45, 'Base de Datos'!$H:$H, $E45, 'Base de Datos'!$U:$U, $F45, 'Base de Datos'!$AA:$AA, "Finalizada", 'Base de Datos'!#REF!, "&gt;=01/04/2026", 'Base de Datos'!#REF!, "&lt;=30/04/2026")</f>
        <v>#REF!</v>
      </c>
      <c r="T45" s="29" t="e">
        <f>COUNTIFS('Base de Datos'!$F:$F, $C45, 'Base de Datos'!$H:$H, $E45, 'Base de Datos'!$U:$U, $F45, 'Base de Datos'!$AA:$AA, "Finalizada", 'Base de Datos'!#REF!, "&gt;=01/05/2026", 'Base de Datos'!#REF!, "&lt;=31/05/2026")</f>
        <v>#REF!</v>
      </c>
      <c r="U45" s="29" t="e">
        <f>COUNTIFS('Base de Datos'!$F:$F, $C45, 'Base de Datos'!$H:$H, $E45, 'Base de Datos'!$U:$U, $F45, 'Base de Datos'!$AA:$AA, "Finalizada", 'Base de Datos'!#REF!, "&gt;=01/06/2026", 'Base de Datos'!#REF!, "&lt;=30/06/2026")</f>
        <v>#REF!</v>
      </c>
    </row>
    <row r="46" spans="3:21">
      <c r="C46" s="4">
        <v>2024</v>
      </c>
      <c r="D46" s="4">
        <v>90</v>
      </c>
      <c r="E46" s="4" t="s">
        <v>197</v>
      </c>
      <c r="F46" s="5" t="s">
        <v>665</v>
      </c>
      <c r="G46" s="28">
        <f>IF(COUNTIFS($C$4:C46, C46, $D$4:D46, D46, $E$4:E46, E46)=1, 1, 0)</f>
        <v>1</v>
      </c>
      <c r="H46" s="29" cm="1">
        <f t="array" ref="H46">SUMPRODUCT((TRIM(CLEAN('Base de Datos'!$F$2:$F$3000))&amp;""=TRIM(CLEAN(C46))&amp;"")*(TRIM(CLEAN('Base de Datos'!$G$2:$G$3000))&amp;""=TRIM(CLEAN(D46))&amp;"")*(TRIM(CLEAN('Base de Datos'!$H$2:$H$3000))&amp;""=TRIM(CLEAN(E46))&amp;"")*(TRIM(CLEAN('Base de Datos'!$U$2:$U$3000))&amp;""=TRIM(CLEAN(F46))&amp;""))</f>
        <v>0</v>
      </c>
      <c r="I46" s="29">
        <f>COUNTIFS('Base de Datos'!$F:$F,$C46,'Base de Datos'!$G:$G,$D46,'Base de Datos'!$H:$H,$E46,'Base de Datos'!$U:$U,$F46,'Base de Datos'!$AA:$AA,"Abierta")</f>
        <v>0</v>
      </c>
      <c r="J46" s="29">
        <f>COUNTIFS('Base de Datos'!$F:$F,$C46,'Base de Datos'!$G:$G,$D46,'Base de Datos'!$H:$H,$E46,'Base de Datos'!$U:$U,$F46,'Base de Datos'!$AA:$AA,"Vencida")</f>
        <v>0</v>
      </c>
      <c r="K46" s="29">
        <f>COUNTIFS('Base de Datos'!$F:$F,$C46,'Base de Datos'!$G:$G,$D46,'Base de Datos'!$H:$H,$E46,'Base de Datos'!$U:$U,$F46,'Base de Datos'!$AA:$AA,"Finalizada")</f>
        <v>0</v>
      </c>
      <c r="L46" s="29">
        <f>COUNTIFS('Base de Datos'!$F:$F,$C46,'Base de Datos'!$G:$G,$D46,'Base de Datos'!$H:$H,$E46,'Base de Datos'!$U:$U,$F46,'Base de Datos'!$AA:$AA,"Abierta",'Base de Datos'!$AC:$AC,"&lt;=10",'Base de Datos'!$AC:$AC,"&gt;0")</f>
        <v>0</v>
      </c>
      <c r="M46" s="29">
        <f>COUNTIFS('Base de Datos'!$F:$F,$C46,'Base de Datos'!$G:$G,$D46,'Base de Datos'!$H:$H,$E46,'Base de Datos'!$U:$U,$F46,'Base de Datos'!$AA:$AA,"Abierta",'Base de Datos'!$AC:$AC,"&lt;=20",'Base de Datos'!$AC:$AC,"&gt;10")</f>
        <v>0</v>
      </c>
      <c r="N46" s="32">
        <f>COUNTIFS('Base de Datos'!$F:$F,$C46,'Base de Datos'!$G:$G,$D46,'Base de Datos'!$H:$H,$E46,'Base de Datos'!$U:$U,$F46,'Base de Datos'!$AA:$AA,"Abierta",'Base de Datos'!$AC:$AC,"&lt;=30",'Base de Datos'!$AC:$AC,"&gt;20")</f>
        <v>0</v>
      </c>
      <c r="O46" s="29">
        <f>COUNTIFS('Base de Datos'!$F:$F,$C46,'Base de Datos'!$G:$G,$D46,'Base de Datos'!$H:$H,$E46,'Base de Datos'!$U:$U,$F46,'Base de Datos'!$AA:$AA,"Abierta",'Base de Datos'!$AG:$AG,1)</f>
        <v>0</v>
      </c>
      <c r="P46" s="29" t="e">
        <f>COUNTIFS('Base de Datos'!$F:$F, $C46, 'Base de Datos'!$H:$H, $E46, 'Base de Datos'!$U:$U, $F46, 'Base de Datos'!$AA:$AA, "Finalizada", 'Base de Datos'!#REF!, "&gt;=01/01/2026", 'Base de Datos'!#REF!, "&lt;=31/01/2026")</f>
        <v>#REF!</v>
      </c>
      <c r="Q46" s="29" t="e">
        <f>COUNTIFS('Base de Datos'!$F:$F, $C46, 'Base de Datos'!$H:$H, $E46, 'Base de Datos'!$U:$U, $F46, 'Base de Datos'!$AA:$AA, "Finalizada", 'Base de Datos'!#REF!, "&gt;=01/02/2026", 'Base de Datos'!#REF!, "&lt;=28/02/2026")</f>
        <v>#REF!</v>
      </c>
      <c r="R46" s="29" t="e">
        <f>COUNTIFS('Base de Datos'!$F:$F, $C46, 'Base de Datos'!$H:$H, $E46, 'Base de Datos'!$U:$U, $F46, 'Base de Datos'!$AA:$AA, "Finalizada", 'Base de Datos'!#REF!, "&gt;=01/03/2026", 'Base de Datos'!#REF!, "&lt;=31/03/2026")</f>
        <v>#REF!</v>
      </c>
      <c r="S46" s="29" t="e">
        <f>COUNTIFS('Base de Datos'!$F:$F, $C46, 'Base de Datos'!$H:$H, $E46, 'Base de Datos'!$U:$U, $F46, 'Base de Datos'!$AA:$AA, "Finalizada", 'Base de Datos'!#REF!, "&gt;=01/04/2026", 'Base de Datos'!#REF!, "&lt;=30/04/2026")</f>
        <v>#REF!</v>
      </c>
      <c r="T46" s="29" t="e">
        <f>COUNTIFS('Base de Datos'!$F:$F, $C46, 'Base de Datos'!$H:$H, $E46, 'Base de Datos'!$U:$U, $F46, 'Base de Datos'!$AA:$AA, "Finalizada", 'Base de Datos'!#REF!, "&gt;=01/05/2026", 'Base de Datos'!#REF!, "&lt;=31/05/2026")</f>
        <v>#REF!</v>
      </c>
      <c r="U46" s="29" t="e">
        <f>COUNTIFS('Base de Datos'!$F:$F, $C46, 'Base de Datos'!$H:$H, $E46, 'Base de Datos'!$U:$U, $F46, 'Base de Datos'!$AA:$AA, "Finalizada", 'Base de Datos'!#REF!, "&gt;=01/06/2026", 'Base de Datos'!#REF!, "&lt;=30/06/2026")</f>
        <v>#REF!</v>
      </c>
    </row>
    <row r="47" spans="3:21">
      <c r="C47" s="4">
        <v>2024</v>
      </c>
      <c r="D47" s="4">
        <v>90</v>
      </c>
      <c r="E47" s="4" t="s">
        <v>204</v>
      </c>
      <c r="F47" s="5" t="s">
        <v>665</v>
      </c>
      <c r="G47" s="28">
        <f>IF(COUNTIFS($C$4:C47, C47, $D$4:D47, D47, $E$4:E47, E47)=1, 1, 0)</f>
        <v>1</v>
      </c>
      <c r="H47" s="29" cm="1">
        <f t="array" ref="H47">SUMPRODUCT((TRIM(CLEAN('Base de Datos'!$F$2:$F$3000))&amp;""=TRIM(CLEAN(C47))&amp;"")*(TRIM(CLEAN('Base de Datos'!$G$2:$G$3000))&amp;""=TRIM(CLEAN(D47))&amp;"")*(TRIM(CLEAN('Base de Datos'!$H$2:$H$3000))&amp;""=TRIM(CLEAN(E47))&amp;"")*(TRIM(CLEAN('Base de Datos'!$U$2:$U$3000))&amp;""=TRIM(CLEAN(F47))&amp;""))</f>
        <v>0</v>
      </c>
      <c r="I47" s="29">
        <f>COUNTIFS('Base de Datos'!$F:$F,$C47,'Base de Datos'!$G:$G,$D47,'Base de Datos'!$H:$H,$E47,'Base de Datos'!$U:$U,$F47,'Base de Datos'!$AA:$AA,"Abierta")</f>
        <v>0</v>
      </c>
      <c r="J47" s="29">
        <f>COUNTIFS('Base de Datos'!$F:$F,$C47,'Base de Datos'!$G:$G,$D47,'Base de Datos'!$H:$H,$E47,'Base de Datos'!$U:$U,$F47,'Base de Datos'!$AA:$AA,"Vencida")</f>
        <v>0</v>
      </c>
      <c r="K47" s="29">
        <f>COUNTIFS('Base de Datos'!$F:$F,$C47,'Base de Datos'!$G:$G,$D47,'Base de Datos'!$H:$H,$E47,'Base de Datos'!$U:$U,$F47,'Base de Datos'!$AA:$AA,"Finalizada")</f>
        <v>0</v>
      </c>
      <c r="L47" s="29">
        <f>COUNTIFS('Base de Datos'!$F:$F,$C47,'Base de Datos'!$G:$G,$D47,'Base de Datos'!$H:$H,$E47,'Base de Datos'!$U:$U,$F47,'Base de Datos'!$AA:$AA,"Abierta",'Base de Datos'!$AC:$AC,"&lt;=10",'Base de Datos'!$AC:$AC,"&gt;0")</f>
        <v>0</v>
      </c>
      <c r="M47" s="29">
        <f>COUNTIFS('Base de Datos'!$F:$F,$C47,'Base de Datos'!$G:$G,$D47,'Base de Datos'!$H:$H,$E47,'Base de Datos'!$U:$U,$F47,'Base de Datos'!$AA:$AA,"Abierta",'Base de Datos'!$AC:$AC,"&lt;=20",'Base de Datos'!$AC:$AC,"&gt;10")</f>
        <v>0</v>
      </c>
      <c r="N47" s="32">
        <f>COUNTIFS('Base de Datos'!$F:$F,$C47,'Base de Datos'!$G:$G,$D47,'Base de Datos'!$H:$H,$E47,'Base de Datos'!$U:$U,$F47,'Base de Datos'!$AA:$AA,"Abierta",'Base de Datos'!$AC:$AC,"&lt;=30",'Base de Datos'!$AC:$AC,"&gt;20")</f>
        <v>0</v>
      </c>
      <c r="O47" s="29">
        <f>COUNTIFS('Base de Datos'!$F:$F,$C47,'Base de Datos'!$G:$G,$D47,'Base de Datos'!$H:$H,$E47,'Base de Datos'!$U:$U,$F47,'Base de Datos'!$AA:$AA,"Abierta",'Base de Datos'!$AG:$AG,1)</f>
        <v>0</v>
      </c>
      <c r="P47" s="29" t="e">
        <f>COUNTIFS('Base de Datos'!$F:$F, $C47, 'Base de Datos'!$H:$H, $E47, 'Base de Datos'!$U:$U, $F47, 'Base de Datos'!$AA:$AA, "Finalizada", 'Base de Datos'!#REF!, "&gt;=01/01/2026", 'Base de Datos'!#REF!, "&lt;=31/01/2026")</f>
        <v>#REF!</v>
      </c>
      <c r="Q47" s="29" t="e">
        <f>COUNTIFS('Base de Datos'!$F:$F, $C47, 'Base de Datos'!$H:$H, $E47, 'Base de Datos'!$U:$U, $F47, 'Base de Datos'!$AA:$AA, "Finalizada", 'Base de Datos'!#REF!, "&gt;=01/02/2026", 'Base de Datos'!#REF!, "&lt;=28/02/2026")</f>
        <v>#REF!</v>
      </c>
      <c r="R47" s="29" t="e">
        <f>COUNTIFS('Base de Datos'!$F:$F, $C47, 'Base de Datos'!$H:$H, $E47, 'Base de Datos'!$U:$U, $F47, 'Base de Datos'!$AA:$AA, "Finalizada", 'Base de Datos'!#REF!, "&gt;=01/03/2026", 'Base de Datos'!#REF!, "&lt;=31/03/2026")</f>
        <v>#REF!</v>
      </c>
      <c r="S47" s="29" t="e">
        <f>COUNTIFS('Base de Datos'!$F:$F, $C47, 'Base de Datos'!$H:$H, $E47, 'Base de Datos'!$U:$U, $F47, 'Base de Datos'!$AA:$AA, "Finalizada", 'Base de Datos'!#REF!, "&gt;=01/04/2026", 'Base de Datos'!#REF!, "&lt;=30/04/2026")</f>
        <v>#REF!</v>
      </c>
      <c r="T47" s="29" t="e">
        <f>COUNTIFS('Base de Datos'!$F:$F, $C47, 'Base de Datos'!$H:$H, $E47, 'Base de Datos'!$U:$U, $F47, 'Base de Datos'!$AA:$AA, "Finalizada", 'Base de Datos'!#REF!, "&gt;=01/05/2026", 'Base de Datos'!#REF!, "&lt;=31/05/2026")</f>
        <v>#REF!</v>
      </c>
      <c r="U47" s="29" t="e">
        <f>COUNTIFS('Base de Datos'!$F:$F, $C47, 'Base de Datos'!$H:$H, $E47, 'Base de Datos'!$U:$U, $F47, 'Base de Datos'!$AA:$AA, "Finalizada", 'Base de Datos'!#REF!, "&gt;=01/06/2026", 'Base de Datos'!#REF!, "&lt;=30/06/2026")</f>
        <v>#REF!</v>
      </c>
    </row>
    <row r="48" spans="3:21">
      <c r="C48" s="4">
        <v>2024</v>
      </c>
      <c r="D48" s="4">
        <v>90</v>
      </c>
      <c r="E48" s="4" t="s">
        <v>215</v>
      </c>
      <c r="F48" s="5" t="s">
        <v>669</v>
      </c>
      <c r="G48" s="28">
        <f>IF(COUNTIFS($C$4:C48, C48, $D$4:D48, D48, $E$4:E48, E48)=1, 1, 0)</f>
        <v>1</v>
      </c>
      <c r="H48" s="29" cm="1">
        <f t="array" ref="H48">SUMPRODUCT((TRIM(CLEAN('Base de Datos'!$F$2:$F$3000))&amp;""=TRIM(CLEAN(C48))&amp;"")*(TRIM(CLEAN('Base de Datos'!$G$2:$G$3000))&amp;""=TRIM(CLEAN(D48))&amp;"")*(TRIM(CLEAN('Base de Datos'!$H$2:$H$3000))&amp;""=TRIM(CLEAN(E48))&amp;"")*(TRIM(CLEAN('Base de Datos'!$U$2:$U$3000))&amp;""=TRIM(CLEAN(F48))&amp;""))</f>
        <v>0</v>
      </c>
      <c r="I48" s="29">
        <f>COUNTIFS('Base de Datos'!$F:$F,$C48,'Base de Datos'!$G:$G,$D48,'Base de Datos'!$H:$H,$E48,'Base de Datos'!$U:$U,$F48,'Base de Datos'!$AA:$AA,"Abierta")</f>
        <v>0</v>
      </c>
      <c r="J48" s="29">
        <f>COUNTIFS('Base de Datos'!$F:$F,$C48,'Base de Datos'!$G:$G,$D48,'Base de Datos'!$H:$H,$E48,'Base de Datos'!$U:$U,$F48,'Base de Datos'!$AA:$AA,"Vencida")</f>
        <v>0</v>
      </c>
      <c r="K48" s="29">
        <f>COUNTIFS('Base de Datos'!$F:$F,$C48,'Base de Datos'!$G:$G,$D48,'Base de Datos'!$H:$H,$E48,'Base de Datos'!$U:$U,$F48,'Base de Datos'!$AA:$AA,"Finalizada")</f>
        <v>0</v>
      </c>
      <c r="L48" s="29">
        <f>COUNTIFS('Base de Datos'!$F:$F,$C48,'Base de Datos'!$G:$G,$D48,'Base de Datos'!$H:$H,$E48,'Base de Datos'!$U:$U,$F48,'Base de Datos'!$AA:$AA,"Abierta",'Base de Datos'!$AC:$AC,"&lt;=10",'Base de Datos'!$AC:$AC,"&gt;0")</f>
        <v>0</v>
      </c>
      <c r="M48" s="29">
        <f>COUNTIFS('Base de Datos'!$F:$F,$C48,'Base de Datos'!$G:$G,$D48,'Base de Datos'!$H:$H,$E48,'Base de Datos'!$U:$U,$F48,'Base de Datos'!$AA:$AA,"Abierta",'Base de Datos'!$AC:$AC,"&lt;=20",'Base de Datos'!$AC:$AC,"&gt;10")</f>
        <v>0</v>
      </c>
      <c r="N48" s="32">
        <f>COUNTIFS('Base de Datos'!$F:$F,$C48,'Base de Datos'!$G:$G,$D48,'Base de Datos'!$H:$H,$E48,'Base de Datos'!$U:$U,$F48,'Base de Datos'!$AA:$AA,"Abierta",'Base de Datos'!$AC:$AC,"&lt;=30",'Base de Datos'!$AC:$AC,"&gt;20")</f>
        <v>0</v>
      </c>
      <c r="O48" s="29">
        <f>COUNTIFS('Base de Datos'!$F:$F,$C48,'Base de Datos'!$G:$G,$D48,'Base de Datos'!$H:$H,$E48,'Base de Datos'!$U:$U,$F48,'Base de Datos'!$AA:$AA,"Abierta",'Base de Datos'!$AG:$AG,1)</f>
        <v>0</v>
      </c>
      <c r="P48" s="29" t="e">
        <f>COUNTIFS('Base de Datos'!$F:$F, $C48, 'Base de Datos'!$H:$H, $E48, 'Base de Datos'!$U:$U, $F48, 'Base de Datos'!$AA:$AA, "Finalizada", 'Base de Datos'!#REF!, "&gt;=01/01/2026", 'Base de Datos'!#REF!, "&lt;=31/01/2026")</f>
        <v>#REF!</v>
      </c>
      <c r="Q48" s="29" t="e">
        <f>COUNTIFS('Base de Datos'!$F:$F, $C48, 'Base de Datos'!$H:$H, $E48, 'Base de Datos'!$U:$U, $F48, 'Base de Datos'!$AA:$AA, "Finalizada", 'Base de Datos'!#REF!, "&gt;=01/02/2026", 'Base de Datos'!#REF!, "&lt;=28/02/2026")</f>
        <v>#REF!</v>
      </c>
      <c r="R48" s="29" t="e">
        <f>COUNTIFS('Base de Datos'!$F:$F, $C48, 'Base de Datos'!$H:$H, $E48, 'Base de Datos'!$U:$U, $F48, 'Base de Datos'!$AA:$AA, "Finalizada", 'Base de Datos'!#REF!, "&gt;=01/03/2026", 'Base de Datos'!#REF!, "&lt;=31/03/2026")</f>
        <v>#REF!</v>
      </c>
      <c r="S48" s="29" t="e">
        <f>COUNTIFS('Base de Datos'!$F:$F, $C48, 'Base de Datos'!$H:$H, $E48, 'Base de Datos'!$U:$U, $F48, 'Base de Datos'!$AA:$AA, "Finalizada", 'Base de Datos'!#REF!, "&gt;=01/04/2026", 'Base de Datos'!#REF!, "&lt;=30/04/2026")</f>
        <v>#REF!</v>
      </c>
      <c r="T48" s="29" t="e">
        <f>COUNTIFS('Base de Datos'!$F:$F, $C48, 'Base de Datos'!$H:$H, $E48, 'Base de Datos'!$U:$U, $F48, 'Base de Datos'!$AA:$AA, "Finalizada", 'Base de Datos'!#REF!, "&gt;=01/05/2026", 'Base de Datos'!#REF!, "&lt;=31/05/2026")</f>
        <v>#REF!</v>
      </c>
      <c r="U48" s="29" t="e">
        <f>COUNTIFS('Base de Datos'!$F:$F, $C48, 'Base de Datos'!$H:$H, $E48, 'Base de Datos'!$U:$U, $F48, 'Base de Datos'!$AA:$AA, "Finalizada", 'Base de Datos'!#REF!, "&gt;=01/06/2026", 'Base de Datos'!#REF!, "&lt;=30/06/2026")</f>
        <v>#REF!</v>
      </c>
    </row>
    <row r="49" spans="3:21">
      <c r="C49" s="4">
        <v>2024</v>
      </c>
      <c r="D49" s="4">
        <v>90</v>
      </c>
      <c r="E49" s="4" t="s">
        <v>370</v>
      </c>
      <c r="F49" s="5" t="s">
        <v>665</v>
      </c>
      <c r="G49" s="28">
        <f>IF(COUNTIFS($C$4:C49, C49, $D$4:D49, D49, $E$4:E49, E49)=1, 1, 0)</f>
        <v>1</v>
      </c>
      <c r="H49" s="29" cm="1">
        <f t="array" ref="H49">SUMPRODUCT((TRIM(CLEAN('Base de Datos'!$F$2:$F$3000))&amp;""=TRIM(CLEAN(C49))&amp;"")*(TRIM(CLEAN('Base de Datos'!$G$2:$G$3000))&amp;""=TRIM(CLEAN(D49))&amp;"")*(TRIM(CLEAN('Base de Datos'!$H$2:$H$3000))&amp;""=TRIM(CLEAN(E49))&amp;"")*(TRIM(CLEAN('Base de Datos'!$U$2:$U$3000))&amp;""=TRIM(CLEAN(F49))&amp;""))</f>
        <v>0</v>
      </c>
      <c r="I49" s="29">
        <f>COUNTIFS('Base de Datos'!$F:$F,$C49,'Base de Datos'!$G:$G,$D49,'Base de Datos'!$H:$H,$E49,'Base de Datos'!$U:$U,$F49,'Base de Datos'!$AA:$AA,"Abierta")</f>
        <v>0</v>
      </c>
      <c r="J49" s="29">
        <f>COUNTIFS('Base de Datos'!$F:$F,$C49,'Base de Datos'!$G:$G,$D49,'Base de Datos'!$H:$H,$E49,'Base de Datos'!$U:$U,$F49,'Base de Datos'!$AA:$AA,"Vencida")</f>
        <v>0</v>
      </c>
      <c r="K49" s="29">
        <f>COUNTIFS('Base de Datos'!$F:$F,$C49,'Base de Datos'!$G:$G,$D49,'Base de Datos'!$H:$H,$E49,'Base de Datos'!$U:$U,$F49,'Base de Datos'!$AA:$AA,"Finalizada")</f>
        <v>0</v>
      </c>
      <c r="L49" s="29">
        <f>COUNTIFS('Base de Datos'!$F:$F,$C49,'Base de Datos'!$G:$G,$D49,'Base de Datos'!$H:$H,$E49,'Base de Datos'!$U:$U,$F49,'Base de Datos'!$AA:$AA,"Abierta",'Base de Datos'!$AC:$AC,"&lt;=10",'Base de Datos'!$AC:$AC,"&gt;0")</f>
        <v>0</v>
      </c>
      <c r="M49" s="29">
        <f>COUNTIFS('Base de Datos'!$F:$F,$C49,'Base de Datos'!$G:$G,$D49,'Base de Datos'!$H:$H,$E49,'Base de Datos'!$U:$U,$F49,'Base de Datos'!$AA:$AA,"Abierta",'Base de Datos'!$AC:$AC,"&lt;=20",'Base de Datos'!$AC:$AC,"&gt;10")</f>
        <v>0</v>
      </c>
      <c r="N49" s="32">
        <f>COUNTIFS('Base de Datos'!$F:$F,$C49,'Base de Datos'!$G:$G,$D49,'Base de Datos'!$H:$H,$E49,'Base de Datos'!$U:$U,$F49,'Base de Datos'!$AA:$AA,"Abierta",'Base de Datos'!$AC:$AC,"&lt;=30",'Base de Datos'!$AC:$AC,"&gt;20")</f>
        <v>0</v>
      </c>
      <c r="O49" s="29">
        <f>COUNTIFS('Base de Datos'!$F:$F,$C49,'Base de Datos'!$G:$G,$D49,'Base de Datos'!$H:$H,$E49,'Base de Datos'!$U:$U,$F49,'Base de Datos'!$AA:$AA,"Abierta",'Base de Datos'!$AG:$AG,1)</f>
        <v>0</v>
      </c>
      <c r="P49" s="29" t="e">
        <f>COUNTIFS('Base de Datos'!$F:$F, $C49, 'Base de Datos'!$H:$H, $E49, 'Base de Datos'!$U:$U, $F49, 'Base de Datos'!$AA:$AA, "Finalizada", 'Base de Datos'!#REF!, "&gt;=01/01/2026", 'Base de Datos'!#REF!, "&lt;=31/01/2026")</f>
        <v>#REF!</v>
      </c>
      <c r="Q49" s="29" t="e">
        <f>COUNTIFS('Base de Datos'!$F:$F, $C49, 'Base de Datos'!$H:$H, $E49, 'Base de Datos'!$U:$U, $F49, 'Base de Datos'!$AA:$AA, "Finalizada", 'Base de Datos'!#REF!, "&gt;=01/02/2026", 'Base de Datos'!#REF!, "&lt;=28/02/2026")</f>
        <v>#REF!</v>
      </c>
      <c r="R49" s="29" t="e">
        <f>COUNTIFS('Base de Datos'!$F:$F, $C49, 'Base de Datos'!$H:$H, $E49, 'Base de Datos'!$U:$U, $F49, 'Base de Datos'!$AA:$AA, "Finalizada", 'Base de Datos'!#REF!, "&gt;=01/03/2026", 'Base de Datos'!#REF!, "&lt;=31/03/2026")</f>
        <v>#REF!</v>
      </c>
      <c r="S49" s="29" t="e">
        <f>COUNTIFS('Base de Datos'!$F:$F, $C49, 'Base de Datos'!$H:$H, $E49, 'Base de Datos'!$U:$U, $F49, 'Base de Datos'!$AA:$AA, "Finalizada", 'Base de Datos'!#REF!, "&gt;=01/04/2026", 'Base de Datos'!#REF!, "&lt;=30/04/2026")</f>
        <v>#REF!</v>
      </c>
      <c r="T49" s="29" t="e">
        <f>COUNTIFS('Base de Datos'!$F:$F, $C49, 'Base de Datos'!$H:$H, $E49, 'Base de Datos'!$U:$U, $F49, 'Base de Datos'!$AA:$AA, "Finalizada", 'Base de Datos'!#REF!, "&gt;=01/05/2026", 'Base de Datos'!#REF!, "&lt;=31/05/2026")</f>
        <v>#REF!</v>
      </c>
      <c r="U49" s="29" t="e">
        <f>COUNTIFS('Base de Datos'!$F:$F, $C49, 'Base de Datos'!$H:$H, $E49, 'Base de Datos'!$U:$U, $F49, 'Base de Datos'!$AA:$AA, "Finalizada", 'Base de Datos'!#REF!, "&gt;=01/06/2026", 'Base de Datos'!#REF!, "&lt;=30/06/2026")</f>
        <v>#REF!</v>
      </c>
    </row>
    <row r="50" spans="3:21">
      <c r="C50" s="4">
        <v>2024</v>
      </c>
      <c r="D50" s="4">
        <v>90</v>
      </c>
      <c r="E50" s="4" t="s">
        <v>378</v>
      </c>
      <c r="F50" s="5" t="s">
        <v>665</v>
      </c>
      <c r="G50" s="28">
        <f>IF(COUNTIFS($C$4:C50, C50, $D$4:D50, D50, $E$4:E50, E50)=1, 1, 0)</f>
        <v>1</v>
      </c>
      <c r="H50" s="29" cm="1">
        <f t="array" ref="H50">SUMPRODUCT((TRIM(CLEAN('Base de Datos'!$F$2:$F$3000))&amp;""=TRIM(CLEAN(C50))&amp;"")*(TRIM(CLEAN('Base de Datos'!$G$2:$G$3000))&amp;""=TRIM(CLEAN(D50))&amp;"")*(TRIM(CLEAN('Base de Datos'!$H$2:$H$3000))&amp;""=TRIM(CLEAN(E50))&amp;"")*(TRIM(CLEAN('Base de Datos'!$U$2:$U$3000))&amp;""=TRIM(CLEAN(F50))&amp;""))</f>
        <v>0</v>
      </c>
      <c r="I50" s="29">
        <f>COUNTIFS('Base de Datos'!$F:$F,$C50,'Base de Datos'!$G:$G,$D50,'Base de Datos'!$H:$H,$E50,'Base de Datos'!$U:$U,$F50,'Base de Datos'!$AA:$AA,"Abierta")</f>
        <v>0</v>
      </c>
      <c r="J50" s="29">
        <f>COUNTIFS('Base de Datos'!$F:$F,$C50,'Base de Datos'!$G:$G,$D50,'Base de Datos'!$H:$H,$E50,'Base de Datos'!$U:$U,$F50,'Base de Datos'!$AA:$AA,"Vencida")</f>
        <v>0</v>
      </c>
      <c r="K50" s="29">
        <f>COUNTIFS('Base de Datos'!$F:$F,$C50,'Base de Datos'!$G:$G,$D50,'Base de Datos'!$H:$H,$E50,'Base de Datos'!$U:$U,$F50,'Base de Datos'!$AA:$AA,"Finalizada")</f>
        <v>0</v>
      </c>
      <c r="L50" s="29">
        <f>COUNTIFS('Base de Datos'!$F:$F,$C50,'Base de Datos'!$G:$G,$D50,'Base de Datos'!$H:$H,$E50,'Base de Datos'!$U:$U,$F50,'Base de Datos'!$AA:$AA,"Abierta",'Base de Datos'!$AC:$AC,"&lt;=10",'Base de Datos'!$AC:$AC,"&gt;0")</f>
        <v>0</v>
      </c>
      <c r="M50" s="29">
        <f>COUNTIFS('Base de Datos'!$F:$F,$C50,'Base de Datos'!$G:$G,$D50,'Base de Datos'!$H:$H,$E50,'Base de Datos'!$U:$U,$F50,'Base de Datos'!$AA:$AA,"Abierta",'Base de Datos'!$AC:$AC,"&lt;=20",'Base de Datos'!$AC:$AC,"&gt;10")</f>
        <v>0</v>
      </c>
      <c r="N50" s="32">
        <f>COUNTIFS('Base de Datos'!$F:$F,$C50,'Base de Datos'!$G:$G,$D50,'Base de Datos'!$H:$H,$E50,'Base de Datos'!$U:$U,$F50,'Base de Datos'!$AA:$AA,"Abierta",'Base de Datos'!$AC:$AC,"&lt;=30",'Base de Datos'!$AC:$AC,"&gt;20")</f>
        <v>0</v>
      </c>
      <c r="O50" s="29">
        <f>COUNTIFS('Base de Datos'!$F:$F,$C50,'Base de Datos'!$G:$G,$D50,'Base de Datos'!$H:$H,$E50,'Base de Datos'!$U:$U,$F50,'Base de Datos'!$AA:$AA,"Abierta",'Base de Datos'!$AG:$AG,1)</f>
        <v>0</v>
      </c>
      <c r="P50" s="29" t="e">
        <f>COUNTIFS('Base de Datos'!$F:$F, $C50, 'Base de Datos'!$H:$H, $E50, 'Base de Datos'!$U:$U, $F50, 'Base de Datos'!$AA:$AA, "Finalizada", 'Base de Datos'!#REF!, "&gt;=01/01/2026", 'Base de Datos'!#REF!, "&lt;=31/01/2026")</f>
        <v>#REF!</v>
      </c>
      <c r="Q50" s="29" t="e">
        <f>COUNTIFS('Base de Datos'!$F:$F, $C50, 'Base de Datos'!$H:$H, $E50, 'Base de Datos'!$U:$U, $F50, 'Base de Datos'!$AA:$AA, "Finalizada", 'Base de Datos'!#REF!, "&gt;=01/02/2026", 'Base de Datos'!#REF!, "&lt;=28/02/2026")</f>
        <v>#REF!</v>
      </c>
      <c r="R50" s="29" t="e">
        <f>COUNTIFS('Base de Datos'!$F:$F, $C50, 'Base de Datos'!$H:$H, $E50, 'Base de Datos'!$U:$U, $F50, 'Base de Datos'!$AA:$AA, "Finalizada", 'Base de Datos'!#REF!, "&gt;=01/03/2026", 'Base de Datos'!#REF!, "&lt;=31/03/2026")</f>
        <v>#REF!</v>
      </c>
      <c r="S50" s="29" t="e">
        <f>COUNTIFS('Base de Datos'!$F:$F, $C50, 'Base de Datos'!$H:$H, $E50, 'Base de Datos'!$U:$U, $F50, 'Base de Datos'!$AA:$AA, "Finalizada", 'Base de Datos'!#REF!, "&gt;=01/04/2026", 'Base de Datos'!#REF!, "&lt;=30/04/2026")</f>
        <v>#REF!</v>
      </c>
      <c r="T50" s="29" t="e">
        <f>COUNTIFS('Base de Datos'!$F:$F, $C50, 'Base de Datos'!$H:$H, $E50, 'Base de Datos'!$U:$U, $F50, 'Base de Datos'!$AA:$AA, "Finalizada", 'Base de Datos'!#REF!, "&gt;=01/05/2026", 'Base de Datos'!#REF!, "&lt;=31/05/2026")</f>
        <v>#REF!</v>
      </c>
      <c r="U50" s="29" t="e">
        <f>COUNTIFS('Base de Datos'!$F:$F, $C50, 'Base de Datos'!$H:$H, $E50, 'Base de Datos'!$U:$U, $F50, 'Base de Datos'!$AA:$AA, "Finalizada", 'Base de Datos'!#REF!, "&gt;=01/06/2026", 'Base de Datos'!#REF!, "&lt;=30/06/2026")</f>
        <v>#REF!</v>
      </c>
    </row>
    <row r="51" spans="3:21" ht="20.399999999999999">
      <c r="C51" s="4">
        <v>2024</v>
      </c>
      <c r="D51" s="4">
        <v>90</v>
      </c>
      <c r="E51" s="4" t="s">
        <v>389</v>
      </c>
      <c r="F51" s="5" t="s">
        <v>670</v>
      </c>
      <c r="G51" s="28">
        <f>IF(COUNTIFS($C$4:C51, C51, $D$4:D51, D51, $E$4:E51, E51)=1, 1, 0)</f>
        <v>1</v>
      </c>
      <c r="H51" s="29" cm="1">
        <f t="array" ref="H51">SUMPRODUCT((TRIM(CLEAN('Base de Datos'!$F$2:$F$3000))&amp;""=TRIM(CLEAN(C51))&amp;"")*(TRIM(CLEAN('Base de Datos'!$G$2:$G$3000))&amp;""=TRIM(CLEAN(D51))&amp;"")*(TRIM(CLEAN('Base de Datos'!$H$2:$H$3000))&amp;""=TRIM(CLEAN(E51))&amp;"")*(TRIM(CLEAN('Base de Datos'!$U$2:$U$3000))&amp;""=TRIM(CLEAN(F51))&amp;""))</f>
        <v>0</v>
      </c>
      <c r="I51" s="29">
        <f>COUNTIFS('Base de Datos'!$F:$F,$C51,'Base de Datos'!$G:$G,$D51,'Base de Datos'!$H:$H,$E51,'Base de Datos'!$U:$U,$F51,'Base de Datos'!$AA:$AA,"Abierta")</f>
        <v>0</v>
      </c>
      <c r="J51" s="29">
        <f>COUNTIFS('Base de Datos'!$F:$F,$C51,'Base de Datos'!$G:$G,$D51,'Base de Datos'!$H:$H,$E51,'Base de Datos'!$U:$U,$F51,'Base de Datos'!$AA:$AA,"Vencida")</f>
        <v>0</v>
      </c>
      <c r="K51" s="29">
        <f>COUNTIFS('Base de Datos'!$F:$F,$C51,'Base de Datos'!$G:$G,$D51,'Base de Datos'!$H:$H,$E51,'Base de Datos'!$U:$U,$F51,'Base de Datos'!$AA:$AA,"Finalizada")</f>
        <v>0</v>
      </c>
      <c r="L51" s="29">
        <f>COUNTIFS('Base de Datos'!$F:$F,$C51,'Base de Datos'!$G:$G,$D51,'Base de Datos'!$H:$H,$E51,'Base de Datos'!$U:$U,$F51,'Base de Datos'!$AA:$AA,"Abierta",'Base de Datos'!$AC:$AC,"&lt;=10",'Base de Datos'!$AC:$AC,"&gt;0")</f>
        <v>0</v>
      </c>
      <c r="M51" s="29">
        <f>COUNTIFS('Base de Datos'!$F:$F,$C51,'Base de Datos'!$G:$G,$D51,'Base de Datos'!$H:$H,$E51,'Base de Datos'!$U:$U,$F51,'Base de Datos'!$AA:$AA,"Abierta",'Base de Datos'!$AC:$AC,"&lt;=20",'Base de Datos'!$AC:$AC,"&gt;10")</f>
        <v>0</v>
      </c>
      <c r="N51" s="32">
        <f>COUNTIFS('Base de Datos'!$F:$F,$C51,'Base de Datos'!$G:$G,$D51,'Base de Datos'!$H:$H,$E51,'Base de Datos'!$U:$U,$F51,'Base de Datos'!$AA:$AA,"Abierta",'Base de Datos'!$AC:$AC,"&lt;=30",'Base de Datos'!$AC:$AC,"&gt;20")</f>
        <v>0</v>
      </c>
      <c r="O51" s="29">
        <f>COUNTIFS('Base de Datos'!$F:$F,$C51,'Base de Datos'!$G:$G,$D51,'Base de Datos'!$H:$H,$E51,'Base de Datos'!$U:$U,$F51,'Base de Datos'!$AA:$AA,"Abierta",'Base de Datos'!$AG:$AG,1)</f>
        <v>0</v>
      </c>
      <c r="P51" s="29" t="e">
        <f>COUNTIFS('Base de Datos'!$F:$F, $C51, 'Base de Datos'!$H:$H, $E51, 'Base de Datos'!$U:$U, $F51, 'Base de Datos'!$AA:$AA, "Finalizada", 'Base de Datos'!#REF!, "&gt;=01/01/2026", 'Base de Datos'!#REF!, "&lt;=31/01/2026")</f>
        <v>#REF!</v>
      </c>
      <c r="Q51" s="29" t="e">
        <f>COUNTIFS('Base de Datos'!$F:$F, $C51, 'Base de Datos'!$H:$H, $E51, 'Base de Datos'!$U:$U, $F51, 'Base de Datos'!$AA:$AA, "Finalizada", 'Base de Datos'!#REF!, "&gt;=01/02/2026", 'Base de Datos'!#REF!, "&lt;=28/02/2026")</f>
        <v>#REF!</v>
      </c>
      <c r="R51" s="29" t="e">
        <f>COUNTIFS('Base de Datos'!$F:$F, $C51, 'Base de Datos'!$H:$H, $E51, 'Base de Datos'!$U:$U, $F51, 'Base de Datos'!$AA:$AA, "Finalizada", 'Base de Datos'!#REF!, "&gt;=01/03/2026", 'Base de Datos'!#REF!, "&lt;=31/03/2026")</f>
        <v>#REF!</v>
      </c>
      <c r="S51" s="29" t="e">
        <f>COUNTIFS('Base de Datos'!$F:$F, $C51, 'Base de Datos'!$H:$H, $E51, 'Base de Datos'!$U:$U, $F51, 'Base de Datos'!$AA:$AA, "Finalizada", 'Base de Datos'!#REF!, "&gt;=01/04/2026", 'Base de Datos'!#REF!, "&lt;=30/04/2026")</f>
        <v>#REF!</v>
      </c>
      <c r="T51" s="29" t="e">
        <f>COUNTIFS('Base de Datos'!$F:$F, $C51, 'Base de Datos'!$H:$H, $E51, 'Base de Datos'!$U:$U, $F51, 'Base de Datos'!$AA:$AA, "Finalizada", 'Base de Datos'!#REF!, "&gt;=01/05/2026", 'Base de Datos'!#REF!, "&lt;=31/05/2026")</f>
        <v>#REF!</v>
      </c>
      <c r="U51" s="29" t="e">
        <f>COUNTIFS('Base de Datos'!$F:$F, $C51, 'Base de Datos'!$H:$H, $E51, 'Base de Datos'!$U:$U, $F51, 'Base de Datos'!$AA:$AA, "Finalizada", 'Base de Datos'!#REF!, "&gt;=01/06/2026", 'Base de Datos'!#REF!, "&lt;=30/06/2026")</f>
        <v>#REF!</v>
      </c>
    </row>
    <row r="52" spans="3:21">
      <c r="C52" s="4">
        <v>2023</v>
      </c>
      <c r="D52" s="4">
        <v>88</v>
      </c>
      <c r="E52" s="4" t="s">
        <v>440</v>
      </c>
      <c r="F52" s="5" t="s">
        <v>665</v>
      </c>
      <c r="G52" s="28">
        <f>IF(COUNTIFS($C$4:C52, C52, $D$4:D52, D52, $E$4:E52, E52)=1, 1, 0)</f>
        <v>1</v>
      </c>
      <c r="H52" s="29" cm="1">
        <f t="array" ref="H52">SUMPRODUCT((TRIM(CLEAN('Base de Datos'!$F$2:$F$3000))&amp;""=TRIM(CLEAN(C52))&amp;"")*(TRIM(CLEAN('Base de Datos'!$G$2:$G$3000))&amp;""=TRIM(CLEAN(D52))&amp;"")*(TRIM(CLEAN('Base de Datos'!$H$2:$H$3000))&amp;""=TRIM(CLEAN(E52))&amp;"")*(TRIM(CLEAN('Base de Datos'!$U$2:$U$3000))&amp;""=TRIM(CLEAN(F52))&amp;""))</f>
        <v>0</v>
      </c>
      <c r="I52" s="29">
        <f>COUNTIFS('Base de Datos'!$F:$F,$C52,'Base de Datos'!$G:$G,$D52,'Base de Datos'!$H:$H,$E52,'Base de Datos'!$U:$U,$F52,'Base de Datos'!$AA:$AA,"Abierta")</f>
        <v>0</v>
      </c>
      <c r="J52" s="29">
        <f>COUNTIFS('Base de Datos'!$F:$F,$C52,'Base de Datos'!$G:$G,$D52,'Base de Datos'!$H:$H,$E52,'Base de Datos'!$U:$U,$F52,'Base de Datos'!$AA:$AA,"Vencida")</f>
        <v>0</v>
      </c>
      <c r="K52" s="29">
        <f>COUNTIFS('Base de Datos'!$F:$F,$C52,'Base de Datos'!$G:$G,$D52,'Base de Datos'!$H:$H,$E52,'Base de Datos'!$U:$U,$F52,'Base de Datos'!$AA:$AA,"Finalizada")</f>
        <v>0</v>
      </c>
      <c r="L52" s="29">
        <f>COUNTIFS('Base de Datos'!$F:$F,$C52,'Base de Datos'!$G:$G,$D52,'Base de Datos'!$H:$H,$E52,'Base de Datos'!$U:$U,$F52,'Base de Datos'!$AA:$AA,"Abierta",'Base de Datos'!$AC:$AC,"&lt;=10",'Base de Datos'!$AC:$AC,"&gt;0")</f>
        <v>0</v>
      </c>
      <c r="M52" s="29">
        <f>COUNTIFS('Base de Datos'!$F:$F,$C52,'Base de Datos'!$G:$G,$D52,'Base de Datos'!$H:$H,$E52,'Base de Datos'!$U:$U,$F52,'Base de Datos'!$AA:$AA,"Abierta",'Base de Datos'!$AC:$AC,"&lt;=20",'Base de Datos'!$AC:$AC,"&gt;10")</f>
        <v>0</v>
      </c>
      <c r="N52" s="32">
        <f>COUNTIFS('Base de Datos'!$F:$F,$C52,'Base de Datos'!$G:$G,$D52,'Base de Datos'!$H:$H,$E52,'Base de Datos'!$U:$U,$F52,'Base de Datos'!$AA:$AA,"Abierta",'Base de Datos'!$AC:$AC,"&lt;=30",'Base de Datos'!$AC:$AC,"&gt;20")</f>
        <v>0</v>
      </c>
      <c r="O52" s="29">
        <f>COUNTIFS('Base de Datos'!$F:$F,$C52,'Base de Datos'!$G:$G,$D52,'Base de Datos'!$H:$H,$E52,'Base de Datos'!$U:$U,$F52,'Base de Datos'!$AA:$AA,"Abierta",'Base de Datos'!$AG:$AG,1)</f>
        <v>0</v>
      </c>
      <c r="P52" s="29" t="e">
        <f>COUNTIFS('Base de Datos'!$F:$F, $C52, 'Base de Datos'!$H:$H, $E52, 'Base de Datos'!$U:$U, $F52, 'Base de Datos'!$AA:$AA, "Finalizada", 'Base de Datos'!#REF!, "&gt;=01/01/2026", 'Base de Datos'!#REF!, "&lt;=31/01/2026")</f>
        <v>#REF!</v>
      </c>
      <c r="Q52" s="29" t="e">
        <f>COUNTIFS('Base de Datos'!$F:$F, $C52, 'Base de Datos'!$H:$H, $E52, 'Base de Datos'!$U:$U, $F52, 'Base de Datos'!$AA:$AA, "Finalizada", 'Base de Datos'!#REF!, "&gt;=01/02/2026", 'Base de Datos'!#REF!, "&lt;=28/02/2026")</f>
        <v>#REF!</v>
      </c>
      <c r="R52" s="29" t="e">
        <f>COUNTIFS('Base de Datos'!$F:$F, $C52, 'Base de Datos'!$H:$H, $E52, 'Base de Datos'!$U:$U, $F52, 'Base de Datos'!$AA:$AA, "Finalizada", 'Base de Datos'!#REF!, "&gt;=01/03/2026", 'Base de Datos'!#REF!, "&lt;=31/03/2026")</f>
        <v>#REF!</v>
      </c>
      <c r="S52" s="29" t="e">
        <f>COUNTIFS('Base de Datos'!$F:$F, $C52, 'Base de Datos'!$H:$H, $E52, 'Base de Datos'!$U:$U, $F52, 'Base de Datos'!$AA:$AA, "Finalizada", 'Base de Datos'!#REF!, "&gt;=01/04/2026", 'Base de Datos'!#REF!, "&lt;=30/04/2026")</f>
        <v>#REF!</v>
      </c>
      <c r="T52" s="29" t="e">
        <f>COUNTIFS('Base de Datos'!$F:$F, $C52, 'Base de Datos'!$H:$H, $E52, 'Base de Datos'!$U:$U, $F52, 'Base de Datos'!$AA:$AA, "Finalizada", 'Base de Datos'!#REF!, "&gt;=01/05/2026", 'Base de Datos'!#REF!, "&lt;=31/05/2026")</f>
        <v>#REF!</v>
      </c>
      <c r="U52" s="29" t="e">
        <f>COUNTIFS('Base de Datos'!$F:$F, $C52, 'Base de Datos'!$H:$H, $E52, 'Base de Datos'!$U:$U, $F52, 'Base de Datos'!$AA:$AA, "Finalizada", 'Base de Datos'!#REF!, "&gt;=01/06/2026", 'Base de Datos'!#REF!, "&lt;=30/06/2026")</f>
        <v>#REF!</v>
      </c>
    </row>
    <row r="53" spans="3:21" ht="20.399999999999999">
      <c r="C53" s="4">
        <v>2023</v>
      </c>
      <c r="D53" s="4">
        <v>88</v>
      </c>
      <c r="E53" s="4" t="s">
        <v>449</v>
      </c>
      <c r="F53" s="5" t="s">
        <v>671</v>
      </c>
      <c r="G53" s="28">
        <f>IF(COUNTIFS($C$4:C53, C53, $D$4:D53, D53, $E$4:E53, E53)=1, 1, 0)</f>
        <v>1</v>
      </c>
      <c r="H53" s="29" cm="1">
        <f t="array" ref="H53">SUMPRODUCT((TRIM(CLEAN('Base de Datos'!$F$2:$F$3000))&amp;""=TRIM(CLEAN(C53))&amp;"")*(TRIM(CLEAN('Base de Datos'!$G$2:$G$3000))&amp;""=TRIM(CLEAN(D53))&amp;"")*(TRIM(CLEAN('Base de Datos'!$H$2:$H$3000))&amp;""=TRIM(CLEAN(E53))&amp;"")*(TRIM(CLEAN('Base de Datos'!$U$2:$U$3000))&amp;""=TRIM(CLEAN(F53))&amp;""))</f>
        <v>0</v>
      </c>
      <c r="I53" s="29">
        <f>COUNTIFS('Base de Datos'!$F:$F,$C53,'Base de Datos'!$G:$G,$D53,'Base de Datos'!$H:$H,$E53,'Base de Datos'!$U:$U,$F53,'Base de Datos'!$AA:$AA,"Abierta")</f>
        <v>0</v>
      </c>
      <c r="J53" s="29">
        <f>COUNTIFS('Base de Datos'!$F:$F,$C53,'Base de Datos'!$G:$G,$D53,'Base de Datos'!$H:$H,$E53,'Base de Datos'!$U:$U,$F53,'Base de Datos'!$AA:$AA,"Vencida")</f>
        <v>0</v>
      </c>
      <c r="K53" s="29">
        <f>COUNTIFS('Base de Datos'!$F:$F,$C53,'Base de Datos'!$G:$G,$D53,'Base de Datos'!$H:$H,$E53,'Base de Datos'!$U:$U,$F53,'Base de Datos'!$AA:$AA,"Finalizada")</f>
        <v>0</v>
      </c>
      <c r="L53" s="29">
        <f>COUNTIFS('Base de Datos'!$F:$F,$C53,'Base de Datos'!$G:$G,$D53,'Base de Datos'!$H:$H,$E53,'Base de Datos'!$U:$U,$F53,'Base de Datos'!$AA:$AA,"Abierta",'Base de Datos'!$AC:$AC,"&lt;=10",'Base de Datos'!$AC:$AC,"&gt;0")</f>
        <v>0</v>
      </c>
      <c r="M53" s="29">
        <f>COUNTIFS('Base de Datos'!$F:$F,$C53,'Base de Datos'!$G:$G,$D53,'Base de Datos'!$H:$H,$E53,'Base de Datos'!$U:$U,$F53,'Base de Datos'!$AA:$AA,"Abierta",'Base de Datos'!$AC:$AC,"&lt;=20",'Base de Datos'!$AC:$AC,"&gt;10")</f>
        <v>0</v>
      </c>
      <c r="N53" s="32">
        <f>COUNTIFS('Base de Datos'!$F:$F,$C53,'Base de Datos'!$G:$G,$D53,'Base de Datos'!$H:$H,$E53,'Base de Datos'!$U:$U,$F53,'Base de Datos'!$AA:$AA,"Abierta",'Base de Datos'!$AC:$AC,"&lt;=30",'Base de Datos'!$AC:$AC,"&gt;20")</f>
        <v>0</v>
      </c>
      <c r="O53" s="29">
        <f>COUNTIFS('Base de Datos'!$F:$F,$C53,'Base de Datos'!$G:$G,$D53,'Base de Datos'!$H:$H,$E53,'Base de Datos'!$U:$U,$F53,'Base de Datos'!$AA:$AA,"Abierta",'Base de Datos'!$AG:$AG,1)</f>
        <v>0</v>
      </c>
      <c r="P53" s="29" t="e">
        <f>COUNTIFS('Base de Datos'!$F:$F, $C53, 'Base de Datos'!$H:$H, $E53, 'Base de Datos'!$U:$U, $F53, 'Base de Datos'!$AA:$AA, "Finalizada", 'Base de Datos'!#REF!, "&gt;=01/01/2026", 'Base de Datos'!#REF!, "&lt;=31/01/2026")</f>
        <v>#REF!</v>
      </c>
      <c r="Q53" s="29" t="e">
        <f>COUNTIFS('Base de Datos'!$F:$F, $C53, 'Base de Datos'!$H:$H, $E53, 'Base de Datos'!$U:$U, $F53, 'Base de Datos'!$AA:$AA, "Finalizada", 'Base de Datos'!#REF!, "&gt;=01/02/2026", 'Base de Datos'!#REF!, "&lt;=28/02/2026")</f>
        <v>#REF!</v>
      </c>
      <c r="R53" s="29" t="e">
        <f>COUNTIFS('Base de Datos'!$F:$F, $C53, 'Base de Datos'!$H:$H, $E53, 'Base de Datos'!$U:$U, $F53, 'Base de Datos'!$AA:$AA, "Finalizada", 'Base de Datos'!#REF!, "&gt;=01/03/2026", 'Base de Datos'!#REF!, "&lt;=31/03/2026")</f>
        <v>#REF!</v>
      </c>
      <c r="S53" s="29" t="e">
        <f>COUNTIFS('Base de Datos'!$F:$F, $C53, 'Base de Datos'!$H:$H, $E53, 'Base de Datos'!$U:$U, $F53, 'Base de Datos'!$AA:$AA, "Finalizada", 'Base de Datos'!#REF!, "&gt;=01/04/2026", 'Base de Datos'!#REF!, "&lt;=30/04/2026")</f>
        <v>#REF!</v>
      </c>
      <c r="T53" s="29" t="e">
        <f>COUNTIFS('Base de Datos'!$F:$F, $C53, 'Base de Datos'!$H:$H, $E53, 'Base de Datos'!$U:$U, $F53, 'Base de Datos'!$AA:$AA, "Finalizada", 'Base de Datos'!#REF!, "&gt;=01/05/2026", 'Base de Datos'!#REF!, "&lt;=31/05/2026")</f>
        <v>#REF!</v>
      </c>
      <c r="U53" s="29" t="e">
        <f>COUNTIFS('Base de Datos'!$F:$F, $C53, 'Base de Datos'!$H:$H, $E53, 'Base de Datos'!$U:$U, $F53, 'Base de Datos'!$AA:$AA, "Finalizada", 'Base de Datos'!#REF!, "&gt;=01/06/2026", 'Base de Datos'!#REF!, "&lt;=30/06/2026")</f>
        <v>#REF!</v>
      </c>
    </row>
    <row r="54" spans="3:21">
      <c r="C54" s="4">
        <v>2023</v>
      </c>
      <c r="D54" s="4">
        <v>88</v>
      </c>
      <c r="E54" s="4" t="s">
        <v>458</v>
      </c>
      <c r="F54" s="5" t="s">
        <v>672</v>
      </c>
      <c r="G54" s="28">
        <f>IF(COUNTIFS($C$4:C54, C54, $D$4:D54, D54, $E$4:E54, E54)=1, 1, 0)</f>
        <v>1</v>
      </c>
      <c r="H54" s="29" cm="1">
        <f t="array" ref="H54">SUMPRODUCT((TRIM(CLEAN('Base de Datos'!$F$2:$F$3000))&amp;""=TRIM(CLEAN(C54))&amp;"")*(TRIM(CLEAN('Base de Datos'!$G$2:$G$3000))&amp;""=TRIM(CLEAN(D54))&amp;"")*(TRIM(CLEAN('Base de Datos'!$H$2:$H$3000))&amp;""=TRIM(CLEAN(E54))&amp;"")*(TRIM(CLEAN('Base de Datos'!$U$2:$U$3000))&amp;""=TRIM(CLEAN(F54))&amp;""))</f>
        <v>0</v>
      </c>
      <c r="I54" s="29">
        <f>COUNTIFS('Base de Datos'!$F:$F,$C54,'Base de Datos'!$G:$G,$D54,'Base de Datos'!$H:$H,$E54,'Base de Datos'!$U:$U,$F54,'Base de Datos'!$AA:$AA,"Abierta")</f>
        <v>0</v>
      </c>
      <c r="J54" s="29">
        <f>COUNTIFS('Base de Datos'!$F:$F,$C54,'Base de Datos'!$G:$G,$D54,'Base de Datos'!$H:$H,$E54,'Base de Datos'!$U:$U,$F54,'Base de Datos'!$AA:$AA,"Vencida")</f>
        <v>0</v>
      </c>
      <c r="K54" s="29">
        <f>COUNTIFS('Base de Datos'!$F:$F,$C54,'Base de Datos'!$G:$G,$D54,'Base de Datos'!$H:$H,$E54,'Base de Datos'!$U:$U,$F54,'Base de Datos'!$AA:$AA,"Finalizada")</f>
        <v>0</v>
      </c>
      <c r="L54" s="29">
        <f>COUNTIFS('Base de Datos'!$F:$F,$C54,'Base de Datos'!$G:$G,$D54,'Base de Datos'!$H:$H,$E54,'Base de Datos'!$U:$U,$F54,'Base de Datos'!$AA:$AA,"Abierta",'Base de Datos'!$AC:$AC,"&lt;=10",'Base de Datos'!$AC:$AC,"&gt;0")</f>
        <v>0</v>
      </c>
      <c r="M54" s="29">
        <f>COUNTIFS('Base de Datos'!$F:$F,$C54,'Base de Datos'!$G:$G,$D54,'Base de Datos'!$H:$H,$E54,'Base de Datos'!$U:$U,$F54,'Base de Datos'!$AA:$AA,"Abierta",'Base de Datos'!$AC:$AC,"&lt;=20",'Base de Datos'!$AC:$AC,"&gt;10")</f>
        <v>0</v>
      </c>
      <c r="N54" s="32">
        <f>COUNTIFS('Base de Datos'!$F:$F,$C54,'Base de Datos'!$G:$G,$D54,'Base de Datos'!$H:$H,$E54,'Base de Datos'!$U:$U,$F54,'Base de Datos'!$AA:$AA,"Abierta",'Base de Datos'!$AC:$AC,"&lt;=30",'Base de Datos'!$AC:$AC,"&gt;20")</f>
        <v>0</v>
      </c>
      <c r="O54" s="29">
        <f>COUNTIFS('Base de Datos'!$F:$F,$C54,'Base de Datos'!$G:$G,$D54,'Base de Datos'!$H:$H,$E54,'Base de Datos'!$U:$U,$F54,'Base de Datos'!$AA:$AA,"Abierta",'Base de Datos'!$AG:$AG,1)</f>
        <v>0</v>
      </c>
      <c r="P54" s="29" t="e">
        <f>COUNTIFS('Base de Datos'!$F:$F, $C54, 'Base de Datos'!$H:$H, $E54, 'Base de Datos'!$U:$U, $F54, 'Base de Datos'!$AA:$AA, "Finalizada", 'Base de Datos'!#REF!, "&gt;=01/01/2026", 'Base de Datos'!#REF!, "&lt;=31/01/2026")</f>
        <v>#REF!</v>
      </c>
      <c r="Q54" s="29" t="e">
        <f>COUNTIFS('Base de Datos'!$F:$F, $C54, 'Base de Datos'!$H:$H, $E54, 'Base de Datos'!$U:$U, $F54, 'Base de Datos'!$AA:$AA, "Finalizada", 'Base de Datos'!#REF!, "&gt;=01/02/2026", 'Base de Datos'!#REF!, "&lt;=28/02/2026")</f>
        <v>#REF!</v>
      </c>
      <c r="R54" s="29" t="e">
        <f>COUNTIFS('Base de Datos'!$F:$F, $C54, 'Base de Datos'!$H:$H, $E54, 'Base de Datos'!$U:$U, $F54, 'Base de Datos'!$AA:$AA, "Finalizada", 'Base de Datos'!#REF!, "&gt;=01/03/2026", 'Base de Datos'!#REF!, "&lt;=31/03/2026")</f>
        <v>#REF!</v>
      </c>
      <c r="S54" s="29" t="e">
        <f>COUNTIFS('Base de Datos'!$F:$F, $C54, 'Base de Datos'!$H:$H, $E54, 'Base de Datos'!$U:$U, $F54, 'Base de Datos'!$AA:$AA, "Finalizada", 'Base de Datos'!#REF!, "&gt;=01/04/2026", 'Base de Datos'!#REF!, "&lt;=30/04/2026")</f>
        <v>#REF!</v>
      </c>
      <c r="T54" s="29" t="e">
        <f>COUNTIFS('Base de Datos'!$F:$F, $C54, 'Base de Datos'!$H:$H, $E54, 'Base de Datos'!$U:$U, $F54, 'Base de Datos'!$AA:$AA, "Finalizada", 'Base de Datos'!#REF!, "&gt;=01/05/2026", 'Base de Datos'!#REF!, "&lt;=31/05/2026")</f>
        <v>#REF!</v>
      </c>
      <c r="U54" s="29" t="e">
        <f>COUNTIFS('Base de Datos'!$F:$F, $C54, 'Base de Datos'!$H:$H, $E54, 'Base de Datos'!$U:$U, $F54, 'Base de Datos'!$AA:$AA, "Finalizada", 'Base de Datos'!#REF!, "&gt;=01/06/2026", 'Base de Datos'!#REF!, "&lt;=30/06/2026")</f>
        <v>#REF!</v>
      </c>
    </row>
    <row r="55" spans="3:21">
      <c r="C55" s="4">
        <v>2023</v>
      </c>
      <c r="D55" s="4">
        <v>88</v>
      </c>
      <c r="E55" s="4" t="s">
        <v>62</v>
      </c>
      <c r="F55" s="5" t="s">
        <v>657</v>
      </c>
      <c r="G55" s="28">
        <f>IF(COUNTIFS($C$4:C55, C55, $D$4:D55, D55, $E$4:E55, E55)=1, 1, 0)</f>
        <v>1</v>
      </c>
      <c r="H55" s="29" cm="1">
        <f t="array" ref="H55">SUMPRODUCT((TRIM(CLEAN('Base de Datos'!$F$2:$F$3000))&amp;""=TRIM(CLEAN(C55))&amp;"")*(TRIM(CLEAN('Base de Datos'!$G$2:$G$3000))&amp;""=TRIM(CLEAN(D55))&amp;"")*(TRIM(CLEAN('Base de Datos'!$H$2:$H$3000))&amp;""=TRIM(CLEAN(E55))&amp;"")*(TRIM(CLEAN('Base de Datos'!$U$2:$U$3000))&amp;""=TRIM(CLEAN(F55))&amp;""))</f>
        <v>0</v>
      </c>
      <c r="I55" s="29">
        <f>COUNTIFS('Base de Datos'!$F:$F,$C55,'Base de Datos'!$G:$G,$D55,'Base de Datos'!$H:$H,$E55,'Base de Datos'!$U:$U,$F55,'Base de Datos'!$AA:$AA,"Abierta")</f>
        <v>0</v>
      </c>
      <c r="J55" s="29">
        <f>COUNTIFS('Base de Datos'!$F:$F,$C55,'Base de Datos'!$G:$G,$D55,'Base de Datos'!$H:$H,$E55,'Base de Datos'!$U:$U,$F55,'Base de Datos'!$AA:$AA,"Vencida")</f>
        <v>0</v>
      </c>
      <c r="K55" s="29">
        <f>COUNTIFS('Base de Datos'!$F:$F,$C55,'Base de Datos'!$G:$G,$D55,'Base de Datos'!$H:$H,$E55,'Base de Datos'!$U:$U,$F55,'Base de Datos'!$AA:$AA,"Finalizada")</f>
        <v>0</v>
      </c>
      <c r="L55" s="29">
        <f>COUNTIFS('Base de Datos'!$F:$F,$C55,'Base de Datos'!$G:$G,$D55,'Base de Datos'!$H:$H,$E55,'Base de Datos'!$U:$U,$F55,'Base de Datos'!$AA:$AA,"Abierta",'Base de Datos'!$AC:$AC,"&lt;=10",'Base de Datos'!$AC:$AC,"&gt;0")</f>
        <v>0</v>
      </c>
      <c r="M55" s="29">
        <f>COUNTIFS('Base de Datos'!$F:$F,$C55,'Base de Datos'!$G:$G,$D55,'Base de Datos'!$H:$H,$E55,'Base de Datos'!$U:$U,$F55,'Base de Datos'!$AA:$AA,"Abierta",'Base de Datos'!$AC:$AC,"&lt;=20",'Base de Datos'!$AC:$AC,"&gt;10")</f>
        <v>0</v>
      </c>
      <c r="N55" s="32">
        <f>COUNTIFS('Base de Datos'!$F:$F,$C55,'Base de Datos'!$G:$G,$D55,'Base de Datos'!$H:$H,$E55,'Base de Datos'!$U:$U,$F55,'Base de Datos'!$AA:$AA,"Abierta",'Base de Datos'!$AC:$AC,"&lt;=30",'Base de Datos'!$AC:$AC,"&gt;20")</f>
        <v>0</v>
      </c>
      <c r="O55" s="29">
        <f>COUNTIFS('Base de Datos'!$F:$F,$C55,'Base de Datos'!$G:$G,$D55,'Base de Datos'!$H:$H,$E55,'Base de Datos'!$U:$U,$F55,'Base de Datos'!$AA:$AA,"Abierta",'Base de Datos'!$AG:$AG,1)</f>
        <v>0</v>
      </c>
      <c r="P55" s="29" t="e">
        <f>COUNTIFS('Base de Datos'!$F:$F, $C55, 'Base de Datos'!$H:$H, $E55, 'Base de Datos'!$U:$U, $F55, 'Base de Datos'!$AA:$AA, "Finalizada", 'Base de Datos'!#REF!, "&gt;=01/01/2026", 'Base de Datos'!#REF!, "&lt;=31/01/2026")</f>
        <v>#REF!</v>
      </c>
      <c r="Q55" s="29" t="e">
        <f>COUNTIFS('Base de Datos'!$F:$F, $C55, 'Base de Datos'!$H:$H, $E55, 'Base de Datos'!$U:$U, $F55, 'Base de Datos'!$AA:$AA, "Finalizada", 'Base de Datos'!#REF!, "&gt;=01/02/2026", 'Base de Datos'!#REF!, "&lt;=28/02/2026")</f>
        <v>#REF!</v>
      </c>
      <c r="R55" s="29" t="e">
        <f>COUNTIFS('Base de Datos'!$F:$F, $C55, 'Base de Datos'!$H:$H, $E55, 'Base de Datos'!$U:$U, $F55, 'Base de Datos'!$AA:$AA, "Finalizada", 'Base de Datos'!#REF!, "&gt;=01/03/2026", 'Base de Datos'!#REF!, "&lt;=31/03/2026")</f>
        <v>#REF!</v>
      </c>
      <c r="S55" s="29" t="e">
        <f>COUNTIFS('Base de Datos'!$F:$F, $C55, 'Base de Datos'!$H:$H, $E55, 'Base de Datos'!$U:$U, $F55, 'Base de Datos'!$AA:$AA, "Finalizada", 'Base de Datos'!#REF!, "&gt;=01/04/2026", 'Base de Datos'!#REF!, "&lt;=30/04/2026")</f>
        <v>#REF!</v>
      </c>
      <c r="T55" s="29" t="e">
        <f>COUNTIFS('Base de Datos'!$F:$F, $C55, 'Base de Datos'!$H:$H, $E55, 'Base de Datos'!$U:$U, $F55, 'Base de Datos'!$AA:$AA, "Finalizada", 'Base de Datos'!#REF!, "&gt;=01/05/2026", 'Base de Datos'!#REF!, "&lt;=31/05/2026")</f>
        <v>#REF!</v>
      </c>
      <c r="U55" s="29" t="e">
        <f>COUNTIFS('Base de Datos'!$F:$F, $C55, 'Base de Datos'!$H:$H, $E55, 'Base de Datos'!$U:$U, $F55, 'Base de Datos'!$AA:$AA, "Finalizada", 'Base de Datos'!#REF!, "&gt;=01/06/2026", 'Base de Datos'!#REF!, "&lt;=30/06/2026")</f>
        <v>#REF!</v>
      </c>
    </row>
    <row r="56" spans="3:21">
      <c r="C56" s="4">
        <v>2023</v>
      </c>
      <c r="D56" s="4">
        <v>88</v>
      </c>
      <c r="E56" s="4" t="s">
        <v>80</v>
      </c>
      <c r="F56" s="5" t="s">
        <v>657</v>
      </c>
      <c r="G56" s="28">
        <f>IF(COUNTIFS($C$4:C56, C56, $D$4:D56, D56, $E$4:E56, E56)=1, 1, 0)</f>
        <v>1</v>
      </c>
      <c r="H56" s="29" cm="1">
        <f t="array" ref="H56">SUMPRODUCT((TRIM(CLEAN('Base de Datos'!$F$2:$F$3000))&amp;""=TRIM(CLEAN(C56))&amp;"")*(TRIM(CLEAN('Base de Datos'!$G$2:$G$3000))&amp;""=TRIM(CLEAN(D56))&amp;"")*(TRIM(CLEAN('Base de Datos'!$H$2:$H$3000))&amp;""=TRIM(CLEAN(E56))&amp;"")*(TRIM(CLEAN('Base de Datos'!$U$2:$U$3000))&amp;""=TRIM(CLEAN(F56))&amp;""))</f>
        <v>0</v>
      </c>
      <c r="I56" s="29">
        <f>COUNTIFS('Base de Datos'!$F:$F,$C56,'Base de Datos'!$G:$G,$D56,'Base de Datos'!$H:$H,$E56,'Base de Datos'!$U:$U,$F56,'Base de Datos'!$AA:$AA,"Abierta")</f>
        <v>0</v>
      </c>
      <c r="J56" s="29">
        <f>COUNTIFS('Base de Datos'!$F:$F,$C56,'Base de Datos'!$G:$G,$D56,'Base de Datos'!$H:$H,$E56,'Base de Datos'!$U:$U,$F56,'Base de Datos'!$AA:$AA,"Vencida")</f>
        <v>0</v>
      </c>
      <c r="K56" s="29">
        <f>COUNTIFS('Base de Datos'!$F:$F,$C56,'Base de Datos'!$G:$G,$D56,'Base de Datos'!$H:$H,$E56,'Base de Datos'!$U:$U,$F56,'Base de Datos'!$AA:$AA,"Finalizada")</f>
        <v>0</v>
      </c>
      <c r="L56" s="29">
        <f>COUNTIFS('Base de Datos'!$F:$F,$C56,'Base de Datos'!$G:$G,$D56,'Base de Datos'!$H:$H,$E56,'Base de Datos'!$U:$U,$F56,'Base de Datos'!$AA:$AA,"Abierta",'Base de Datos'!$AC:$AC,"&lt;=10",'Base de Datos'!$AC:$AC,"&gt;0")</f>
        <v>0</v>
      </c>
      <c r="M56" s="29">
        <f>COUNTIFS('Base de Datos'!$F:$F,$C56,'Base de Datos'!$G:$G,$D56,'Base de Datos'!$H:$H,$E56,'Base de Datos'!$U:$U,$F56,'Base de Datos'!$AA:$AA,"Abierta",'Base de Datos'!$AC:$AC,"&lt;=20",'Base de Datos'!$AC:$AC,"&gt;10")</f>
        <v>0</v>
      </c>
      <c r="N56" s="32">
        <f>COUNTIFS('Base de Datos'!$F:$F,$C56,'Base de Datos'!$G:$G,$D56,'Base de Datos'!$H:$H,$E56,'Base de Datos'!$U:$U,$F56,'Base de Datos'!$AA:$AA,"Abierta",'Base de Datos'!$AC:$AC,"&lt;=30",'Base de Datos'!$AC:$AC,"&gt;20")</f>
        <v>0</v>
      </c>
      <c r="O56" s="29">
        <f>COUNTIFS('Base de Datos'!$F:$F,$C56,'Base de Datos'!$G:$G,$D56,'Base de Datos'!$H:$H,$E56,'Base de Datos'!$U:$U,$F56,'Base de Datos'!$AA:$AA,"Abierta",'Base de Datos'!$AG:$AG,1)</f>
        <v>0</v>
      </c>
      <c r="P56" s="29" t="e">
        <f>COUNTIFS('Base de Datos'!$F:$F, $C56, 'Base de Datos'!$H:$H, $E56, 'Base de Datos'!$U:$U, $F56, 'Base de Datos'!$AA:$AA, "Finalizada", 'Base de Datos'!#REF!, "&gt;=01/01/2026", 'Base de Datos'!#REF!, "&lt;=31/01/2026")</f>
        <v>#REF!</v>
      </c>
      <c r="Q56" s="29" t="e">
        <f>COUNTIFS('Base de Datos'!$F:$F, $C56, 'Base de Datos'!$H:$H, $E56, 'Base de Datos'!$U:$U, $F56, 'Base de Datos'!$AA:$AA, "Finalizada", 'Base de Datos'!#REF!, "&gt;=01/02/2026", 'Base de Datos'!#REF!, "&lt;=28/02/2026")</f>
        <v>#REF!</v>
      </c>
      <c r="R56" s="29" t="e">
        <f>COUNTIFS('Base de Datos'!$F:$F, $C56, 'Base de Datos'!$H:$H, $E56, 'Base de Datos'!$U:$U, $F56, 'Base de Datos'!$AA:$AA, "Finalizada", 'Base de Datos'!#REF!, "&gt;=01/03/2026", 'Base de Datos'!#REF!, "&lt;=31/03/2026")</f>
        <v>#REF!</v>
      </c>
      <c r="S56" s="29" t="e">
        <f>COUNTIFS('Base de Datos'!$F:$F, $C56, 'Base de Datos'!$H:$H, $E56, 'Base de Datos'!$U:$U, $F56, 'Base de Datos'!$AA:$AA, "Finalizada", 'Base de Datos'!#REF!, "&gt;=01/04/2026", 'Base de Datos'!#REF!, "&lt;=30/04/2026")</f>
        <v>#REF!</v>
      </c>
      <c r="T56" s="29" t="e">
        <f>COUNTIFS('Base de Datos'!$F:$F, $C56, 'Base de Datos'!$H:$H, $E56, 'Base de Datos'!$U:$U, $F56, 'Base de Datos'!$AA:$AA, "Finalizada", 'Base de Datos'!#REF!, "&gt;=01/05/2026", 'Base de Datos'!#REF!, "&lt;=31/05/2026")</f>
        <v>#REF!</v>
      </c>
      <c r="U56" s="29" t="e">
        <f>COUNTIFS('Base de Datos'!$F:$F, $C56, 'Base de Datos'!$H:$H, $E56, 'Base de Datos'!$U:$U, $F56, 'Base de Datos'!$AA:$AA, "Finalizada", 'Base de Datos'!#REF!, "&gt;=01/06/2026", 'Base de Datos'!#REF!, "&lt;=30/06/2026")</f>
        <v>#REF!</v>
      </c>
    </row>
    <row r="57" spans="3:21">
      <c r="C57" s="4">
        <v>2023</v>
      </c>
      <c r="D57" s="4">
        <v>88</v>
      </c>
      <c r="E57" s="4" t="s">
        <v>88</v>
      </c>
      <c r="F57" s="5" t="s">
        <v>657</v>
      </c>
      <c r="G57" s="28">
        <f>IF(COUNTIFS($C$4:C57, C57, $D$4:D57, D57, $E$4:E57, E57)=1, 1, 0)</f>
        <v>1</v>
      </c>
      <c r="H57" s="29" cm="1">
        <f t="array" ref="H57">SUMPRODUCT((TRIM(CLEAN('Base de Datos'!$F$2:$F$3000))&amp;""=TRIM(CLEAN(C57))&amp;"")*(TRIM(CLEAN('Base de Datos'!$G$2:$G$3000))&amp;""=TRIM(CLEAN(D57))&amp;"")*(TRIM(CLEAN('Base de Datos'!$H$2:$H$3000))&amp;""=TRIM(CLEAN(E57))&amp;"")*(TRIM(CLEAN('Base de Datos'!$U$2:$U$3000))&amp;""=TRIM(CLEAN(F57))&amp;""))</f>
        <v>0</v>
      </c>
      <c r="I57" s="29">
        <f>COUNTIFS('Base de Datos'!$F:$F,$C57,'Base de Datos'!$G:$G,$D57,'Base de Datos'!$H:$H,$E57,'Base de Datos'!$U:$U,$F57,'Base de Datos'!$AA:$AA,"Abierta")</f>
        <v>0</v>
      </c>
      <c r="J57" s="29">
        <f>COUNTIFS('Base de Datos'!$F:$F,$C57,'Base de Datos'!$G:$G,$D57,'Base de Datos'!$H:$H,$E57,'Base de Datos'!$U:$U,$F57,'Base de Datos'!$AA:$AA,"Vencida")</f>
        <v>0</v>
      </c>
      <c r="K57" s="29">
        <f>COUNTIFS('Base de Datos'!$F:$F,$C57,'Base de Datos'!$G:$G,$D57,'Base de Datos'!$H:$H,$E57,'Base de Datos'!$U:$U,$F57,'Base de Datos'!$AA:$AA,"Finalizada")</f>
        <v>0</v>
      </c>
      <c r="L57" s="29">
        <f>COUNTIFS('Base de Datos'!$F:$F,$C57,'Base de Datos'!$G:$G,$D57,'Base de Datos'!$H:$H,$E57,'Base de Datos'!$U:$U,$F57,'Base de Datos'!$AA:$AA,"Abierta",'Base de Datos'!$AC:$AC,"&lt;=10",'Base de Datos'!$AC:$AC,"&gt;0")</f>
        <v>0</v>
      </c>
      <c r="M57" s="29">
        <f>COUNTIFS('Base de Datos'!$F:$F,$C57,'Base de Datos'!$G:$G,$D57,'Base de Datos'!$H:$H,$E57,'Base de Datos'!$U:$U,$F57,'Base de Datos'!$AA:$AA,"Abierta",'Base de Datos'!$AC:$AC,"&lt;=20",'Base de Datos'!$AC:$AC,"&gt;10")</f>
        <v>0</v>
      </c>
      <c r="N57" s="32">
        <f>COUNTIFS('Base de Datos'!$F:$F,$C57,'Base de Datos'!$G:$G,$D57,'Base de Datos'!$H:$H,$E57,'Base de Datos'!$U:$U,$F57,'Base de Datos'!$AA:$AA,"Abierta",'Base de Datos'!$AC:$AC,"&lt;=30",'Base de Datos'!$AC:$AC,"&gt;20")</f>
        <v>0</v>
      </c>
      <c r="O57" s="29">
        <f>COUNTIFS('Base de Datos'!$F:$F,$C57,'Base de Datos'!$G:$G,$D57,'Base de Datos'!$H:$H,$E57,'Base de Datos'!$U:$U,$F57,'Base de Datos'!$AA:$AA,"Abierta",'Base de Datos'!$AG:$AG,1)</f>
        <v>0</v>
      </c>
      <c r="P57" s="29" t="e">
        <f>COUNTIFS('Base de Datos'!$F:$F, $C57, 'Base de Datos'!$H:$H, $E57, 'Base de Datos'!$U:$U, $F57, 'Base de Datos'!$AA:$AA, "Finalizada", 'Base de Datos'!#REF!, "&gt;=01/01/2026", 'Base de Datos'!#REF!, "&lt;=31/01/2026")</f>
        <v>#REF!</v>
      </c>
      <c r="Q57" s="29" t="e">
        <f>COUNTIFS('Base de Datos'!$F:$F, $C57, 'Base de Datos'!$H:$H, $E57, 'Base de Datos'!$U:$U, $F57, 'Base de Datos'!$AA:$AA, "Finalizada", 'Base de Datos'!#REF!, "&gt;=01/02/2026", 'Base de Datos'!#REF!, "&lt;=28/02/2026")</f>
        <v>#REF!</v>
      </c>
      <c r="R57" s="29" t="e">
        <f>COUNTIFS('Base de Datos'!$F:$F, $C57, 'Base de Datos'!$H:$H, $E57, 'Base de Datos'!$U:$U, $F57, 'Base de Datos'!$AA:$AA, "Finalizada", 'Base de Datos'!#REF!, "&gt;=01/03/2026", 'Base de Datos'!#REF!, "&lt;=31/03/2026")</f>
        <v>#REF!</v>
      </c>
      <c r="S57" s="29" t="e">
        <f>COUNTIFS('Base de Datos'!$F:$F, $C57, 'Base de Datos'!$H:$H, $E57, 'Base de Datos'!$U:$U, $F57, 'Base de Datos'!$AA:$AA, "Finalizada", 'Base de Datos'!#REF!, "&gt;=01/04/2026", 'Base de Datos'!#REF!, "&lt;=30/04/2026")</f>
        <v>#REF!</v>
      </c>
      <c r="T57" s="29" t="e">
        <f>COUNTIFS('Base de Datos'!$F:$F, $C57, 'Base de Datos'!$H:$H, $E57, 'Base de Datos'!$U:$U, $F57, 'Base de Datos'!$AA:$AA, "Finalizada", 'Base de Datos'!#REF!, "&gt;=01/05/2026", 'Base de Datos'!#REF!, "&lt;=31/05/2026")</f>
        <v>#REF!</v>
      </c>
      <c r="U57" s="29" t="e">
        <f>COUNTIFS('Base de Datos'!$F:$F, $C57, 'Base de Datos'!$H:$H, $E57, 'Base de Datos'!$U:$U, $F57, 'Base de Datos'!$AA:$AA, "Finalizada", 'Base de Datos'!#REF!, "&gt;=01/06/2026", 'Base de Datos'!#REF!, "&lt;=30/06/2026")</f>
        <v>#REF!</v>
      </c>
    </row>
    <row r="58" spans="3:21" ht="14.4">
      <c r="C58" s="4">
        <v>2023</v>
      </c>
      <c r="D58" s="4">
        <v>88</v>
      </c>
      <c r="E58" s="4" t="s">
        <v>103</v>
      </c>
      <c r="F58" s="5" t="s">
        <v>657</v>
      </c>
      <c r="G58" s="100">
        <f>IF(COUNTIFS($C$4:C75, C58, $D$4:D75, D58, $E$4:E75, E58)=1, 1, 0)</f>
        <v>1</v>
      </c>
      <c r="H58" s="29" cm="1">
        <f t="array" ref="H58">SUMPRODUCT((TRIM(CLEAN('Base de Datos'!$F$2:$F$3000))&amp;""=TRIM(CLEAN(C58))&amp;"")*(TRIM(CLEAN('Base de Datos'!$G$2:$G$3000))&amp;""=TRIM(CLEAN(D58))&amp;"")*(TRIM(CLEAN('Base de Datos'!$H$2:$H$3000))&amp;""=TRIM(CLEAN(E58))&amp;"")*(TRIM(CLEAN('Base de Datos'!$U$2:$U$3000))&amp;""=TRIM(CLEAN(F58))&amp;""))</f>
        <v>0</v>
      </c>
      <c r="I58" s="29">
        <f>COUNTIFS('Base de Datos'!$F:$F,$C58,'Base de Datos'!$G:$G,$D58,'Base de Datos'!$H:$H,$E58,'Base de Datos'!$U:$U,$F58,'Base de Datos'!$AA:$AA,"Abierta")</f>
        <v>0</v>
      </c>
      <c r="J58" s="29">
        <f>COUNTIFS('Base de Datos'!$F:$F,$C58,'Base de Datos'!$G:$G,$D58,'Base de Datos'!$H:$H,$E58,'Base de Datos'!$U:$U,$F58,'Base de Datos'!$AA:$AA,"Vencida")</f>
        <v>0</v>
      </c>
      <c r="K58" s="29">
        <f>COUNTIFS('Base de Datos'!$F:$F,$C58,'Base de Datos'!$G:$G,$D58,'Base de Datos'!$H:$H,$E58,'Base de Datos'!$U:$U,$F58,'Base de Datos'!$AA:$AA,"Finalizada")</f>
        <v>0</v>
      </c>
      <c r="L58" s="29">
        <f>COUNTIFS('Base de Datos'!$F:$F,$C58,'Base de Datos'!$G:$G,$D58,'Base de Datos'!$H:$H,$E58,'Base de Datos'!$U:$U,$F58,'Base de Datos'!$AA:$AA,"Abierta",'Base de Datos'!$AC:$AC,"&lt;=10",'Base de Datos'!$AC:$AC,"&gt;0")</f>
        <v>0</v>
      </c>
      <c r="M58" s="29">
        <f>COUNTIFS('Base de Datos'!$F:$F,$C58,'Base de Datos'!$G:$G,$D58,'Base de Datos'!$H:$H,$E58,'Base de Datos'!$U:$U,$F58,'Base de Datos'!$AA:$AA,"Abierta",'Base de Datos'!$AC:$AC,"&lt;=20",'Base de Datos'!$AC:$AC,"&gt;10")</f>
        <v>0</v>
      </c>
      <c r="N58" s="32">
        <f>COUNTIFS('Base de Datos'!$F:$F,$C58,'Base de Datos'!$G:$G,$D58,'Base de Datos'!$H:$H,$E58,'Base de Datos'!$U:$U,$F58,'Base de Datos'!$AA:$AA,"Abierta",'Base de Datos'!$AC:$AC,"&lt;=30",'Base de Datos'!$AC:$AC,"&gt;20")</f>
        <v>0</v>
      </c>
      <c r="O58" s="29">
        <f>COUNTIFS('Base de Datos'!$F:$F,$C58,'Base de Datos'!$G:$G,$D58,'Base de Datos'!$H:$H,$E58,'Base de Datos'!$U:$U,$F58,'Base de Datos'!$AA:$AA,"Abierta",'Base de Datos'!$AG:$AG,1)</f>
        <v>0</v>
      </c>
      <c r="P58" s="29" t="e">
        <f>COUNTIFS('Base de Datos'!$F:$F, $C58, 'Base de Datos'!$H:$H, $E58, 'Base de Datos'!$U:$U, $F58, 'Base de Datos'!$AA:$AA, "Finalizada", 'Base de Datos'!#REF!, "&gt;=01/01/2026", 'Base de Datos'!#REF!, "&lt;=31/01/2026")</f>
        <v>#REF!</v>
      </c>
      <c r="Q58" s="29" t="e">
        <f>COUNTIFS('Base de Datos'!$F:$F, $C58, 'Base de Datos'!$H:$H, $E58, 'Base de Datos'!$U:$U, $F58, 'Base de Datos'!$AA:$AA, "Finalizada", 'Base de Datos'!#REF!, "&gt;=01/02/2026", 'Base de Datos'!#REF!, "&lt;=28/02/2026")</f>
        <v>#REF!</v>
      </c>
      <c r="R58" s="29" t="e">
        <f>COUNTIFS('Base de Datos'!$F:$F, $C58, 'Base de Datos'!$H:$H, $E58, 'Base de Datos'!$U:$U, $F58, 'Base de Datos'!$AA:$AA, "Finalizada", 'Base de Datos'!#REF!, "&gt;=01/03/2026", 'Base de Datos'!#REF!, "&lt;=31/03/2026")</f>
        <v>#REF!</v>
      </c>
      <c r="S58" s="29" t="e">
        <f>COUNTIFS('Base de Datos'!$F:$F, $C58, 'Base de Datos'!$H:$H, $E58, 'Base de Datos'!$U:$U, $F58, 'Base de Datos'!$AA:$AA, "Finalizada", 'Base de Datos'!#REF!, "&gt;=01/04/2026", 'Base de Datos'!#REF!, "&lt;=30/04/2026")</f>
        <v>#REF!</v>
      </c>
      <c r="T58" s="29" t="e">
        <f>COUNTIFS('Base de Datos'!$F:$F, $C58, 'Base de Datos'!$H:$H, $E58, 'Base de Datos'!$U:$U, $F58, 'Base de Datos'!$AA:$AA, "Finalizada", 'Base de Datos'!#REF!, "&gt;=01/05/2026", 'Base de Datos'!#REF!, "&lt;=31/05/2026")</f>
        <v>#REF!</v>
      </c>
      <c r="U58" s="29" t="e">
        <f>COUNTIFS('Base de Datos'!$F:$F, $C58, 'Base de Datos'!$H:$H, $E58, 'Base de Datos'!$U:$U, $F58, 'Base de Datos'!$AA:$AA, "Finalizada", 'Base de Datos'!#REF!, "&gt;=01/06/2026", 'Base de Datos'!#REF!, "&lt;=30/06/2026")</f>
        <v>#REF!</v>
      </c>
    </row>
    <row r="59" spans="3:21">
      <c r="C59" s="4">
        <v>2023</v>
      </c>
      <c r="D59" s="4">
        <v>88</v>
      </c>
      <c r="E59" s="4" t="s">
        <v>494</v>
      </c>
      <c r="F59" s="5" t="s">
        <v>673</v>
      </c>
      <c r="G59" s="28">
        <f>IF(COUNTIFS($C$4:C59, C59, $D$4:D59, D59, $E$4:E59, E59)=1, 1, 0)</f>
        <v>1</v>
      </c>
      <c r="H59" s="29" cm="1">
        <f t="array" ref="H59">SUMPRODUCT((TRIM(CLEAN('Base de Datos'!$F$2:$F$3000))&amp;""=TRIM(CLEAN(C59))&amp;"")*(TRIM(CLEAN('Base de Datos'!$G$2:$G$3000))&amp;""=TRIM(CLEAN(D59))&amp;"")*(TRIM(CLEAN('Base de Datos'!$H$2:$H$3000))&amp;""=TRIM(CLEAN(E59))&amp;"")*(TRIM(CLEAN('Base de Datos'!$U$2:$U$3000))&amp;""=TRIM(CLEAN(F59))&amp;""))</f>
        <v>0</v>
      </c>
      <c r="I59" s="29">
        <f>COUNTIFS('Base de Datos'!$F:$F,$C59,'Base de Datos'!$G:$G,$D59,'Base de Datos'!$H:$H,$E59,'Base de Datos'!$U:$U,$F59,'Base de Datos'!$AA:$AA,"Abierta")</f>
        <v>0</v>
      </c>
      <c r="J59" s="29">
        <f>COUNTIFS('Base de Datos'!$F:$F,$C59,'Base de Datos'!$G:$G,$D59,'Base de Datos'!$H:$H,$E59,'Base de Datos'!$U:$U,$F59,'Base de Datos'!$AA:$AA,"Vencida")</f>
        <v>0</v>
      </c>
      <c r="K59" s="29">
        <f>COUNTIFS('Base de Datos'!$F:$F,$C59,'Base de Datos'!$G:$G,$D59,'Base de Datos'!$H:$H,$E59,'Base de Datos'!$U:$U,$F59,'Base de Datos'!$AA:$AA,"Finalizada")</f>
        <v>0</v>
      </c>
      <c r="L59" s="29">
        <f>COUNTIFS('Base de Datos'!$F:$F,$C59,'Base de Datos'!$G:$G,$D59,'Base de Datos'!$H:$H,$E59,'Base de Datos'!$U:$U,$F59,'Base de Datos'!$AA:$AA,"Abierta",'Base de Datos'!$AC:$AC,"&lt;=10",'Base de Datos'!$AC:$AC,"&gt;0")</f>
        <v>0</v>
      </c>
      <c r="M59" s="29">
        <f>COUNTIFS('Base de Datos'!$F:$F,$C59,'Base de Datos'!$G:$G,$D59,'Base de Datos'!$H:$H,$E59,'Base de Datos'!$U:$U,$F59,'Base de Datos'!$AA:$AA,"Abierta",'Base de Datos'!$AC:$AC,"&lt;=20",'Base de Datos'!$AC:$AC,"&gt;10")</f>
        <v>0</v>
      </c>
      <c r="N59" s="32">
        <f>COUNTIFS('Base de Datos'!$F:$F,$C59,'Base de Datos'!$G:$G,$D59,'Base de Datos'!$H:$H,$E59,'Base de Datos'!$U:$U,$F59,'Base de Datos'!$AA:$AA,"Abierta",'Base de Datos'!$AC:$AC,"&lt;=30",'Base de Datos'!$AC:$AC,"&gt;20")</f>
        <v>0</v>
      </c>
      <c r="O59" s="29">
        <f>COUNTIFS('Base de Datos'!$F:$F,$C59,'Base de Datos'!$G:$G,$D59,'Base de Datos'!$H:$H,$E59,'Base de Datos'!$U:$U,$F59,'Base de Datos'!$AA:$AA,"Abierta",'Base de Datos'!$AG:$AG,1)</f>
        <v>0</v>
      </c>
      <c r="P59" s="29" t="e">
        <f>COUNTIFS('Base de Datos'!$F:$F, $C59, 'Base de Datos'!$H:$H, $E59, 'Base de Datos'!$U:$U, $F59, 'Base de Datos'!$AA:$AA, "Finalizada", 'Base de Datos'!#REF!, "&gt;=01/01/2026", 'Base de Datos'!#REF!, "&lt;=31/01/2026")</f>
        <v>#REF!</v>
      </c>
      <c r="Q59" s="29" t="e">
        <f>COUNTIFS('Base de Datos'!$F:$F, $C59, 'Base de Datos'!$H:$H, $E59, 'Base de Datos'!$U:$U, $F59, 'Base de Datos'!$AA:$AA, "Finalizada", 'Base de Datos'!#REF!, "&gt;=01/02/2026", 'Base de Datos'!#REF!, "&lt;=28/02/2026")</f>
        <v>#REF!</v>
      </c>
      <c r="R59" s="29" t="e">
        <f>COUNTIFS('Base de Datos'!$F:$F, $C59, 'Base de Datos'!$H:$H, $E59, 'Base de Datos'!$U:$U, $F59, 'Base de Datos'!$AA:$AA, "Finalizada", 'Base de Datos'!#REF!, "&gt;=01/03/2026", 'Base de Datos'!#REF!, "&lt;=31/03/2026")</f>
        <v>#REF!</v>
      </c>
      <c r="S59" s="29" t="e">
        <f>COUNTIFS('Base de Datos'!$F:$F, $C59, 'Base de Datos'!$H:$H, $E59, 'Base de Datos'!$U:$U, $F59, 'Base de Datos'!$AA:$AA, "Finalizada", 'Base de Datos'!#REF!, "&gt;=01/04/2026", 'Base de Datos'!#REF!, "&lt;=30/04/2026")</f>
        <v>#REF!</v>
      </c>
      <c r="T59" s="29" t="e">
        <f>COUNTIFS('Base de Datos'!$F:$F, $C59, 'Base de Datos'!$H:$H, $E59, 'Base de Datos'!$U:$U, $F59, 'Base de Datos'!$AA:$AA, "Finalizada", 'Base de Datos'!#REF!, "&gt;=01/05/2026", 'Base de Datos'!#REF!, "&lt;=31/05/2026")</f>
        <v>#REF!</v>
      </c>
      <c r="U59" s="29" t="e">
        <f>COUNTIFS('Base de Datos'!$F:$F, $C59, 'Base de Datos'!$H:$H, $E59, 'Base de Datos'!$U:$U, $F59, 'Base de Datos'!$AA:$AA, "Finalizada", 'Base de Datos'!#REF!, "&gt;=01/06/2026", 'Base de Datos'!#REF!, "&lt;=30/06/2026")</f>
        <v>#REF!</v>
      </c>
    </row>
    <row r="60" spans="3:21">
      <c r="C60" s="4">
        <v>2023</v>
      </c>
      <c r="D60" s="4">
        <v>88</v>
      </c>
      <c r="E60" s="4" t="s">
        <v>168</v>
      </c>
      <c r="F60" s="5" t="s">
        <v>674</v>
      </c>
      <c r="G60" s="28">
        <f>IF(COUNTIFS($C$4:C60, C60, $D$4:D60, D60, $E$4:E60, E60)=1, 1, 0)</f>
        <v>1</v>
      </c>
      <c r="H60" s="29" cm="1">
        <f t="array" ref="H60">SUMPRODUCT((TRIM(CLEAN('Base de Datos'!$F$2:$F$3000))&amp;""=TRIM(CLEAN(C60))&amp;"")*(TRIM(CLEAN('Base de Datos'!$G$2:$G$3000))&amp;""=TRIM(CLEAN(D60))&amp;"")*(TRIM(CLEAN('Base de Datos'!$H$2:$H$3000))&amp;""=TRIM(CLEAN(E60))&amp;"")*(TRIM(CLEAN('Base de Datos'!$U$2:$U$3000))&amp;""=TRIM(CLEAN(F60))&amp;""))</f>
        <v>0</v>
      </c>
      <c r="I60" s="29">
        <f>COUNTIFS('Base de Datos'!$F:$F,$C60,'Base de Datos'!$G:$G,$D60,'Base de Datos'!$H:$H,$E60,'Base de Datos'!$U:$U,$F60,'Base de Datos'!$AA:$AA,"Abierta")</f>
        <v>0</v>
      </c>
      <c r="J60" s="29">
        <f>COUNTIFS('Base de Datos'!$F:$F,$C60,'Base de Datos'!$G:$G,$D60,'Base de Datos'!$H:$H,$E60,'Base de Datos'!$U:$U,$F60,'Base de Datos'!$AA:$AA,"Vencida")</f>
        <v>0</v>
      </c>
      <c r="K60" s="29">
        <f>COUNTIFS('Base de Datos'!$F:$F,$C60,'Base de Datos'!$G:$G,$D60,'Base de Datos'!$H:$H,$E60,'Base de Datos'!$U:$U,$F60,'Base de Datos'!$AA:$AA,"Finalizada")</f>
        <v>0</v>
      </c>
      <c r="L60" s="29">
        <f>COUNTIFS('Base de Datos'!$F:$F,$C60,'Base de Datos'!$G:$G,$D60,'Base de Datos'!$H:$H,$E60,'Base de Datos'!$U:$U,$F60,'Base de Datos'!$AA:$AA,"Abierta",'Base de Datos'!$AC:$AC,"&lt;=10",'Base de Datos'!$AC:$AC,"&gt;0")</f>
        <v>0</v>
      </c>
      <c r="M60" s="29">
        <f>COUNTIFS('Base de Datos'!$F:$F,$C60,'Base de Datos'!$G:$G,$D60,'Base de Datos'!$H:$H,$E60,'Base de Datos'!$U:$U,$F60,'Base de Datos'!$AA:$AA,"Abierta",'Base de Datos'!$AC:$AC,"&lt;=20",'Base de Datos'!$AC:$AC,"&gt;10")</f>
        <v>0</v>
      </c>
      <c r="N60" s="32">
        <f>COUNTIFS('Base de Datos'!$F:$F,$C60,'Base de Datos'!$G:$G,$D60,'Base de Datos'!$H:$H,$E60,'Base de Datos'!$U:$U,$F60,'Base de Datos'!$AA:$AA,"Abierta",'Base de Datos'!$AC:$AC,"&lt;=30",'Base de Datos'!$AC:$AC,"&gt;20")</f>
        <v>0</v>
      </c>
      <c r="O60" s="29">
        <f>COUNTIFS('Base de Datos'!$F:$F,$C60,'Base de Datos'!$G:$G,$D60,'Base de Datos'!$H:$H,$E60,'Base de Datos'!$U:$U,$F60,'Base de Datos'!$AA:$AA,"Abierta",'Base de Datos'!$AG:$AG,1)</f>
        <v>0</v>
      </c>
      <c r="P60" s="29" t="e">
        <f>COUNTIFS('Base de Datos'!$F:$F, $C60, 'Base de Datos'!$H:$H, $E60, 'Base de Datos'!$U:$U, $F60, 'Base de Datos'!$AA:$AA, "Finalizada", 'Base de Datos'!#REF!, "&gt;=01/01/2026", 'Base de Datos'!#REF!, "&lt;=31/01/2026")</f>
        <v>#REF!</v>
      </c>
      <c r="Q60" s="29" t="e">
        <f>COUNTIFS('Base de Datos'!$F:$F, $C60, 'Base de Datos'!$H:$H, $E60, 'Base de Datos'!$U:$U, $F60, 'Base de Datos'!$AA:$AA, "Finalizada", 'Base de Datos'!#REF!, "&gt;=01/02/2026", 'Base de Datos'!#REF!, "&lt;=28/02/2026")</f>
        <v>#REF!</v>
      </c>
      <c r="R60" s="29" t="e">
        <f>COUNTIFS('Base de Datos'!$F:$F, $C60, 'Base de Datos'!$H:$H, $E60, 'Base de Datos'!$U:$U, $F60, 'Base de Datos'!$AA:$AA, "Finalizada", 'Base de Datos'!#REF!, "&gt;=01/03/2026", 'Base de Datos'!#REF!, "&lt;=31/03/2026")</f>
        <v>#REF!</v>
      </c>
      <c r="S60" s="29" t="e">
        <f>COUNTIFS('Base de Datos'!$F:$F, $C60, 'Base de Datos'!$H:$H, $E60, 'Base de Datos'!$U:$U, $F60, 'Base de Datos'!$AA:$AA, "Finalizada", 'Base de Datos'!#REF!, "&gt;=01/04/2026", 'Base de Datos'!#REF!, "&lt;=30/04/2026")</f>
        <v>#REF!</v>
      </c>
      <c r="T60" s="29" t="e">
        <f>COUNTIFS('Base de Datos'!$F:$F, $C60, 'Base de Datos'!$H:$H, $E60, 'Base de Datos'!$U:$U, $F60, 'Base de Datos'!$AA:$AA, "Finalizada", 'Base de Datos'!#REF!, "&gt;=01/05/2026", 'Base de Datos'!#REF!, "&lt;=31/05/2026")</f>
        <v>#REF!</v>
      </c>
      <c r="U60" s="29" t="e">
        <f>COUNTIFS('Base de Datos'!$F:$F, $C60, 'Base de Datos'!$H:$H, $E60, 'Base de Datos'!$U:$U, $F60, 'Base de Datos'!$AA:$AA, "Finalizada", 'Base de Datos'!#REF!, "&gt;=01/06/2026", 'Base de Datos'!#REF!, "&lt;=30/06/2026")</f>
        <v>#REF!</v>
      </c>
    </row>
    <row r="61" spans="3:21">
      <c r="C61" s="4">
        <v>2023</v>
      </c>
      <c r="D61" s="4">
        <v>88</v>
      </c>
      <c r="E61" s="4" t="s">
        <v>179</v>
      </c>
      <c r="F61" s="5" t="s">
        <v>674</v>
      </c>
      <c r="G61" s="28">
        <f>IF(COUNTIFS($C$4:C61, C61, $D$4:D61, D61, $E$4:E61, E61)=1, 1, 0)</f>
        <v>1</v>
      </c>
      <c r="H61" s="29" cm="1">
        <f t="array" ref="H61">SUMPRODUCT((TRIM(CLEAN('Base de Datos'!$F$2:$F$3000))&amp;""=TRIM(CLEAN(C61))&amp;"")*(TRIM(CLEAN('Base de Datos'!$G$2:$G$3000))&amp;""=TRIM(CLEAN(D61))&amp;"")*(TRIM(CLEAN('Base de Datos'!$H$2:$H$3000))&amp;""=TRIM(CLEAN(E61))&amp;"")*(TRIM(CLEAN('Base de Datos'!$U$2:$U$3000))&amp;""=TRIM(CLEAN(F61))&amp;""))</f>
        <v>0</v>
      </c>
      <c r="I61" s="29">
        <f>COUNTIFS('Base de Datos'!$F:$F,$C61,'Base de Datos'!$G:$G,$D61,'Base de Datos'!$H:$H,$E61,'Base de Datos'!$U:$U,$F61,'Base de Datos'!$AA:$AA,"Abierta")</f>
        <v>0</v>
      </c>
      <c r="J61" s="29">
        <f>COUNTIFS('Base de Datos'!$F:$F,$C61,'Base de Datos'!$G:$G,$D61,'Base de Datos'!$H:$H,$E61,'Base de Datos'!$U:$U,$F61,'Base de Datos'!$AA:$AA,"Vencida")</f>
        <v>0</v>
      </c>
      <c r="K61" s="29">
        <f>COUNTIFS('Base de Datos'!$F:$F,$C61,'Base de Datos'!$G:$G,$D61,'Base de Datos'!$H:$H,$E61,'Base de Datos'!$U:$U,$F61,'Base de Datos'!$AA:$AA,"Finalizada")</f>
        <v>0</v>
      </c>
      <c r="L61" s="29">
        <f>COUNTIFS('Base de Datos'!$F:$F,$C61,'Base de Datos'!$G:$G,$D61,'Base de Datos'!$H:$H,$E61,'Base de Datos'!$U:$U,$F61,'Base de Datos'!$AA:$AA,"Abierta",'Base de Datos'!$AC:$AC,"&lt;=10",'Base de Datos'!$AC:$AC,"&gt;0")</f>
        <v>0</v>
      </c>
      <c r="M61" s="29">
        <f>COUNTIFS('Base de Datos'!$F:$F,$C61,'Base de Datos'!$G:$G,$D61,'Base de Datos'!$H:$H,$E61,'Base de Datos'!$U:$U,$F61,'Base de Datos'!$AA:$AA,"Abierta",'Base de Datos'!$AC:$AC,"&lt;=20",'Base de Datos'!$AC:$AC,"&gt;10")</f>
        <v>0</v>
      </c>
      <c r="N61" s="32">
        <f>COUNTIFS('Base de Datos'!$F:$F,$C61,'Base de Datos'!$G:$G,$D61,'Base de Datos'!$H:$H,$E61,'Base de Datos'!$U:$U,$F61,'Base de Datos'!$AA:$AA,"Abierta",'Base de Datos'!$AC:$AC,"&lt;=30",'Base de Datos'!$AC:$AC,"&gt;20")</f>
        <v>0</v>
      </c>
      <c r="O61" s="29">
        <f>COUNTIFS('Base de Datos'!$F:$F,$C61,'Base de Datos'!$G:$G,$D61,'Base de Datos'!$H:$H,$E61,'Base de Datos'!$U:$U,$F61,'Base de Datos'!$AA:$AA,"Abierta",'Base de Datos'!$AG:$AG,1)</f>
        <v>0</v>
      </c>
      <c r="P61" s="29" t="e">
        <f>COUNTIFS('Base de Datos'!$F:$F, $C61, 'Base de Datos'!$H:$H, $E61, 'Base de Datos'!$U:$U, $F61, 'Base de Datos'!$AA:$AA, "Finalizada", 'Base de Datos'!#REF!, "&gt;=01/01/2026", 'Base de Datos'!#REF!, "&lt;=31/01/2026")</f>
        <v>#REF!</v>
      </c>
      <c r="Q61" s="29" t="e">
        <f>COUNTIFS('Base de Datos'!$F:$F, $C61, 'Base de Datos'!$H:$H, $E61, 'Base de Datos'!$U:$U, $F61, 'Base de Datos'!$AA:$AA, "Finalizada", 'Base de Datos'!#REF!, "&gt;=01/02/2026", 'Base de Datos'!#REF!, "&lt;=28/02/2026")</f>
        <v>#REF!</v>
      </c>
      <c r="R61" s="29" t="e">
        <f>COUNTIFS('Base de Datos'!$F:$F, $C61, 'Base de Datos'!$H:$H, $E61, 'Base de Datos'!$U:$U, $F61, 'Base de Datos'!$AA:$AA, "Finalizada", 'Base de Datos'!#REF!, "&gt;=01/03/2026", 'Base de Datos'!#REF!, "&lt;=31/03/2026")</f>
        <v>#REF!</v>
      </c>
      <c r="S61" s="29" t="e">
        <f>COUNTIFS('Base de Datos'!$F:$F, $C61, 'Base de Datos'!$H:$H, $E61, 'Base de Datos'!$U:$U, $F61, 'Base de Datos'!$AA:$AA, "Finalizada", 'Base de Datos'!#REF!, "&gt;=01/04/2026", 'Base de Datos'!#REF!, "&lt;=30/04/2026")</f>
        <v>#REF!</v>
      </c>
      <c r="T61" s="29" t="e">
        <f>COUNTIFS('Base de Datos'!$F:$F, $C61, 'Base de Datos'!$H:$H, $E61, 'Base de Datos'!$U:$U, $F61, 'Base de Datos'!$AA:$AA, "Finalizada", 'Base de Datos'!#REF!, "&gt;=01/05/2026", 'Base de Datos'!#REF!, "&lt;=31/05/2026")</f>
        <v>#REF!</v>
      </c>
      <c r="U61" s="29" t="e">
        <f>COUNTIFS('Base de Datos'!$F:$F, $C61, 'Base de Datos'!$H:$H, $E61, 'Base de Datos'!$U:$U, $F61, 'Base de Datos'!$AA:$AA, "Finalizada", 'Base de Datos'!#REF!, "&gt;=01/06/2026", 'Base de Datos'!#REF!, "&lt;=30/06/2026")</f>
        <v>#REF!</v>
      </c>
    </row>
    <row r="62" spans="3:21">
      <c r="C62" s="4">
        <v>2023</v>
      </c>
      <c r="D62" s="4">
        <v>88</v>
      </c>
      <c r="E62" s="4" t="s">
        <v>517</v>
      </c>
      <c r="F62" s="5" t="s">
        <v>674</v>
      </c>
      <c r="G62" s="28">
        <f>IF(COUNTIFS($C$4:C62, C62, $D$4:D62, D62, $E$4:E62, E62)=1, 1, 0)</f>
        <v>1</v>
      </c>
      <c r="H62" s="29" cm="1">
        <f t="array" ref="H62">SUMPRODUCT((TRIM(CLEAN('Base de Datos'!$F$2:$F$3000))&amp;""=TRIM(CLEAN(C62))&amp;"")*(TRIM(CLEAN('Base de Datos'!$G$2:$G$3000))&amp;""=TRIM(CLEAN(D62))&amp;"")*(TRIM(CLEAN('Base de Datos'!$H$2:$H$3000))&amp;""=TRIM(CLEAN(E62))&amp;"")*(TRIM(CLEAN('Base de Datos'!$U$2:$U$3000))&amp;""=TRIM(CLEAN(F62))&amp;""))</f>
        <v>0</v>
      </c>
      <c r="I62" s="29">
        <f>COUNTIFS('Base de Datos'!$F:$F,$C62,'Base de Datos'!$G:$G,$D62,'Base de Datos'!$H:$H,$E62,'Base de Datos'!$U:$U,$F62,'Base de Datos'!$AA:$AA,"Abierta")</f>
        <v>0</v>
      </c>
      <c r="J62" s="29">
        <f>COUNTIFS('Base de Datos'!$F:$F,$C62,'Base de Datos'!$G:$G,$D62,'Base de Datos'!$H:$H,$E62,'Base de Datos'!$U:$U,$F62,'Base de Datos'!$AA:$AA,"Vencida")</f>
        <v>0</v>
      </c>
      <c r="K62" s="29">
        <f>COUNTIFS('Base de Datos'!$F:$F,$C62,'Base de Datos'!$G:$G,$D62,'Base de Datos'!$H:$H,$E62,'Base de Datos'!$U:$U,$F62,'Base de Datos'!$AA:$AA,"Finalizada")</f>
        <v>0</v>
      </c>
      <c r="L62" s="29">
        <f>COUNTIFS('Base de Datos'!$F:$F,$C62,'Base de Datos'!$G:$G,$D62,'Base de Datos'!$H:$H,$E62,'Base de Datos'!$U:$U,$F62,'Base de Datos'!$AA:$AA,"Abierta",'Base de Datos'!$AC:$AC,"&lt;=10",'Base de Datos'!$AC:$AC,"&gt;0")</f>
        <v>0</v>
      </c>
      <c r="M62" s="29">
        <f>COUNTIFS('Base de Datos'!$F:$F,$C62,'Base de Datos'!$G:$G,$D62,'Base de Datos'!$H:$H,$E62,'Base de Datos'!$U:$U,$F62,'Base de Datos'!$AA:$AA,"Abierta",'Base de Datos'!$AC:$AC,"&lt;=20",'Base de Datos'!$AC:$AC,"&gt;10")</f>
        <v>0</v>
      </c>
      <c r="N62" s="32">
        <f>COUNTIFS('Base de Datos'!$F:$F,$C62,'Base de Datos'!$G:$G,$D62,'Base de Datos'!$H:$H,$E62,'Base de Datos'!$U:$U,$F62,'Base de Datos'!$AA:$AA,"Abierta",'Base de Datos'!$AC:$AC,"&lt;=30",'Base de Datos'!$AC:$AC,"&gt;20")</f>
        <v>0</v>
      </c>
      <c r="O62" s="29">
        <f>COUNTIFS('Base de Datos'!$F:$F,$C62,'Base de Datos'!$G:$G,$D62,'Base de Datos'!$H:$H,$E62,'Base de Datos'!$U:$U,$F62,'Base de Datos'!$AA:$AA,"Abierta",'Base de Datos'!$AG:$AG,1)</f>
        <v>0</v>
      </c>
      <c r="P62" s="29" t="e">
        <f>COUNTIFS('Base de Datos'!$F:$F, $C62, 'Base de Datos'!$H:$H, $E62, 'Base de Datos'!$U:$U, $F62, 'Base de Datos'!$AA:$AA, "Finalizada", 'Base de Datos'!#REF!, "&gt;=01/01/2026", 'Base de Datos'!#REF!, "&lt;=31/01/2026")</f>
        <v>#REF!</v>
      </c>
      <c r="Q62" s="29" t="e">
        <f>COUNTIFS('Base de Datos'!$F:$F, $C62, 'Base de Datos'!$H:$H, $E62, 'Base de Datos'!$U:$U, $F62, 'Base de Datos'!$AA:$AA, "Finalizada", 'Base de Datos'!#REF!, "&gt;=01/02/2026", 'Base de Datos'!#REF!, "&lt;=28/02/2026")</f>
        <v>#REF!</v>
      </c>
      <c r="R62" s="29" t="e">
        <f>COUNTIFS('Base de Datos'!$F:$F, $C62, 'Base de Datos'!$H:$H, $E62, 'Base de Datos'!$U:$U, $F62, 'Base de Datos'!$AA:$AA, "Finalizada", 'Base de Datos'!#REF!, "&gt;=01/03/2026", 'Base de Datos'!#REF!, "&lt;=31/03/2026")</f>
        <v>#REF!</v>
      </c>
      <c r="S62" s="29" t="e">
        <f>COUNTIFS('Base de Datos'!$F:$F, $C62, 'Base de Datos'!$H:$H, $E62, 'Base de Datos'!$U:$U, $F62, 'Base de Datos'!$AA:$AA, "Finalizada", 'Base de Datos'!#REF!, "&gt;=01/04/2026", 'Base de Datos'!#REF!, "&lt;=30/04/2026")</f>
        <v>#REF!</v>
      </c>
      <c r="T62" s="29" t="e">
        <f>COUNTIFS('Base de Datos'!$F:$F, $C62, 'Base de Datos'!$H:$H, $E62, 'Base de Datos'!$U:$U, $F62, 'Base de Datos'!$AA:$AA, "Finalizada", 'Base de Datos'!#REF!, "&gt;=01/05/2026", 'Base de Datos'!#REF!, "&lt;=31/05/2026")</f>
        <v>#REF!</v>
      </c>
      <c r="U62" s="29" t="e">
        <f>COUNTIFS('Base de Datos'!$F:$F, $C62, 'Base de Datos'!$H:$H, $E62, 'Base de Datos'!$U:$U, $F62, 'Base de Datos'!$AA:$AA, "Finalizada", 'Base de Datos'!#REF!, "&gt;=01/06/2026", 'Base de Datos'!#REF!, "&lt;=30/06/2026")</f>
        <v>#REF!</v>
      </c>
    </row>
    <row r="63" spans="3:21">
      <c r="C63" s="4">
        <v>2023</v>
      </c>
      <c r="D63" s="4">
        <v>88</v>
      </c>
      <c r="E63" s="4" t="s">
        <v>190</v>
      </c>
      <c r="F63" s="5" t="s">
        <v>659</v>
      </c>
      <c r="G63" s="28">
        <f>IF(COUNTIFS($C$4:C63, C63, $D$4:D63, D63, $E$4:E63, E63)=1, 1, 0)</f>
        <v>1</v>
      </c>
      <c r="H63" s="29" cm="1">
        <f t="array" ref="H63">SUMPRODUCT((TRIM(CLEAN('Base de Datos'!$F$2:$F$3000))&amp;""=TRIM(CLEAN(C63))&amp;"")*(TRIM(CLEAN('Base de Datos'!$G$2:$G$3000))&amp;""=TRIM(CLEAN(D63))&amp;"")*(TRIM(CLEAN('Base de Datos'!$H$2:$H$3000))&amp;""=TRIM(CLEAN(E63))&amp;"")*(TRIM(CLEAN('Base de Datos'!$U$2:$U$3000))&amp;""=TRIM(CLEAN(F63))&amp;""))</f>
        <v>0</v>
      </c>
      <c r="I63" s="29">
        <f>COUNTIFS('Base de Datos'!$F:$F,$C63,'Base de Datos'!$G:$G,$D63,'Base de Datos'!$H:$H,$E63,'Base de Datos'!$U:$U,$F63,'Base de Datos'!$AA:$AA,"Abierta")</f>
        <v>0</v>
      </c>
      <c r="J63" s="29">
        <f>COUNTIFS('Base de Datos'!$F:$F,$C63,'Base de Datos'!$G:$G,$D63,'Base de Datos'!$H:$H,$E63,'Base de Datos'!$U:$U,$F63,'Base de Datos'!$AA:$AA,"Vencida")</f>
        <v>0</v>
      </c>
      <c r="K63" s="29">
        <f>COUNTIFS('Base de Datos'!$F:$F,$C63,'Base de Datos'!$G:$G,$D63,'Base de Datos'!$H:$H,$E63,'Base de Datos'!$U:$U,$F63,'Base de Datos'!$AA:$AA,"Finalizada")</f>
        <v>0</v>
      </c>
      <c r="L63" s="29">
        <f>COUNTIFS('Base de Datos'!$F:$F,$C63,'Base de Datos'!$G:$G,$D63,'Base de Datos'!$H:$H,$E63,'Base de Datos'!$U:$U,$F63,'Base de Datos'!$AA:$AA,"Abierta",'Base de Datos'!$AC:$AC,"&lt;=10",'Base de Datos'!$AC:$AC,"&gt;0")</f>
        <v>0</v>
      </c>
      <c r="M63" s="29">
        <f>COUNTIFS('Base de Datos'!$F:$F,$C63,'Base de Datos'!$G:$G,$D63,'Base de Datos'!$H:$H,$E63,'Base de Datos'!$U:$U,$F63,'Base de Datos'!$AA:$AA,"Abierta",'Base de Datos'!$AC:$AC,"&lt;=20",'Base de Datos'!$AC:$AC,"&gt;10")</f>
        <v>0</v>
      </c>
      <c r="N63" s="32">
        <f>COUNTIFS('Base de Datos'!$F:$F,$C63,'Base de Datos'!$G:$G,$D63,'Base de Datos'!$H:$H,$E63,'Base de Datos'!$U:$U,$F63,'Base de Datos'!$AA:$AA,"Abierta",'Base de Datos'!$AC:$AC,"&lt;=30",'Base de Datos'!$AC:$AC,"&gt;20")</f>
        <v>0</v>
      </c>
      <c r="O63" s="29">
        <f>COUNTIFS('Base de Datos'!$F:$F,$C63,'Base de Datos'!$G:$G,$D63,'Base de Datos'!$H:$H,$E63,'Base de Datos'!$U:$U,$F63,'Base de Datos'!$AA:$AA,"Abierta",'Base de Datos'!$AG:$AG,1)</f>
        <v>0</v>
      </c>
      <c r="P63" s="29" t="e">
        <f>COUNTIFS('Base de Datos'!$F:$F, $C63, 'Base de Datos'!$H:$H, $E63, 'Base de Datos'!$U:$U, $F63, 'Base de Datos'!$AA:$AA, "Finalizada", 'Base de Datos'!#REF!, "&gt;=01/01/2026", 'Base de Datos'!#REF!, "&lt;=31/01/2026")</f>
        <v>#REF!</v>
      </c>
      <c r="Q63" s="29" t="e">
        <f>COUNTIFS('Base de Datos'!$F:$F, $C63, 'Base de Datos'!$H:$H, $E63, 'Base de Datos'!$U:$U, $F63, 'Base de Datos'!$AA:$AA, "Finalizada", 'Base de Datos'!#REF!, "&gt;=01/02/2026", 'Base de Datos'!#REF!, "&lt;=28/02/2026")</f>
        <v>#REF!</v>
      </c>
      <c r="R63" s="29" t="e">
        <f>COUNTIFS('Base de Datos'!$F:$F, $C63, 'Base de Datos'!$H:$H, $E63, 'Base de Datos'!$U:$U, $F63, 'Base de Datos'!$AA:$AA, "Finalizada", 'Base de Datos'!#REF!, "&gt;=01/03/2026", 'Base de Datos'!#REF!, "&lt;=31/03/2026")</f>
        <v>#REF!</v>
      </c>
      <c r="S63" s="29" t="e">
        <f>COUNTIFS('Base de Datos'!$F:$F, $C63, 'Base de Datos'!$H:$H, $E63, 'Base de Datos'!$U:$U, $F63, 'Base de Datos'!$AA:$AA, "Finalizada", 'Base de Datos'!#REF!, "&gt;=01/04/2026", 'Base de Datos'!#REF!, "&lt;=30/04/2026")</f>
        <v>#REF!</v>
      </c>
      <c r="T63" s="29" t="e">
        <f>COUNTIFS('Base de Datos'!$F:$F, $C63, 'Base de Datos'!$H:$H, $E63, 'Base de Datos'!$U:$U, $F63, 'Base de Datos'!$AA:$AA, "Finalizada", 'Base de Datos'!#REF!, "&gt;=01/05/2026", 'Base de Datos'!#REF!, "&lt;=31/05/2026")</f>
        <v>#REF!</v>
      </c>
      <c r="U63" s="29" t="e">
        <f>COUNTIFS('Base de Datos'!$F:$F, $C63, 'Base de Datos'!$H:$H, $E63, 'Base de Datos'!$U:$U, $F63, 'Base de Datos'!$AA:$AA, "Finalizada", 'Base de Datos'!#REF!, "&gt;=01/06/2026", 'Base de Datos'!#REF!, "&lt;=30/06/2026")</f>
        <v>#REF!</v>
      </c>
    </row>
    <row r="64" spans="3:21">
      <c r="C64" s="4">
        <v>2023</v>
      </c>
      <c r="D64" s="4">
        <v>88</v>
      </c>
      <c r="E64" s="4" t="s">
        <v>215</v>
      </c>
      <c r="F64" s="5" t="s">
        <v>659</v>
      </c>
      <c r="G64" s="28">
        <f>IF(COUNTIFS($C$4:C64, C64, $D$4:D64, D64, $E$4:E64, E64)=1, 1, 0)</f>
        <v>1</v>
      </c>
      <c r="H64" s="29" cm="1">
        <f t="array" ref="H64">SUMPRODUCT((TRIM(CLEAN('Base de Datos'!$F$2:$F$3000))&amp;""=TRIM(CLEAN(C64))&amp;"")*(TRIM(CLEAN('Base de Datos'!$G$2:$G$3000))&amp;""=TRIM(CLEAN(D64))&amp;"")*(TRIM(CLEAN('Base de Datos'!$H$2:$H$3000))&amp;""=TRIM(CLEAN(E64))&amp;"")*(TRIM(CLEAN('Base de Datos'!$U$2:$U$3000))&amp;""=TRIM(CLEAN(F64))&amp;""))</f>
        <v>0</v>
      </c>
      <c r="I64" s="29">
        <f>COUNTIFS('Base de Datos'!$F:$F,$C64,'Base de Datos'!$G:$G,$D64,'Base de Datos'!$H:$H,$E64,'Base de Datos'!$U:$U,$F64,'Base de Datos'!$AA:$AA,"Abierta")</f>
        <v>0</v>
      </c>
      <c r="J64" s="29">
        <f>COUNTIFS('Base de Datos'!$F:$F,$C64,'Base de Datos'!$G:$G,$D64,'Base de Datos'!$H:$H,$E64,'Base de Datos'!$U:$U,$F64,'Base de Datos'!$AA:$AA,"Vencida")</f>
        <v>0</v>
      </c>
      <c r="K64" s="29">
        <f>COUNTIFS('Base de Datos'!$F:$F,$C64,'Base de Datos'!$G:$G,$D64,'Base de Datos'!$H:$H,$E64,'Base de Datos'!$U:$U,$F64,'Base de Datos'!$AA:$AA,"Finalizada")</f>
        <v>0</v>
      </c>
      <c r="L64" s="29">
        <f>COUNTIFS('Base de Datos'!$F:$F,$C64,'Base de Datos'!$G:$G,$D64,'Base de Datos'!$H:$H,$E64,'Base de Datos'!$U:$U,$F64,'Base de Datos'!$AA:$AA,"Abierta",'Base de Datos'!$AC:$AC,"&lt;=10",'Base de Datos'!$AC:$AC,"&gt;0")</f>
        <v>0</v>
      </c>
      <c r="M64" s="29">
        <f>COUNTIFS('Base de Datos'!$F:$F,$C64,'Base de Datos'!$G:$G,$D64,'Base de Datos'!$H:$H,$E64,'Base de Datos'!$U:$U,$F64,'Base de Datos'!$AA:$AA,"Abierta",'Base de Datos'!$AC:$AC,"&lt;=20",'Base de Datos'!$AC:$AC,"&gt;10")</f>
        <v>0</v>
      </c>
      <c r="N64" s="32">
        <f>COUNTIFS('Base de Datos'!$F:$F,$C64,'Base de Datos'!$G:$G,$D64,'Base de Datos'!$H:$H,$E64,'Base de Datos'!$U:$U,$F64,'Base de Datos'!$AA:$AA,"Abierta",'Base de Datos'!$AC:$AC,"&lt;=30",'Base de Datos'!$AC:$AC,"&gt;20")</f>
        <v>0</v>
      </c>
      <c r="O64" s="29">
        <f>COUNTIFS('Base de Datos'!$F:$F,$C64,'Base de Datos'!$G:$G,$D64,'Base de Datos'!$H:$H,$E64,'Base de Datos'!$U:$U,$F64,'Base de Datos'!$AA:$AA,"Abierta",'Base de Datos'!$AG:$AG,1)</f>
        <v>0</v>
      </c>
      <c r="P64" s="29" t="e">
        <f>COUNTIFS('Base de Datos'!$F:$F, $C64, 'Base de Datos'!$H:$H, $E64, 'Base de Datos'!$U:$U, $F64, 'Base de Datos'!$AA:$AA, "Finalizada", 'Base de Datos'!#REF!, "&gt;=01/01/2026", 'Base de Datos'!#REF!, "&lt;=31/01/2026")</f>
        <v>#REF!</v>
      </c>
      <c r="Q64" s="29" t="e">
        <f>COUNTIFS('Base de Datos'!$F:$F, $C64, 'Base de Datos'!$H:$H, $E64, 'Base de Datos'!$U:$U, $F64, 'Base de Datos'!$AA:$AA, "Finalizada", 'Base de Datos'!#REF!, "&gt;=01/02/2026", 'Base de Datos'!#REF!, "&lt;=28/02/2026")</f>
        <v>#REF!</v>
      </c>
      <c r="R64" s="29" t="e">
        <f>COUNTIFS('Base de Datos'!$F:$F, $C64, 'Base de Datos'!$H:$H, $E64, 'Base de Datos'!$U:$U, $F64, 'Base de Datos'!$AA:$AA, "Finalizada", 'Base de Datos'!#REF!, "&gt;=01/03/2026", 'Base de Datos'!#REF!, "&lt;=31/03/2026")</f>
        <v>#REF!</v>
      </c>
      <c r="S64" s="29" t="e">
        <f>COUNTIFS('Base de Datos'!$F:$F, $C64, 'Base de Datos'!$H:$H, $E64, 'Base de Datos'!$U:$U, $F64, 'Base de Datos'!$AA:$AA, "Finalizada", 'Base de Datos'!#REF!, "&gt;=01/04/2026", 'Base de Datos'!#REF!, "&lt;=30/04/2026")</f>
        <v>#REF!</v>
      </c>
      <c r="T64" s="29" t="e">
        <f>COUNTIFS('Base de Datos'!$F:$F, $C64, 'Base de Datos'!$H:$H, $E64, 'Base de Datos'!$U:$U, $F64, 'Base de Datos'!$AA:$AA, "Finalizada", 'Base de Datos'!#REF!, "&gt;=01/05/2026", 'Base de Datos'!#REF!, "&lt;=31/05/2026")</f>
        <v>#REF!</v>
      </c>
      <c r="U64" s="29" t="e">
        <f>COUNTIFS('Base de Datos'!$F:$F, $C64, 'Base de Datos'!$H:$H, $E64, 'Base de Datos'!$U:$U, $F64, 'Base de Datos'!$AA:$AA, "Finalizada", 'Base de Datos'!#REF!, "&gt;=01/06/2026", 'Base de Datos'!#REF!, "&lt;=30/06/2026")</f>
        <v>#REF!</v>
      </c>
    </row>
    <row r="65" spans="3:21">
      <c r="C65" s="4">
        <v>2023</v>
      </c>
      <c r="D65" s="4">
        <v>88</v>
      </c>
      <c r="E65" s="4" t="s">
        <v>539</v>
      </c>
      <c r="F65" s="5" t="s">
        <v>675</v>
      </c>
      <c r="G65" s="28">
        <f>IF(COUNTIFS($C$4:C65, C65, $D$4:D65, D65, $E$4:E65, E65)=1, 1, 0)</f>
        <v>1</v>
      </c>
      <c r="H65" s="29" cm="1">
        <f t="array" ref="H65">SUMPRODUCT((TRIM(CLEAN('Base de Datos'!$F$2:$F$3000))&amp;""=TRIM(CLEAN(C65))&amp;"")*(TRIM(CLEAN('Base de Datos'!$G$2:$G$3000))&amp;""=TRIM(CLEAN(D65))&amp;"")*(TRIM(CLEAN('Base de Datos'!$H$2:$H$3000))&amp;""=TRIM(CLEAN(E65))&amp;"")*(TRIM(CLEAN('Base de Datos'!$U$2:$U$3000))&amp;""=TRIM(CLEAN(F65))&amp;""))</f>
        <v>0</v>
      </c>
      <c r="I65" s="29">
        <f>COUNTIFS('Base de Datos'!$F:$F,$C65,'Base de Datos'!$G:$G,$D65,'Base de Datos'!$H:$H,$E65,'Base de Datos'!$U:$U,$F65,'Base de Datos'!$AA:$AA,"Abierta")</f>
        <v>0</v>
      </c>
      <c r="J65" s="29">
        <f>COUNTIFS('Base de Datos'!$F:$F,$C65,'Base de Datos'!$G:$G,$D65,'Base de Datos'!$H:$H,$E65,'Base de Datos'!$U:$U,$F65,'Base de Datos'!$AA:$AA,"Vencida")</f>
        <v>0</v>
      </c>
      <c r="K65" s="29">
        <f>COUNTIFS('Base de Datos'!$F:$F,$C65,'Base de Datos'!$G:$G,$D65,'Base de Datos'!$H:$H,$E65,'Base de Datos'!$U:$U,$F65,'Base de Datos'!$AA:$AA,"Finalizada")</f>
        <v>0</v>
      </c>
      <c r="L65" s="29">
        <f>COUNTIFS('Base de Datos'!$F:$F,$C65,'Base de Datos'!$G:$G,$D65,'Base de Datos'!$H:$H,$E65,'Base de Datos'!$U:$U,$F65,'Base de Datos'!$AA:$AA,"Abierta",'Base de Datos'!$AC:$AC,"&lt;=10",'Base de Datos'!$AC:$AC,"&gt;0")</f>
        <v>0</v>
      </c>
      <c r="M65" s="29">
        <f>COUNTIFS('Base de Datos'!$F:$F,$C65,'Base de Datos'!$G:$G,$D65,'Base de Datos'!$H:$H,$E65,'Base de Datos'!$U:$U,$F65,'Base de Datos'!$AA:$AA,"Abierta",'Base de Datos'!$AC:$AC,"&lt;=20",'Base de Datos'!$AC:$AC,"&gt;10")</f>
        <v>0</v>
      </c>
      <c r="N65" s="32">
        <f>COUNTIFS('Base de Datos'!$F:$F,$C65,'Base de Datos'!$G:$G,$D65,'Base de Datos'!$H:$H,$E65,'Base de Datos'!$U:$U,$F65,'Base de Datos'!$AA:$AA,"Abierta",'Base de Datos'!$AC:$AC,"&lt;=30",'Base de Datos'!$AC:$AC,"&gt;20")</f>
        <v>0</v>
      </c>
      <c r="O65" s="29">
        <f>COUNTIFS('Base de Datos'!$F:$F,$C65,'Base de Datos'!$G:$G,$D65,'Base de Datos'!$H:$H,$E65,'Base de Datos'!$U:$U,$F65,'Base de Datos'!$AA:$AA,"Abierta",'Base de Datos'!$AG:$AG,1)</f>
        <v>0</v>
      </c>
      <c r="P65" s="29" t="e">
        <f>COUNTIFS('Base de Datos'!$F:$F, $C65, 'Base de Datos'!$H:$H, $E65, 'Base de Datos'!$U:$U, $F65, 'Base de Datos'!$AA:$AA, "Finalizada", 'Base de Datos'!#REF!, "&gt;=01/01/2026", 'Base de Datos'!#REF!, "&lt;=31/01/2026")</f>
        <v>#REF!</v>
      </c>
      <c r="Q65" s="29" t="e">
        <f>COUNTIFS('Base de Datos'!$F:$F, $C65, 'Base de Datos'!$H:$H, $E65, 'Base de Datos'!$U:$U, $F65, 'Base de Datos'!$AA:$AA, "Finalizada", 'Base de Datos'!#REF!, "&gt;=01/02/2026", 'Base de Datos'!#REF!, "&lt;=28/02/2026")</f>
        <v>#REF!</v>
      </c>
      <c r="R65" s="29" t="e">
        <f>COUNTIFS('Base de Datos'!$F:$F, $C65, 'Base de Datos'!$H:$H, $E65, 'Base de Datos'!$U:$U, $F65, 'Base de Datos'!$AA:$AA, "Finalizada", 'Base de Datos'!#REF!, "&gt;=01/03/2026", 'Base de Datos'!#REF!, "&lt;=31/03/2026")</f>
        <v>#REF!</v>
      </c>
      <c r="S65" s="29" t="e">
        <f>COUNTIFS('Base de Datos'!$F:$F, $C65, 'Base de Datos'!$H:$H, $E65, 'Base de Datos'!$U:$U, $F65, 'Base de Datos'!$AA:$AA, "Finalizada", 'Base de Datos'!#REF!, "&gt;=01/04/2026", 'Base de Datos'!#REF!, "&lt;=30/04/2026")</f>
        <v>#REF!</v>
      </c>
      <c r="T65" s="29" t="e">
        <f>COUNTIFS('Base de Datos'!$F:$F, $C65, 'Base de Datos'!$H:$H, $E65, 'Base de Datos'!$U:$U, $F65, 'Base de Datos'!$AA:$AA, "Finalizada", 'Base de Datos'!#REF!, "&gt;=01/05/2026", 'Base de Datos'!#REF!, "&lt;=31/05/2026")</f>
        <v>#REF!</v>
      </c>
      <c r="U65" s="29" t="e">
        <f>COUNTIFS('Base de Datos'!$F:$F, $C65, 'Base de Datos'!$H:$H, $E65, 'Base de Datos'!$U:$U, $F65, 'Base de Datos'!$AA:$AA, "Finalizada", 'Base de Datos'!#REF!, "&gt;=01/06/2026", 'Base de Datos'!#REF!, "&lt;=30/06/2026")</f>
        <v>#REF!</v>
      </c>
    </row>
    <row r="66" spans="3:21">
      <c r="C66" s="4">
        <v>2023</v>
      </c>
      <c r="D66" s="4">
        <v>88</v>
      </c>
      <c r="E66" s="4" t="s">
        <v>552</v>
      </c>
      <c r="F66" s="5" t="s">
        <v>659</v>
      </c>
      <c r="G66" s="28">
        <f>IF(COUNTIFS($C$4:C66, C66, $D$4:D66, D66, $E$4:E66, E66)=1, 1, 0)</f>
        <v>1</v>
      </c>
      <c r="H66" s="29" cm="1">
        <f t="array" ref="H66">SUMPRODUCT((TRIM(CLEAN('Base de Datos'!$F$2:$F$3000))&amp;""=TRIM(CLEAN(C66))&amp;"")*(TRIM(CLEAN('Base de Datos'!$G$2:$G$3000))&amp;""=TRIM(CLEAN(D66))&amp;"")*(TRIM(CLEAN('Base de Datos'!$H$2:$H$3000))&amp;""=TRIM(CLEAN(E66))&amp;"")*(TRIM(CLEAN('Base de Datos'!$U$2:$U$3000))&amp;""=TRIM(CLEAN(F66))&amp;""))</f>
        <v>0</v>
      </c>
      <c r="I66" s="29">
        <f>COUNTIFS('Base de Datos'!$F:$F,$C66,'Base de Datos'!$G:$G,$D66,'Base de Datos'!$H:$H,$E66,'Base de Datos'!$U:$U,$F66,'Base de Datos'!$AA:$AA,"Abierta")</f>
        <v>0</v>
      </c>
      <c r="J66" s="29">
        <f>COUNTIFS('Base de Datos'!$F:$F,$C66,'Base de Datos'!$G:$G,$D66,'Base de Datos'!$H:$H,$E66,'Base de Datos'!$U:$U,$F66,'Base de Datos'!$AA:$AA,"Vencida")</f>
        <v>0</v>
      </c>
      <c r="K66" s="29">
        <f>COUNTIFS('Base de Datos'!$F:$F,$C66,'Base de Datos'!$G:$G,$D66,'Base de Datos'!$H:$H,$E66,'Base de Datos'!$U:$U,$F66,'Base de Datos'!$AA:$AA,"Finalizada")</f>
        <v>0</v>
      </c>
      <c r="L66" s="29">
        <f>COUNTIFS('Base de Datos'!$F:$F,$C66,'Base de Datos'!$G:$G,$D66,'Base de Datos'!$H:$H,$E66,'Base de Datos'!$U:$U,$F66,'Base de Datos'!$AA:$AA,"Abierta",'Base de Datos'!$AC:$AC,"&lt;=10",'Base de Datos'!$AC:$AC,"&gt;0")</f>
        <v>0</v>
      </c>
      <c r="M66" s="29">
        <f>COUNTIFS('Base de Datos'!$F:$F,$C66,'Base de Datos'!$G:$G,$D66,'Base de Datos'!$H:$H,$E66,'Base de Datos'!$U:$U,$F66,'Base de Datos'!$AA:$AA,"Abierta",'Base de Datos'!$AC:$AC,"&lt;=20",'Base de Datos'!$AC:$AC,"&gt;10")</f>
        <v>0</v>
      </c>
      <c r="N66" s="32">
        <f>COUNTIFS('Base de Datos'!$F:$F,$C66,'Base de Datos'!$G:$G,$D66,'Base de Datos'!$H:$H,$E66,'Base de Datos'!$U:$U,$F66,'Base de Datos'!$AA:$AA,"Abierta",'Base de Datos'!$AC:$AC,"&lt;=30",'Base de Datos'!$AC:$AC,"&gt;20")</f>
        <v>0</v>
      </c>
      <c r="O66" s="29">
        <f>COUNTIFS('Base de Datos'!$F:$F,$C66,'Base de Datos'!$G:$G,$D66,'Base de Datos'!$H:$H,$E66,'Base de Datos'!$U:$U,$F66,'Base de Datos'!$AA:$AA,"Abierta",'Base de Datos'!$AG:$AG,1)</f>
        <v>0</v>
      </c>
      <c r="P66" s="29" t="e">
        <f>COUNTIFS('Base de Datos'!$F:$F, $C66, 'Base de Datos'!$H:$H, $E66, 'Base de Datos'!$U:$U, $F66, 'Base de Datos'!$AA:$AA, "Finalizada", 'Base de Datos'!#REF!, "&gt;=01/01/2026", 'Base de Datos'!#REF!, "&lt;=31/01/2026")</f>
        <v>#REF!</v>
      </c>
      <c r="Q66" s="29" t="e">
        <f>COUNTIFS('Base de Datos'!$F:$F, $C66, 'Base de Datos'!$H:$H, $E66, 'Base de Datos'!$U:$U, $F66, 'Base de Datos'!$AA:$AA, "Finalizada", 'Base de Datos'!#REF!, "&gt;=01/02/2026", 'Base de Datos'!#REF!, "&lt;=28/02/2026")</f>
        <v>#REF!</v>
      </c>
      <c r="R66" s="29" t="e">
        <f>COUNTIFS('Base de Datos'!$F:$F, $C66, 'Base de Datos'!$H:$H, $E66, 'Base de Datos'!$U:$U, $F66, 'Base de Datos'!$AA:$AA, "Finalizada", 'Base de Datos'!#REF!, "&gt;=01/03/2026", 'Base de Datos'!#REF!, "&lt;=31/03/2026")</f>
        <v>#REF!</v>
      </c>
      <c r="S66" s="29" t="e">
        <f>COUNTIFS('Base de Datos'!$F:$F, $C66, 'Base de Datos'!$H:$H, $E66, 'Base de Datos'!$U:$U, $F66, 'Base de Datos'!$AA:$AA, "Finalizada", 'Base de Datos'!#REF!, "&gt;=01/04/2026", 'Base de Datos'!#REF!, "&lt;=30/04/2026")</f>
        <v>#REF!</v>
      </c>
      <c r="T66" s="29" t="e">
        <f>COUNTIFS('Base de Datos'!$F:$F, $C66, 'Base de Datos'!$H:$H, $E66, 'Base de Datos'!$U:$U, $F66, 'Base de Datos'!$AA:$AA, "Finalizada", 'Base de Datos'!#REF!, "&gt;=01/05/2026", 'Base de Datos'!#REF!, "&lt;=31/05/2026")</f>
        <v>#REF!</v>
      </c>
      <c r="U66" s="29" t="e">
        <f>COUNTIFS('Base de Datos'!$F:$F, $C66, 'Base de Datos'!$H:$H, $E66, 'Base de Datos'!$U:$U, $F66, 'Base de Datos'!$AA:$AA, "Finalizada", 'Base de Datos'!#REF!, "&gt;=01/06/2026", 'Base de Datos'!#REF!, "&lt;=30/06/2026")</f>
        <v>#REF!</v>
      </c>
    </row>
    <row r="67" spans="3:21">
      <c r="C67" s="4">
        <v>2023</v>
      </c>
      <c r="D67" s="4">
        <v>88</v>
      </c>
      <c r="E67" s="4" t="s">
        <v>565</v>
      </c>
      <c r="F67" s="5" t="s">
        <v>659</v>
      </c>
      <c r="G67" s="28">
        <f>IF(COUNTIFS($C$4:C67, C67, $D$4:D67, D67, $E$4:E67, E67)=1, 1, 0)</f>
        <v>1</v>
      </c>
      <c r="H67" s="29" cm="1">
        <f t="array" ref="H67">SUMPRODUCT((TRIM(CLEAN('Base de Datos'!$F$2:$F$3000))&amp;""=TRIM(CLEAN(C67))&amp;"")*(TRIM(CLEAN('Base de Datos'!$G$2:$G$3000))&amp;""=TRIM(CLEAN(D67))&amp;"")*(TRIM(CLEAN('Base de Datos'!$H$2:$H$3000))&amp;""=TRIM(CLEAN(E67))&amp;"")*(TRIM(CLEAN('Base de Datos'!$U$2:$U$3000))&amp;""=TRIM(CLEAN(F67))&amp;""))</f>
        <v>0</v>
      </c>
      <c r="I67" s="29">
        <f>COUNTIFS('Base de Datos'!$F:$F,$C67,'Base de Datos'!$G:$G,$D67,'Base de Datos'!$H:$H,$E67,'Base de Datos'!$U:$U,$F67,'Base de Datos'!$AA:$AA,"Abierta")</f>
        <v>0</v>
      </c>
      <c r="J67" s="29">
        <f>COUNTIFS('Base de Datos'!$F:$F,$C67,'Base de Datos'!$G:$G,$D67,'Base de Datos'!$H:$H,$E67,'Base de Datos'!$U:$U,$F67,'Base de Datos'!$AA:$AA,"Vencida")</f>
        <v>0</v>
      </c>
      <c r="K67" s="29">
        <f>COUNTIFS('Base de Datos'!$F:$F,$C67,'Base de Datos'!$G:$G,$D67,'Base de Datos'!$H:$H,$E67,'Base de Datos'!$U:$U,$F67,'Base de Datos'!$AA:$AA,"Finalizada")</f>
        <v>0</v>
      </c>
      <c r="L67" s="29">
        <f>COUNTIFS('Base de Datos'!$F:$F,$C67,'Base de Datos'!$G:$G,$D67,'Base de Datos'!$H:$H,$E67,'Base de Datos'!$U:$U,$F67,'Base de Datos'!$AA:$AA,"Abierta",'Base de Datos'!$AC:$AC,"&lt;=10",'Base de Datos'!$AC:$AC,"&gt;0")</f>
        <v>0</v>
      </c>
      <c r="M67" s="29">
        <f>COUNTIFS('Base de Datos'!$F:$F,$C67,'Base de Datos'!$G:$G,$D67,'Base de Datos'!$H:$H,$E67,'Base de Datos'!$U:$U,$F67,'Base de Datos'!$AA:$AA,"Abierta",'Base de Datos'!$AC:$AC,"&lt;=20",'Base de Datos'!$AC:$AC,"&gt;10")</f>
        <v>0</v>
      </c>
      <c r="N67" s="32">
        <f>COUNTIFS('Base de Datos'!$F:$F,$C67,'Base de Datos'!$G:$G,$D67,'Base de Datos'!$H:$H,$E67,'Base de Datos'!$U:$U,$F67,'Base de Datos'!$AA:$AA,"Abierta",'Base de Datos'!$AC:$AC,"&lt;=30",'Base de Datos'!$AC:$AC,"&gt;20")</f>
        <v>0</v>
      </c>
      <c r="O67" s="29">
        <f>COUNTIFS('Base de Datos'!$F:$F,$C67,'Base de Datos'!$G:$G,$D67,'Base de Datos'!$H:$H,$E67,'Base de Datos'!$U:$U,$F67,'Base de Datos'!$AA:$AA,"Abierta",'Base de Datos'!$AG:$AG,1)</f>
        <v>0</v>
      </c>
      <c r="P67" s="29" t="e">
        <f>COUNTIFS('Base de Datos'!$F:$F, $C67, 'Base de Datos'!$H:$H, $E67, 'Base de Datos'!$U:$U, $F67, 'Base de Datos'!$AA:$AA, "Finalizada", 'Base de Datos'!#REF!, "&gt;=01/01/2026", 'Base de Datos'!#REF!, "&lt;=31/01/2026")</f>
        <v>#REF!</v>
      </c>
      <c r="Q67" s="29" t="e">
        <f>COUNTIFS('Base de Datos'!$F:$F, $C67, 'Base de Datos'!$H:$H, $E67, 'Base de Datos'!$U:$U, $F67, 'Base de Datos'!$AA:$AA, "Finalizada", 'Base de Datos'!#REF!, "&gt;=01/02/2026", 'Base de Datos'!#REF!, "&lt;=28/02/2026")</f>
        <v>#REF!</v>
      </c>
      <c r="R67" s="29" t="e">
        <f>COUNTIFS('Base de Datos'!$F:$F, $C67, 'Base de Datos'!$H:$H, $E67, 'Base de Datos'!$U:$U, $F67, 'Base de Datos'!$AA:$AA, "Finalizada", 'Base de Datos'!#REF!, "&gt;=01/03/2026", 'Base de Datos'!#REF!, "&lt;=31/03/2026")</f>
        <v>#REF!</v>
      </c>
      <c r="S67" s="29" t="e">
        <f>COUNTIFS('Base de Datos'!$F:$F, $C67, 'Base de Datos'!$H:$H, $E67, 'Base de Datos'!$U:$U, $F67, 'Base de Datos'!$AA:$AA, "Finalizada", 'Base de Datos'!#REF!, "&gt;=01/04/2026", 'Base de Datos'!#REF!, "&lt;=30/04/2026")</f>
        <v>#REF!</v>
      </c>
      <c r="T67" s="29" t="e">
        <f>COUNTIFS('Base de Datos'!$F:$F, $C67, 'Base de Datos'!$H:$H, $E67, 'Base de Datos'!$U:$U, $F67, 'Base de Datos'!$AA:$AA, "Finalizada", 'Base de Datos'!#REF!, "&gt;=01/05/2026", 'Base de Datos'!#REF!, "&lt;=31/05/2026")</f>
        <v>#REF!</v>
      </c>
      <c r="U67" s="29" t="e">
        <f>COUNTIFS('Base de Datos'!$F:$F, $C67, 'Base de Datos'!$H:$H, $E67, 'Base de Datos'!$U:$U, $F67, 'Base de Datos'!$AA:$AA, "Finalizada", 'Base de Datos'!#REF!, "&gt;=01/06/2026", 'Base de Datos'!#REF!, "&lt;=30/06/2026")</f>
        <v>#REF!</v>
      </c>
    </row>
    <row r="68" spans="3:21">
      <c r="C68" s="4">
        <v>2023</v>
      </c>
      <c r="D68" s="4">
        <v>88</v>
      </c>
      <c r="E68" s="4" t="s">
        <v>370</v>
      </c>
      <c r="F68" s="5" t="s">
        <v>660</v>
      </c>
      <c r="G68" s="28">
        <f>IF(COUNTIFS($C$4:C68, C68, $D$4:D68, D68, $E$4:E68, E68)=1, 1, 0)</f>
        <v>1</v>
      </c>
      <c r="H68" s="29" cm="1">
        <f t="array" ref="H68">SUMPRODUCT((TRIM(CLEAN('Base de Datos'!$F$2:$F$3000))&amp;""=TRIM(CLEAN(C68))&amp;"")*(TRIM(CLEAN('Base de Datos'!$G$2:$G$3000))&amp;""=TRIM(CLEAN(D68))&amp;"")*(TRIM(CLEAN('Base de Datos'!$H$2:$H$3000))&amp;""=TRIM(CLEAN(E68))&amp;"")*(TRIM(CLEAN('Base de Datos'!$U$2:$U$3000))&amp;""=TRIM(CLEAN(F68))&amp;""))</f>
        <v>0</v>
      </c>
      <c r="I68" s="29">
        <f>COUNTIFS('Base de Datos'!$F:$F,$C68,'Base de Datos'!$G:$G,$D68,'Base de Datos'!$H:$H,$E68,'Base de Datos'!$U:$U,$F68,'Base de Datos'!$AA:$AA,"Abierta")</f>
        <v>0</v>
      </c>
      <c r="J68" s="29">
        <f>COUNTIFS('Base de Datos'!$F:$F,$C68,'Base de Datos'!$G:$G,$D68,'Base de Datos'!$H:$H,$E68,'Base de Datos'!$U:$U,$F68,'Base de Datos'!$AA:$AA,"Vencida")</f>
        <v>0</v>
      </c>
      <c r="K68" s="29">
        <f>COUNTIFS('Base de Datos'!$F:$F,$C68,'Base de Datos'!$G:$G,$D68,'Base de Datos'!$H:$H,$E68,'Base de Datos'!$U:$U,$F68,'Base de Datos'!$AA:$AA,"Finalizada")</f>
        <v>0</v>
      </c>
      <c r="L68" s="29">
        <f>COUNTIFS('Base de Datos'!$F:$F,$C68,'Base de Datos'!$G:$G,$D68,'Base de Datos'!$H:$H,$E68,'Base de Datos'!$U:$U,$F68,'Base de Datos'!$AA:$AA,"Abierta",'Base de Datos'!$AC:$AC,"&lt;=10",'Base de Datos'!$AC:$AC,"&gt;0")</f>
        <v>0</v>
      </c>
      <c r="M68" s="29">
        <f>COUNTIFS('Base de Datos'!$F:$F,$C68,'Base de Datos'!$G:$G,$D68,'Base de Datos'!$H:$H,$E68,'Base de Datos'!$U:$U,$F68,'Base de Datos'!$AA:$AA,"Abierta",'Base de Datos'!$AC:$AC,"&lt;=20",'Base de Datos'!$AC:$AC,"&gt;10")</f>
        <v>0</v>
      </c>
      <c r="N68" s="32">
        <f>COUNTIFS('Base de Datos'!$F:$F,$C68,'Base de Datos'!$G:$G,$D68,'Base de Datos'!$H:$H,$E68,'Base de Datos'!$U:$U,$F68,'Base de Datos'!$AA:$AA,"Abierta",'Base de Datos'!$AC:$AC,"&lt;=30",'Base de Datos'!$AC:$AC,"&gt;20")</f>
        <v>0</v>
      </c>
      <c r="O68" s="29">
        <f>COUNTIFS('Base de Datos'!$F:$F,$C68,'Base de Datos'!$G:$G,$D68,'Base de Datos'!$H:$H,$E68,'Base de Datos'!$U:$U,$F68,'Base de Datos'!$AA:$AA,"Abierta",'Base de Datos'!$AG:$AG,1)</f>
        <v>0</v>
      </c>
      <c r="P68" s="29" t="e">
        <f>COUNTIFS('Base de Datos'!$F:$F, $C68, 'Base de Datos'!$H:$H, $E68, 'Base de Datos'!$U:$U, $F68, 'Base de Datos'!$AA:$AA, "Finalizada", 'Base de Datos'!#REF!, "&gt;=01/01/2026", 'Base de Datos'!#REF!, "&lt;=31/01/2026")</f>
        <v>#REF!</v>
      </c>
      <c r="Q68" s="29" t="e">
        <f>COUNTIFS('Base de Datos'!$F:$F, $C68, 'Base de Datos'!$H:$H, $E68, 'Base de Datos'!$U:$U, $F68, 'Base de Datos'!$AA:$AA, "Finalizada", 'Base de Datos'!#REF!, "&gt;=01/02/2026", 'Base de Datos'!#REF!, "&lt;=28/02/2026")</f>
        <v>#REF!</v>
      </c>
      <c r="R68" s="29" t="e">
        <f>COUNTIFS('Base de Datos'!$F:$F, $C68, 'Base de Datos'!$H:$H, $E68, 'Base de Datos'!$U:$U, $F68, 'Base de Datos'!$AA:$AA, "Finalizada", 'Base de Datos'!#REF!, "&gt;=01/03/2026", 'Base de Datos'!#REF!, "&lt;=31/03/2026")</f>
        <v>#REF!</v>
      </c>
      <c r="S68" s="29" t="e">
        <f>COUNTIFS('Base de Datos'!$F:$F, $C68, 'Base de Datos'!$H:$H, $E68, 'Base de Datos'!$U:$U, $F68, 'Base de Datos'!$AA:$AA, "Finalizada", 'Base de Datos'!#REF!, "&gt;=01/04/2026", 'Base de Datos'!#REF!, "&lt;=30/04/2026")</f>
        <v>#REF!</v>
      </c>
      <c r="T68" s="29" t="e">
        <f>COUNTIFS('Base de Datos'!$F:$F, $C68, 'Base de Datos'!$H:$H, $E68, 'Base de Datos'!$U:$U, $F68, 'Base de Datos'!$AA:$AA, "Finalizada", 'Base de Datos'!#REF!, "&gt;=01/05/2026", 'Base de Datos'!#REF!, "&lt;=31/05/2026")</f>
        <v>#REF!</v>
      </c>
      <c r="U68" s="29" t="e">
        <f>COUNTIFS('Base de Datos'!$F:$F, $C68, 'Base de Datos'!$H:$H, $E68, 'Base de Datos'!$U:$U, $F68, 'Base de Datos'!$AA:$AA, "Finalizada", 'Base de Datos'!#REF!, "&gt;=01/06/2026", 'Base de Datos'!#REF!, "&lt;=30/06/2026")</f>
        <v>#REF!</v>
      </c>
    </row>
    <row r="69" spans="3:21">
      <c r="C69" s="4">
        <v>2023</v>
      </c>
      <c r="D69" s="4">
        <v>88</v>
      </c>
      <c r="E69" s="4" t="s">
        <v>586</v>
      </c>
      <c r="F69" s="5" t="s">
        <v>660</v>
      </c>
      <c r="G69" s="28">
        <f>IF(COUNTIFS($C$4:C69, C69, $D$4:D69, D69, $E$4:E69, E69)=1, 1, 0)</f>
        <v>1</v>
      </c>
      <c r="H69" s="29" cm="1">
        <f t="array" ref="H69">SUMPRODUCT((TRIM(CLEAN('Base de Datos'!$F$2:$F$3000))&amp;""=TRIM(CLEAN(C69))&amp;"")*(TRIM(CLEAN('Base de Datos'!$G$2:$G$3000))&amp;""=TRIM(CLEAN(D69))&amp;"")*(TRIM(CLEAN('Base de Datos'!$H$2:$H$3000))&amp;""=TRIM(CLEAN(E69))&amp;"")*(TRIM(CLEAN('Base de Datos'!$U$2:$U$3000))&amp;""=TRIM(CLEAN(F69))&amp;""))</f>
        <v>0</v>
      </c>
      <c r="I69" s="29">
        <f>COUNTIFS('Base de Datos'!$F:$F,$C69,'Base de Datos'!$G:$G,$D69,'Base de Datos'!$H:$H,$E69,'Base de Datos'!$U:$U,$F69,'Base de Datos'!$AA:$AA,"Abierta")</f>
        <v>0</v>
      </c>
      <c r="J69" s="29">
        <f>COUNTIFS('Base de Datos'!$F:$F,$C69,'Base de Datos'!$G:$G,$D69,'Base de Datos'!$H:$H,$E69,'Base de Datos'!$U:$U,$F69,'Base de Datos'!$AA:$AA,"Vencida")</f>
        <v>0</v>
      </c>
      <c r="K69" s="29">
        <f>COUNTIFS('Base de Datos'!$F:$F,$C69,'Base de Datos'!$G:$G,$D69,'Base de Datos'!$H:$H,$E69,'Base de Datos'!$U:$U,$F69,'Base de Datos'!$AA:$AA,"Finalizada")</f>
        <v>0</v>
      </c>
      <c r="L69" s="29">
        <f>COUNTIFS('Base de Datos'!$F:$F,$C69,'Base de Datos'!$G:$G,$D69,'Base de Datos'!$H:$H,$E69,'Base de Datos'!$U:$U,$F69,'Base de Datos'!$AA:$AA,"Abierta",'Base de Datos'!$AC:$AC,"&lt;=10",'Base de Datos'!$AC:$AC,"&gt;0")</f>
        <v>0</v>
      </c>
      <c r="M69" s="29">
        <f>COUNTIFS('Base de Datos'!$F:$F,$C69,'Base de Datos'!$G:$G,$D69,'Base de Datos'!$H:$H,$E69,'Base de Datos'!$U:$U,$F69,'Base de Datos'!$AA:$AA,"Abierta",'Base de Datos'!$AC:$AC,"&lt;=20",'Base de Datos'!$AC:$AC,"&gt;10")</f>
        <v>0</v>
      </c>
      <c r="N69" s="32">
        <f>COUNTIFS('Base de Datos'!$F:$F,$C69,'Base de Datos'!$G:$G,$D69,'Base de Datos'!$H:$H,$E69,'Base de Datos'!$U:$U,$F69,'Base de Datos'!$AA:$AA,"Abierta",'Base de Datos'!$AC:$AC,"&lt;=30",'Base de Datos'!$AC:$AC,"&gt;20")</f>
        <v>0</v>
      </c>
      <c r="O69" s="29">
        <f>COUNTIFS('Base de Datos'!$F:$F,$C69,'Base de Datos'!$G:$G,$D69,'Base de Datos'!$H:$H,$E69,'Base de Datos'!$U:$U,$F69,'Base de Datos'!$AA:$AA,"Abierta",'Base de Datos'!$AG:$AG,1)</f>
        <v>0</v>
      </c>
      <c r="P69" s="29" t="e">
        <f>COUNTIFS('Base de Datos'!$F:$F, $C69, 'Base de Datos'!$H:$H, $E69, 'Base de Datos'!$U:$U, $F69, 'Base de Datos'!$AA:$AA, "Finalizada", 'Base de Datos'!#REF!, "&gt;=01/01/2026", 'Base de Datos'!#REF!, "&lt;=31/01/2026")</f>
        <v>#REF!</v>
      </c>
      <c r="Q69" s="29" t="e">
        <f>COUNTIFS('Base de Datos'!$F:$F, $C69, 'Base de Datos'!$H:$H, $E69, 'Base de Datos'!$U:$U, $F69, 'Base de Datos'!$AA:$AA, "Finalizada", 'Base de Datos'!#REF!, "&gt;=01/02/2026", 'Base de Datos'!#REF!, "&lt;=28/02/2026")</f>
        <v>#REF!</v>
      </c>
      <c r="R69" s="29" t="e">
        <f>COUNTIFS('Base de Datos'!$F:$F, $C69, 'Base de Datos'!$H:$H, $E69, 'Base de Datos'!$U:$U, $F69, 'Base de Datos'!$AA:$AA, "Finalizada", 'Base de Datos'!#REF!, "&gt;=01/03/2026", 'Base de Datos'!#REF!, "&lt;=31/03/2026")</f>
        <v>#REF!</v>
      </c>
      <c r="S69" s="29" t="e">
        <f>COUNTIFS('Base de Datos'!$F:$F, $C69, 'Base de Datos'!$H:$H, $E69, 'Base de Datos'!$U:$U, $F69, 'Base de Datos'!$AA:$AA, "Finalizada", 'Base de Datos'!#REF!, "&gt;=01/04/2026", 'Base de Datos'!#REF!, "&lt;=30/04/2026")</f>
        <v>#REF!</v>
      </c>
      <c r="T69" s="29" t="e">
        <f>COUNTIFS('Base de Datos'!$F:$F, $C69, 'Base de Datos'!$H:$H, $E69, 'Base de Datos'!$U:$U, $F69, 'Base de Datos'!$AA:$AA, "Finalizada", 'Base de Datos'!#REF!, "&gt;=01/05/2026", 'Base de Datos'!#REF!, "&lt;=31/05/2026")</f>
        <v>#REF!</v>
      </c>
      <c r="U69" s="29" t="e">
        <f>COUNTIFS('Base de Datos'!$F:$F, $C69, 'Base de Datos'!$H:$H, $E69, 'Base de Datos'!$U:$U, $F69, 'Base de Datos'!$AA:$AA, "Finalizada", 'Base de Datos'!#REF!, "&gt;=01/06/2026", 'Base de Datos'!#REF!, "&lt;=30/06/2026")</f>
        <v>#REF!</v>
      </c>
    </row>
    <row r="70" spans="3:21">
      <c r="C70" s="4">
        <v>2023</v>
      </c>
      <c r="D70" s="4">
        <v>88</v>
      </c>
      <c r="E70" s="4" t="s">
        <v>600</v>
      </c>
      <c r="F70" s="5" t="s">
        <v>660</v>
      </c>
      <c r="G70" s="28">
        <f>IF(COUNTIFS($C$4:C70, C70, $D$4:D70, D70, $E$4:E70, E70)=1, 1, 0)</f>
        <v>1</v>
      </c>
      <c r="H70" s="29" cm="1">
        <f t="array" ref="H70">SUMPRODUCT((TRIM(CLEAN('Base de Datos'!$F$2:$F$3000))&amp;""=TRIM(CLEAN(C70))&amp;"")*(TRIM(CLEAN('Base de Datos'!$G$2:$G$3000))&amp;""=TRIM(CLEAN(D70))&amp;"")*(TRIM(CLEAN('Base de Datos'!$H$2:$H$3000))&amp;""=TRIM(CLEAN(E70))&amp;"")*(TRIM(CLEAN('Base de Datos'!$U$2:$U$3000))&amp;""=TRIM(CLEAN(F70))&amp;""))</f>
        <v>0</v>
      </c>
      <c r="I70" s="29">
        <f>COUNTIFS('Base de Datos'!$F:$F,$C70,'Base de Datos'!$G:$G,$D70,'Base de Datos'!$H:$H,$E70,'Base de Datos'!$U:$U,$F70,'Base de Datos'!$AA:$AA,"Abierta")</f>
        <v>0</v>
      </c>
      <c r="J70" s="29">
        <f>COUNTIFS('Base de Datos'!$F:$F,$C70,'Base de Datos'!$G:$G,$D70,'Base de Datos'!$H:$H,$E70,'Base de Datos'!$U:$U,$F70,'Base de Datos'!$AA:$AA,"Vencida")</f>
        <v>0</v>
      </c>
      <c r="K70" s="29">
        <f>COUNTIFS('Base de Datos'!$F:$F,$C70,'Base de Datos'!$G:$G,$D70,'Base de Datos'!$H:$H,$E70,'Base de Datos'!$U:$U,$F70,'Base de Datos'!$AA:$AA,"Finalizada")</f>
        <v>0</v>
      </c>
      <c r="L70" s="29">
        <f>COUNTIFS('Base de Datos'!$F:$F,$C70,'Base de Datos'!$G:$G,$D70,'Base de Datos'!$H:$H,$E70,'Base de Datos'!$U:$U,$F70,'Base de Datos'!$AA:$AA,"Abierta",'Base de Datos'!$AC:$AC,"&lt;=10",'Base de Datos'!$AC:$AC,"&gt;0")</f>
        <v>0</v>
      </c>
      <c r="M70" s="29">
        <f>COUNTIFS('Base de Datos'!$F:$F,$C70,'Base de Datos'!$G:$G,$D70,'Base de Datos'!$H:$H,$E70,'Base de Datos'!$U:$U,$F70,'Base de Datos'!$AA:$AA,"Abierta",'Base de Datos'!$AC:$AC,"&lt;=20",'Base de Datos'!$AC:$AC,"&gt;10")</f>
        <v>0</v>
      </c>
      <c r="N70" s="32">
        <f>COUNTIFS('Base de Datos'!$F:$F,$C70,'Base de Datos'!$G:$G,$D70,'Base de Datos'!$H:$H,$E70,'Base de Datos'!$U:$U,$F70,'Base de Datos'!$AA:$AA,"Abierta",'Base de Datos'!$AC:$AC,"&lt;=30",'Base de Datos'!$AC:$AC,"&gt;20")</f>
        <v>0</v>
      </c>
      <c r="O70" s="101">
        <f>COUNTIFS('Base de Datos'!$F:$F,$C70,'Base de Datos'!$G:$G,$D70,'Base de Datos'!$H:$H,$E70,'Base de Datos'!$U:$U,$F70,'Base de Datos'!$AA:$AA,"Abierta",'Base de Datos'!$AG:$AG,1)</f>
        <v>0</v>
      </c>
      <c r="P70" s="29" t="e">
        <f>COUNTIFS('Base de Datos'!$F:$F, $C70, 'Base de Datos'!$H:$H, $E70, 'Base de Datos'!$U:$U, $F70, 'Base de Datos'!$AA:$AA, "Finalizada", 'Base de Datos'!#REF!, "&gt;=01/01/2026", 'Base de Datos'!#REF!, "&lt;=31/01/2026")</f>
        <v>#REF!</v>
      </c>
      <c r="Q70" s="29" t="e">
        <f>COUNTIFS('Base de Datos'!$F:$F, $C70, 'Base de Datos'!$H:$H, $E70, 'Base de Datos'!$U:$U, $F70, 'Base de Datos'!$AA:$AA, "Finalizada", 'Base de Datos'!#REF!, "&gt;=01/02/2026", 'Base de Datos'!#REF!, "&lt;=28/02/2026")</f>
        <v>#REF!</v>
      </c>
      <c r="R70" s="29" t="e">
        <f>COUNTIFS('Base de Datos'!$F:$F, $C70, 'Base de Datos'!$H:$H, $E70, 'Base de Datos'!$U:$U, $F70, 'Base de Datos'!$AA:$AA, "Finalizada", 'Base de Datos'!#REF!, "&gt;=01/03/2026", 'Base de Datos'!#REF!, "&lt;=31/03/2026")</f>
        <v>#REF!</v>
      </c>
      <c r="S70" s="29" t="e">
        <f>COUNTIFS('Base de Datos'!$F:$F, $C70, 'Base de Datos'!$H:$H, $E70, 'Base de Datos'!$U:$U, $F70, 'Base de Datos'!$AA:$AA, "Finalizada", 'Base de Datos'!#REF!, "&gt;=01/04/2026", 'Base de Datos'!#REF!, "&lt;=30/04/2026")</f>
        <v>#REF!</v>
      </c>
      <c r="T70" s="29" t="e">
        <f>COUNTIFS('Base de Datos'!$F:$F, $C70, 'Base de Datos'!$H:$H, $E70, 'Base de Datos'!$U:$U, $F70, 'Base de Datos'!$AA:$AA, "Finalizada", 'Base de Datos'!#REF!, "&gt;=01/05/2026", 'Base de Datos'!#REF!, "&lt;=31/05/2026")</f>
        <v>#REF!</v>
      </c>
      <c r="U70" s="29" t="e">
        <f>COUNTIFS('Base de Datos'!$F:$F, $C70, 'Base de Datos'!$H:$H, $E70, 'Base de Datos'!$U:$U, $F70, 'Base de Datos'!$AA:$AA, "Finalizada", 'Base de Datos'!#REF!, "&gt;=01/06/2026", 'Base de Datos'!#REF!, "&lt;=30/06/2026")</f>
        <v>#REF!</v>
      </c>
    </row>
    <row r="71" spans="3:21" ht="14.4">
      <c r="C71"/>
      <c r="D71"/>
      <c r="E71"/>
      <c r="F71"/>
      <c r="G71"/>
      <c r="H71"/>
      <c r="I71"/>
      <c r="J71"/>
      <c r="K71"/>
      <c r="L71"/>
      <c r="M71"/>
      <c r="N71"/>
      <c r="O71"/>
    </row>
    <row r="72" spans="3:21" ht="14.4">
      <c r="C72"/>
      <c r="D72"/>
      <c r="E72"/>
      <c r="F72"/>
      <c r="G72"/>
      <c r="H72"/>
      <c r="I72"/>
      <c r="J72"/>
      <c r="K72"/>
      <c r="L72"/>
      <c r="M72"/>
      <c r="N72"/>
      <c r="O72"/>
    </row>
    <row r="73" spans="3:21" ht="14.4">
      <c r="C73"/>
      <c r="D73"/>
      <c r="E73"/>
      <c r="F73"/>
      <c r="G73"/>
      <c r="H73"/>
      <c r="I73"/>
      <c r="J73"/>
      <c r="K73"/>
      <c r="L73"/>
      <c r="M73"/>
      <c r="N73"/>
      <c r="O73"/>
    </row>
    <row r="74" spans="3:21" ht="14.4">
      <c r="C74"/>
      <c r="D74"/>
      <c r="E74"/>
      <c r="F74"/>
      <c r="G74"/>
      <c r="H74"/>
      <c r="I74"/>
      <c r="J74"/>
      <c r="K74"/>
      <c r="L74"/>
      <c r="M74"/>
      <c r="N74"/>
      <c r="O74"/>
    </row>
    <row r="75" spans="3:21" ht="14.4">
      <c r="C75"/>
      <c r="D75"/>
      <c r="E75"/>
      <c r="F75"/>
      <c r="G75"/>
      <c r="H75"/>
      <c r="I75"/>
      <c r="J75"/>
      <c r="K75"/>
      <c r="L75"/>
      <c r="M75"/>
      <c r="N75"/>
      <c r="O75"/>
    </row>
    <row r="76" spans="3:21" ht="14.4">
      <c r="C76"/>
      <c r="D76"/>
      <c r="E76"/>
      <c r="F76"/>
      <c r="G76"/>
      <c r="H76"/>
      <c r="I76"/>
      <c r="J76"/>
      <c r="K76"/>
      <c r="L76"/>
      <c r="M76"/>
      <c r="N76"/>
      <c r="O76"/>
    </row>
    <row r="77" spans="3:21" ht="14.4">
      <c r="C77"/>
      <c r="D77"/>
      <c r="E77"/>
      <c r="F77"/>
      <c r="G77"/>
      <c r="H77"/>
      <c r="I77"/>
      <c r="J77"/>
      <c r="K77"/>
      <c r="L77"/>
      <c r="M77"/>
      <c r="N77"/>
      <c r="O77"/>
    </row>
    <row r="78" spans="3:21" ht="14.4">
      <c r="C78"/>
      <c r="D78"/>
      <c r="E78"/>
      <c r="F78"/>
      <c r="G78"/>
      <c r="H78"/>
      <c r="I78"/>
      <c r="J78"/>
      <c r="K78"/>
      <c r="L78"/>
      <c r="M78"/>
      <c r="N78"/>
      <c r="O78"/>
    </row>
    <row r="79" spans="3:21" ht="14.4">
      <c r="C79"/>
      <c r="D79"/>
      <c r="E79"/>
      <c r="F79"/>
      <c r="G79"/>
      <c r="H79"/>
      <c r="I79"/>
      <c r="J79"/>
      <c r="K79"/>
      <c r="L79"/>
      <c r="M79"/>
      <c r="N79"/>
      <c r="O79"/>
    </row>
    <row r="80" spans="3:21" ht="14.4">
      <c r="C80"/>
      <c r="D80"/>
      <c r="E80"/>
      <c r="F80"/>
      <c r="G80"/>
      <c r="H80"/>
      <c r="I80"/>
      <c r="J80"/>
      <c r="K80"/>
      <c r="L80"/>
      <c r="M80"/>
      <c r="N80"/>
      <c r="O80"/>
    </row>
    <row r="81" spans="3:15" ht="14.4">
      <c r="C81"/>
      <c r="D81"/>
      <c r="E81"/>
      <c r="F81"/>
      <c r="G81"/>
      <c r="H81"/>
      <c r="I81"/>
      <c r="J81"/>
      <c r="K81"/>
      <c r="L81"/>
      <c r="M81"/>
      <c r="N81"/>
      <c r="O81"/>
    </row>
    <row r="82" spans="3:15" ht="14.4">
      <c r="C82"/>
      <c r="D82"/>
      <c r="E82"/>
      <c r="F82"/>
      <c r="G82"/>
      <c r="H82"/>
      <c r="I82"/>
      <c r="J82"/>
      <c r="K82"/>
      <c r="L82"/>
      <c r="M82"/>
      <c r="N82"/>
      <c r="O82"/>
    </row>
    <row r="83" spans="3:15" ht="14.4">
      <c r="C83"/>
      <c r="D83"/>
      <c r="E83"/>
      <c r="F83"/>
      <c r="G83"/>
      <c r="H83"/>
      <c r="I83"/>
      <c r="J83"/>
      <c r="K83"/>
      <c r="L83"/>
      <c r="M83"/>
      <c r="N83"/>
      <c r="O83"/>
    </row>
    <row r="84" spans="3:15" ht="14.4">
      <c r="C84"/>
      <c r="D84"/>
      <c r="E84"/>
      <c r="F84"/>
      <c r="G84"/>
      <c r="H84"/>
      <c r="I84"/>
      <c r="J84"/>
      <c r="K84"/>
      <c r="L84"/>
      <c r="M84"/>
      <c r="N84"/>
      <c r="O84"/>
    </row>
    <row r="85" spans="3:15" ht="14.4">
      <c r="C85"/>
      <c r="D85"/>
      <c r="E85"/>
      <c r="F85"/>
      <c r="G85"/>
      <c r="H85"/>
      <c r="I85"/>
      <c r="J85"/>
      <c r="K85"/>
      <c r="L85"/>
      <c r="M85"/>
      <c r="N85"/>
      <c r="O85"/>
    </row>
    <row r="86" spans="3:15" ht="14.4">
      <c r="C86"/>
      <c r="D86"/>
      <c r="E86"/>
      <c r="F86"/>
      <c r="G86"/>
      <c r="H86"/>
      <c r="I86"/>
      <c r="J86"/>
      <c r="K86"/>
      <c r="L86"/>
      <c r="M86"/>
      <c r="N86"/>
      <c r="O86"/>
    </row>
    <row r="87" spans="3:15" ht="14.4">
      <c r="C87"/>
      <c r="D87"/>
      <c r="E87"/>
      <c r="F87"/>
      <c r="G87"/>
      <c r="H87"/>
      <c r="I87"/>
      <c r="J87"/>
      <c r="K87"/>
      <c r="L87"/>
      <c r="M87"/>
      <c r="N87"/>
      <c r="O87"/>
    </row>
    <row r="88" spans="3:15">
      <c r="F88" s="26"/>
    </row>
  </sheetData>
  <phoneticPr fontId="14"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D4A3E-9B0C-4007-8135-3A540237CA40}">
  <sheetPr codeName="Hoja3"/>
  <dimension ref="A9:G35"/>
  <sheetViews>
    <sheetView showGridLines="0" workbookViewId="0">
      <selection activeCell="J21" sqref="J21"/>
    </sheetView>
  </sheetViews>
  <sheetFormatPr baseColWidth="10" defaultRowHeight="14.4"/>
  <cols>
    <col min="1" max="1" width="16.5546875" bestFit="1" customWidth="1"/>
    <col min="2" max="2" width="27.21875" style="46" bestFit="1" customWidth="1"/>
    <col min="3" max="4" width="18.21875" bestFit="1" customWidth="1"/>
    <col min="5" max="5" width="21.21875" bestFit="1" customWidth="1"/>
    <col min="6" max="6" width="17.33203125" bestFit="1" customWidth="1"/>
    <col min="7" max="7" width="3" bestFit="1" customWidth="1"/>
    <col min="8" max="9" width="21.21875" bestFit="1" customWidth="1"/>
    <col min="10" max="10" width="20.109375" bestFit="1" customWidth="1"/>
    <col min="11" max="11" width="20.77734375" bestFit="1" customWidth="1"/>
    <col min="12" max="12" width="22.77734375" bestFit="1" customWidth="1"/>
  </cols>
  <sheetData>
    <row r="9" spans="1:7">
      <c r="A9" s="39"/>
    </row>
    <row r="10" spans="1:7">
      <c r="A10" s="39"/>
    </row>
    <row r="12" spans="1:7">
      <c r="A12" s="38" t="s">
        <v>623</v>
      </c>
      <c r="B12" s="46" t="s">
        <v>628</v>
      </c>
    </row>
    <row r="13" spans="1:7">
      <c r="A13" s="39">
        <v>2023</v>
      </c>
      <c r="B13" s="46">
        <v>24</v>
      </c>
      <c r="F13" s="38" t="s">
        <v>629</v>
      </c>
    </row>
    <row r="14" spans="1:7">
      <c r="A14" s="39">
        <v>2024</v>
      </c>
      <c r="B14" s="46">
        <v>26</v>
      </c>
      <c r="F14" s="39" t="s">
        <v>625</v>
      </c>
      <c r="G14">
        <v>11</v>
      </c>
    </row>
    <row r="15" spans="1:7">
      <c r="A15" s="39">
        <v>2025</v>
      </c>
      <c r="B15" s="46">
        <v>34</v>
      </c>
      <c r="F15" s="39" t="s">
        <v>626</v>
      </c>
      <c r="G15">
        <v>6</v>
      </c>
    </row>
    <row r="16" spans="1:7">
      <c r="A16" s="39" t="s">
        <v>624</v>
      </c>
      <c r="B16" s="46">
        <v>84</v>
      </c>
      <c r="F16" s="39" t="s">
        <v>627</v>
      </c>
      <c r="G16">
        <v>67</v>
      </c>
    </row>
    <row r="19" spans="1:3">
      <c r="A19" s="38" t="s">
        <v>629</v>
      </c>
    </row>
    <row r="20" spans="1:3">
      <c r="A20" s="39" t="s">
        <v>637</v>
      </c>
      <c r="B20" s="46">
        <v>0</v>
      </c>
      <c r="C20">
        <f>GETPIVOTDATA("Suma de Alerta 5",$A$19)</f>
        <v>0</v>
      </c>
    </row>
    <row r="21" spans="1:3">
      <c r="A21" s="39" t="s">
        <v>630</v>
      </c>
      <c r="B21" s="46">
        <v>0</v>
      </c>
      <c r="C21">
        <f>GETPIVOTDATA("Suma de Alerta 10",$A$19)</f>
        <v>0</v>
      </c>
    </row>
    <row r="22" spans="1:3">
      <c r="A22" s="39" t="s">
        <v>631</v>
      </c>
      <c r="B22" s="46">
        <v>0</v>
      </c>
      <c r="C22">
        <f>GETPIVOTDATA("Suma de Alerta 20",$A$19)</f>
        <v>0</v>
      </c>
    </row>
    <row r="23" spans="1:3">
      <c r="A23" s="39" t="s">
        <v>632</v>
      </c>
      <c r="B23" s="46">
        <v>0</v>
      </c>
      <c r="C23">
        <f>GETPIVOTDATA("Suma de Alerta 30",$A$19)</f>
        <v>0</v>
      </c>
    </row>
    <row r="26" spans="1:3">
      <c r="A26" s="38" t="s">
        <v>629</v>
      </c>
    </row>
    <row r="27" spans="1:3">
      <c r="A27" s="39" t="s">
        <v>628</v>
      </c>
      <c r="B27" s="46">
        <v>84</v>
      </c>
      <c r="C27">
        <f>GETPIVOTDATA("Suma de Total Planes de acción",$A$26)</f>
        <v>84</v>
      </c>
    </row>
    <row r="28" spans="1:3">
      <c r="A28" s="39" t="s">
        <v>634</v>
      </c>
      <c r="B28" s="46">
        <v>54</v>
      </c>
      <c r="C28">
        <f>GETPIVOTDATA("Suma de Total hallazgos",$A$26)</f>
        <v>54</v>
      </c>
    </row>
    <row r="29" spans="1:3">
      <c r="A29" s="39" t="s">
        <v>625</v>
      </c>
      <c r="B29" s="46">
        <v>11</v>
      </c>
      <c r="C29">
        <f>GETPIVOTDATA("Suma de Abiertos",$A$26)</f>
        <v>11</v>
      </c>
    </row>
    <row r="30" spans="1:3">
      <c r="A30" s="39" t="s">
        <v>626</v>
      </c>
      <c r="B30" s="46">
        <v>6</v>
      </c>
      <c r="C30">
        <f>GETPIVOTDATA("Suma de Vencidos",$A$26)</f>
        <v>6</v>
      </c>
    </row>
    <row r="31" spans="1:3">
      <c r="A31" s="39" t="s">
        <v>627</v>
      </c>
      <c r="B31" s="46">
        <v>67</v>
      </c>
      <c r="C31">
        <f>GETPIVOTDATA("Suma de Finalizados",$A$26)</f>
        <v>67</v>
      </c>
    </row>
    <row r="34" spans="1:1">
      <c r="A34" s="40">
        <f>C31/C27</f>
        <v>0.79761904761904767</v>
      </c>
    </row>
    <row r="35" spans="1:1">
      <c r="A35" s="41">
        <f>1-A34</f>
        <v>0.20238095238095233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590D8-5BF7-4BFF-BC28-5F3DC01AE47C}">
  <sheetPr codeName="Hoja7"/>
  <dimension ref="A3:B7"/>
  <sheetViews>
    <sheetView workbookViewId="0">
      <selection activeCell="D12" sqref="D12"/>
    </sheetView>
  </sheetViews>
  <sheetFormatPr baseColWidth="10" defaultRowHeight="14.4"/>
  <cols>
    <col min="1" max="1" width="16.5546875" bestFit="1" customWidth="1"/>
    <col min="2" max="2" width="16.44140625" bestFit="1" customWidth="1"/>
  </cols>
  <sheetData>
    <row r="3" spans="1:2">
      <c r="A3" s="38" t="s">
        <v>623</v>
      </c>
      <c r="B3" t="s">
        <v>654</v>
      </c>
    </row>
    <row r="4" spans="1:2">
      <c r="A4" s="39" t="s">
        <v>42</v>
      </c>
      <c r="B4">
        <v>11</v>
      </c>
    </row>
    <row r="5" spans="1:2">
      <c r="A5" s="39" t="s">
        <v>55</v>
      </c>
      <c r="B5">
        <v>67</v>
      </c>
    </row>
    <row r="6" spans="1:2">
      <c r="A6" s="39" t="s">
        <v>174</v>
      </c>
      <c r="B6">
        <v>6</v>
      </c>
    </row>
    <row r="7" spans="1:2">
      <c r="A7" s="39" t="s">
        <v>624</v>
      </c>
      <c r="B7">
        <v>84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58FDD-7ED6-49EF-8CB1-DFB34685CC48}">
  <sheetPr codeName="Hoja4">
    <tabColor theme="9" tint="-0.249977111117893"/>
  </sheetPr>
  <dimension ref="A1:AJ85"/>
  <sheetViews>
    <sheetView tabSelected="1" topLeftCell="P29" zoomScale="80" zoomScaleNormal="80" workbookViewId="0">
      <selection activeCell="W43" sqref="W43"/>
    </sheetView>
  </sheetViews>
  <sheetFormatPr baseColWidth="10" defaultRowHeight="12"/>
  <cols>
    <col min="1" max="1" width="8.33203125" style="58" customWidth="1"/>
    <col min="2" max="2" width="38.6640625" style="58" customWidth="1"/>
    <col min="3" max="3" width="16.109375" style="58" customWidth="1"/>
    <col min="4" max="4" width="26.44140625" style="58" customWidth="1"/>
    <col min="5" max="5" width="19.5546875" style="58" customWidth="1"/>
    <col min="6" max="6" width="37.77734375" style="58" customWidth="1"/>
    <col min="7" max="7" width="48.21875" style="58" customWidth="1"/>
    <col min="8" max="8" width="17.109375" style="58" customWidth="1"/>
    <col min="9" max="9" width="18.6640625" style="58" customWidth="1"/>
    <col min="10" max="10" width="17" style="58" hidden="1" customWidth="1"/>
    <col min="11" max="14" width="11.5546875" style="58" hidden="1" customWidth="1"/>
    <col min="15" max="15" width="34.33203125" style="58" bestFit="1" customWidth="1"/>
    <col min="16" max="16" width="30" style="58" bestFit="1" customWidth="1"/>
    <col min="17" max="17" width="36.44140625" style="58" customWidth="1"/>
    <col min="18" max="20" width="11.5546875" style="58" hidden="1" customWidth="1"/>
    <col min="21" max="21" width="47.109375" style="58" customWidth="1"/>
    <col min="22" max="22" width="19.21875" style="140" customWidth="1"/>
    <col min="23" max="23" width="26.21875" style="218" customWidth="1"/>
    <col min="24" max="24" width="20.109375" style="58" hidden="1" customWidth="1"/>
    <col min="25" max="25" width="20.33203125" style="58" hidden="1" customWidth="1"/>
    <col min="26" max="26" width="39.109375" style="133" customWidth="1"/>
    <col min="27" max="27" width="16.77734375" style="58" customWidth="1"/>
    <col min="28" max="28" width="38.5546875" style="58" customWidth="1"/>
    <col min="29" max="29" width="17.109375" style="58" customWidth="1"/>
    <col min="30" max="32" width="14.33203125" style="67" customWidth="1"/>
    <col min="33" max="33" width="13.33203125" style="58" customWidth="1"/>
    <col min="34" max="34" width="42.77734375" style="93" customWidth="1"/>
    <col min="35" max="35" width="26.109375" style="58" customWidth="1"/>
    <col min="36" max="36" width="20.77734375" style="58" customWidth="1"/>
    <col min="37" max="16384" width="11.5546875" style="58"/>
  </cols>
  <sheetData>
    <row r="1" spans="1:36" ht="34.200000000000003">
      <c r="A1" s="209" t="s">
        <v>0</v>
      </c>
      <c r="B1" s="210" t="s">
        <v>1</v>
      </c>
      <c r="C1" s="210" t="s">
        <v>2</v>
      </c>
      <c r="D1" s="210" t="s">
        <v>3</v>
      </c>
      <c r="E1" s="210" t="s">
        <v>4</v>
      </c>
      <c r="F1" s="56" t="s">
        <v>5</v>
      </c>
      <c r="G1" s="56" t="s">
        <v>6</v>
      </c>
      <c r="H1" s="56" t="s">
        <v>7</v>
      </c>
      <c r="I1" s="214" t="s">
        <v>8</v>
      </c>
      <c r="J1" s="57" t="s">
        <v>9</v>
      </c>
      <c r="K1" s="54" t="s">
        <v>635</v>
      </c>
      <c r="L1" s="55" t="s">
        <v>10</v>
      </c>
      <c r="M1" s="55" t="s">
        <v>11</v>
      </c>
      <c r="N1" s="55" t="s">
        <v>12</v>
      </c>
      <c r="O1" s="227" t="s">
        <v>13</v>
      </c>
      <c r="P1" s="210" t="s">
        <v>14</v>
      </c>
      <c r="Q1" s="56" t="s">
        <v>15</v>
      </c>
      <c r="R1" s="55" t="s">
        <v>16</v>
      </c>
      <c r="S1" s="55" t="s">
        <v>17</v>
      </c>
      <c r="T1" s="55" t="s">
        <v>18</v>
      </c>
      <c r="U1" s="56" t="s">
        <v>19</v>
      </c>
      <c r="V1" s="56" t="s">
        <v>20</v>
      </c>
      <c r="W1" s="56" t="s">
        <v>21</v>
      </c>
      <c r="X1" s="210" t="s">
        <v>792</v>
      </c>
      <c r="Y1" s="211" t="s">
        <v>22</v>
      </c>
      <c r="Z1" s="212" t="s">
        <v>23</v>
      </c>
      <c r="AA1" s="215" t="s">
        <v>24</v>
      </c>
      <c r="AB1" s="215" t="s">
        <v>25</v>
      </c>
      <c r="AC1" s="213" t="s">
        <v>621</v>
      </c>
      <c r="AD1" s="216" t="s">
        <v>618</v>
      </c>
      <c r="AE1" s="216" t="s">
        <v>619</v>
      </c>
      <c r="AF1" s="216" t="s">
        <v>620</v>
      </c>
      <c r="AG1" s="216" t="s">
        <v>636</v>
      </c>
      <c r="AH1" s="213" t="s">
        <v>638</v>
      </c>
      <c r="AI1" s="213" t="s">
        <v>655</v>
      </c>
      <c r="AJ1" s="226" t="s">
        <v>793</v>
      </c>
    </row>
    <row r="2" spans="1:36" ht="79.8">
      <c r="A2" s="59">
        <v>117</v>
      </c>
      <c r="B2" s="60" t="s">
        <v>26</v>
      </c>
      <c r="C2" s="60" t="s">
        <v>27</v>
      </c>
      <c r="D2" s="60" t="s">
        <v>28</v>
      </c>
      <c r="E2" s="60" t="s">
        <v>29</v>
      </c>
      <c r="F2" s="60">
        <v>2025</v>
      </c>
      <c r="G2" s="60">
        <v>90</v>
      </c>
      <c r="H2" s="60" t="s">
        <v>30</v>
      </c>
      <c r="I2" s="60">
        <v>1</v>
      </c>
      <c r="J2" s="61" t="s">
        <v>31</v>
      </c>
      <c r="K2" s="62"/>
      <c r="L2" s="60" t="s">
        <v>32</v>
      </c>
      <c r="M2" s="63"/>
      <c r="N2" s="63"/>
      <c r="O2" s="60" t="s">
        <v>33</v>
      </c>
      <c r="P2" s="60" t="s">
        <v>34</v>
      </c>
      <c r="Q2" s="60" t="s">
        <v>35</v>
      </c>
      <c r="R2" s="60" t="s">
        <v>36</v>
      </c>
      <c r="S2" s="60" t="s">
        <v>37</v>
      </c>
      <c r="T2" s="60">
        <v>100</v>
      </c>
      <c r="U2" s="60" t="s">
        <v>807</v>
      </c>
      <c r="V2" s="138">
        <v>45957</v>
      </c>
      <c r="W2" s="137" t="s">
        <v>39</v>
      </c>
      <c r="X2" s="60" t="s">
        <v>40</v>
      </c>
      <c r="Y2" s="60" t="s">
        <v>41</v>
      </c>
      <c r="Z2" s="99"/>
      <c r="AA2" s="128" t="s">
        <v>174</v>
      </c>
      <c r="AB2" s="97" t="s">
        <v>43</v>
      </c>
      <c r="AC2" s="66" t="str">
        <f t="shared" ref="AC2:AC33" ca="1" si="0">IF(AA2="Abierta", DATE(LEFT(W2,4), MID(W2,6,2), RIGHT(W2,2)) - TODAY(), "")</f>
        <v/>
      </c>
      <c r="AD2" s="67">
        <f t="shared" ref="AD2:AD33" ca="1" si="1">IF(AND($AA2="Abierta", $AC2&lt;=10, $AC2&gt;0), 1, 0)</f>
        <v>0</v>
      </c>
      <c r="AE2" s="67">
        <f t="shared" ref="AE2:AE33" ca="1" si="2">IF(AND($AA2="Abierta", $AC2&lt;=20, $AC2&gt;10), 1, 0)</f>
        <v>0</v>
      </c>
      <c r="AF2" s="67">
        <f t="shared" ref="AF2:AF65" ca="1" si="3">IF(AND($AA2="Abierta", $AC2&lt;=30, $AC2&gt;20), 1, 0)</f>
        <v>0</v>
      </c>
      <c r="AG2" s="67">
        <f t="shared" ref="AG2:AG65" ca="1" si="4">IF(AND($AA2="Abierta", $AC2&lt;=5, $AC2&gt;0), 1, 0)</f>
        <v>0</v>
      </c>
      <c r="AH2" s="94" t="s">
        <v>641</v>
      </c>
      <c r="AI2" s="67"/>
      <c r="AJ2" s="67">
        <v>0.5</v>
      </c>
    </row>
    <row r="3" spans="1:36" ht="125.4" hidden="1">
      <c r="A3" s="59">
        <v>118</v>
      </c>
      <c r="B3" s="60" t="s">
        <v>26</v>
      </c>
      <c r="C3" s="60" t="s">
        <v>27</v>
      </c>
      <c r="D3" s="60" t="s">
        <v>28</v>
      </c>
      <c r="E3" s="60">
        <v>311</v>
      </c>
      <c r="F3" s="60">
        <v>2025</v>
      </c>
      <c r="G3" s="60">
        <v>90</v>
      </c>
      <c r="H3" s="60" t="s">
        <v>30</v>
      </c>
      <c r="I3" s="60">
        <v>2</v>
      </c>
      <c r="J3" s="61" t="s">
        <v>31</v>
      </c>
      <c r="K3" s="62"/>
      <c r="L3" s="60" t="s">
        <v>32</v>
      </c>
      <c r="M3" s="60"/>
      <c r="N3" s="60"/>
      <c r="O3" s="60" t="s">
        <v>33</v>
      </c>
      <c r="P3" s="60" t="s">
        <v>34</v>
      </c>
      <c r="Q3" s="60" t="s">
        <v>44</v>
      </c>
      <c r="R3" s="60" t="s">
        <v>45</v>
      </c>
      <c r="S3" s="60" t="s">
        <v>46</v>
      </c>
      <c r="T3" s="60">
        <v>100</v>
      </c>
      <c r="U3" s="60" t="s">
        <v>796</v>
      </c>
      <c r="V3" s="138">
        <v>45957</v>
      </c>
      <c r="W3" s="138">
        <v>46172</v>
      </c>
      <c r="X3" s="60" t="s">
        <v>40</v>
      </c>
      <c r="Y3" s="60" t="s">
        <v>41</v>
      </c>
      <c r="Z3" s="126" t="s">
        <v>720</v>
      </c>
      <c r="AA3" s="134" t="s">
        <v>55</v>
      </c>
      <c r="AB3" s="65" t="s">
        <v>47</v>
      </c>
      <c r="AC3" s="66" t="str">
        <f t="shared" ca="1" si="0"/>
        <v/>
      </c>
      <c r="AD3" s="67">
        <f t="shared" ca="1" si="1"/>
        <v>0</v>
      </c>
      <c r="AE3" s="67">
        <f t="shared" ca="1" si="2"/>
        <v>0</v>
      </c>
      <c r="AF3" s="67">
        <f t="shared" ca="1" si="3"/>
        <v>0</v>
      </c>
      <c r="AG3" s="67">
        <f t="shared" ca="1" si="4"/>
        <v>0</v>
      </c>
      <c r="AH3" s="94" t="s">
        <v>639</v>
      </c>
      <c r="AI3" s="98">
        <v>46172</v>
      </c>
      <c r="AJ3" s="67">
        <v>0.5</v>
      </c>
    </row>
    <row r="4" spans="1:36" ht="125.4" hidden="1">
      <c r="A4" s="59">
        <v>123</v>
      </c>
      <c r="B4" s="60" t="s">
        <v>26</v>
      </c>
      <c r="C4" s="60" t="s">
        <v>27</v>
      </c>
      <c r="D4" s="60" t="s">
        <v>28</v>
      </c>
      <c r="E4" s="60" t="s">
        <v>29</v>
      </c>
      <c r="F4" s="60">
        <v>2025</v>
      </c>
      <c r="G4" s="60">
        <v>90</v>
      </c>
      <c r="H4" s="60" t="s">
        <v>48</v>
      </c>
      <c r="I4" s="60">
        <v>1</v>
      </c>
      <c r="J4" s="61" t="s">
        <v>31</v>
      </c>
      <c r="K4" s="62"/>
      <c r="L4" s="60" t="s">
        <v>32</v>
      </c>
      <c r="M4" s="60"/>
      <c r="N4" s="60"/>
      <c r="O4" s="60" t="s">
        <v>49</v>
      </c>
      <c r="P4" s="60" t="s">
        <v>50</v>
      </c>
      <c r="Q4" s="60" t="s">
        <v>51</v>
      </c>
      <c r="R4" s="60" t="s">
        <v>52</v>
      </c>
      <c r="S4" s="60" t="s">
        <v>53</v>
      </c>
      <c r="T4" s="60">
        <v>100</v>
      </c>
      <c r="U4" s="60" t="s">
        <v>797</v>
      </c>
      <c r="V4" s="137" t="s">
        <v>38</v>
      </c>
      <c r="W4" s="138">
        <v>45991</v>
      </c>
      <c r="X4" s="60" t="s">
        <v>40</v>
      </c>
      <c r="Y4" s="60" t="s">
        <v>41</v>
      </c>
      <c r="Z4" s="129" t="s">
        <v>54</v>
      </c>
      <c r="AA4" s="64" t="s">
        <v>55</v>
      </c>
      <c r="AB4" s="65" t="s">
        <v>56</v>
      </c>
      <c r="AC4" s="66" t="str">
        <f t="shared" ca="1" si="0"/>
        <v/>
      </c>
      <c r="AD4" s="67">
        <f t="shared" ca="1" si="1"/>
        <v>0</v>
      </c>
      <c r="AE4" s="67">
        <f t="shared" ca="1" si="2"/>
        <v>0</v>
      </c>
      <c r="AF4" s="67">
        <f t="shared" ca="1" si="3"/>
        <v>0</v>
      </c>
      <c r="AG4" s="67">
        <f t="shared" ca="1" si="4"/>
        <v>0</v>
      </c>
      <c r="AH4" s="91" t="s">
        <v>640</v>
      </c>
      <c r="AI4" s="98">
        <v>45991</v>
      </c>
      <c r="AJ4" s="67">
        <v>0.5</v>
      </c>
    </row>
    <row r="5" spans="1:36" ht="125.4" hidden="1">
      <c r="A5" s="59">
        <v>124</v>
      </c>
      <c r="B5" s="60" t="s">
        <v>26</v>
      </c>
      <c r="C5" s="60" t="s">
        <v>27</v>
      </c>
      <c r="D5" s="60" t="s">
        <v>28</v>
      </c>
      <c r="E5" s="60" t="s">
        <v>29</v>
      </c>
      <c r="F5" s="60">
        <v>2025</v>
      </c>
      <c r="G5" s="60">
        <v>90</v>
      </c>
      <c r="H5" s="60" t="s">
        <v>48</v>
      </c>
      <c r="I5" s="60">
        <v>2</v>
      </c>
      <c r="J5" s="61" t="s">
        <v>31</v>
      </c>
      <c r="K5" s="62"/>
      <c r="L5" s="60" t="s">
        <v>32</v>
      </c>
      <c r="M5" s="60"/>
      <c r="N5" s="60"/>
      <c r="O5" s="60" t="s">
        <v>49</v>
      </c>
      <c r="P5" s="60" t="s">
        <v>50</v>
      </c>
      <c r="Q5" s="60" t="s">
        <v>57</v>
      </c>
      <c r="R5" s="60" t="s">
        <v>58</v>
      </c>
      <c r="S5" s="60" t="s">
        <v>59</v>
      </c>
      <c r="T5" s="60">
        <v>100</v>
      </c>
      <c r="U5" s="60" t="s">
        <v>797</v>
      </c>
      <c r="V5" s="137" t="s">
        <v>38</v>
      </c>
      <c r="W5" s="138">
        <v>45991</v>
      </c>
      <c r="X5" s="60" t="s">
        <v>40</v>
      </c>
      <c r="Y5" s="60" t="s">
        <v>41</v>
      </c>
      <c r="Z5" s="129" t="s">
        <v>60</v>
      </c>
      <c r="AA5" s="64" t="s">
        <v>55</v>
      </c>
      <c r="AB5" s="65" t="s">
        <v>61</v>
      </c>
      <c r="AC5" s="66" t="str">
        <f t="shared" ca="1" si="0"/>
        <v/>
      </c>
      <c r="AD5" s="67">
        <f t="shared" ca="1" si="1"/>
        <v>0</v>
      </c>
      <c r="AE5" s="67">
        <f t="shared" ca="1" si="2"/>
        <v>0</v>
      </c>
      <c r="AF5" s="67">
        <f t="shared" ca="1" si="3"/>
        <v>0</v>
      </c>
      <c r="AG5" s="67">
        <f t="shared" ca="1" si="4"/>
        <v>0</v>
      </c>
      <c r="AH5" s="92"/>
      <c r="AI5" s="98">
        <v>45991</v>
      </c>
      <c r="AJ5" s="67">
        <v>0.5</v>
      </c>
    </row>
    <row r="6" spans="1:36" ht="136.80000000000001" hidden="1">
      <c r="A6" s="59">
        <v>189</v>
      </c>
      <c r="B6" s="60" t="s">
        <v>26</v>
      </c>
      <c r="C6" s="60" t="s">
        <v>27</v>
      </c>
      <c r="D6" s="60" t="s">
        <v>28</v>
      </c>
      <c r="E6" s="60" t="s">
        <v>29</v>
      </c>
      <c r="F6" s="60">
        <v>2025</v>
      </c>
      <c r="G6" s="60">
        <v>90</v>
      </c>
      <c r="H6" s="60" t="s">
        <v>62</v>
      </c>
      <c r="I6" s="60">
        <v>1</v>
      </c>
      <c r="J6" s="61" t="s">
        <v>31</v>
      </c>
      <c r="K6" s="62"/>
      <c r="L6" s="60" t="s">
        <v>32</v>
      </c>
      <c r="M6" s="60"/>
      <c r="N6" s="60"/>
      <c r="O6" s="60" t="s">
        <v>63</v>
      </c>
      <c r="P6" s="60" t="s">
        <v>64</v>
      </c>
      <c r="Q6" s="60" t="s">
        <v>65</v>
      </c>
      <c r="R6" s="60" t="s">
        <v>66</v>
      </c>
      <c r="S6" s="60" t="s">
        <v>67</v>
      </c>
      <c r="T6" s="60">
        <v>100</v>
      </c>
      <c r="U6" s="60" t="s">
        <v>798</v>
      </c>
      <c r="V6" s="137" t="s">
        <v>38</v>
      </c>
      <c r="W6" s="219">
        <v>46112</v>
      </c>
      <c r="X6" s="60" t="s">
        <v>40</v>
      </c>
      <c r="Y6" s="60" t="s">
        <v>41</v>
      </c>
      <c r="Z6" s="129" t="s">
        <v>723</v>
      </c>
      <c r="AA6" s="64" t="s">
        <v>55</v>
      </c>
      <c r="AB6" s="97" t="s">
        <v>69</v>
      </c>
      <c r="AC6" s="66" t="str">
        <f t="shared" ca="1" si="0"/>
        <v/>
      </c>
      <c r="AD6" s="67">
        <f t="shared" ca="1" si="1"/>
        <v>0</v>
      </c>
      <c r="AE6" s="67">
        <f t="shared" ca="1" si="2"/>
        <v>0</v>
      </c>
      <c r="AF6" s="67">
        <f t="shared" ca="1" si="3"/>
        <v>0</v>
      </c>
      <c r="AG6" s="67">
        <f t="shared" ca="1" si="4"/>
        <v>0</v>
      </c>
      <c r="AH6" s="94" t="s">
        <v>643</v>
      </c>
      <c r="AI6" s="98">
        <v>46112</v>
      </c>
      <c r="AJ6" s="67">
        <v>0.33</v>
      </c>
    </row>
    <row r="7" spans="1:36" ht="136.80000000000001" hidden="1">
      <c r="A7" s="59">
        <v>190</v>
      </c>
      <c r="B7" s="60" t="s">
        <v>26</v>
      </c>
      <c r="C7" s="60" t="s">
        <v>27</v>
      </c>
      <c r="D7" s="60" t="s">
        <v>28</v>
      </c>
      <c r="E7" s="60" t="s">
        <v>29</v>
      </c>
      <c r="F7" s="60">
        <v>2025</v>
      </c>
      <c r="G7" s="60">
        <v>90</v>
      </c>
      <c r="H7" s="60" t="s">
        <v>62</v>
      </c>
      <c r="I7" s="60">
        <v>2</v>
      </c>
      <c r="J7" s="61" t="s">
        <v>31</v>
      </c>
      <c r="K7" s="62"/>
      <c r="L7" s="60" t="s">
        <v>32</v>
      </c>
      <c r="M7" s="60"/>
      <c r="N7" s="60"/>
      <c r="O7" s="60" t="s">
        <v>63</v>
      </c>
      <c r="P7" s="60" t="s">
        <v>64</v>
      </c>
      <c r="Q7" s="60" t="s">
        <v>70</v>
      </c>
      <c r="R7" s="60" t="s">
        <v>71</v>
      </c>
      <c r="S7" s="60" t="s">
        <v>72</v>
      </c>
      <c r="T7" s="60">
        <v>100</v>
      </c>
      <c r="U7" s="60" t="s">
        <v>798</v>
      </c>
      <c r="V7" s="137" t="s">
        <v>38</v>
      </c>
      <c r="W7" s="219">
        <v>45991</v>
      </c>
      <c r="X7" s="60" t="s">
        <v>40</v>
      </c>
      <c r="Y7" s="60" t="s">
        <v>41</v>
      </c>
      <c r="Z7" s="129" t="s">
        <v>73</v>
      </c>
      <c r="AA7" s="64" t="s">
        <v>55</v>
      </c>
      <c r="AB7" s="65" t="s">
        <v>69</v>
      </c>
      <c r="AC7" s="66" t="str">
        <f t="shared" ca="1" si="0"/>
        <v/>
      </c>
      <c r="AD7" s="67">
        <f t="shared" ca="1" si="1"/>
        <v>0</v>
      </c>
      <c r="AE7" s="67">
        <f t="shared" ca="1" si="2"/>
        <v>0</v>
      </c>
      <c r="AF7" s="67">
        <f t="shared" ca="1" si="3"/>
        <v>0</v>
      </c>
      <c r="AG7" s="67">
        <f t="shared" ca="1" si="4"/>
        <v>0</v>
      </c>
      <c r="AH7" s="91" t="s">
        <v>643</v>
      </c>
      <c r="AI7" s="98">
        <v>45991</v>
      </c>
      <c r="AJ7" s="67">
        <v>0.33</v>
      </c>
    </row>
    <row r="8" spans="1:36" ht="136.80000000000001" hidden="1">
      <c r="A8" s="59">
        <v>191</v>
      </c>
      <c r="B8" s="60" t="s">
        <v>26</v>
      </c>
      <c r="C8" s="60" t="s">
        <v>27</v>
      </c>
      <c r="D8" s="60" t="s">
        <v>28</v>
      </c>
      <c r="E8" s="60" t="s">
        <v>29</v>
      </c>
      <c r="F8" s="60">
        <v>2025</v>
      </c>
      <c r="G8" s="60">
        <v>90</v>
      </c>
      <c r="H8" s="60" t="s">
        <v>62</v>
      </c>
      <c r="I8" s="60">
        <v>3</v>
      </c>
      <c r="J8" s="61" t="s">
        <v>31</v>
      </c>
      <c r="K8" s="62"/>
      <c r="L8" s="60" t="s">
        <v>32</v>
      </c>
      <c r="M8" s="60"/>
      <c r="N8" s="60"/>
      <c r="O8" s="60" t="s">
        <v>63</v>
      </c>
      <c r="P8" s="60" t="s">
        <v>64</v>
      </c>
      <c r="Q8" s="60" t="s">
        <v>74</v>
      </c>
      <c r="R8" s="60" t="s">
        <v>75</v>
      </c>
      <c r="S8" s="60" t="s">
        <v>76</v>
      </c>
      <c r="T8" s="60">
        <v>100</v>
      </c>
      <c r="U8" s="60" t="s">
        <v>798</v>
      </c>
      <c r="V8" s="137" t="s">
        <v>38</v>
      </c>
      <c r="W8" s="219">
        <v>46022</v>
      </c>
      <c r="X8" s="60" t="s">
        <v>40</v>
      </c>
      <c r="Y8" s="60" t="s">
        <v>41</v>
      </c>
      <c r="Z8" s="129" t="s">
        <v>78</v>
      </c>
      <c r="AA8" s="64" t="s">
        <v>55</v>
      </c>
      <c r="AB8" s="65" t="s">
        <v>79</v>
      </c>
      <c r="AC8" s="66" t="str">
        <f t="shared" ca="1" si="0"/>
        <v/>
      </c>
      <c r="AD8" s="67">
        <f t="shared" ca="1" si="1"/>
        <v>0</v>
      </c>
      <c r="AE8" s="67">
        <f t="shared" ca="1" si="2"/>
        <v>0</v>
      </c>
      <c r="AF8" s="67">
        <f t="shared" ca="1" si="3"/>
        <v>0</v>
      </c>
      <c r="AG8" s="67">
        <f t="shared" ca="1" si="4"/>
        <v>0</v>
      </c>
      <c r="AH8" s="91" t="s">
        <v>643</v>
      </c>
      <c r="AI8" s="98">
        <v>46022</v>
      </c>
      <c r="AJ8" s="67">
        <v>0.34</v>
      </c>
    </row>
    <row r="9" spans="1:36" ht="136.80000000000001" hidden="1">
      <c r="A9" s="141">
        <v>193</v>
      </c>
      <c r="B9" s="75" t="s">
        <v>26</v>
      </c>
      <c r="C9" s="75" t="s">
        <v>27</v>
      </c>
      <c r="D9" s="75" t="s">
        <v>28</v>
      </c>
      <c r="E9" s="75" t="s">
        <v>29</v>
      </c>
      <c r="F9" s="75">
        <v>2025</v>
      </c>
      <c r="G9" s="75">
        <v>90</v>
      </c>
      <c r="H9" s="75" t="s">
        <v>80</v>
      </c>
      <c r="I9" s="75">
        <v>1</v>
      </c>
      <c r="J9" s="162" t="s">
        <v>31</v>
      </c>
      <c r="K9" s="228"/>
      <c r="L9" s="75" t="s">
        <v>32</v>
      </c>
      <c r="M9" s="75"/>
      <c r="N9" s="75"/>
      <c r="O9" s="75" t="s">
        <v>81</v>
      </c>
      <c r="P9" s="75" t="s">
        <v>82</v>
      </c>
      <c r="Q9" s="75" t="s">
        <v>83</v>
      </c>
      <c r="R9" s="75" t="s">
        <v>84</v>
      </c>
      <c r="S9" s="75" t="s">
        <v>85</v>
      </c>
      <c r="T9" s="75">
        <v>100</v>
      </c>
      <c r="U9" s="75" t="s">
        <v>819</v>
      </c>
      <c r="V9" s="142" t="s">
        <v>38</v>
      </c>
      <c r="W9" s="142" t="s">
        <v>86</v>
      </c>
      <c r="X9" s="75" t="s">
        <v>40</v>
      </c>
      <c r="Y9" s="75" t="s">
        <v>41</v>
      </c>
      <c r="Z9" s="144" t="s">
        <v>820</v>
      </c>
      <c r="AA9" s="145" t="s">
        <v>55</v>
      </c>
      <c r="AB9" s="146" t="s">
        <v>87</v>
      </c>
      <c r="AC9" s="147" t="str">
        <f t="shared" ca="1" si="0"/>
        <v/>
      </c>
      <c r="AD9" s="148">
        <f t="shared" ca="1" si="1"/>
        <v>0</v>
      </c>
      <c r="AE9" s="148">
        <f t="shared" ca="1" si="2"/>
        <v>0</v>
      </c>
      <c r="AF9" s="148">
        <f t="shared" ca="1" si="3"/>
        <v>0</v>
      </c>
      <c r="AG9" s="148">
        <f t="shared" ca="1" si="4"/>
        <v>0</v>
      </c>
      <c r="AH9" s="149" t="s">
        <v>646</v>
      </c>
      <c r="AI9" s="220">
        <v>46293</v>
      </c>
      <c r="AJ9" s="148">
        <v>1</v>
      </c>
    </row>
    <row r="10" spans="1:36" ht="171" hidden="1">
      <c r="A10" s="59">
        <v>196</v>
      </c>
      <c r="B10" s="60" t="s">
        <v>26</v>
      </c>
      <c r="C10" s="60" t="s">
        <v>27</v>
      </c>
      <c r="D10" s="60" t="s">
        <v>28</v>
      </c>
      <c r="E10" s="60" t="s">
        <v>29</v>
      </c>
      <c r="F10" s="60">
        <v>2025</v>
      </c>
      <c r="G10" s="60">
        <v>90</v>
      </c>
      <c r="H10" s="60" t="s">
        <v>88</v>
      </c>
      <c r="I10" s="60">
        <v>1</v>
      </c>
      <c r="J10" s="61" t="s">
        <v>31</v>
      </c>
      <c r="K10" s="62"/>
      <c r="L10" s="60" t="s">
        <v>32</v>
      </c>
      <c r="M10" s="60"/>
      <c r="N10" s="60"/>
      <c r="O10" s="60" t="s">
        <v>89</v>
      </c>
      <c r="P10" s="60" t="s">
        <v>90</v>
      </c>
      <c r="Q10" s="60" t="s">
        <v>91</v>
      </c>
      <c r="R10" s="60" t="s">
        <v>92</v>
      </c>
      <c r="S10" s="60" t="s">
        <v>93</v>
      </c>
      <c r="T10" s="60">
        <v>100</v>
      </c>
      <c r="U10" s="60" t="s">
        <v>797</v>
      </c>
      <c r="V10" s="137" t="s">
        <v>38</v>
      </c>
      <c r="W10" s="137" t="s">
        <v>86</v>
      </c>
      <c r="X10" s="60" t="s">
        <v>40</v>
      </c>
      <c r="Y10" s="60" t="s">
        <v>41</v>
      </c>
      <c r="Z10" s="129" t="s">
        <v>795</v>
      </c>
      <c r="AA10" s="64" t="s">
        <v>55</v>
      </c>
      <c r="AB10" s="97" t="s">
        <v>94</v>
      </c>
      <c r="AC10" s="66" t="str">
        <f t="shared" ca="1" si="0"/>
        <v/>
      </c>
      <c r="AD10" s="67">
        <f t="shared" ca="1" si="1"/>
        <v>0</v>
      </c>
      <c r="AE10" s="67">
        <f t="shared" ca="1" si="2"/>
        <v>0</v>
      </c>
      <c r="AF10" s="67">
        <f t="shared" ca="1" si="3"/>
        <v>0</v>
      </c>
      <c r="AG10" s="67">
        <f t="shared" ca="1" si="4"/>
        <v>0</v>
      </c>
      <c r="AH10" s="94" t="s">
        <v>645</v>
      </c>
      <c r="AI10" s="98">
        <v>46293</v>
      </c>
      <c r="AJ10" s="67">
        <v>0.33</v>
      </c>
    </row>
    <row r="11" spans="1:36" s="235" customFormat="1" ht="171">
      <c r="A11" s="229">
        <v>197</v>
      </c>
      <c r="B11" s="74" t="s">
        <v>26</v>
      </c>
      <c r="C11" s="74" t="s">
        <v>27</v>
      </c>
      <c r="D11" s="74" t="s">
        <v>28</v>
      </c>
      <c r="E11" s="74" t="s">
        <v>29</v>
      </c>
      <c r="F11" s="74">
        <v>2025</v>
      </c>
      <c r="G11" s="74">
        <v>90</v>
      </c>
      <c r="H11" s="74" t="s">
        <v>88</v>
      </c>
      <c r="I11" s="74">
        <v>2</v>
      </c>
      <c r="J11" s="76" t="s">
        <v>31</v>
      </c>
      <c r="K11" s="77"/>
      <c r="L11" s="74" t="s">
        <v>32</v>
      </c>
      <c r="M11" s="74"/>
      <c r="N11" s="74"/>
      <c r="O11" s="74" t="s">
        <v>89</v>
      </c>
      <c r="P11" s="74" t="s">
        <v>90</v>
      </c>
      <c r="Q11" s="74" t="s">
        <v>95</v>
      </c>
      <c r="R11" s="74" t="s">
        <v>96</v>
      </c>
      <c r="S11" s="74" t="s">
        <v>97</v>
      </c>
      <c r="T11" s="74">
        <v>100</v>
      </c>
      <c r="U11" s="74" t="s">
        <v>796</v>
      </c>
      <c r="V11" s="217" t="s">
        <v>38</v>
      </c>
      <c r="W11" s="217" t="s">
        <v>86</v>
      </c>
      <c r="X11" s="74" t="s">
        <v>40</v>
      </c>
      <c r="Y11" s="74" t="s">
        <v>41</v>
      </c>
      <c r="Z11" s="230"/>
      <c r="AA11" s="134" t="s">
        <v>42</v>
      </c>
      <c r="AB11" s="231" t="s">
        <v>98</v>
      </c>
      <c r="AC11" s="232">
        <f t="shared" ca="1" si="0"/>
        <v>-6</v>
      </c>
      <c r="AD11" s="233">
        <f t="shared" ca="1" si="1"/>
        <v>0</v>
      </c>
      <c r="AE11" s="233">
        <f t="shared" ca="1" si="2"/>
        <v>0</v>
      </c>
      <c r="AF11" s="233">
        <f t="shared" ca="1" si="3"/>
        <v>0</v>
      </c>
      <c r="AG11" s="233">
        <f t="shared" ca="1" si="4"/>
        <v>0</v>
      </c>
      <c r="AH11" s="234" t="s">
        <v>639</v>
      </c>
      <c r="AI11" s="233"/>
      <c r="AJ11" s="233">
        <v>0.33</v>
      </c>
    </row>
    <row r="12" spans="1:36" ht="171">
      <c r="A12" s="59">
        <v>198</v>
      </c>
      <c r="B12" s="60" t="s">
        <v>26</v>
      </c>
      <c r="C12" s="60" t="s">
        <v>27</v>
      </c>
      <c r="D12" s="60" t="s">
        <v>28</v>
      </c>
      <c r="E12" s="60" t="s">
        <v>29</v>
      </c>
      <c r="F12" s="60">
        <v>2025</v>
      </c>
      <c r="G12" s="60">
        <v>90</v>
      </c>
      <c r="H12" s="60" t="s">
        <v>88</v>
      </c>
      <c r="I12" s="60">
        <v>3</v>
      </c>
      <c r="J12" s="61" t="s">
        <v>31</v>
      </c>
      <c r="K12" s="62"/>
      <c r="L12" s="60" t="s">
        <v>32</v>
      </c>
      <c r="M12" s="60"/>
      <c r="N12" s="60"/>
      <c r="O12" s="60" t="s">
        <v>89</v>
      </c>
      <c r="P12" s="60" t="s">
        <v>90</v>
      </c>
      <c r="Q12" s="60" t="s">
        <v>99</v>
      </c>
      <c r="R12" s="60" t="s">
        <v>100</v>
      </c>
      <c r="S12" s="60" t="s">
        <v>101</v>
      </c>
      <c r="T12" s="60">
        <v>100</v>
      </c>
      <c r="U12" s="60" t="s">
        <v>799</v>
      </c>
      <c r="V12" s="137" t="s">
        <v>38</v>
      </c>
      <c r="W12" s="137" t="s">
        <v>86</v>
      </c>
      <c r="X12" s="60" t="s">
        <v>40</v>
      </c>
      <c r="Y12" s="60" t="s">
        <v>41</v>
      </c>
      <c r="Z12" s="129"/>
      <c r="AA12" s="64" t="s">
        <v>42</v>
      </c>
      <c r="AB12" s="97" t="s">
        <v>102</v>
      </c>
      <c r="AC12" s="66">
        <f t="shared" ca="1" si="0"/>
        <v>-6</v>
      </c>
      <c r="AD12" s="67">
        <f t="shared" ca="1" si="1"/>
        <v>0</v>
      </c>
      <c r="AE12" s="67">
        <f t="shared" ca="1" si="2"/>
        <v>0</v>
      </c>
      <c r="AF12" s="67">
        <f t="shared" ca="1" si="3"/>
        <v>0</v>
      </c>
      <c r="AG12" s="67">
        <f t="shared" ca="1" si="4"/>
        <v>0</v>
      </c>
      <c r="AH12" s="94" t="s">
        <v>653</v>
      </c>
      <c r="AI12" s="67"/>
      <c r="AJ12" s="67">
        <v>0.34</v>
      </c>
    </row>
    <row r="13" spans="1:36" ht="91.2" hidden="1">
      <c r="A13" s="59">
        <v>199</v>
      </c>
      <c r="B13" s="60" t="s">
        <v>26</v>
      </c>
      <c r="C13" s="60" t="s">
        <v>27</v>
      </c>
      <c r="D13" s="60" t="s">
        <v>28</v>
      </c>
      <c r="E13" s="60" t="s">
        <v>29</v>
      </c>
      <c r="F13" s="60">
        <v>2025</v>
      </c>
      <c r="G13" s="60">
        <v>90</v>
      </c>
      <c r="H13" s="60" t="s">
        <v>103</v>
      </c>
      <c r="I13" s="60">
        <v>1</v>
      </c>
      <c r="J13" s="61" t="s">
        <v>31</v>
      </c>
      <c r="K13" s="62"/>
      <c r="L13" s="60" t="s">
        <v>32</v>
      </c>
      <c r="M13" s="60"/>
      <c r="N13" s="60"/>
      <c r="O13" s="60" t="s">
        <v>104</v>
      </c>
      <c r="P13" s="60" t="s">
        <v>105</v>
      </c>
      <c r="Q13" s="60" t="s">
        <v>106</v>
      </c>
      <c r="R13" s="60" t="s">
        <v>107</v>
      </c>
      <c r="S13" s="60" t="s">
        <v>108</v>
      </c>
      <c r="T13" s="60">
        <v>100</v>
      </c>
      <c r="U13" s="60" t="s">
        <v>797</v>
      </c>
      <c r="V13" s="137" t="s">
        <v>38</v>
      </c>
      <c r="W13" s="137" t="s">
        <v>109</v>
      </c>
      <c r="X13" s="60" t="s">
        <v>40</v>
      </c>
      <c r="Y13" s="60" t="s">
        <v>41</v>
      </c>
      <c r="Z13" s="129" t="s">
        <v>821</v>
      </c>
      <c r="AA13" s="64" t="s">
        <v>55</v>
      </c>
      <c r="AB13" s="97" t="s">
        <v>110</v>
      </c>
      <c r="AC13" s="66" t="str">
        <f t="shared" ca="1" si="0"/>
        <v/>
      </c>
      <c r="AD13" s="67">
        <f t="shared" ca="1" si="1"/>
        <v>0</v>
      </c>
      <c r="AE13" s="67">
        <f t="shared" ca="1" si="2"/>
        <v>0</v>
      </c>
      <c r="AF13" s="67">
        <f t="shared" ca="1" si="3"/>
        <v>0</v>
      </c>
      <c r="AG13" s="67">
        <f t="shared" ca="1" si="4"/>
        <v>0</v>
      </c>
      <c r="AH13" s="94" t="s">
        <v>645</v>
      </c>
      <c r="AI13" s="98">
        <v>46100</v>
      </c>
      <c r="AJ13" s="67">
        <v>0.5</v>
      </c>
    </row>
    <row r="14" spans="1:36" ht="125.4" hidden="1">
      <c r="A14" s="59">
        <v>200</v>
      </c>
      <c r="B14" s="60" t="s">
        <v>26</v>
      </c>
      <c r="C14" s="60" t="s">
        <v>27</v>
      </c>
      <c r="D14" s="60" t="s">
        <v>28</v>
      </c>
      <c r="E14" s="60" t="s">
        <v>29</v>
      </c>
      <c r="F14" s="60">
        <v>2025</v>
      </c>
      <c r="G14" s="60">
        <v>90</v>
      </c>
      <c r="H14" s="60" t="s">
        <v>103</v>
      </c>
      <c r="I14" s="60">
        <v>2</v>
      </c>
      <c r="J14" s="61" t="s">
        <v>31</v>
      </c>
      <c r="K14" s="62"/>
      <c r="L14" s="60" t="s">
        <v>32</v>
      </c>
      <c r="M14" s="60"/>
      <c r="N14" s="60"/>
      <c r="O14" s="60" t="s">
        <v>104</v>
      </c>
      <c r="P14" s="60" t="s">
        <v>105</v>
      </c>
      <c r="Q14" s="96" t="s">
        <v>111</v>
      </c>
      <c r="R14" s="60" t="s">
        <v>112</v>
      </c>
      <c r="S14" s="60" t="s">
        <v>113</v>
      </c>
      <c r="T14" s="60">
        <v>100</v>
      </c>
      <c r="U14" s="60" t="s">
        <v>796</v>
      </c>
      <c r="V14" s="137" t="s">
        <v>38</v>
      </c>
      <c r="W14" s="137" t="s">
        <v>109</v>
      </c>
      <c r="X14" s="60" t="s">
        <v>40</v>
      </c>
      <c r="Y14" s="60" t="s">
        <v>41</v>
      </c>
      <c r="Z14" s="129" t="s">
        <v>821</v>
      </c>
      <c r="AA14" s="64" t="s">
        <v>55</v>
      </c>
      <c r="AB14" s="97" t="s">
        <v>114</v>
      </c>
      <c r="AC14" s="66" t="str">
        <f t="shared" ca="1" si="0"/>
        <v/>
      </c>
      <c r="AD14" s="67">
        <f t="shared" ca="1" si="1"/>
        <v>0</v>
      </c>
      <c r="AE14" s="67">
        <f t="shared" ca="1" si="2"/>
        <v>0</v>
      </c>
      <c r="AF14" s="67">
        <f t="shared" ca="1" si="3"/>
        <v>0</v>
      </c>
      <c r="AG14" s="67">
        <f t="shared" ca="1" si="4"/>
        <v>0</v>
      </c>
      <c r="AH14" s="94" t="s">
        <v>639</v>
      </c>
      <c r="AI14" s="98">
        <v>46064</v>
      </c>
      <c r="AJ14" s="67">
        <v>0.5</v>
      </c>
    </row>
    <row r="15" spans="1:36" ht="159.6" hidden="1">
      <c r="A15" s="59">
        <v>213</v>
      </c>
      <c r="B15" s="60" t="s">
        <v>26</v>
      </c>
      <c r="C15" s="60" t="s">
        <v>27</v>
      </c>
      <c r="D15" s="60" t="s">
        <v>28</v>
      </c>
      <c r="E15" s="60" t="s">
        <v>29</v>
      </c>
      <c r="F15" s="60">
        <v>2025</v>
      </c>
      <c r="G15" s="60">
        <v>90</v>
      </c>
      <c r="H15" s="60" t="s">
        <v>115</v>
      </c>
      <c r="I15" s="60">
        <v>1</v>
      </c>
      <c r="J15" s="61" t="s">
        <v>31</v>
      </c>
      <c r="K15" s="62"/>
      <c r="L15" s="60" t="s">
        <v>32</v>
      </c>
      <c r="M15" s="60"/>
      <c r="N15" s="60"/>
      <c r="O15" s="60" t="s">
        <v>116</v>
      </c>
      <c r="P15" s="60" t="s">
        <v>117</v>
      </c>
      <c r="Q15" s="96" t="s">
        <v>118</v>
      </c>
      <c r="R15" s="60" t="s">
        <v>119</v>
      </c>
      <c r="S15" s="60" t="s">
        <v>120</v>
      </c>
      <c r="T15" s="60">
        <v>100</v>
      </c>
      <c r="U15" s="60" t="s">
        <v>800</v>
      </c>
      <c r="V15" s="137" t="s">
        <v>38</v>
      </c>
      <c r="W15" s="138">
        <v>46081</v>
      </c>
      <c r="X15" s="60" t="s">
        <v>40</v>
      </c>
      <c r="Y15" s="60" t="s">
        <v>41</v>
      </c>
      <c r="Z15" s="129" t="s">
        <v>721</v>
      </c>
      <c r="AA15" s="64" t="s">
        <v>55</v>
      </c>
      <c r="AB15" s="97" t="s">
        <v>126</v>
      </c>
      <c r="AC15" s="66" t="str">
        <f t="shared" ca="1" si="0"/>
        <v/>
      </c>
      <c r="AD15" s="67">
        <f t="shared" ca="1" si="1"/>
        <v>0</v>
      </c>
      <c r="AE15" s="67">
        <f t="shared" ca="1" si="2"/>
        <v>0</v>
      </c>
      <c r="AF15" s="67">
        <f t="shared" ca="1" si="3"/>
        <v>0</v>
      </c>
      <c r="AG15" s="67">
        <f t="shared" ca="1" si="4"/>
        <v>0</v>
      </c>
      <c r="AH15" s="94" t="s">
        <v>639</v>
      </c>
      <c r="AI15" s="98">
        <v>46081</v>
      </c>
      <c r="AJ15" s="67">
        <v>0.5</v>
      </c>
    </row>
    <row r="16" spans="1:36" ht="159.6">
      <c r="A16" s="59">
        <v>214</v>
      </c>
      <c r="B16" s="60" t="s">
        <v>26</v>
      </c>
      <c r="C16" s="60" t="s">
        <v>27</v>
      </c>
      <c r="D16" s="60" t="s">
        <v>28</v>
      </c>
      <c r="E16" s="60" t="s">
        <v>29</v>
      </c>
      <c r="F16" s="60">
        <v>2025</v>
      </c>
      <c r="G16" s="60">
        <v>90</v>
      </c>
      <c r="H16" s="60" t="s">
        <v>115</v>
      </c>
      <c r="I16" s="60">
        <v>2</v>
      </c>
      <c r="J16" s="61" t="s">
        <v>31</v>
      </c>
      <c r="K16" s="62"/>
      <c r="L16" s="60" t="s">
        <v>32</v>
      </c>
      <c r="M16" s="60"/>
      <c r="N16" s="60"/>
      <c r="O16" s="60" t="s">
        <v>116</v>
      </c>
      <c r="P16" s="60" t="s">
        <v>117</v>
      </c>
      <c r="Q16" s="60" t="s">
        <v>123</v>
      </c>
      <c r="R16" s="60" t="s">
        <v>124</v>
      </c>
      <c r="S16" s="60" t="s">
        <v>125</v>
      </c>
      <c r="T16" s="60">
        <v>100</v>
      </c>
      <c r="U16" s="60" t="s">
        <v>799</v>
      </c>
      <c r="V16" s="137" t="s">
        <v>38</v>
      </c>
      <c r="W16" s="242">
        <v>46308</v>
      </c>
      <c r="X16" s="60" t="s">
        <v>40</v>
      </c>
      <c r="Y16" s="60" t="s">
        <v>41</v>
      </c>
      <c r="Z16" s="129"/>
      <c r="AA16" s="64" t="s">
        <v>42</v>
      </c>
      <c r="AB16" s="97" t="s">
        <v>126</v>
      </c>
      <c r="AC16" s="66" t="e">
        <f t="shared" ca="1" si="0"/>
        <v>#VALUE!</v>
      </c>
      <c r="AD16" s="67" t="e">
        <f t="shared" ca="1" si="1"/>
        <v>#VALUE!</v>
      </c>
      <c r="AE16" s="67" t="e">
        <f t="shared" ca="1" si="2"/>
        <v>#VALUE!</v>
      </c>
      <c r="AF16" s="67" t="e">
        <f t="shared" ca="1" si="3"/>
        <v>#VALUE!</v>
      </c>
      <c r="AG16" s="67" t="e">
        <f t="shared" ca="1" si="4"/>
        <v>#VALUE!</v>
      </c>
      <c r="AH16" s="94" t="s">
        <v>653</v>
      </c>
      <c r="AI16" s="67"/>
      <c r="AJ16" s="67">
        <v>0.5</v>
      </c>
    </row>
    <row r="17" spans="1:36" ht="182.4" hidden="1">
      <c r="A17" s="59">
        <v>215</v>
      </c>
      <c r="B17" s="60" t="s">
        <v>26</v>
      </c>
      <c r="C17" s="60" t="s">
        <v>27</v>
      </c>
      <c r="D17" s="60" t="s">
        <v>28</v>
      </c>
      <c r="E17" s="60" t="s">
        <v>29</v>
      </c>
      <c r="F17" s="60">
        <v>2025</v>
      </c>
      <c r="G17" s="60">
        <v>90</v>
      </c>
      <c r="H17" s="60" t="s">
        <v>127</v>
      </c>
      <c r="I17" s="60">
        <v>1</v>
      </c>
      <c r="J17" s="61" t="s">
        <v>31</v>
      </c>
      <c r="K17" s="62"/>
      <c r="L17" s="60" t="s">
        <v>32</v>
      </c>
      <c r="M17" s="60"/>
      <c r="N17" s="60"/>
      <c r="O17" s="60" t="s">
        <v>128</v>
      </c>
      <c r="P17" s="60" t="s">
        <v>129</v>
      </c>
      <c r="Q17" s="60" t="s">
        <v>130</v>
      </c>
      <c r="R17" s="60" t="s">
        <v>131</v>
      </c>
      <c r="S17" s="60" t="s">
        <v>132</v>
      </c>
      <c r="T17" s="60">
        <v>100</v>
      </c>
      <c r="U17" s="60" t="s">
        <v>808</v>
      </c>
      <c r="V17" s="137" t="s">
        <v>38</v>
      </c>
      <c r="W17" s="138">
        <v>46068</v>
      </c>
      <c r="X17" s="60" t="s">
        <v>40</v>
      </c>
      <c r="Y17" s="60" t="s">
        <v>41</v>
      </c>
      <c r="Z17" s="129" t="s">
        <v>720</v>
      </c>
      <c r="AA17" s="134" t="s">
        <v>55</v>
      </c>
      <c r="AB17" s="97" t="s">
        <v>133</v>
      </c>
      <c r="AC17" s="66" t="str">
        <f t="shared" ca="1" si="0"/>
        <v/>
      </c>
      <c r="AD17" s="67">
        <f t="shared" ca="1" si="1"/>
        <v>0</v>
      </c>
      <c r="AE17" s="67">
        <f t="shared" ca="1" si="2"/>
        <v>0</v>
      </c>
      <c r="AF17" s="67">
        <f t="shared" ca="1" si="3"/>
        <v>0</v>
      </c>
      <c r="AG17" s="67">
        <f t="shared" ca="1" si="4"/>
        <v>0</v>
      </c>
      <c r="AH17" s="94" t="s">
        <v>642</v>
      </c>
      <c r="AI17" s="98">
        <v>46068</v>
      </c>
      <c r="AJ17" s="67">
        <v>1</v>
      </c>
    </row>
    <row r="18" spans="1:36" ht="68.400000000000006" hidden="1">
      <c r="A18" s="59">
        <v>221</v>
      </c>
      <c r="B18" s="60" t="s">
        <v>26</v>
      </c>
      <c r="C18" s="60" t="s">
        <v>27</v>
      </c>
      <c r="D18" s="60" t="s">
        <v>28</v>
      </c>
      <c r="E18" s="60" t="s">
        <v>29</v>
      </c>
      <c r="F18" s="60">
        <v>2025</v>
      </c>
      <c r="G18" s="60">
        <v>90</v>
      </c>
      <c r="H18" s="60" t="s">
        <v>134</v>
      </c>
      <c r="I18" s="60">
        <v>1</v>
      </c>
      <c r="J18" s="61" t="s">
        <v>31</v>
      </c>
      <c r="K18" s="62"/>
      <c r="L18" s="60" t="s">
        <v>32</v>
      </c>
      <c r="M18" s="60"/>
      <c r="N18" s="60"/>
      <c r="O18" s="60" t="s">
        <v>135</v>
      </c>
      <c r="P18" s="60" t="s">
        <v>136</v>
      </c>
      <c r="Q18" s="96" t="s">
        <v>137</v>
      </c>
      <c r="R18" s="60" t="s">
        <v>138</v>
      </c>
      <c r="S18" s="60" t="s">
        <v>139</v>
      </c>
      <c r="T18" s="60">
        <v>100</v>
      </c>
      <c r="U18" s="60" t="s">
        <v>800</v>
      </c>
      <c r="V18" s="137" t="s">
        <v>38</v>
      </c>
      <c r="W18" s="138">
        <v>46068</v>
      </c>
      <c r="X18" s="60" t="s">
        <v>40</v>
      </c>
      <c r="Y18" s="60" t="s">
        <v>41</v>
      </c>
      <c r="Z18" s="129" t="s">
        <v>720</v>
      </c>
      <c r="AA18" s="64" t="s">
        <v>55</v>
      </c>
      <c r="AB18" s="65" t="s">
        <v>140</v>
      </c>
      <c r="AC18" s="66" t="str">
        <f t="shared" ca="1" si="0"/>
        <v/>
      </c>
      <c r="AD18" s="67">
        <f t="shared" ca="1" si="1"/>
        <v>0</v>
      </c>
      <c r="AE18" s="67">
        <f t="shared" ca="1" si="2"/>
        <v>0</v>
      </c>
      <c r="AF18" s="67">
        <f t="shared" ca="1" si="3"/>
        <v>0</v>
      </c>
      <c r="AG18" s="67">
        <f t="shared" ca="1" si="4"/>
        <v>0</v>
      </c>
      <c r="AH18" s="94" t="s">
        <v>639</v>
      </c>
      <c r="AI18" s="98">
        <v>46068</v>
      </c>
      <c r="AJ18" s="67">
        <v>1</v>
      </c>
    </row>
    <row r="19" spans="1:36" ht="114" hidden="1">
      <c r="A19" s="59">
        <v>222</v>
      </c>
      <c r="B19" s="60" t="s">
        <v>26</v>
      </c>
      <c r="C19" s="60" t="s">
        <v>27</v>
      </c>
      <c r="D19" s="60" t="s">
        <v>28</v>
      </c>
      <c r="E19" s="60" t="s">
        <v>29</v>
      </c>
      <c r="F19" s="60">
        <v>2025</v>
      </c>
      <c r="G19" s="60">
        <v>90</v>
      </c>
      <c r="H19" s="60" t="s">
        <v>141</v>
      </c>
      <c r="I19" s="60">
        <v>1</v>
      </c>
      <c r="J19" s="61" t="s">
        <v>31</v>
      </c>
      <c r="K19" s="62"/>
      <c r="L19" s="60" t="s">
        <v>32</v>
      </c>
      <c r="M19" s="60"/>
      <c r="N19" s="60"/>
      <c r="O19" s="60" t="s">
        <v>142</v>
      </c>
      <c r="P19" s="60" t="s">
        <v>143</v>
      </c>
      <c r="Q19" s="96" t="s">
        <v>144</v>
      </c>
      <c r="R19" s="60" t="s">
        <v>145</v>
      </c>
      <c r="S19" s="60" t="s">
        <v>146</v>
      </c>
      <c r="T19" s="60">
        <v>100</v>
      </c>
      <c r="U19" s="60" t="s">
        <v>800</v>
      </c>
      <c r="V19" s="137" t="s">
        <v>38</v>
      </c>
      <c r="W19" s="138">
        <v>46068</v>
      </c>
      <c r="X19" s="60" t="s">
        <v>40</v>
      </c>
      <c r="Y19" s="60" t="s">
        <v>41</v>
      </c>
      <c r="Z19" s="129" t="s">
        <v>691</v>
      </c>
      <c r="AA19" s="64" t="s">
        <v>55</v>
      </c>
      <c r="AB19" s="97" t="s">
        <v>147</v>
      </c>
      <c r="AC19" s="66" t="str">
        <f t="shared" ca="1" si="0"/>
        <v/>
      </c>
      <c r="AD19" s="67">
        <f t="shared" ca="1" si="1"/>
        <v>0</v>
      </c>
      <c r="AE19" s="67">
        <f t="shared" ca="1" si="2"/>
        <v>0</v>
      </c>
      <c r="AF19" s="67">
        <f t="shared" ca="1" si="3"/>
        <v>0</v>
      </c>
      <c r="AG19" s="67">
        <f t="shared" ca="1" si="4"/>
        <v>0</v>
      </c>
      <c r="AH19" s="94" t="s">
        <v>639</v>
      </c>
      <c r="AI19" s="98">
        <v>46068</v>
      </c>
      <c r="AJ19" s="67">
        <v>1</v>
      </c>
    </row>
    <row r="20" spans="1:36" ht="114" hidden="1">
      <c r="A20" s="59">
        <v>223</v>
      </c>
      <c r="B20" s="60" t="s">
        <v>26</v>
      </c>
      <c r="C20" s="60" t="s">
        <v>27</v>
      </c>
      <c r="D20" s="60" t="s">
        <v>28</v>
      </c>
      <c r="E20" s="60" t="s">
        <v>29</v>
      </c>
      <c r="F20" s="60">
        <v>2025</v>
      </c>
      <c r="G20" s="60">
        <v>90</v>
      </c>
      <c r="H20" s="60" t="s">
        <v>148</v>
      </c>
      <c r="I20" s="60">
        <v>1</v>
      </c>
      <c r="J20" s="61" t="s">
        <v>31</v>
      </c>
      <c r="K20" s="62"/>
      <c r="L20" s="60" t="s">
        <v>32</v>
      </c>
      <c r="M20" s="60"/>
      <c r="N20" s="60"/>
      <c r="O20" s="60" t="s">
        <v>149</v>
      </c>
      <c r="P20" s="60" t="s">
        <v>150</v>
      </c>
      <c r="Q20" s="96" t="s">
        <v>137</v>
      </c>
      <c r="R20" s="60" t="s">
        <v>138</v>
      </c>
      <c r="S20" s="60" t="s">
        <v>139</v>
      </c>
      <c r="T20" s="60">
        <v>100</v>
      </c>
      <c r="U20" s="60" t="s">
        <v>800</v>
      </c>
      <c r="V20" s="137" t="s">
        <v>38</v>
      </c>
      <c r="W20" s="138">
        <v>46068</v>
      </c>
      <c r="X20" s="60" t="s">
        <v>40</v>
      </c>
      <c r="Y20" s="60" t="s">
        <v>41</v>
      </c>
      <c r="Z20" s="129" t="s">
        <v>720</v>
      </c>
      <c r="AA20" s="64" t="s">
        <v>55</v>
      </c>
      <c r="AB20" s="97" t="s">
        <v>151</v>
      </c>
      <c r="AC20" s="66" t="str">
        <f t="shared" ca="1" si="0"/>
        <v/>
      </c>
      <c r="AD20" s="67">
        <f t="shared" ca="1" si="1"/>
        <v>0</v>
      </c>
      <c r="AE20" s="67">
        <f t="shared" ca="1" si="2"/>
        <v>0</v>
      </c>
      <c r="AF20" s="67">
        <f t="shared" ca="1" si="3"/>
        <v>0</v>
      </c>
      <c r="AG20" s="67">
        <f t="shared" ca="1" si="4"/>
        <v>0</v>
      </c>
      <c r="AH20" s="94" t="s">
        <v>639</v>
      </c>
      <c r="AI20" s="98">
        <v>46068</v>
      </c>
      <c r="AJ20" s="67">
        <v>1</v>
      </c>
    </row>
    <row r="21" spans="1:36" ht="91.2">
      <c r="A21" s="141">
        <v>230</v>
      </c>
      <c r="B21" s="75" t="s">
        <v>26</v>
      </c>
      <c r="C21" s="75" t="s">
        <v>27</v>
      </c>
      <c r="D21" s="75" t="s">
        <v>28</v>
      </c>
      <c r="E21" s="75" t="s">
        <v>29</v>
      </c>
      <c r="F21" s="75">
        <v>2025</v>
      </c>
      <c r="G21" s="75">
        <v>90</v>
      </c>
      <c r="H21" s="75" t="s">
        <v>152</v>
      </c>
      <c r="I21" s="75">
        <v>1</v>
      </c>
      <c r="J21" s="61" t="s">
        <v>31</v>
      </c>
      <c r="K21" s="62"/>
      <c r="L21" s="60" t="s">
        <v>32</v>
      </c>
      <c r="M21" s="60"/>
      <c r="N21" s="60"/>
      <c r="O21" s="75" t="s">
        <v>153</v>
      </c>
      <c r="P21" s="75" t="s">
        <v>154</v>
      </c>
      <c r="Q21" s="75" t="s">
        <v>155</v>
      </c>
      <c r="R21" s="60" t="s">
        <v>156</v>
      </c>
      <c r="S21" s="60" t="s">
        <v>157</v>
      </c>
      <c r="T21" s="60">
        <v>100</v>
      </c>
      <c r="U21" s="75" t="s">
        <v>809</v>
      </c>
      <c r="V21" s="142" t="s">
        <v>38</v>
      </c>
      <c r="W21" s="242" t="s">
        <v>775</v>
      </c>
      <c r="X21" s="75" t="s">
        <v>40</v>
      </c>
      <c r="Y21" s="75" t="s">
        <v>41</v>
      </c>
      <c r="Z21" s="144"/>
      <c r="AA21" s="145" t="s">
        <v>174</v>
      </c>
      <c r="AB21" s="146" t="s">
        <v>159</v>
      </c>
      <c r="AC21" s="147" t="str">
        <f t="shared" ca="1" si="0"/>
        <v/>
      </c>
      <c r="AD21" s="148">
        <f t="shared" ca="1" si="1"/>
        <v>0</v>
      </c>
      <c r="AE21" s="148">
        <f t="shared" ca="1" si="2"/>
        <v>0</v>
      </c>
      <c r="AF21" s="148">
        <f t="shared" ca="1" si="3"/>
        <v>0</v>
      </c>
      <c r="AG21" s="148">
        <f t="shared" ca="1" si="4"/>
        <v>0</v>
      </c>
      <c r="AH21" s="149" t="s">
        <v>639</v>
      </c>
      <c r="AI21" s="148"/>
      <c r="AJ21" s="67">
        <v>1</v>
      </c>
    </row>
    <row r="22" spans="1:36" ht="91.2">
      <c r="A22" s="141">
        <v>232</v>
      </c>
      <c r="B22" s="75" t="s">
        <v>26</v>
      </c>
      <c r="C22" s="75" t="s">
        <v>27</v>
      </c>
      <c r="D22" s="75" t="s">
        <v>28</v>
      </c>
      <c r="E22" s="75" t="s">
        <v>29</v>
      </c>
      <c r="F22" s="75">
        <v>2025</v>
      </c>
      <c r="G22" s="75">
        <v>90</v>
      </c>
      <c r="H22" s="75" t="s">
        <v>160</v>
      </c>
      <c r="I22" s="75">
        <v>1</v>
      </c>
      <c r="J22" s="61" t="s">
        <v>31</v>
      </c>
      <c r="K22" s="62"/>
      <c r="L22" s="60" t="s">
        <v>32</v>
      </c>
      <c r="M22" s="60"/>
      <c r="N22" s="60"/>
      <c r="O22" s="75" t="s">
        <v>161</v>
      </c>
      <c r="P22" s="75" t="s">
        <v>162</v>
      </c>
      <c r="Q22" s="75" t="s">
        <v>155</v>
      </c>
      <c r="R22" s="60" t="s">
        <v>156</v>
      </c>
      <c r="S22" s="60" t="s">
        <v>157</v>
      </c>
      <c r="T22" s="60">
        <v>100</v>
      </c>
      <c r="U22" s="75" t="s">
        <v>809</v>
      </c>
      <c r="V22" s="142" t="s">
        <v>38</v>
      </c>
      <c r="W22" s="142" t="s">
        <v>158</v>
      </c>
      <c r="X22" s="75" t="s">
        <v>40</v>
      </c>
      <c r="Y22" s="75" t="s">
        <v>41</v>
      </c>
      <c r="Z22" s="144"/>
      <c r="AA22" s="145" t="s">
        <v>174</v>
      </c>
      <c r="AB22" s="150" t="s">
        <v>163</v>
      </c>
      <c r="AC22" s="147" t="str">
        <f t="shared" ca="1" si="0"/>
        <v/>
      </c>
      <c r="AD22" s="148">
        <f t="shared" ca="1" si="1"/>
        <v>0</v>
      </c>
      <c r="AE22" s="148">
        <f t="shared" ca="1" si="2"/>
        <v>0</v>
      </c>
      <c r="AF22" s="148">
        <f t="shared" ca="1" si="3"/>
        <v>0</v>
      </c>
      <c r="AG22" s="148">
        <f t="shared" ca="1" si="4"/>
        <v>0</v>
      </c>
      <c r="AH22" s="149" t="s">
        <v>639</v>
      </c>
      <c r="AI22" s="148"/>
      <c r="AJ22" s="67">
        <v>1</v>
      </c>
    </row>
    <row r="23" spans="1:36" ht="91.2">
      <c r="A23" s="141">
        <v>233</v>
      </c>
      <c r="B23" s="75" t="s">
        <v>26</v>
      </c>
      <c r="C23" s="75" t="s">
        <v>27</v>
      </c>
      <c r="D23" s="75" t="s">
        <v>28</v>
      </c>
      <c r="E23" s="75" t="s">
        <v>29</v>
      </c>
      <c r="F23" s="75">
        <v>2025</v>
      </c>
      <c r="G23" s="75">
        <v>90</v>
      </c>
      <c r="H23" s="75" t="s">
        <v>164</v>
      </c>
      <c r="I23" s="75">
        <v>1</v>
      </c>
      <c r="J23" s="61" t="s">
        <v>31</v>
      </c>
      <c r="K23" s="62"/>
      <c r="L23" s="60" t="s">
        <v>32</v>
      </c>
      <c r="M23" s="60"/>
      <c r="N23" s="60"/>
      <c r="O23" s="75" t="s">
        <v>165</v>
      </c>
      <c r="P23" s="75" t="s">
        <v>166</v>
      </c>
      <c r="Q23" s="75" t="s">
        <v>155</v>
      </c>
      <c r="R23" s="60" t="s">
        <v>156</v>
      </c>
      <c r="S23" s="60" t="s">
        <v>157</v>
      </c>
      <c r="T23" s="60">
        <v>100</v>
      </c>
      <c r="U23" s="75" t="s">
        <v>809</v>
      </c>
      <c r="V23" s="142" t="s">
        <v>38</v>
      </c>
      <c r="W23" s="142" t="s">
        <v>158</v>
      </c>
      <c r="X23" s="75" t="s">
        <v>40</v>
      </c>
      <c r="Y23" s="75" t="s">
        <v>41</v>
      </c>
      <c r="Z23" s="144"/>
      <c r="AA23" s="145" t="s">
        <v>174</v>
      </c>
      <c r="AB23" s="150" t="s">
        <v>167</v>
      </c>
      <c r="AC23" s="147" t="str">
        <f t="shared" ca="1" si="0"/>
        <v/>
      </c>
      <c r="AD23" s="148">
        <f t="shared" ca="1" si="1"/>
        <v>0</v>
      </c>
      <c r="AE23" s="148">
        <f t="shared" ca="1" si="2"/>
        <v>0</v>
      </c>
      <c r="AF23" s="148">
        <f t="shared" ca="1" si="3"/>
        <v>0</v>
      </c>
      <c r="AG23" s="148">
        <f t="shared" ca="1" si="4"/>
        <v>0</v>
      </c>
      <c r="AH23" s="149" t="s">
        <v>639</v>
      </c>
      <c r="AI23" s="148"/>
      <c r="AJ23" s="67">
        <v>1</v>
      </c>
    </row>
    <row r="24" spans="1:36" ht="148.19999999999999" hidden="1">
      <c r="A24" s="141">
        <v>244</v>
      </c>
      <c r="B24" s="75" t="s">
        <v>26</v>
      </c>
      <c r="C24" s="75" t="s">
        <v>27</v>
      </c>
      <c r="D24" s="75" t="s">
        <v>28</v>
      </c>
      <c r="E24" s="75" t="s">
        <v>29</v>
      </c>
      <c r="F24" s="75">
        <v>2025</v>
      </c>
      <c r="G24" s="75">
        <v>90</v>
      </c>
      <c r="H24" s="75" t="s">
        <v>168</v>
      </c>
      <c r="I24" s="75">
        <v>1</v>
      </c>
      <c r="J24" s="61" t="s">
        <v>31</v>
      </c>
      <c r="K24" s="62"/>
      <c r="L24" s="60" t="s">
        <v>32</v>
      </c>
      <c r="M24" s="60"/>
      <c r="N24" s="60"/>
      <c r="O24" s="75" t="s">
        <v>169</v>
      </c>
      <c r="P24" s="75" t="s">
        <v>170</v>
      </c>
      <c r="Q24" s="75" t="s">
        <v>171</v>
      </c>
      <c r="R24" s="60" t="s">
        <v>172</v>
      </c>
      <c r="S24" s="60" t="s">
        <v>173</v>
      </c>
      <c r="T24" s="60">
        <v>100</v>
      </c>
      <c r="U24" s="75" t="s">
        <v>803</v>
      </c>
      <c r="V24" s="142" t="s">
        <v>38</v>
      </c>
      <c r="W24" s="143">
        <v>46022</v>
      </c>
      <c r="X24" s="75" t="s">
        <v>40</v>
      </c>
      <c r="Y24" s="75" t="s">
        <v>41</v>
      </c>
      <c r="Z24" s="144" t="s">
        <v>776</v>
      </c>
      <c r="AA24" s="145" t="s">
        <v>55</v>
      </c>
      <c r="AB24" s="146" t="s">
        <v>175</v>
      </c>
      <c r="AC24" s="147" t="str">
        <f t="shared" ca="1" si="0"/>
        <v/>
      </c>
      <c r="AD24" s="148">
        <f t="shared" ca="1" si="1"/>
        <v>0</v>
      </c>
      <c r="AE24" s="148">
        <f t="shared" ca="1" si="2"/>
        <v>0</v>
      </c>
      <c r="AF24" s="148">
        <f t="shared" ca="1" si="3"/>
        <v>0</v>
      </c>
      <c r="AG24" s="148">
        <f t="shared" ca="1" si="4"/>
        <v>0</v>
      </c>
      <c r="AH24" s="149" t="s">
        <v>651</v>
      </c>
      <c r="AI24" s="220">
        <v>46219</v>
      </c>
      <c r="AJ24" s="67">
        <v>0.5</v>
      </c>
    </row>
    <row r="25" spans="1:36" ht="193.8" hidden="1">
      <c r="A25" s="59">
        <v>245</v>
      </c>
      <c r="B25" s="60" t="s">
        <v>26</v>
      </c>
      <c r="C25" s="60" t="s">
        <v>27</v>
      </c>
      <c r="D25" s="60" t="s">
        <v>28</v>
      </c>
      <c r="E25" s="60" t="s">
        <v>29</v>
      </c>
      <c r="F25" s="60">
        <v>2025</v>
      </c>
      <c r="G25" s="60">
        <v>90</v>
      </c>
      <c r="H25" s="60" t="s">
        <v>168</v>
      </c>
      <c r="I25" s="60">
        <v>2</v>
      </c>
      <c r="J25" s="61" t="s">
        <v>31</v>
      </c>
      <c r="K25" s="62"/>
      <c r="L25" s="60" t="s">
        <v>32</v>
      </c>
      <c r="M25" s="60"/>
      <c r="N25" s="60"/>
      <c r="O25" s="60" t="s">
        <v>169</v>
      </c>
      <c r="P25" s="60" t="s">
        <v>170</v>
      </c>
      <c r="Q25" s="60" t="s">
        <v>176</v>
      </c>
      <c r="R25" s="60" t="s">
        <v>177</v>
      </c>
      <c r="S25" s="60" t="s">
        <v>178</v>
      </c>
      <c r="T25" s="60">
        <v>100</v>
      </c>
      <c r="U25" s="60" t="s">
        <v>810</v>
      </c>
      <c r="V25" s="137" t="s">
        <v>38</v>
      </c>
      <c r="W25" s="138">
        <v>46081</v>
      </c>
      <c r="X25" s="60" t="s">
        <v>40</v>
      </c>
      <c r="Y25" s="60" t="s">
        <v>41</v>
      </c>
      <c r="Z25" s="99" t="s">
        <v>656</v>
      </c>
      <c r="AA25" s="64" t="s">
        <v>55</v>
      </c>
      <c r="AB25" s="97" t="s">
        <v>175</v>
      </c>
      <c r="AC25" s="66" t="str">
        <f t="shared" ca="1" si="0"/>
        <v/>
      </c>
      <c r="AD25" s="67">
        <f t="shared" ca="1" si="1"/>
        <v>0</v>
      </c>
      <c r="AE25" s="67">
        <f t="shared" ca="1" si="2"/>
        <v>0</v>
      </c>
      <c r="AF25" s="67">
        <f t="shared" ca="1" si="3"/>
        <v>0</v>
      </c>
      <c r="AG25" s="67">
        <f t="shared" ca="1" si="4"/>
        <v>0</v>
      </c>
      <c r="AH25" s="94" t="s">
        <v>647</v>
      </c>
      <c r="AI25" s="98">
        <v>46082</v>
      </c>
      <c r="AJ25" s="67">
        <v>0.5</v>
      </c>
    </row>
    <row r="26" spans="1:36" ht="136.80000000000001">
      <c r="A26" s="59">
        <v>246</v>
      </c>
      <c r="B26" s="60" t="s">
        <v>26</v>
      </c>
      <c r="C26" s="60" t="s">
        <v>27</v>
      </c>
      <c r="D26" s="60" t="s">
        <v>28</v>
      </c>
      <c r="E26" s="60" t="s">
        <v>29</v>
      </c>
      <c r="F26" s="60">
        <v>2025</v>
      </c>
      <c r="G26" s="60">
        <v>90</v>
      </c>
      <c r="H26" s="60" t="s">
        <v>179</v>
      </c>
      <c r="I26" s="60">
        <v>1</v>
      </c>
      <c r="J26" s="61" t="s">
        <v>31</v>
      </c>
      <c r="K26" s="62"/>
      <c r="L26" s="60" t="s">
        <v>32</v>
      </c>
      <c r="M26" s="60"/>
      <c r="N26" s="60"/>
      <c r="O26" s="60" t="s">
        <v>180</v>
      </c>
      <c r="P26" s="60" t="s">
        <v>181</v>
      </c>
      <c r="Q26" s="60" t="s">
        <v>182</v>
      </c>
      <c r="R26" s="60" t="s">
        <v>183</v>
      </c>
      <c r="S26" s="60" t="s">
        <v>184</v>
      </c>
      <c r="T26" s="60">
        <v>100</v>
      </c>
      <c r="U26" s="60" t="s">
        <v>801</v>
      </c>
      <c r="V26" s="137" t="s">
        <v>38</v>
      </c>
      <c r="W26" s="137" t="s">
        <v>86</v>
      </c>
      <c r="X26" s="60" t="s">
        <v>40</v>
      </c>
      <c r="Y26" s="60" t="s">
        <v>41</v>
      </c>
      <c r="Z26" s="99"/>
      <c r="AA26" s="64" t="s">
        <v>42</v>
      </c>
      <c r="AB26" s="97" t="s">
        <v>185</v>
      </c>
      <c r="AC26" s="66">
        <f t="shared" ca="1" si="0"/>
        <v>-6</v>
      </c>
      <c r="AD26" s="67">
        <f t="shared" ca="1" si="1"/>
        <v>0</v>
      </c>
      <c r="AE26" s="67">
        <f t="shared" ca="1" si="2"/>
        <v>0</v>
      </c>
      <c r="AF26" s="67">
        <f t="shared" ca="1" si="3"/>
        <v>0</v>
      </c>
      <c r="AG26" s="67">
        <f t="shared" ca="1" si="4"/>
        <v>0</v>
      </c>
      <c r="AH26" s="94" t="s">
        <v>648</v>
      </c>
      <c r="AI26" s="67"/>
      <c r="AJ26" s="67" t="s">
        <v>794</v>
      </c>
    </row>
    <row r="27" spans="1:36" ht="193.8">
      <c r="A27" s="59">
        <v>247</v>
      </c>
      <c r="B27" s="60" t="s">
        <v>26</v>
      </c>
      <c r="C27" s="60" t="s">
        <v>27</v>
      </c>
      <c r="D27" s="60" t="s">
        <v>28</v>
      </c>
      <c r="E27" s="60" t="s">
        <v>29</v>
      </c>
      <c r="F27" s="60">
        <v>2025</v>
      </c>
      <c r="G27" s="60">
        <v>90</v>
      </c>
      <c r="H27" s="60" t="s">
        <v>179</v>
      </c>
      <c r="I27" s="60">
        <v>2</v>
      </c>
      <c r="J27" s="61" t="s">
        <v>31</v>
      </c>
      <c r="K27" s="62"/>
      <c r="L27" s="60" t="s">
        <v>32</v>
      </c>
      <c r="M27" s="60"/>
      <c r="N27" s="60"/>
      <c r="O27" s="60" t="s">
        <v>180</v>
      </c>
      <c r="P27" s="60" t="s">
        <v>181</v>
      </c>
      <c r="Q27" s="60" t="s">
        <v>186</v>
      </c>
      <c r="R27" s="60" t="s">
        <v>187</v>
      </c>
      <c r="S27" s="60" t="s">
        <v>188</v>
      </c>
      <c r="T27" s="60">
        <v>100</v>
      </c>
      <c r="U27" s="60" t="s">
        <v>801</v>
      </c>
      <c r="V27" s="137" t="s">
        <v>38</v>
      </c>
      <c r="W27" s="137" t="s">
        <v>86</v>
      </c>
      <c r="X27" s="60" t="s">
        <v>40</v>
      </c>
      <c r="Y27" s="60" t="s">
        <v>41</v>
      </c>
      <c r="Z27" s="99"/>
      <c r="AA27" s="64" t="s">
        <v>42</v>
      </c>
      <c r="AB27" s="97" t="s">
        <v>189</v>
      </c>
      <c r="AC27" s="66">
        <f t="shared" ca="1" si="0"/>
        <v>-6</v>
      </c>
      <c r="AD27" s="67">
        <f t="shared" ca="1" si="1"/>
        <v>0</v>
      </c>
      <c r="AE27" s="67">
        <f t="shared" ca="1" si="2"/>
        <v>0</v>
      </c>
      <c r="AF27" s="67">
        <f t="shared" ca="1" si="3"/>
        <v>0</v>
      </c>
      <c r="AG27" s="67">
        <f t="shared" ca="1" si="4"/>
        <v>0</v>
      </c>
      <c r="AH27" s="94" t="s">
        <v>648</v>
      </c>
      <c r="AI27" s="67"/>
      <c r="AJ27" s="67" t="s">
        <v>794</v>
      </c>
    </row>
    <row r="28" spans="1:36" ht="91.2">
      <c r="A28" s="59">
        <v>255</v>
      </c>
      <c r="B28" s="60" t="s">
        <v>26</v>
      </c>
      <c r="C28" s="60" t="s">
        <v>27</v>
      </c>
      <c r="D28" s="60" t="s">
        <v>28</v>
      </c>
      <c r="E28" s="60" t="s">
        <v>29</v>
      </c>
      <c r="F28" s="60">
        <v>2025</v>
      </c>
      <c r="G28" s="60">
        <v>90</v>
      </c>
      <c r="H28" s="60" t="s">
        <v>190</v>
      </c>
      <c r="I28" s="60">
        <v>1</v>
      </c>
      <c r="J28" s="61" t="s">
        <v>31</v>
      </c>
      <c r="K28" s="62"/>
      <c r="L28" s="60" t="s">
        <v>32</v>
      </c>
      <c r="M28" s="60"/>
      <c r="N28" s="60"/>
      <c r="O28" s="60" t="s">
        <v>191</v>
      </c>
      <c r="P28" s="60" t="s">
        <v>192</v>
      </c>
      <c r="Q28" s="60" t="s">
        <v>193</v>
      </c>
      <c r="R28" s="60" t="s">
        <v>194</v>
      </c>
      <c r="S28" s="60" t="s">
        <v>195</v>
      </c>
      <c r="T28" s="60">
        <v>100</v>
      </c>
      <c r="U28" s="60" t="s">
        <v>802</v>
      </c>
      <c r="V28" s="137" t="s">
        <v>38</v>
      </c>
      <c r="W28" s="137" t="s">
        <v>86</v>
      </c>
      <c r="X28" s="60" t="s">
        <v>40</v>
      </c>
      <c r="Y28" s="60" t="s">
        <v>41</v>
      </c>
      <c r="Z28" s="99"/>
      <c r="AA28" s="64" t="s">
        <v>42</v>
      </c>
      <c r="AB28" s="97" t="s">
        <v>196</v>
      </c>
      <c r="AC28" s="66">
        <f t="shared" ca="1" si="0"/>
        <v>-6</v>
      </c>
      <c r="AD28" s="67">
        <f t="shared" ca="1" si="1"/>
        <v>0</v>
      </c>
      <c r="AE28" s="67">
        <f t="shared" ca="1" si="2"/>
        <v>0</v>
      </c>
      <c r="AF28" s="67">
        <f t="shared" ca="1" si="3"/>
        <v>0</v>
      </c>
      <c r="AG28" s="67">
        <f t="shared" ca="1" si="4"/>
        <v>0</v>
      </c>
      <c r="AH28" s="94" t="s">
        <v>644</v>
      </c>
      <c r="AI28" s="67"/>
      <c r="AJ28" s="67">
        <v>1</v>
      </c>
    </row>
    <row r="29" spans="1:36" ht="102.6">
      <c r="A29" s="59">
        <v>256</v>
      </c>
      <c r="B29" s="60" t="s">
        <v>26</v>
      </c>
      <c r="C29" s="60" t="s">
        <v>27</v>
      </c>
      <c r="D29" s="60" t="s">
        <v>28</v>
      </c>
      <c r="E29" s="60" t="s">
        <v>29</v>
      </c>
      <c r="F29" s="60">
        <v>2025</v>
      </c>
      <c r="G29" s="60">
        <v>90</v>
      </c>
      <c r="H29" s="60" t="s">
        <v>197</v>
      </c>
      <c r="I29" s="60">
        <v>1</v>
      </c>
      <c r="J29" s="61" t="s">
        <v>31</v>
      </c>
      <c r="K29" s="62"/>
      <c r="L29" s="60" t="s">
        <v>32</v>
      </c>
      <c r="M29" s="60"/>
      <c r="N29" s="60"/>
      <c r="O29" s="60" t="s">
        <v>198</v>
      </c>
      <c r="P29" s="60" t="s">
        <v>199</v>
      </c>
      <c r="Q29" s="60" t="s">
        <v>200</v>
      </c>
      <c r="R29" s="60" t="s">
        <v>201</v>
      </c>
      <c r="S29" s="60" t="s">
        <v>202</v>
      </c>
      <c r="T29" s="60">
        <v>100</v>
      </c>
      <c r="U29" s="60" t="s">
        <v>799</v>
      </c>
      <c r="V29" s="137" t="s">
        <v>38</v>
      </c>
      <c r="W29" s="137" t="s">
        <v>86</v>
      </c>
      <c r="X29" s="60" t="s">
        <v>40</v>
      </c>
      <c r="Y29" s="60" t="s">
        <v>41</v>
      </c>
      <c r="Z29" s="99"/>
      <c r="AA29" s="64" t="s">
        <v>42</v>
      </c>
      <c r="AB29" s="97" t="s">
        <v>203</v>
      </c>
      <c r="AC29" s="66">
        <f t="shared" ca="1" si="0"/>
        <v>-6</v>
      </c>
      <c r="AD29" s="67">
        <f t="shared" ca="1" si="1"/>
        <v>0</v>
      </c>
      <c r="AE29" s="67">
        <f t="shared" ca="1" si="2"/>
        <v>0</v>
      </c>
      <c r="AF29" s="67">
        <f t="shared" ca="1" si="3"/>
        <v>0</v>
      </c>
      <c r="AG29" s="67">
        <f t="shared" ca="1" si="4"/>
        <v>0</v>
      </c>
      <c r="AH29" s="94" t="s">
        <v>653</v>
      </c>
      <c r="AI29" s="67"/>
      <c r="AJ29" s="67">
        <v>1</v>
      </c>
    </row>
    <row r="30" spans="1:36" ht="91.2" hidden="1">
      <c r="A30" s="151">
        <v>259</v>
      </c>
      <c r="B30" s="152" t="s">
        <v>26</v>
      </c>
      <c r="C30" s="152" t="s">
        <v>27</v>
      </c>
      <c r="D30" s="152" t="s">
        <v>28</v>
      </c>
      <c r="E30" s="152" t="s">
        <v>29</v>
      </c>
      <c r="F30" s="152">
        <v>2025</v>
      </c>
      <c r="G30" s="152">
        <v>90</v>
      </c>
      <c r="H30" s="152" t="s">
        <v>204</v>
      </c>
      <c r="I30" s="152">
        <v>1</v>
      </c>
      <c r="J30" s="61" t="s">
        <v>31</v>
      </c>
      <c r="K30" s="62"/>
      <c r="L30" s="60" t="s">
        <v>32</v>
      </c>
      <c r="M30" s="60"/>
      <c r="N30" s="60"/>
      <c r="O30" s="152" t="s">
        <v>205</v>
      </c>
      <c r="P30" s="152" t="s">
        <v>206</v>
      </c>
      <c r="Q30" s="152" t="s">
        <v>207</v>
      </c>
      <c r="R30" s="60" t="s">
        <v>208</v>
      </c>
      <c r="S30" s="60" t="s">
        <v>209</v>
      </c>
      <c r="T30" s="60">
        <v>100</v>
      </c>
      <c r="U30" s="152" t="s">
        <v>802</v>
      </c>
      <c r="V30" s="153" t="s">
        <v>38</v>
      </c>
      <c r="W30" s="221">
        <v>46203</v>
      </c>
      <c r="X30" s="152" t="s">
        <v>40</v>
      </c>
      <c r="Y30" s="152" t="s">
        <v>41</v>
      </c>
      <c r="Z30" s="154" t="s">
        <v>822</v>
      </c>
      <c r="AA30" s="155" t="s">
        <v>55</v>
      </c>
      <c r="AB30" s="156" t="s">
        <v>210</v>
      </c>
      <c r="AC30" s="157" t="str">
        <f t="shared" ca="1" si="0"/>
        <v/>
      </c>
      <c r="AD30" s="158">
        <f t="shared" ca="1" si="1"/>
        <v>0</v>
      </c>
      <c r="AE30" s="158">
        <f t="shared" ca="1" si="2"/>
        <v>0</v>
      </c>
      <c r="AF30" s="158">
        <f t="shared" ca="1" si="3"/>
        <v>0</v>
      </c>
      <c r="AG30" s="158">
        <f t="shared" ca="1" si="4"/>
        <v>0</v>
      </c>
      <c r="AH30" s="159" t="s">
        <v>644</v>
      </c>
      <c r="AI30" s="222">
        <v>46203</v>
      </c>
      <c r="AJ30" s="67">
        <v>0.5</v>
      </c>
    </row>
    <row r="31" spans="1:36" ht="91.2" hidden="1">
      <c r="A31" s="141">
        <v>260</v>
      </c>
      <c r="B31" s="75" t="s">
        <v>26</v>
      </c>
      <c r="C31" s="75" t="s">
        <v>27</v>
      </c>
      <c r="D31" s="75" t="s">
        <v>28</v>
      </c>
      <c r="E31" s="75" t="s">
        <v>29</v>
      </c>
      <c r="F31" s="75">
        <v>2025</v>
      </c>
      <c r="G31" s="75">
        <v>90</v>
      </c>
      <c r="H31" s="75" t="s">
        <v>204</v>
      </c>
      <c r="I31" s="75">
        <v>2</v>
      </c>
      <c r="J31" s="61" t="s">
        <v>31</v>
      </c>
      <c r="K31" s="62"/>
      <c r="L31" s="60" t="s">
        <v>32</v>
      </c>
      <c r="M31" s="60"/>
      <c r="N31" s="60"/>
      <c r="O31" s="75" t="s">
        <v>205</v>
      </c>
      <c r="P31" s="75" t="s">
        <v>206</v>
      </c>
      <c r="Q31" s="75" t="s">
        <v>211</v>
      </c>
      <c r="R31" s="60" t="s">
        <v>212</v>
      </c>
      <c r="S31" s="60" t="s">
        <v>213</v>
      </c>
      <c r="T31" s="60">
        <v>100</v>
      </c>
      <c r="U31" s="75" t="s">
        <v>799</v>
      </c>
      <c r="V31" s="142" t="s">
        <v>38</v>
      </c>
      <c r="W31" s="143">
        <v>46081</v>
      </c>
      <c r="X31" s="75" t="s">
        <v>40</v>
      </c>
      <c r="Y31" s="75" t="s">
        <v>41</v>
      </c>
      <c r="Z31" s="160" t="s">
        <v>777</v>
      </c>
      <c r="AA31" s="145" t="s">
        <v>55</v>
      </c>
      <c r="AB31" s="146" t="s">
        <v>214</v>
      </c>
      <c r="AC31" s="147" t="str">
        <f t="shared" ca="1" si="0"/>
        <v/>
      </c>
      <c r="AD31" s="148">
        <f t="shared" ca="1" si="1"/>
        <v>0</v>
      </c>
      <c r="AE31" s="148">
        <f t="shared" ca="1" si="2"/>
        <v>0</v>
      </c>
      <c r="AF31" s="148">
        <f t="shared" ca="1" si="3"/>
        <v>0</v>
      </c>
      <c r="AG31" s="148">
        <f t="shared" ca="1" si="4"/>
        <v>0</v>
      </c>
      <c r="AH31" s="149" t="s">
        <v>653</v>
      </c>
      <c r="AI31" s="220">
        <v>46081</v>
      </c>
      <c r="AJ31" s="67">
        <v>0.5</v>
      </c>
    </row>
    <row r="32" spans="1:36" ht="136.80000000000001">
      <c r="A32" s="141">
        <v>261</v>
      </c>
      <c r="B32" s="75" t="s">
        <v>26</v>
      </c>
      <c r="C32" s="75" t="s">
        <v>27</v>
      </c>
      <c r="D32" s="75" t="s">
        <v>28</v>
      </c>
      <c r="E32" s="75" t="s">
        <v>29</v>
      </c>
      <c r="F32" s="75">
        <v>2025</v>
      </c>
      <c r="G32" s="75">
        <v>90</v>
      </c>
      <c r="H32" s="75" t="s">
        <v>215</v>
      </c>
      <c r="I32" s="75">
        <v>1</v>
      </c>
      <c r="J32" s="61" t="s">
        <v>31</v>
      </c>
      <c r="K32" s="62"/>
      <c r="L32" s="60" t="s">
        <v>32</v>
      </c>
      <c r="M32" s="60"/>
      <c r="N32" s="60"/>
      <c r="O32" s="75" t="s">
        <v>216</v>
      </c>
      <c r="P32" s="75" t="s">
        <v>217</v>
      </c>
      <c r="Q32" s="75" t="s">
        <v>218</v>
      </c>
      <c r="R32" s="60" t="s">
        <v>219</v>
      </c>
      <c r="S32" s="60" t="s">
        <v>220</v>
      </c>
      <c r="T32" s="60">
        <v>100</v>
      </c>
      <c r="U32" s="75" t="s">
        <v>800</v>
      </c>
      <c r="V32" s="142" t="s">
        <v>38</v>
      </c>
      <c r="W32" s="142" t="s">
        <v>158</v>
      </c>
      <c r="X32" s="75" t="s">
        <v>40</v>
      </c>
      <c r="Y32" s="75" t="s">
        <v>41</v>
      </c>
      <c r="Z32" s="160"/>
      <c r="AA32" s="145" t="s">
        <v>174</v>
      </c>
      <c r="AB32" s="150" t="s">
        <v>221</v>
      </c>
      <c r="AC32" s="147" t="str">
        <f t="shared" ca="1" si="0"/>
        <v/>
      </c>
      <c r="AD32" s="148">
        <f t="shared" ca="1" si="1"/>
        <v>0</v>
      </c>
      <c r="AE32" s="148">
        <f t="shared" ca="1" si="2"/>
        <v>0</v>
      </c>
      <c r="AF32" s="148">
        <f t="shared" ca="1" si="3"/>
        <v>0</v>
      </c>
      <c r="AG32" s="148">
        <f t="shared" ca="1" si="4"/>
        <v>0</v>
      </c>
      <c r="AH32" s="149" t="s">
        <v>639</v>
      </c>
      <c r="AI32" s="148"/>
      <c r="AJ32" s="67">
        <v>0.33</v>
      </c>
    </row>
    <row r="33" spans="1:36" ht="136.80000000000001" hidden="1">
      <c r="A33" s="141">
        <v>262</v>
      </c>
      <c r="B33" s="75" t="s">
        <v>26</v>
      </c>
      <c r="C33" s="75" t="s">
        <v>27</v>
      </c>
      <c r="D33" s="75" t="s">
        <v>28</v>
      </c>
      <c r="E33" s="75" t="s">
        <v>29</v>
      </c>
      <c r="F33" s="75">
        <v>2025</v>
      </c>
      <c r="G33" s="75">
        <v>90</v>
      </c>
      <c r="H33" s="75" t="s">
        <v>215</v>
      </c>
      <c r="I33" s="75">
        <v>2</v>
      </c>
      <c r="J33" s="61" t="s">
        <v>31</v>
      </c>
      <c r="K33" s="62"/>
      <c r="L33" s="60" t="s">
        <v>32</v>
      </c>
      <c r="M33" s="60"/>
      <c r="N33" s="60"/>
      <c r="O33" s="75" t="s">
        <v>216</v>
      </c>
      <c r="P33" s="75" t="s">
        <v>217</v>
      </c>
      <c r="Q33" s="75" t="s">
        <v>222</v>
      </c>
      <c r="R33" s="60" t="s">
        <v>223</v>
      </c>
      <c r="S33" s="60" t="s">
        <v>224</v>
      </c>
      <c r="T33" s="60">
        <v>100</v>
      </c>
      <c r="U33" s="75" t="s">
        <v>800</v>
      </c>
      <c r="V33" s="142" t="s">
        <v>38</v>
      </c>
      <c r="W33" s="143">
        <v>46142</v>
      </c>
      <c r="X33" s="75" t="s">
        <v>40</v>
      </c>
      <c r="Y33" s="75" t="s">
        <v>41</v>
      </c>
      <c r="Z33" s="160" t="s">
        <v>778</v>
      </c>
      <c r="AA33" s="145" t="s">
        <v>55</v>
      </c>
      <c r="AB33" s="146" t="s">
        <v>225</v>
      </c>
      <c r="AC33" s="147" t="str">
        <f t="shared" ca="1" si="0"/>
        <v/>
      </c>
      <c r="AD33" s="148">
        <f t="shared" ca="1" si="1"/>
        <v>0</v>
      </c>
      <c r="AE33" s="148">
        <f t="shared" ca="1" si="2"/>
        <v>0</v>
      </c>
      <c r="AF33" s="148">
        <f t="shared" ca="1" si="3"/>
        <v>0</v>
      </c>
      <c r="AG33" s="148">
        <f t="shared" ca="1" si="4"/>
        <v>0</v>
      </c>
      <c r="AH33" s="149" t="s">
        <v>639</v>
      </c>
      <c r="AI33" s="220">
        <v>46142</v>
      </c>
      <c r="AJ33" s="67">
        <v>0.33</v>
      </c>
    </row>
    <row r="34" spans="1:36" ht="136.80000000000001" hidden="1">
      <c r="A34" s="59">
        <v>263</v>
      </c>
      <c r="B34" s="60" t="s">
        <v>26</v>
      </c>
      <c r="C34" s="60" t="s">
        <v>27</v>
      </c>
      <c r="D34" s="60" t="s">
        <v>28</v>
      </c>
      <c r="E34" s="60" t="s">
        <v>29</v>
      </c>
      <c r="F34" s="60">
        <v>2025</v>
      </c>
      <c r="G34" s="60">
        <v>90</v>
      </c>
      <c r="H34" s="60" t="s">
        <v>215</v>
      </c>
      <c r="I34" s="60">
        <v>3</v>
      </c>
      <c r="J34" s="61" t="s">
        <v>31</v>
      </c>
      <c r="K34" s="62"/>
      <c r="L34" s="60" t="s">
        <v>32</v>
      </c>
      <c r="M34" s="60"/>
      <c r="N34" s="60"/>
      <c r="O34" s="60" t="s">
        <v>216</v>
      </c>
      <c r="P34" s="60" t="s">
        <v>217</v>
      </c>
      <c r="Q34" s="60" t="s">
        <v>226</v>
      </c>
      <c r="R34" s="60" t="s">
        <v>226</v>
      </c>
      <c r="S34" s="60" t="s">
        <v>227</v>
      </c>
      <c r="T34" s="60">
        <v>100</v>
      </c>
      <c r="U34" s="60" t="s">
        <v>798</v>
      </c>
      <c r="V34" s="137" t="s">
        <v>38</v>
      </c>
      <c r="W34" s="217" t="s">
        <v>121</v>
      </c>
      <c r="X34" s="60" t="s">
        <v>40</v>
      </c>
      <c r="Y34" s="60" t="s">
        <v>41</v>
      </c>
      <c r="Z34" s="99"/>
      <c r="AA34" s="64" t="s">
        <v>55</v>
      </c>
      <c r="AB34" s="97" t="s">
        <v>228</v>
      </c>
      <c r="AC34" s="66" t="str">
        <f t="shared" ref="AC34:AC62" ca="1" si="5">IF(AA34="Abierta", DATE(LEFT(W34,4), MID(W34,6,2), RIGHT(W34,2)) - TODAY(), "")</f>
        <v/>
      </c>
      <c r="AD34" s="67">
        <f t="shared" ref="AD34:AD62" ca="1" si="6">IF(AND($AA34="Abierta", $AC34&lt;=10, $AC34&gt;0), 1, 0)</f>
        <v>0</v>
      </c>
      <c r="AE34" s="67">
        <f t="shared" ref="AE34:AE62" ca="1" si="7">IF(AND($AA34="Abierta", $AC34&lt;=20, $AC34&gt;10), 1, 0)</f>
        <v>0</v>
      </c>
      <c r="AF34" s="67">
        <f t="shared" ca="1" si="3"/>
        <v>0</v>
      </c>
      <c r="AG34" s="67">
        <f t="shared" ca="1" si="4"/>
        <v>0</v>
      </c>
      <c r="AH34" s="94" t="s">
        <v>643</v>
      </c>
      <c r="AI34" s="98">
        <v>46111</v>
      </c>
      <c r="AJ34" s="67">
        <v>0.34</v>
      </c>
    </row>
    <row r="35" spans="1:36" ht="148.19999999999999" hidden="1">
      <c r="A35" s="59">
        <v>281</v>
      </c>
      <c r="B35" s="60" t="s">
        <v>26</v>
      </c>
      <c r="C35" s="60" t="s">
        <v>27</v>
      </c>
      <c r="D35" s="60" t="s">
        <v>28</v>
      </c>
      <c r="E35" s="60" t="s">
        <v>29</v>
      </c>
      <c r="F35" s="60">
        <v>2025</v>
      </c>
      <c r="G35" s="60">
        <v>90</v>
      </c>
      <c r="H35" s="60" t="s">
        <v>229</v>
      </c>
      <c r="I35" s="60">
        <v>1</v>
      </c>
      <c r="J35" s="61" t="s">
        <v>31</v>
      </c>
      <c r="K35" s="62"/>
      <c r="L35" s="60" t="s">
        <v>32</v>
      </c>
      <c r="M35" s="60"/>
      <c r="N35" s="60"/>
      <c r="O35" s="60" t="s">
        <v>230</v>
      </c>
      <c r="P35" s="60" t="s">
        <v>231</v>
      </c>
      <c r="Q35" s="60" t="s">
        <v>232</v>
      </c>
      <c r="R35" s="60" t="s">
        <v>233</v>
      </c>
      <c r="S35" s="60" t="s">
        <v>234</v>
      </c>
      <c r="T35" s="60">
        <v>100</v>
      </c>
      <c r="U35" s="60" t="s">
        <v>803</v>
      </c>
      <c r="V35" s="137" t="s">
        <v>38</v>
      </c>
      <c r="W35" s="138">
        <v>46203</v>
      </c>
      <c r="X35" s="60" t="s">
        <v>40</v>
      </c>
      <c r="Y35" s="60" t="s">
        <v>41</v>
      </c>
      <c r="Z35" s="99" t="s">
        <v>779</v>
      </c>
      <c r="AA35" s="64" t="s">
        <v>55</v>
      </c>
      <c r="AB35" s="97" t="s">
        <v>235</v>
      </c>
      <c r="AC35" s="66" t="str">
        <f t="shared" ca="1" si="5"/>
        <v/>
      </c>
      <c r="AD35" s="67">
        <f t="shared" ca="1" si="6"/>
        <v>0</v>
      </c>
      <c r="AE35" s="67">
        <f t="shared" ca="1" si="7"/>
        <v>0</v>
      </c>
      <c r="AF35" s="67">
        <f t="shared" ca="1" si="3"/>
        <v>0</v>
      </c>
      <c r="AG35" s="67">
        <f t="shared" ca="1" si="4"/>
        <v>0</v>
      </c>
      <c r="AH35" s="94" t="s">
        <v>652</v>
      </c>
      <c r="AI35" s="98">
        <v>46203</v>
      </c>
      <c r="AJ35" s="67">
        <v>1</v>
      </c>
    </row>
    <row r="36" spans="1:36" ht="136.80000000000001" hidden="1">
      <c r="A36" s="59">
        <v>181</v>
      </c>
      <c r="B36" s="60" t="s">
        <v>236</v>
      </c>
      <c r="C36" s="60" t="s">
        <v>27</v>
      </c>
      <c r="D36" s="60" t="s">
        <v>28</v>
      </c>
      <c r="E36" s="60" t="s">
        <v>29</v>
      </c>
      <c r="F36" s="60">
        <v>2024</v>
      </c>
      <c r="G36" s="60">
        <v>90</v>
      </c>
      <c r="H36" s="60" t="s">
        <v>237</v>
      </c>
      <c r="I36" s="61">
        <v>1</v>
      </c>
      <c r="J36" s="61" t="s">
        <v>31</v>
      </c>
      <c r="K36" s="62"/>
      <c r="L36" s="60" t="s">
        <v>238</v>
      </c>
      <c r="M36" s="60"/>
      <c r="N36" s="60"/>
      <c r="O36" s="60" t="s">
        <v>239</v>
      </c>
      <c r="P36" s="60" t="s">
        <v>240</v>
      </c>
      <c r="Q36" s="60" t="s">
        <v>241</v>
      </c>
      <c r="R36" s="60" t="s">
        <v>242</v>
      </c>
      <c r="S36" s="60" t="s">
        <v>243</v>
      </c>
      <c r="T36" s="60">
        <v>100</v>
      </c>
      <c r="U36" s="60" t="s">
        <v>800</v>
      </c>
      <c r="V36" s="137" t="s">
        <v>244</v>
      </c>
      <c r="W36" s="138">
        <v>45626</v>
      </c>
      <c r="X36" s="60" t="s">
        <v>40</v>
      </c>
      <c r="Y36" s="61" t="s">
        <v>41</v>
      </c>
      <c r="Z36" s="129" t="s">
        <v>245</v>
      </c>
      <c r="AA36" s="71" t="s">
        <v>55</v>
      </c>
      <c r="AB36" s="72" t="s">
        <v>246</v>
      </c>
      <c r="AC36" s="66" t="str">
        <f t="shared" ca="1" si="5"/>
        <v/>
      </c>
      <c r="AD36" s="67">
        <f t="shared" ca="1" si="6"/>
        <v>0</v>
      </c>
      <c r="AE36" s="67">
        <f t="shared" ca="1" si="7"/>
        <v>0</v>
      </c>
      <c r="AF36" s="67">
        <f t="shared" ca="1" si="3"/>
        <v>0</v>
      </c>
      <c r="AG36" s="67">
        <f t="shared" ca="1" si="4"/>
        <v>0</v>
      </c>
      <c r="AH36" s="91" t="s">
        <v>639</v>
      </c>
      <c r="AI36" s="98">
        <v>45626</v>
      </c>
      <c r="AJ36" s="67">
        <v>0.33</v>
      </c>
    </row>
    <row r="37" spans="1:36" ht="91.2" hidden="1">
      <c r="A37" s="59">
        <v>182</v>
      </c>
      <c r="B37" s="60" t="s">
        <v>236</v>
      </c>
      <c r="C37" s="60" t="s">
        <v>27</v>
      </c>
      <c r="D37" s="60" t="s">
        <v>28</v>
      </c>
      <c r="E37" s="60" t="s">
        <v>29</v>
      </c>
      <c r="F37" s="60">
        <v>2024</v>
      </c>
      <c r="G37" s="60">
        <v>90</v>
      </c>
      <c r="H37" s="60" t="s">
        <v>237</v>
      </c>
      <c r="I37" s="61">
        <v>2</v>
      </c>
      <c r="J37" s="61" t="s">
        <v>31</v>
      </c>
      <c r="K37" s="62"/>
      <c r="L37" s="60" t="s">
        <v>238</v>
      </c>
      <c r="M37" s="60"/>
      <c r="N37" s="60"/>
      <c r="O37" s="60" t="s">
        <v>239</v>
      </c>
      <c r="P37" s="60" t="s">
        <v>240</v>
      </c>
      <c r="Q37" s="60" t="s">
        <v>247</v>
      </c>
      <c r="R37" s="60" t="s">
        <v>248</v>
      </c>
      <c r="S37" s="60" t="s">
        <v>249</v>
      </c>
      <c r="T37" s="60">
        <v>100</v>
      </c>
      <c r="U37" s="60" t="s">
        <v>811</v>
      </c>
      <c r="V37" s="137" t="s">
        <v>244</v>
      </c>
      <c r="W37" s="138">
        <v>45626</v>
      </c>
      <c r="X37" s="60" t="s">
        <v>40</v>
      </c>
      <c r="Y37" s="61" t="s">
        <v>41</v>
      </c>
      <c r="Z37" s="129" t="s">
        <v>250</v>
      </c>
      <c r="AA37" s="71" t="s">
        <v>55</v>
      </c>
      <c r="AB37" s="73" t="s">
        <v>251</v>
      </c>
      <c r="AC37" s="66" t="str">
        <f t="shared" ca="1" si="5"/>
        <v/>
      </c>
      <c r="AD37" s="67">
        <f t="shared" ca="1" si="6"/>
        <v>0</v>
      </c>
      <c r="AE37" s="67">
        <f t="shared" ca="1" si="7"/>
        <v>0</v>
      </c>
      <c r="AF37" s="67">
        <f t="shared" ca="1" si="3"/>
        <v>0</v>
      </c>
      <c r="AG37" s="67">
        <f t="shared" ca="1" si="4"/>
        <v>0</v>
      </c>
      <c r="AH37" s="92"/>
      <c r="AI37" s="98">
        <v>45626</v>
      </c>
      <c r="AJ37" s="67">
        <v>0.33</v>
      </c>
    </row>
    <row r="38" spans="1:36" ht="125.4" hidden="1">
      <c r="A38" s="59">
        <v>183</v>
      </c>
      <c r="B38" s="60" t="s">
        <v>236</v>
      </c>
      <c r="C38" s="60" t="s">
        <v>27</v>
      </c>
      <c r="D38" s="60" t="s">
        <v>28</v>
      </c>
      <c r="E38" s="60" t="s">
        <v>29</v>
      </c>
      <c r="F38" s="60">
        <v>2024</v>
      </c>
      <c r="G38" s="60">
        <v>90</v>
      </c>
      <c r="H38" s="60" t="s">
        <v>237</v>
      </c>
      <c r="I38" s="61">
        <v>3</v>
      </c>
      <c r="J38" s="61" t="s">
        <v>31</v>
      </c>
      <c r="K38" s="62"/>
      <c r="L38" s="60" t="s">
        <v>238</v>
      </c>
      <c r="M38" s="60"/>
      <c r="N38" s="60"/>
      <c r="O38" s="60" t="s">
        <v>239</v>
      </c>
      <c r="P38" s="60" t="s">
        <v>240</v>
      </c>
      <c r="Q38" s="60" t="s">
        <v>252</v>
      </c>
      <c r="R38" s="60" t="s">
        <v>253</v>
      </c>
      <c r="S38" s="60" t="s">
        <v>254</v>
      </c>
      <c r="T38" s="60">
        <v>100</v>
      </c>
      <c r="U38" s="60" t="s">
        <v>801</v>
      </c>
      <c r="V38" s="137" t="s">
        <v>244</v>
      </c>
      <c r="W38" s="223">
        <v>45657</v>
      </c>
      <c r="X38" s="60" t="s">
        <v>40</v>
      </c>
      <c r="Y38" s="61" t="s">
        <v>41</v>
      </c>
      <c r="Z38" s="129" t="s">
        <v>255</v>
      </c>
      <c r="AA38" s="71" t="s">
        <v>55</v>
      </c>
      <c r="AB38" s="73" t="s">
        <v>256</v>
      </c>
      <c r="AC38" s="66" t="str">
        <f t="shared" ca="1" si="5"/>
        <v/>
      </c>
      <c r="AD38" s="67">
        <f t="shared" ca="1" si="6"/>
        <v>0</v>
      </c>
      <c r="AE38" s="67">
        <f t="shared" ca="1" si="7"/>
        <v>0</v>
      </c>
      <c r="AF38" s="67">
        <f t="shared" ca="1" si="3"/>
        <v>0</v>
      </c>
      <c r="AG38" s="67">
        <f t="shared" ca="1" si="4"/>
        <v>0</v>
      </c>
      <c r="AH38" s="92"/>
      <c r="AI38" s="98">
        <v>45657</v>
      </c>
      <c r="AJ38" s="67">
        <v>0.34</v>
      </c>
    </row>
    <row r="39" spans="1:36" ht="148.19999999999999">
      <c r="A39" s="161">
        <v>189</v>
      </c>
      <c r="B39" s="75" t="s">
        <v>236</v>
      </c>
      <c r="C39" s="75" t="s">
        <v>27</v>
      </c>
      <c r="D39" s="75" t="s">
        <v>28</v>
      </c>
      <c r="E39" s="75" t="s">
        <v>29</v>
      </c>
      <c r="F39" s="75">
        <v>2024</v>
      </c>
      <c r="G39" s="75">
        <v>90</v>
      </c>
      <c r="H39" s="75" t="s">
        <v>257</v>
      </c>
      <c r="I39" s="162">
        <v>1</v>
      </c>
      <c r="J39" s="76" t="s">
        <v>31</v>
      </c>
      <c r="K39" s="77"/>
      <c r="L39" s="74" t="s">
        <v>238</v>
      </c>
      <c r="M39" s="74"/>
      <c r="N39" s="74"/>
      <c r="O39" s="75" t="s">
        <v>258</v>
      </c>
      <c r="P39" s="75" t="s">
        <v>259</v>
      </c>
      <c r="Q39" s="75" t="s">
        <v>260</v>
      </c>
      <c r="R39" s="74" t="s">
        <v>261</v>
      </c>
      <c r="S39" s="74" t="s">
        <v>262</v>
      </c>
      <c r="T39" s="74">
        <v>100</v>
      </c>
      <c r="U39" s="75" t="s">
        <v>812</v>
      </c>
      <c r="V39" s="142" t="s">
        <v>244</v>
      </c>
      <c r="W39" s="142" t="s">
        <v>263</v>
      </c>
      <c r="X39" s="75" t="s">
        <v>40</v>
      </c>
      <c r="Y39" s="162" t="s">
        <v>41</v>
      </c>
      <c r="Z39" s="144" t="s">
        <v>264</v>
      </c>
      <c r="AA39" s="145" t="s">
        <v>174</v>
      </c>
      <c r="AB39" s="163" t="s">
        <v>265</v>
      </c>
      <c r="AC39" s="147" t="str">
        <f t="shared" ca="1" si="5"/>
        <v/>
      </c>
      <c r="AD39" s="148">
        <f t="shared" ca="1" si="6"/>
        <v>0</v>
      </c>
      <c r="AE39" s="148">
        <f t="shared" ca="1" si="7"/>
        <v>0</v>
      </c>
      <c r="AF39" s="148">
        <f t="shared" ca="1" si="3"/>
        <v>0</v>
      </c>
      <c r="AG39" s="148">
        <f t="shared" ca="1" si="4"/>
        <v>0</v>
      </c>
      <c r="AH39" s="149" t="s">
        <v>649</v>
      </c>
      <c r="AI39" s="148"/>
      <c r="AJ39" s="67">
        <v>0.33</v>
      </c>
    </row>
    <row r="40" spans="1:36" ht="159.6" hidden="1">
      <c r="A40" s="59">
        <v>190</v>
      </c>
      <c r="B40" s="60" t="s">
        <v>236</v>
      </c>
      <c r="C40" s="60" t="s">
        <v>27</v>
      </c>
      <c r="D40" s="60" t="s">
        <v>28</v>
      </c>
      <c r="E40" s="60" t="s">
        <v>29</v>
      </c>
      <c r="F40" s="60">
        <v>2024</v>
      </c>
      <c r="G40" s="60">
        <v>90</v>
      </c>
      <c r="H40" s="60" t="s">
        <v>257</v>
      </c>
      <c r="I40" s="61">
        <v>2</v>
      </c>
      <c r="J40" s="61" t="s">
        <v>31</v>
      </c>
      <c r="K40" s="62"/>
      <c r="L40" s="60" t="s">
        <v>238</v>
      </c>
      <c r="M40" s="60"/>
      <c r="N40" s="60"/>
      <c r="O40" s="60" t="s">
        <v>258</v>
      </c>
      <c r="P40" s="60" t="s">
        <v>266</v>
      </c>
      <c r="Q40" s="60" t="s">
        <v>267</v>
      </c>
      <c r="R40" s="60" t="s">
        <v>268</v>
      </c>
      <c r="S40" s="60" t="s">
        <v>269</v>
      </c>
      <c r="T40" s="60">
        <v>100</v>
      </c>
      <c r="U40" s="60" t="s">
        <v>270</v>
      </c>
      <c r="V40" s="137" t="s">
        <v>244</v>
      </c>
      <c r="W40" s="138">
        <v>45716</v>
      </c>
      <c r="X40" s="60" t="s">
        <v>40</v>
      </c>
      <c r="Y40" s="61" t="s">
        <v>41</v>
      </c>
      <c r="Z40" s="130" t="s">
        <v>271</v>
      </c>
      <c r="AA40" s="71" t="s">
        <v>55</v>
      </c>
      <c r="AB40" s="73" t="s">
        <v>265</v>
      </c>
      <c r="AC40" s="66" t="str">
        <f t="shared" ca="1" si="5"/>
        <v/>
      </c>
      <c r="AD40" s="67">
        <f t="shared" ca="1" si="6"/>
        <v>0</v>
      </c>
      <c r="AE40" s="67">
        <f t="shared" ca="1" si="7"/>
        <v>0</v>
      </c>
      <c r="AF40" s="67">
        <f t="shared" ca="1" si="3"/>
        <v>0</v>
      </c>
      <c r="AG40" s="67">
        <f t="shared" ca="1" si="4"/>
        <v>0</v>
      </c>
      <c r="AH40" s="92"/>
      <c r="AI40" s="98">
        <v>45716</v>
      </c>
      <c r="AJ40" s="67">
        <v>0.33</v>
      </c>
    </row>
    <row r="41" spans="1:36" ht="102.6" hidden="1">
      <c r="A41" s="78">
        <v>191</v>
      </c>
      <c r="B41" s="60" t="s">
        <v>236</v>
      </c>
      <c r="C41" s="60" t="s">
        <v>27</v>
      </c>
      <c r="D41" s="60" t="s">
        <v>28</v>
      </c>
      <c r="E41" s="60" t="s">
        <v>29</v>
      </c>
      <c r="F41" s="60">
        <v>2024</v>
      </c>
      <c r="G41" s="60">
        <v>90</v>
      </c>
      <c r="H41" s="60" t="s">
        <v>257</v>
      </c>
      <c r="I41" s="61">
        <v>3</v>
      </c>
      <c r="J41" s="61" t="s">
        <v>31</v>
      </c>
      <c r="K41" s="62"/>
      <c r="L41" s="60" t="s">
        <v>238</v>
      </c>
      <c r="M41" s="60"/>
      <c r="N41" s="60"/>
      <c r="O41" s="60" t="s">
        <v>258</v>
      </c>
      <c r="P41" s="60" t="s">
        <v>272</v>
      </c>
      <c r="Q41" s="60" t="s">
        <v>273</v>
      </c>
      <c r="R41" s="60" t="s">
        <v>274</v>
      </c>
      <c r="S41" s="60" t="s">
        <v>275</v>
      </c>
      <c r="T41" s="60">
        <v>100</v>
      </c>
      <c r="U41" s="60" t="s">
        <v>798</v>
      </c>
      <c r="V41" s="137" t="s">
        <v>244</v>
      </c>
      <c r="W41" s="219">
        <v>45930</v>
      </c>
      <c r="X41" s="60" t="s">
        <v>40</v>
      </c>
      <c r="Y41" s="61" t="s">
        <v>41</v>
      </c>
      <c r="Z41" s="130" t="s">
        <v>277</v>
      </c>
      <c r="AA41" s="64" t="s">
        <v>55</v>
      </c>
      <c r="AB41" s="3" t="s">
        <v>278</v>
      </c>
      <c r="AC41" s="66" t="str">
        <f t="shared" ca="1" si="5"/>
        <v/>
      </c>
      <c r="AD41" s="67">
        <f t="shared" ca="1" si="6"/>
        <v>0</v>
      </c>
      <c r="AE41" s="67">
        <f t="shared" ca="1" si="7"/>
        <v>0</v>
      </c>
      <c r="AF41" s="67">
        <f t="shared" ca="1" si="3"/>
        <v>0</v>
      </c>
      <c r="AG41" s="67">
        <f t="shared" ca="1" si="4"/>
        <v>0</v>
      </c>
      <c r="AH41" s="91" t="s">
        <v>643</v>
      </c>
      <c r="AI41" s="98">
        <v>45930</v>
      </c>
      <c r="AJ41" s="67">
        <v>0.34</v>
      </c>
    </row>
    <row r="42" spans="1:36" ht="125.4" hidden="1">
      <c r="A42" s="59">
        <v>194</v>
      </c>
      <c r="B42" s="60" t="s">
        <v>236</v>
      </c>
      <c r="C42" s="60" t="s">
        <v>27</v>
      </c>
      <c r="D42" s="60" t="s">
        <v>28</v>
      </c>
      <c r="E42" s="60" t="s">
        <v>29</v>
      </c>
      <c r="F42" s="60">
        <v>2024</v>
      </c>
      <c r="G42" s="60">
        <v>90</v>
      </c>
      <c r="H42" s="60" t="s">
        <v>279</v>
      </c>
      <c r="I42" s="61">
        <v>1</v>
      </c>
      <c r="J42" s="61" t="s">
        <v>31</v>
      </c>
      <c r="K42" s="62"/>
      <c r="L42" s="60" t="s">
        <v>238</v>
      </c>
      <c r="M42" s="60"/>
      <c r="N42" s="60"/>
      <c r="O42" s="60" t="s">
        <v>280</v>
      </c>
      <c r="P42" s="60" t="s">
        <v>281</v>
      </c>
      <c r="Q42" s="60" t="s">
        <v>282</v>
      </c>
      <c r="R42" s="60" t="s">
        <v>283</v>
      </c>
      <c r="S42" s="60" t="s">
        <v>284</v>
      </c>
      <c r="T42" s="60">
        <v>100</v>
      </c>
      <c r="U42" s="60" t="s">
        <v>800</v>
      </c>
      <c r="V42" s="137" t="s">
        <v>244</v>
      </c>
      <c r="W42" s="138">
        <v>45688</v>
      </c>
      <c r="X42" s="60" t="s">
        <v>40</v>
      </c>
      <c r="Y42" s="61" t="s">
        <v>41</v>
      </c>
      <c r="Z42" s="129" t="s">
        <v>285</v>
      </c>
      <c r="AA42" s="71" t="s">
        <v>55</v>
      </c>
      <c r="AB42" s="72" t="s">
        <v>286</v>
      </c>
      <c r="AC42" s="66" t="str">
        <f t="shared" ca="1" si="5"/>
        <v/>
      </c>
      <c r="AD42" s="67">
        <f t="shared" ca="1" si="6"/>
        <v>0</v>
      </c>
      <c r="AE42" s="67">
        <f t="shared" ca="1" si="7"/>
        <v>0</v>
      </c>
      <c r="AF42" s="67">
        <f t="shared" ca="1" si="3"/>
        <v>0</v>
      </c>
      <c r="AG42" s="67">
        <f t="shared" ca="1" si="4"/>
        <v>0</v>
      </c>
      <c r="AH42" s="91" t="s">
        <v>639</v>
      </c>
      <c r="AI42" s="98">
        <v>45688</v>
      </c>
      <c r="AJ42" s="67">
        <v>0.5</v>
      </c>
    </row>
    <row r="43" spans="1:36" ht="148.19999999999999">
      <c r="A43" s="161">
        <v>195</v>
      </c>
      <c r="B43" s="75" t="s">
        <v>236</v>
      </c>
      <c r="C43" s="75" t="s">
        <v>27</v>
      </c>
      <c r="D43" s="75" t="s">
        <v>28</v>
      </c>
      <c r="E43" s="75" t="s">
        <v>29</v>
      </c>
      <c r="F43" s="75">
        <v>2024</v>
      </c>
      <c r="G43" s="75">
        <v>90</v>
      </c>
      <c r="H43" s="75" t="s">
        <v>279</v>
      </c>
      <c r="I43" s="162">
        <v>2</v>
      </c>
      <c r="J43" s="80" t="s">
        <v>31</v>
      </c>
      <c r="K43" s="81"/>
      <c r="L43" s="79" t="s">
        <v>238</v>
      </c>
      <c r="M43" s="79"/>
      <c r="N43" s="79"/>
      <c r="O43" s="75" t="s">
        <v>280</v>
      </c>
      <c r="P43" s="75" t="s">
        <v>287</v>
      </c>
      <c r="Q43" s="75" t="s">
        <v>288</v>
      </c>
      <c r="R43" s="79" t="s">
        <v>261</v>
      </c>
      <c r="S43" s="79" t="s">
        <v>289</v>
      </c>
      <c r="T43" s="79">
        <v>100</v>
      </c>
      <c r="U43" s="75" t="s">
        <v>813</v>
      </c>
      <c r="V43" s="142" t="s">
        <v>244</v>
      </c>
      <c r="W43" s="142" t="s">
        <v>263</v>
      </c>
      <c r="X43" s="75" t="s">
        <v>40</v>
      </c>
      <c r="Y43" s="162" t="s">
        <v>41</v>
      </c>
      <c r="Z43" s="144" t="s">
        <v>264</v>
      </c>
      <c r="AA43" s="145" t="s">
        <v>174</v>
      </c>
      <c r="AB43" s="163" t="s">
        <v>286</v>
      </c>
      <c r="AC43" s="147" t="str">
        <f t="shared" ca="1" si="5"/>
        <v/>
      </c>
      <c r="AD43" s="148">
        <f t="shared" ca="1" si="6"/>
        <v>0</v>
      </c>
      <c r="AE43" s="148">
        <f t="shared" ca="1" si="7"/>
        <v>0</v>
      </c>
      <c r="AF43" s="148">
        <f t="shared" ca="1" si="3"/>
        <v>0</v>
      </c>
      <c r="AG43" s="148">
        <f t="shared" ca="1" si="4"/>
        <v>0</v>
      </c>
      <c r="AH43" s="149" t="s">
        <v>649</v>
      </c>
      <c r="AI43" s="148"/>
      <c r="AJ43" s="67">
        <v>0.5</v>
      </c>
    </row>
    <row r="44" spans="1:36" ht="216.6" hidden="1">
      <c r="A44" s="59">
        <v>214</v>
      </c>
      <c r="B44" s="60" t="s">
        <v>236</v>
      </c>
      <c r="C44" s="60" t="s">
        <v>27</v>
      </c>
      <c r="D44" s="60" t="s">
        <v>28</v>
      </c>
      <c r="E44" s="60" t="s">
        <v>29</v>
      </c>
      <c r="F44" s="60">
        <v>2024</v>
      </c>
      <c r="G44" s="60">
        <v>90</v>
      </c>
      <c r="H44" s="60" t="s">
        <v>290</v>
      </c>
      <c r="I44" s="61">
        <v>1</v>
      </c>
      <c r="J44" s="61" t="s">
        <v>31</v>
      </c>
      <c r="K44" s="62"/>
      <c r="L44" s="60" t="s">
        <v>238</v>
      </c>
      <c r="M44" s="60"/>
      <c r="N44" s="60"/>
      <c r="O44" s="60" t="s">
        <v>291</v>
      </c>
      <c r="P44" s="60" t="s">
        <v>292</v>
      </c>
      <c r="Q44" s="60" t="s">
        <v>293</v>
      </c>
      <c r="R44" s="60" t="s">
        <v>294</v>
      </c>
      <c r="S44" s="60" t="s">
        <v>295</v>
      </c>
      <c r="T44" s="60">
        <v>100</v>
      </c>
      <c r="U44" s="60" t="s">
        <v>804</v>
      </c>
      <c r="V44" s="137" t="s">
        <v>244</v>
      </c>
      <c r="W44" s="138">
        <v>45777</v>
      </c>
      <c r="X44" s="60" t="s">
        <v>40</v>
      </c>
      <c r="Y44" s="61" t="s">
        <v>41</v>
      </c>
      <c r="Z44" s="130" t="s">
        <v>296</v>
      </c>
      <c r="AA44" s="71" t="s">
        <v>55</v>
      </c>
      <c r="AB44" s="73" t="s">
        <v>297</v>
      </c>
      <c r="AC44" s="66" t="str">
        <f t="shared" ca="1" si="5"/>
        <v/>
      </c>
      <c r="AD44" s="67">
        <f t="shared" ca="1" si="6"/>
        <v>0</v>
      </c>
      <c r="AE44" s="67">
        <f t="shared" ca="1" si="7"/>
        <v>0</v>
      </c>
      <c r="AF44" s="67">
        <f t="shared" ca="1" si="3"/>
        <v>0</v>
      </c>
      <c r="AG44" s="67">
        <f t="shared" ca="1" si="4"/>
        <v>0</v>
      </c>
      <c r="AH44" s="92"/>
      <c r="AI44" s="98">
        <v>45777</v>
      </c>
      <c r="AJ44" s="67">
        <v>0.5</v>
      </c>
    </row>
    <row r="45" spans="1:36" ht="125.4" hidden="1">
      <c r="A45" s="83">
        <v>215</v>
      </c>
      <c r="B45" s="84" t="s">
        <v>236</v>
      </c>
      <c r="C45" s="84" t="s">
        <v>27</v>
      </c>
      <c r="D45" s="84" t="s">
        <v>28</v>
      </c>
      <c r="E45" s="84" t="s">
        <v>29</v>
      </c>
      <c r="F45" s="84">
        <v>2024</v>
      </c>
      <c r="G45" s="84">
        <v>90</v>
      </c>
      <c r="H45" s="84" t="s">
        <v>290</v>
      </c>
      <c r="I45" s="85">
        <v>2</v>
      </c>
      <c r="J45" s="85" t="s">
        <v>31</v>
      </c>
      <c r="K45" s="86"/>
      <c r="L45" s="84" t="s">
        <v>238</v>
      </c>
      <c r="M45" s="84"/>
      <c r="N45" s="84"/>
      <c r="O45" s="84" t="s">
        <v>291</v>
      </c>
      <c r="P45" s="84" t="s">
        <v>292</v>
      </c>
      <c r="Q45" s="84" t="s">
        <v>298</v>
      </c>
      <c r="R45" s="84" t="s">
        <v>299</v>
      </c>
      <c r="S45" s="84" t="s">
        <v>300</v>
      </c>
      <c r="T45" s="84">
        <v>100</v>
      </c>
      <c r="U45" s="84" t="s">
        <v>804</v>
      </c>
      <c r="V45" s="139" t="s">
        <v>244</v>
      </c>
      <c r="W45" s="224">
        <v>45899</v>
      </c>
      <c r="X45" s="84" t="s">
        <v>40</v>
      </c>
      <c r="Y45" s="85" t="s">
        <v>41</v>
      </c>
      <c r="Z45" s="131" t="s">
        <v>301</v>
      </c>
      <c r="AA45" s="87" t="s">
        <v>55</v>
      </c>
      <c r="AB45" s="88" t="s">
        <v>297</v>
      </c>
      <c r="AC45" s="66" t="str">
        <f t="shared" ca="1" si="5"/>
        <v/>
      </c>
      <c r="AD45" s="67">
        <f t="shared" ca="1" si="6"/>
        <v>0</v>
      </c>
      <c r="AE45" s="67">
        <f t="shared" ca="1" si="7"/>
        <v>0</v>
      </c>
      <c r="AF45" s="67">
        <f t="shared" ca="1" si="3"/>
        <v>0</v>
      </c>
      <c r="AG45" s="67">
        <f t="shared" ca="1" si="4"/>
        <v>0</v>
      </c>
      <c r="AH45" s="92"/>
      <c r="AI45" s="98">
        <v>45899</v>
      </c>
      <c r="AJ45" s="67">
        <v>0.5</v>
      </c>
    </row>
    <row r="46" spans="1:36" ht="102.6" hidden="1">
      <c r="A46" s="78">
        <v>216</v>
      </c>
      <c r="B46" s="60" t="s">
        <v>236</v>
      </c>
      <c r="C46" s="60" t="s">
        <v>27</v>
      </c>
      <c r="D46" s="60" t="s">
        <v>28</v>
      </c>
      <c r="E46" s="60" t="s">
        <v>29</v>
      </c>
      <c r="F46" s="60">
        <v>2024</v>
      </c>
      <c r="G46" s="60">
        <v>90</v>
      </c>
      <c r="H46" s="60" t="s">
        <v>302</v>
      </c>
      <c r="I46" s="61">
        <v>1</v>
      </c>
      <c r="J46" s="61" t="s">
        <v>31</v>
      </c>
      <c r="K46" s="62"/>
      <c r="L46" s="60" t="s">
        <v>238</v>
      </c>
      <c r="M46" s="60"/>
      <c r="N46" s="60"/>
      <c r="O46" s="60" t="s">
        <v>303</v>
      </c>
      <c r="P46" s="60" t="s">
        <v>304</v>
      </c>
      <c r="Q46" s="60" t="s">
        <v>305</v>
      </c>
      <c r="R46" s="60" t="s">
        <v>306</v>
      </c>
      <c r="S46" s="60" t="s">
        <v>307</v>
      </c>
      <c r="T46" s="60">
        <v>100</v>
      </c>
      <c r="U46" s="60" t="s">
        <v>270</v>
      </c>
      <c r="V46" s="137" t="s">
        <v>244</v>
      </c>
      <c r="W46" s="138">
        <v>45930</v>
      </c>
      <c r="X46" s="60" t="s">
        <v>40</v>
      </c>
      <c r="Y46" s="61" t="s">
        <v>41</v>
      </c>
      <c r="Z46" s="129" t="s">
        <v>308</v>
      </c>
      <c r="AA46" s="64" t="s">
        <v>55</v>
      </c>
      <c r="AB46" s="73" t="s">
        <v>309</v>
      </c>
      <c r="AC46" s="66" t="str">
        <f t="shared" ca="1" si="5"/>
        <v/>
      </c>
      <c r="AD46" s="67">
        <f t="shared" ca="1" si="6"/>
        <v>0</v>
      </c>
      <c r="AE46" s="67">
        <f t="shared" ca="1" si="7"/>
        <v>0</v>
      </c>
      <c r="AF46" s="67">
        <f t="shared" ca="1" si="3"/>
        <v>0</v>
      </c>
      <c r="AG46" s="67">
        <f t="shared" ca="1" si="4"/>
        <v>0</v>
      </c>
      <c r="AH46" s="92"/>
      <c r="AI46" s="98">
        <v>45930</v>
      </c>
      <c r="AJ46" s="67">
        <v>0.33</v>
      </c>
    </row>
    <row r="47" spans="1:36" ht="182.4" hidden="1">
      <c r="A47" s="78">
        <v>217</v>
      </c>
      <c r="B47" s="60" t="s">
        <v>236</v>
      </c>
      <c r="C47" s="60" t="s">
        <v>27</v>
      </c>
      <c r="D47" s="60" t="s">
        <v>28</v>
      </c>
      <c r="E47" s="60" t="s">
        <v>29</v>
      </c>
      <c r="F47" s="60">
        <v>2024</v>
      </c>
      <c r="G47" s="60">
        <v>90</v>
      </c>
      <c r="H47" s="60" t="s">
        <v>302</v>
      </c>
      <c r="I47" s="61">
        <v>2</v>
      </c>
      <c r="J47" s="61" t="s">
        <v>31</v>
      </c>
      <c r="K47" s="62"/>
      <c r="L47" s="60" t="s">
        <v>238</v>
      </c>
      <c r="M47" s="60"/>
      <c r="N47" s="60"/>
      <c r="O47" s="60" t="s">
        <v>303</v>
      </c>
      <c r="P47" s="60" t="s">
        <v>304</v>
      </c>
      <c r="Q47" s="60" t="s">
        <v>310</v>
      </c>
      <c r="R47" s="60" t="s">
        <v>311</v>
      </c>
      <c r="S47" s="60" t="s">
        <v>312</v>
      </c>
      <c r="T47" s="60">
        <v>100</v>
      </c>
      <c r="U47" s="60" t="s">
        <v>270</v>
      </c>
      <c r="V47" s="137" t="s">
        <v>244</v>
      </c>
      <c r="W47" s="138">
        <v>45930</v>
      </c>
      <c r="X47" s="60" t="s">
        <v>40</v>
      </c>
      <c r="Y47" s="61" t="s">
        <v>41</v>
      </c>
      <c r="Z47" s="129" t="s">
        <v>313</v>
      </c>
      <c r="AA47" s="64" t="s">
        <v>55</v>
      </c>
      <c r="AB47" s="73" t="s">
        <v>314</v>
      </c>
      <c r="AC47" s="66" t="str">
        <f t="shared" ca="1" si="5"/>
        <v/>
      </c>
      <c r="AD47" s="67">
        <f t="shared" ca="1" si="6"/>
        <v>0</v>
      </c>
      <c r="AE47" s="67">
        <f t="shared" ca="1" si="7"/>
        <v>0</v>
      </c>
      <c r="AF47" s="67">
        <f t="shared" ca="1" si="3"/>
        <v>0</v>
      </c>
      <c r="AG47" s="67">
        <f t="shared" ca="1" si="4"/>
        <v>0</v>
      </c>
      <c r="AH47" s="92"/>
      <c r="AI47" s="98">
        <v>45930</v>
      </c>
      <c r="AJ47" s="67">
        <v>0.33</v>
      </c>
    </row>
    <row r="48" spans="1:36" ht="131.4" hidden="1" customHeight="1">
      <c r="A48" s="78">
        <v>218</v>
      </c>
      <c r="B48" s="60" t="s">
        <v>236</v>
      </c>
      <c r="C48" s="60" t="s">
        <v>27</v>
      </c>
      <c r="D48" s="60" t="s">
        <v>28</v>
      </c>
      <c r="E48" s="60" t="s">
        <v>29</v>
      </c>
      <c r="F48" s="60">
        <v>2024</v>
      </c>
      <c r="G48" s="60">
        <v>90</v>
      </c>
      <c r="H48" s="60" t="s">
        <v>302</v>
      </c>
      <c r="I48" s="61">
        <v>3</v>
      </c>
      <c r="J48" s="61" t="s">
        <v>31</v>
      </c>
      <c r="K48" s="62"/>
      <c r="L48" s="60" t="s">
        <v>238</v>
      </c>
      <c r="M48" s="60"/>
      <c r="N48" s="60"/>
      <c r="O48" s="60" t="s">
        <v>303</v>
      </c>
      <c r="P48" s="60" t="s">
        <v>315</v>
      </c>
      <c r="Q48" s="60" t="s">
        <v>316</v>
      </c>
      <c r="R48" s="60" t="s">
        <v>317</v>
      </c>
      <c r="S48" s="60" t="s">
        <v>318</v>
      </c>
      <c r="T48" s="60">
        <v>100</v>
      </c>
      <c r="U48" s="60" t="s">
        <v>270</v>
      </c>
      <c r="V48" s="137" t="s">
        <v>244</v>
      </c>
      <c r="W48" s="138">
        <v>45930</v>
      </c>
      <c r="X48" s="60" t="s">
        <v>40</v>
      </c>
      <c r="Y48" s="61" t="s">
        <v>41</v>
      </c>
      <c r="Z48" s="129" t="s">
        <v>722</v>
      </c>
      <c r="AA48" s="64" t="s">
        <v>55</v>
      </c>
      <c r="AB48" s="95" t="s">
        <v>319</v>
      </c>
      <c r="AC48" s="66" t="str">
        <f t="shared" ca="1" si="5"/>
        <v/>
      </c>
      <c r="AD48" s="67">
        <f t="shared" ca="1" si="6"/>
        <v>0</v>
      </c>
      <c r="AE48" s="67">
        <f t="shared" ca="1" si="7"/>
        <v>0</v>
      </c>
      <c r="AF48" s="67">
        <f t="shared" ca="1" si="3"/>
        <v>0</v>
      </c>
      <c r="AG48" s="67">
        <f t="shared" ca="1" si="4"/>
        <v>0</v>
      </c>
      <c r="AH48" s="94" t="s">
        <v>650</v>
      </c>
      <c r="AI48" s="98">
        <v>45930</v>
      </c>
      <c r="AJ48" s="67">
        <v>0.34</v>
      </c>
    </row>
    <row r="49" spans="1:36" ht="171" hidden="1">
      <c r="A49" s="59">
        <v>219</v>
      </c>
      <c r="B49" s="60" t="s">
        <v>236</v>
      </c>
      <c r="C49" s="60" t="s">
        <v>27</v>
      </c>
      <c r="D49" s="60" t="s">
        <v>28</v>
      </c>
      <c r="E49" s="60" t="s">
        <v>29</v>
      </c>
      <c r="F49" s="60">
        <v>2024</v>
      </c>
      <c r="G49" s="60">
        <v>90</v>
      </c>
      <c r="H49" s="60" t="s">
        <v>168</v>
      </c>
      <c r="I49" s="61">
        <v>1</v>
      </c>
      <c r="J49" s="61" t="s">
        <v>31</v>
      </c>
      <c r="K49" s="62"/>
      <c r="L49" s="60" t="s">
        <v>238</v>
      </c>
      <c r="M49" s="60"/>
      <c r="N49" s="60"/>
      <c r="O49" s="60" t="s">
        <v>320</v>
      </c>
      <c r="P49" s="60" t="s">
        <v>321</v>
      </c>
      <c r="Q49" s="74" t="s">
        <v>322</v>
      </c>
      <c r="R49" s="60" t="s">
        <v>323</v>
      </c>
      <c r="S49" s="60" t="s">
        <v>324</v>
      </c>
      <c r="T49" s="60">
        <v>100</v>
      </c>
      <c r="U49" s="60" t="s">
        <v>797</v>
      </c>
      <c r="V49" s="137" t="s">
        <v>244</v>
      </c>
      <c r="W49" s="138">
        <v>45808</v>
      </c>
      <c r="X49" s="60" t="s">
        <v>40</v>
      </c>
      <c r="Y49" s="61" t="s">
        <v>41</v>
      </c>
      <c r="Z49" s="129" t="s">
        <v>325</v>
      </c>
      <c r="AA49" s="71" t="s">
        <v>55</v>
      </c>
      <c r="AB49" s="73" t="s">
        <v>326</v>
      </c>
      <c r="AC49" s="66" t="str">
        <f t="shared" ca="1" si="5"/>
        <v/>
      </c>
      <c r="AD49" s="67">
        <f t="shared" ca="1" si="6"/>
        <v>0</v>
      </c>
      <c r="AE49" s="67">
        <f t="shared" ca="1" si="7"/>
        <v>0</v>
      </c>
      <c r="AF49" s="67">
        <f t="shared" ca="1" si="3"/>
        <v>0</v>
      </c>
      <c r="AG49" s="67">
        <f t="shared" ca="1" si="4"/>
        <v>0</v>
      </c>
      <c r="AH49" s="92"/>
      <c r="AI49" s="98">
        <v>45808</v>
      </c>
      <c r="AJ49" s="67">
        <v>0.5</v>
      </c>
    </row>
    <row r="50" spans="1:36" ht="205.2" hidden="1">
      <c r="A50" s="59">
        <v>220</v>
      </c>
      <c r="B50" s="60" t="s">
        <v>236</v>
      </c>
      <c r="C50" s="60" t="s">
        <v>27</v>
      </c>
      <c r="D50" s="60" t="s">
        <v>28</v>
      </c>
      <c r="E50" s="60" t="s">
        <v>29</v>
      </c>
      <c r="F50" s="60">
        <v>2024</v>
      </c>
      <c r="G50" s="60">
        <v>90</v>
      </c>
      <c r="H50" s="60" t="s">
        <v>168</v>
      </c>
      <c r="I50" s="61">
        <v>2</v>
      </c>
      <c r="J50" s="61" t="s">
        <v>31</v>
      </c>
      <c r="K50" s="62"/>
      <c r="L50" s="60" t="s">
        <v>238</v>
      </c>
      <c r="M50" s="60"/>
      <c r="N50" s="60"/>
      <c r="O50" s="60" t="s">
        <v>320</v>
      </c>
      <c r="P50" s="60" t="s">
        <v>321</v>
      </c>
      <c r="Q50" s="60" t="s">
        <v>327</v>
      </c>
      <c r="R50" s="60" t="s">
        <v>328</v>
      </c>
      <c r="S50" s="60" t="s">
        <v>329</v>
      </c>
      <c r="T50" s="60">
        <v>100</v>
      </c>
      <c r="U50" s="60" t="s">
        <v>797</v>
      </c>
      <c r="V50" s="137" t="s">
        <v>244</v>
      </c>
      <c r="W50" s="138">
        <v>45808</v>
      </c>
      <c r="X50" s="60" t="s">
        <v>40</v>
      </c>
      <c r="Y50" s="61" t="s">
        <v>41</v>
      </c>
      <c r="Z50" s="129" t="s">
        <v>330</v>
      </c>
      <c r="AA50" s="71" t="s">
        <v>55</v>
      </c>
      <c r="AB50" s="73" t="s">
        <v>326</v>
      </c>
      <c r="AC50" s="66" t="str">
        <f t="shared" ca="1" si="5"/>
        <v/>
      </c>
      <c r="AD50" s="67">
        <f t="shared" ca="1" si="6"/>
        <v>0</v>
      </c>
      <c r="AE50" s="67">
        <f t="shared" ca="1" si="7"/>
        <v>0</v>
      </c>
      <c r="AF50" s="67">
        <f t="shared" ca="1" si="3"/>
        <v>0</v>
      </c>
      <c r="AG50" s="67">
        <f t="shared" ca="1" si="4"/>
        <v>0</v>
      </c>
      <c r="AH50" s="92"/>
      <c r="AI50" s="98">
        <v>45808</v>
      </c>
      <c r="AJ50" s="67">
        <v>0.5</v>
      </c>
    </row>
    <row r="51" spans="1:36" ht="171" hidden="1">
      <c r="A51" s="59">
        <v>223</v>
      </c>
      <c r="B51" s="60" t="s">
        <v>236</v>
      </c>
      <c r="C51" s="60" t="s">
        <v>27</v>
      </c>
      <c r="D51" s="60" t="s">
        <v>28</v>
      </c>
      <c r="E51" s="60" t="s">
        <v>29</v>
      </c>
      <c r="F51" s="60">
        <v>2024</v>
      </c>
      <c r="G51" s="60">
        <v>90</v>
      </c>
      <c r="H51" s="84" t="s">
        <v>179</v>
      </c>
      <c r="I51" s="61">
        <v>1</v>
      </c>
      <c r="J51" s="61" t="s">
        <v>31</v>
      </c>
      <c r="K51" s="62"/>
      <c r="L51" s="60" t="s">
        <v>238</v>
      </c>
      <c r="M51" s="60"/>
      <c r="N51" s="60"/>
      <c r="O51" s="60" t="s">
        <v>331</v>
      </c>
      <c r="P51" s="60" t="s">
        <v>332</v>
      </c>
      <c r="Q51" s="60" t="s">
        <v>333</v>
      </c>
      <c r="R51" s="60" t="s">
        <v>208</v>
      </c>
      <c r="S51" s="60" t="s">
        <v>334</v>
      </c>
      <c r="T51" s="60">
        <v>100</v>
      </c>
      <c r="U51" s="60" t="s">
        <v>805</v>
      </c>
      <c r="V51" s="137" t="s">
        <v>244</v>
      </c>
      <c r="W51" s="138">
        <v>45838</v>
      </c>
      <c r="X51" s="60" t="s">
        <v>40</v>
      </c>
      <c r="Y51" s="61" t="s">
        <v>41</v>
      </c>
      <c r="Z51" s="129" t="s">
        <v>335</v>
      </c>
      <c r="AA51" s="71" t="s">
        <v>55</v>
      </c>
      <c r="AB51" s="73" t="s">
        <v>336</v>
      </c>
      <c r="AC51" s="66" t="str">
        <f t="shared" ca="1" si="5"/>
        <v/>
      </c>
      <c r="AD51" s="67">
        <f t="shared" ca="1" si="6"/>
        <v>0</v>
      </c>
      <c r="AE51" s="67">
        <f t="shared" ca="1" si="7"/>
        <v>0</v>
      </c>
      <c r="AF51" s="67">
        <f t="shared" ca="1" si="3"/>
        <v>0</v>
      </c>
      <c r="AG51" s="67">
        <f t="shared" ca="1" si="4"/>
        <v>0</v>
      </c>
      <c r="AH51" s="92"/>
      <c r="AI51" s="98">
        <v>45838</v>
      </c>
      <c r="AJ51" s="67">
        <v>1</v>
      </c>
    </row>
    <row r="52" spans="1:36" ht="125.4" hidden="1">
      <c r="A52" s="59">
        <v>226</v>
      </c>
      <c r="B52" s="60" t="s">
        <v>236</v>
      </c>
      <c r="C52" s="60" t="s">
        <v>27</v>
      </c>
      <c r="D52" s="60" t="s">
        <v>28</v>
      </c>
      <c r="E52" s="60" t="s">
        <v>29</v>
      </c>
      <c r="F52" s="60">
        <v>2024</v>
      </c>
      <c r="G52" s="60">
        <v>90</v>
      </c>
      <c r="H52" s="60" t="s">
        <v>190</v>
      </c>
      <c r="I52" s="61">
        <v>1</v>
      </c>
      <c r="J52" s="61" t="s">
        <v>31</v>
      </c>
      <c r="K52" s="62"/>
      <c r="L52" s="60" t="s">
        <v>238</v>
      </c>
      <c r="M52" s="60"/>
      <c r="N52" s="60"/>
      <c r="O52" s="60" t="s">
        <v>337</v>
      </c>
      <c r="P52" s="60" t="s">
        <v>338</v>
      </c>
      <c r="Q52" s="60" t="s">
        <v>339</v>
      </c>
      <c r="R52" s="60" t="s">
        <v>340</v>
      </c>
      <c r="S52" s="60" t="s">
        <v>340</v>
      </c>
      <c r="T52" s="60">
        <v>100</v>
      </c>
      <c r="U52" s="60" t="s">
        <v>270</v>
      </c>
      <c r="V52" s="137" t="s">
        <v>244</v>
      </c>
      <c r="W52" s="138">
        <v>45688</v>
      </c>
      <c r="X52" s="60" t="s">
        <v>40</v>
      </c>
      <c r="Y52" s="61" t="s">
        <v>41</v>
      </c>
      <c r="Z52" s="129" t="s">
        <v>341</v>
      </c>
      <c r="AA52" s="71" t="s">
        <v>55</v>
      </c>
      <c r="AB52" s="73" t="s">
        <v>342</v>
      </c>
      <c r="AC52" s="66" t="str">
        <f t="shared" ca="1" si="5"/>
        <v/>
      </c>
      <c r="AD52" s="67">
        <f t="shared" ca="1" si="6"/>
        <v>0</v>
      </c>
      <c r="AE52" s="67">
        <f t="shared" ca="1" si="7"/>
        <v>0</v>
      </c>
      <c r="AF52" s="67">
        <f t="shared" ca="1" si="3"/>
        <v>0</v>
      </c>
      <c r="AG52" s="67">
        <f t="shared" ca="1" si="4"/>
        <v>0</v>
      </c>
      <c r="AH52" s="92"/>
      <c r="AI52" s="98">
        <v>45688</v>
      </c>
      <c r="AJ52" s="67">
        <v>0.33</v>
      </c>
    </row>
    <row r="53" spans="1:36" ht="125.4" hidden="1">
      <c r="A53" s="59">
        <v>227</v>
      </c>
      <c r="B53" s="60" t="s">
        <v>236</v>
      </c>
      <c r="C53" s="60" t="s">
        <v>27</v>
      </c>
      <c r="D53" s="60" t="s">
        <v>28</v>
      </c>
      <c r="E53" s="60" t="s">
        <v>29</v>
      </c>
      <c r="F53" s="60">
        <v>2024</v>
      </c>
      <c r="G53" s="60">
        <v>90</v>
      </c>
      <c r="H53" s="60" t="s">
        <v>190</v>
      </c>
      <c r="I53" s="61">
        <v>2</v>
      </c>
      <c r="J53" s="61" t="s">
        <v>31</v>
      </c>
      <c r="K53" s="62"/>
      <c r="L53" s="60" t="s">
        <v>238</v>
      </c>
      <c r="M53" s="60"/>
      <c r="N53" s="60"/>
      <c r="O53" s="60" t="s">
        <v>337</v>
      </c>
      <c r="P53" s="60" t="s">
        <v>338</v>
      </c>
      <c r="Q53" s="60" t="s">
        <v>343</v>
      </c>
      <c r="R53" s="60" t="s">
        <v>344</v>
      </c>
      <c r="S53" s="60" t="s">
        <v>344</v>
      </c>
      <c r="T53" s="60">
        <v>100</v>
      </c>
      <c r="U53" s="60" t="s">
        <v>270</v>
      </c>
      <c r="V53" s="137" t="s">
        <v>244</v>
      </c>
      <c r="W53" s="138">
        <v>45688</v>
      </c>
      <c r="X53" s="60" t="s">
        <v>40</v>
      </c>
      <c r="Y53" s="61" t="s">
        <v>41</v>
      </c>
      <c r="Z53" s="129" t="s">
        <v>345</v>
      </c>
      <c r="AA53" s="71" t="s">
        <v>55</v>
      </c>
      <c r="AB53" s="73" t="s">
        <v>346</v>
      </c>
      <c r="AC53" s="66" t="str">
        <f t="shared" ca="1" si="5"/>
        <v/>
      </c>
      <c r="AD53" s="67">
        <f t="shared" ca="1" si="6"/>
        <v>0</v>
      </c>
      <c r="AE53" s="67">
        <f t="shared" ca="1" si="7"/>
        <v>0</v>
      </c>
      <c r="AF53" s="67">
        <f t="shared" ca="1" si="3"/>
        <v>0</v>
      </c>
      <c r="AG53" s="67">
        <f t="shared" ca="1" si="4"/>
        <v>0</v>
      </c>
      <c r="AH53" s="92"/>
      <c r="AI53" s="98">
        <v>45688</v>
      </c>
      <c r="AJ53" s="67">
        <v>0.33</v>
      </c>
    </row>
    <row r="54" spans="1:36" ht="193.8" hidden="1">
      <c r="A54" s="59">
        <v>228</v>
      </c>
      <c r="B54" s="60" t="s">
        <v>236</v>
      </c>
      <c r="C54" s="60" t="s">
        <v>27</v>
      </c>
      <c r="D54" s="60" t="s">
        <v>28</v>
      </c>
      <c r="E54" s="60" t="s">
        <v>29</v>
      </c>
      <c r="F54" s="60">
        <v>2024</v>
      </c>
      <c r="G54" s="60">
        <v>90</v>
      </c>
      <c r="H54" s="60" t="s">
        <v>190</v>
      </c>
      <c r="I54" s="61">
        <v>3</v>
      </c>
      <c r="J54" s="61" t="s">
        <v>31</v>
      </c>
      <c r="K54" s="62"/>
      <c r="L54" s="60" t="s">
        <v>238</v>
      </c>
      <c r="M54" s="60"/>
      <c r="N54" s="60"/>
      <c r="O54" s="60" t="s">
        <v>337</v>
      </c>
      <c r="P54" s="60" t="s">
        <v>338</v>
      </c>
      <c r="Q54" s="60" t="s">
        <v>347</v>
      </c>
      <c r="R54" s="60" t="s">
        <v>348</v>
      </c>
      <c r="S54" s="60" t="s">
        <v>349</v>
      </c>
      <c r="T54" s="60">
        <v>100</v>
      </c>
      <c r="U54" s="60" t="s">
        <v>270</v>
      </c>
      <c r="V54" s="137" t="s">
        <v>244</v>
      </c>
      <c r="W54" s="138">
        <v>45688</v>
      </c>
      <c r="X54" s="60" t="s">
        <v>40</v>
      </c>
      <c r="Y54" s="61" t="s">
        <v>41</v>
      </c>
      <c r="Z54" s="129" t="s">
        <v>350</v>
      </c>
      <c r="AA54" s="71" t="s">
        <v>55</v>
      </c>
      <c r="AB54" s="73" t="s">
        <v>351</v>
      </c>
      <c r="AC54" s="66" t="str">
        <f t="shared" ca="1" si="5"/>
        <v/>
      </c>
      <c r="AD54" s="67">
        <f t="shared" ca="1" si="6"/>
        <v>0</v>
      </c>
      <c r="AE54" s="67">
        <f t="shared" ca="1" si="7"/>
        <v>0</v>
      </c>
      <c r="AF54" s="67">
        <f t="shared" ca="1" si="3"/>
        <v>0</v>
      </c>
      <c r="AG54" s="67">
        <f t="shared" ca="1" si="4"/>
        <v>0</v>
      </c>
      <c r="AH54" s="92"/>
      <c r="AI54" s="98">
        <v>45688</v>
      </c>
      <c r="AJ54" s="67">
        <v>0.34</v>
      </c>
    </row>
    <row r="55" spans="1:36" ht="125.4" hidden="1">
      <c r="A55" s="78">
        <v>229</v>
      </c>
      <c r="B55" s="60" t="s">
        <v>236</v>
      </c>
      <c r="C55" s="60" t="s">
        <v>27</v>
      </c>
      <c r="D55" s="60" t="s">
        <v>28</v>
      </c>
      <c r="E55" s="60" t="s">
        <v>29</v>
      </c>
      <c r="F55" s="60">
        <v>2024</v>
      </c>
      <c r="G55" s="60">
        <v>90</v>
      </c>
      <c r="H55" s="60" t="s">
        <v>197</v>
      </c>
      <c r="I55" s="61">
        <v>1</v>
      </c>
      <c r="J55" s="61" t="s">
        <v>31</v>
      </c>
      <c r="K55" s="62"/>
      <c r="L55" s="60" t="s">
        <v>238</v>
      </c>
      <c r="M55" s="60"/>
      <c r="N55" s="60"/>
      <c r="O55" s="60" t="s">
        <v>352</v>
      </c>
      <c r="P55" s="60" t="s">
        <v>353</v>
      </c>
      <c r="Q55" s="60" t="s">
        <v>354</v>
      </c>
      <c r="R55" s="60" t="s">
        <v>355</v>
      </c>
      <c r="S55" s="60" t="s">
        <v>356</v>
      </c>
      <c r="T55" s="60">
        <v>100</v>
      </c>
      <c r="U55" s="60" t="s">
        <v>270</v>
      </c>
      <c r="V55" s="137" t="s">
        <v>244</v>
      </c>
      <c r="W55" s="138">
        <v>45930</v>
      </c>
      <c r="X55" s="60" t="s">
        <v>40</v>
      </c>
      <c r="Y55" s="61" t="s">
        <v>41</v>
      </c>
      <c r="Z55" s="129" t="s">
        <v>357</v>
      </c>
      <c r="AA55" s="64" t="s">
        <v>55</v>
      </c>
      <c r="AB55" s="73" t="s">
        <v>358</v>
      </c>
      <c r="AC55" s="66" t="str">
        <f t="shared" ca="1" si="5"/>
        <v/>
      </c>
      <c r="AD55" s="67">
        <f t="shared" ca="1" si="6"/>
        <v>0</v>
      </c>
      <c r="AE55" s="67">
        <f t="shared" ca="1" si="7"/>
        <v>0</v>
      </c>
      <c r="AF55" s="67">
        <f t="shared" ca="1" si="3"/>
        <v>0</v>
      </c>
      <c r="AG55" s="67">
        <f t="shared" ca="1" si="4"/>
        <v>0</v>
      </c>
      <c r="AH55" s="92"/>
      <c r="AI55" s="98">
        <v>45930</v>
      </c>
      <c r="AJ55" s="67">
        <v>1</v>
      </c>
    </row>
    <row r="56" spans="1:36" ht="136.80000000000001" hidden="1">
      <c r="A56" s="78">
        <v>230</v>
      </c>
      <c r="B56" s="60" t="s">
        <v>236</v>
      </c>
      <c r="C56" s="60" t="s">
        <v>27</v>
      </c>
      <c r="D56" s="60" t="s">
        <v>28</v>
      </c>
      <c r="E56" s="60" t="s">
        <v>29</v>
      </c>
      <c r="F56" s="60">
        <v>2024</v>
      </c>
      <c r="G56" s="60">
        <v>90</v>
      </c>
      <c r="H56" s="60" t="s">
        <v>204</v>
      </c>
      <c r="I56" s="61">
        <v>1</v>
      </c>
      <c r="J56" s="61" t="s">
        <v>31</v>
      </c>
      <c r="K56" s="62"/>
      <c r="L56" s="60" t="s">
        <v>238</v>
      </c>
      <c r="M56" s="60"/>
      <c r="N56" s="60"/>
      <c r="O56" s="60" t="s">
        <v>359</v>
      </c>
      <c r="P56" s="60" t="s">
        <v>360</v>
      </c>
      <c r="Q56" s="60" t="s">
        <v>361</v>
      </c>
      <c r="R56" s="60" t="s">
        <v>355</v>
      </c>
      <c r="S56" s="60" t="s">
        <v>362</v>
      </c>
      <c r="T56" s="60">
        <v>100</v>
      </c>
      <c r="U56" s="60" t="s">
        <v>270</v>
      </c>
      <c r="V56" s="137" t="s">
        <v>244</v>
      </c>
      <c r="W56" s="138">
        <v>45930</v>
      </c>
      <c r="X56" s="60" t="s">
        <v>40</v>
      </c>
      <c r="Y56" s="61" t="s">
        <v>41</v>
      </c>
      <c r="Z56" s="129" t="s">
        <v>357</v>
      </c>
      <c r="AA56" s="82" t="s">
        <v>55</v>
      </c>
      <c r="AB56" s="73" t="s">
        <v>358</v>
      </c>
      <c r="AC56" s="66" t="str">
        <f t="shared" ca="1" si="5"/>
        <v/>
      </c>
      <c r="AD56" s="67">
        <f t="shared" ca="1" si="6"/>
        <v>0</v>
      </c>
      <c r="AE56" s="67">
        <f t="shared" ca="1" si="7"/>
        <v>0</v>
      </c>
      <c r="AF56" s="67">
        <f t="shared" ca="1" si="3"/>
        <v>0</v>
      </c>
      <c r="AG56" s="67">
        <f t="shared" ca="1" si="4"/>
        <v>0</v>
      </c>
      <c r="AH56" s="92"/>
      <c r="AI56" s="98">
        <v>45930</v>
      </c>
      <c r="AJ56" s="67">
        <v>1</v>
      </c>
    </row>
    <row r="57" spans="1:36" ht="114" hidden="1">
      <c r="A57" s="59">
        <v>231</v>
      </c>
      <c r="B57" s="60" t="s">
        <v>236</v>
      </c>
      <c r="C57" s="60" t="s">
        <v>27</v>
      </c>
      <c r="D57" s="60" t="s">
        <v>28</v>
      </c>
      <c r="E57" s="60" t="s">
        <v>29</v>
      </c>
      <c r="F57" s="60">
        <v>2024</v>
      </c>
      <c r="G57" s="60">
        <v>90</v>
      </c>
      <c r="H57" s="60" t="s">
        <v>215</v>
      </c>
      <c r="I57" s="61">
        <v>1</v>
      </c>
      <c r="J57" s="61" t="s">
        <v>31</v>
      </c>
      <c r="K57" s="62"/>
      <c r="L57" s="60" t="s">
        <v>238</v>
      </c>
      <c r="M57" s="60"/>
      <c r="N57" s="60"/>
      <c r="O57" s="60" t="s">
        <v>363</v>
      </c>
      <c r="P57" s="60" t="s">
        <v>364</v>
      </c>
      <c r="Q57" s="60" t="s">
        <v>365</v>
      </c>
      <c r="R57" s="60" t="s">
        <v>366</v>
      </c>
      <c r="S57" s="60" t="s">
        <v>367</v>
      </c>
      <c r="T57" s="60">
        <v>100</v>
      </c>
      <c r="U57" s="60" t="s">
        <v>814</v>
      </c>
      <c r="V57" s="137" t="s">
        <v>244</v>
      </c>
      <c r="W57" s="138">
        <v>45688</v>
      </c>
      <c r="X57" s="60" t="s">
        <v>40</v>
      </c>
      <c r="Y57" s="61" t="s">
        <v>41</v>
      </c>
      <c r="Z57" s="129" t="s">
        <v>368</v>
      </c>
      <c r="AA57" s="71" t="s">
        <v>55</v>
      </c>
      <c r="AB57" s="72" t="s">
        <v>369</v>
      </c>
      <c r="AC57" s="66" t="str">
        <f t="shared" ca="1" si="5"/>
        <v/>
      </c>
      <c r="AD57" s="67">
        <f t="shared" ca="1" si="6"/>
        <v>0</v>
      </c>
      <c r="AE57" s="67">
        <f t="shared" ca="1" si="7"/>
        <v>0</v>
      </c>
      <c r="AF57" s="67">
        <f t="shared" ca="1" si="3"/>
        <v>0</v>
      </c>
      <c r="AG57" s="67">
        <f t="shared" ca="1" si="4"/>
        <v>0</v>
      </c>
      <c r="AH57" s="92"/>
      <c r="AI57" s="98">
        <v>45688</v>
      </c>
      <c r="AJ57" s="67">
        <v>1</v>
      </c>
    </row>
    <row r="58" spans="1:36" ht="171" hidden="1">
      <c r="A58" s="78">
        <v>240</v>
      </c>
      <c r="B58" s="60" t="s">
        <v>236</v>
      </c>
      <c r="C58" s="60" t="s">
        <v>27</v>
      </c>
      <c r="D58" s="60" t="s">
        <v>28</v>
      </c>
      <c r="E58" s="60" t="s">
        <v>29</v>
      </c>
      <c r="F58" s="60">
        <v>2024</v>
      </c>
      <c r="G58" s="60">
        <v>90</v>
      </c>
      <c r="H58" s="84" t="s">
        <v>370</v>
      </c>
      <c r="I58" s="61">
        <v>1</v>
      </c>
      <c r="J58" s="61" t="s">
        <v>31</v>
      </c>
      <c r="K58" s="62"/>
      <c r="L58" s="60" t="s">
        <v>238</v>
      </c>
      <c r="M58" s="60"/>
      <c r="N58" s="60"/>
      <c r="O58" s="60" t="s">
        <v>371</v>
      </c>
      <c r="P58" s="60" t="s">
        <v>372</v>
      </c>
      <c r="Q58" s="60" t="s">
        <v>373</v>
      </c>
      <c r="R58" s="60" t="s">
        <v>374</v>
      </c>
      <c r="S58" s="60" t="s">
        <v>375</v>
      </c>
      <c r="T58" s="60">
        <v>100</v>
      </c>
      <c r="U58" s="60" t="s">
        <v>270</v>
      </c>
      <c r="V58" s="137" t="s">
        <v>244</v>
      </c>
      <c r="W58" s="138">
        <v>45930</v>
      </c>
      <c r="X58" s="60" t="s">
        <v>40</v>
      </c>
      <c r="Y58" s="61" t="s">
        <v>41</v>
      </c>
      <c r="Z58" s="129" t="s">
        <v>376</v>
      </c>
      <c r="AA58" s="89" t="s">
        <v>55</v>
      </c>
      <c r="AB58" s="73" t="s">
        <v>377</v>
      </c>
      <c r="AC58" s="66" t="str">
        <f t="shared" ca="1" si="5"/>
        <v/>
      </c>
      <c r="AD58" s="67">
        <f t="shared" ca="1" si="6"/>
        <v>0</v>
      </c>
      <c r="AE58" s="67">
        <f t="shared" ca="1" si="7"/>
        <v>0</v>
      </c>
      <c r="AF58" s="67">
        <f t="shared" ca="1" si="3"/>
        <v>0</v>
      </c>
      <c r="AG58" s="67">
        <f t="shared" ca="1" si="4"/>
        <v>0</v>
      </c>
      <c r="AH58" s="92"/>
      <c r="AI58" s="98">
        <v>45930</v>
      </c>
      <c r="AJ58" s="67">
        <v>1</v>
      </c>
    </row>
    <row r="59" spans="1:36" ht="205.2" hidden="1">
      <c r="A59" s="59">
        <v>245</v>
      </c>
      <c r="B59" s="60" t="s">
        <v>236</v>
      </c>
      <c r="C59" s="60" t="s">
        <v>27</v>
      </c>
      <c r="D59" s="60" t="s">
        <v>28</v>
      </c>
      <c r="E59" s="60" t="s">
        <v>29</v>
      </c>
      <c r="F59" s="60">
        <v>2024</v>
      </c>
      <c r="G59" s="60">
        <v>90</v>
      </c>
      <c r="H59" s="60" t="s">
        <v>378</v>
      </c>
      <c r="I59" s="61">
        <v>1</v>
      </c>
      <c r="J59" s="61" t="s">
        <v>31</v>
      </c>
      <c r="K59" s="62"/>
      <c r="L59" s="60" t="s">
        <v>238</v>
      </c>
      <c r="M59" s="60"/>
      <c r="N59" s="60"/>
      <c r="O59" s="60" t="s">
        <v>379</v>
      </c>
      <c r="P59" s="60" t="s">
        <v>380</v>
      </c>
      <c r="Q59" s="60" t="s">
        <v>381</v>
      </c>
      <c r="R59" s="60" t="s">
        <v>382</v>
      </c>
      <c r="S59" s="60" t="s">
        <v>383</v>
      </c>
      <c r="T59" s="60">
        <v>100</v>
      </c>
      <c r="U59" s="60" t="s">
        <v>270</v>
      </c>
      <c r="V59" s="137" t="s">
        <v>244</v>
      </c>
      <c r="W59" s="138">
        <v>45808</v>
      </c>
      <c r="X59" s="60" t="s">
        <v>40</v>
      </c>
      <c r="Y59" s="61" t="s">
        <v>41</v>
      </c>
      <c r="Z59" s="132" t="s">
        <v>384</v>
      </c>
      <c r="AA59" s="71" t="s">
        <v>55</v>
      </c>
      <c r="AB59" s="73" t="s">
        <v>385</v>
      </c>
      <c r="AC59" s="66" t="str">
        <f t="shared" ca="1" si="5"/>
        <v/>
      </c>
      <c r="AD59" s="67">
        <f t="shared" ca="1" si="6"/>
        <v>0</v>
      </c>
      <c r="AE59" s="67">
        <f t="shared" ca="1" si="7"/>
        <v>0</v>
      </c>
      <c r="AF59" s="67">
        <f t="shared" ca="1" si="3"/>
        <v>0</v>
      </c>
      <c r="AG59" s="67">
        <f t="shared" ca="1" si="4"/>
        <v>0</v>
      </c>
      <c r="AH59" s="92"/>
      <c r="AI59" s="98">
        <v>45808</v>
      </c>
      <c r="AJ59" s="67">
        <v>0.5</v>
      </c>
    </row>
    <row r="60" spans="1:36" ht="68.400000000000006" hidden="1">
      <c r="A60" s="78">
        <v>246</v>
      </c>
      <c r="B60" s="60" t="s">
        <v>236</v>
      </c>
      <c r="C60" s="60" t="s">
        <v>27</v>
      </c>
      <c r="D60" s="60" t="s">
        <v>28</v>
      </c>
      <c r="E60" s="60" t="s">
        <v>29</v>
      </c>
      <c r="F60" s="60">
        <v>2024</v>
      </c>
      <c r="G60" s="60">
        <v>90</v>
      </c>
      <c r="H60" s="60" t="s">
        <v>378</v>
      </c>
      <c r="I60" s="61">
        <v>2</v>
      </c>
      <c r="J60" s="61" t="s">
        <v>31</v>
      </c>
      <c r="K60" s="62"/>
      <c r="L60" s="60" t="s">
        <v>238</v>
      </c>
      <c r="M60" s="60"/>
      <c r="N60" s="60"/>
      <c r="O60" s="60" t="s">
        <v>379</v>
      </c>
      <c r="P60" s="60" t="s">
        <v>380</v>
      </c>
      <c r="Q60" s="60" t="s">
        <v>386</v>
      </c>
      <c r="R60" s="60" t="s">
        <v>387</v>
      </c>
      <c r="S60" s="60" t="s">
        <v>387</v>
      </c>
      <c r="T60" s="60">
        <v>100</v>
      </c>
      <c r="U60" s="60" t="s">
        <v>270</v>
      </c>
      <c r="V60" s="137" t="s">
        <v>244</v>
      </c>
      <c r="W60" s="138">
        <v>45808</v>
      </c>
      <c r="X60" s="60" t="s">
        <v>40</v>
      </c>
      <c r="Y60" s="61" t="s">
        <v>41</v>
      </c>
      <c r="Z60" s="129" t="s">
        <v>388</v>
      </c>
      <c r="AA60" s="64" t="s">
        <v>55</v>
      </c>
      <c r="AB60" s="73" t="s">
        <v>385</v>
      </c>
      <c r="AC60" s="66" t="str">
        <f t="shared" ca="1" si="5"/>
        <v/>
      </c>
      <c r="AD60" s="67">
        <f t="shared" ca="1" si="6"/>
        <v>0</v>
      </c>
      <c r="AE60" s="67">
        <f t="shared" ca="1" si="7"/>
        <v>0</v>
      </c>
      <c r="AF60" s="67">
        <f t="shared" ca="1" si="3"/>
        <v>0</v>
      </c>
      <c r="AG60" s="67">
        <f t="shared" ca="1" si="4"/>
        <v>0</v>
      </c>
      <c r="AH60" s="92"/>
      <c r="AI60" s="98">
        <v>45808</v>
      </c>
      <c r="AJ60" s="67">
        <v>0.5</v>
      </c>
    </row>
    <row r="61" spans="1:36" ht="148.19999999999999" hidden="1">
      <c r="A61" s="78">
        <v>247</v>
      </c>
      <c r="B61" s="60" t="s">
        <v>236</v>
      </c>
      <c r="C61" s="60" t="s">
        <v>27</v>
      </c>
      <c r="D61" s="60" t="s">
        <v>28</v>
      </c>
      <c r="E61" s="60" t="s">
        <v>29</v>
      </c>
      <c r="F61" s="60">
        <v>2024</v>
      </c>
      <c r="G61" s="60">
        <v>90</v>
      </c>
      <c r="H61" s="84" t="s">
        <v>389</v>
      </c>
      <c r="I61" s="61">
        <v>1</v>
      </c>
      <c r="J61" s="61" t="s">
        <v>31</v>
      </c>
      <c r="K61" s="62"/>
      <c r="L61" s="60" t="s">
        <v>238</v>
      </c>
      <c r="M61" s="60"/>
      <c r="N61" s="60"/>
      <c r="O61" s="60" t="s">
        <v>390</v>
      </c>
      <c r="P61" s="60" t="s">
        <v>391</v>
      </c>
      <c r="Q61" s="60" t="s">
        <v>392</v>
      </c>
      <c r="R61" s="60" t="s">
        <v>393</v>
      </c>
      <c r="S61" s="60" t="s">
        <v>394</v>
      </c>
      <c r="T61" s="60">
        <v>100</v>
      </c>
      <c r="U61" s="60" t="s">
        <v>815</v>
      </c>
      <c r="V61" s="137" t="s">
        <v>244</v>
      </c>
      <c r="W61" s="138">
        <v>45930</v>
      </c>
      <c r="X61" s="60" t="s">
        <v>40</v>
      </c>
      <c r="Y61" s="61" t="s">
        <v>41</v>
      </c>
      <c r="Z61" s="129" t="s">
        <v>395</v>
      </c>
      <c r="AA61" s="64" t="s">
        <v>55</v>
      </c>
      <c r="AB61" s="73" t="s">
        <v>396</v>
      </c>
      <c r="AC61" s="66" t="str">
        <f t="shared" ca="1" si="5"/>
        <v/>
      </c>
      <c r="AD61" s="67">
        <f t="shared" ca="1" si="6"/>
        <v>0</v>
      </c>
      <c r="AE61" s="67">
        <f t="shared" ca="1" si="7"/>
        <v>0</v>
      </c>
      <c r="AF61" s="67">
        <f t="shared" ca="1" si="3"/>
        <v>0</v>
      </c>
      <c r="AG61" s="67">
        <f t="shared" ca="1" si="4"/>
        <v>0</v>
      </c>
      <c r="AH61" s="92"/>
      <c r="AI61" s="98">
        <v>45930</v>
      </c>
      <c r="AJ61" s="67">
        <v>1</v>
      </c>
    </row>
    <row r="62" spans="1:36" ht="228" hidden="1">
      <c r="A62" s="59">
        <v>120</v>
      </c>
      <c r="B62" s="60" t="s">
        <v>439</v>
      </c>
      <c r="C62" s="60" t="s">
        <v>27</v>
      </c>
      <c r="D62" s="60" t="s">
        <v>28</v>
      </c>
      <c r="E62" s="60" t="s">
        <v>29</v>
      </c>
      <c r="F62" s="60">
        <v>2023</v>
      </c>
      <c r="G62" s="60">
        <v>88</v>
      </c>
      <c r="H62" s="60" t="s">
        <v>440</v>
      </c>
      <c r="I62" s="61">
        <v>1</v>
      </c>
      <c r="J62" s="61" t="s">
        <v>31</v>
      </c>
      <c r="K62" s="62"/>
      <c r="L62" s="60" t="s">
        <v>399</v>
      </c>
      <c r="M62" s="60" t="s">
        <v>400</v>
      </c>
      <c r="N62" s="60" t="s">
        <v>401</v>
      </c>
      <c r="O62" s="60" t="s">
        <v>441</v>
      </c>
      <c r="P62" s="60" t="s">
        <v>442</v>
      </c>
      <c r="Q62" s="60" t="s">
        <v>443</v>
      </c>
      <c r="R62" s="60" t="s">
        <v>444</v>
      </c>
      <c r="S62" s="60" t="s">
        <v>445</v>
      </c>
      <c r="T62" s="60">
        <v>100</v>
      </c>
      <c r="U62" s="60" t="s">
        <v>270</v>
      </c>
      <c r="V62" s="60" t="s">
        <v>446</v>
      </c>
      <c r="W62" s="68">
        <v>45565</v>
      </c>
      <c r="X62" s="60" t="s">
        <v>40</v>
      </c>
      <c r="Y62" s="60" t="s">
        <v>41</v>
      </c>
      <c r="Z62" s="70" t="s">
        <v>447</v>
      </c>
      <c r="AA62" s="71" t="s">
        <v>55</v>
      </c>
      <c r="AB62" s="73" t="s">
        <v>448</v>
      </c>
      <c r="AC62" s="66" t="str">
        <f t="shared" ca="1" si="5"/>
        <v/>
      </c>
      <c r="AD62" s="67">
        <f t="shared" ca="1" si="6"/>
        <v>0</v>
      </c>
      <c r="AE62" s="67">
        <f t="shared" ca="1" si="7"/>
        <v>0</v>
      </c>
      <c r="AF62" s="67">
        <f t="shared" ca="1" si="3"/>
        <v>0</v>
      </c>
      <c r="AG62" s="67">
        <f t="shared" ca="1" si="4"/>
        <v>0</v>
      </c>
      <c r="AH62" s="92"/>
      <c r="AI62" s="98">
        <v>45565</v>
      </c>
      <c r="AJ62" s="67">
        <v>1</v>
      </c>
    </row>
    <row r="63" spans="1:36" ht="262.2" hidden="1">
      <c r="A63" s="78">
        <v>123</v>
      </c>
      <c r="B63" s="60" t="s">
        <v>439</v>
      </c>
      <c r="C63" s="60" t="s">
        <v>27</v>
      </c>
      <c r="D63" s="60" t="s">
        <v>28</v>
      </c>
      <c r="E63" s="60">
        <v>311</v>
      </c>
      <c r="F63" s="60">
        <v>2023</v>
      </c>
      <c r="G63" s="60">
        <v>88</v>
      </c>
      <c r="H63" s="60" t="s">
        <v>449</v>
      </c>
      <c r="I63" s="61">
        <v>1</v>
      </c>
      <c r="J63" s="61" t="s">
        <v>31</v>
      </c>
      <c r="K63" s="62"/>
      <c r="L63" s="60" t="s">
        <v>399</v>
      </c>
      <c r="M63" s="60" t="s">
        <v>400</v>
      </c>
      <c r="N63" s="60" t="s">
        <v>401</v>
      </c>
      <c r="O63" s="60" t="s">
        <v>450</v>
      </c>
      <c r="P63" s="60" t="s">
        <v>451</v>
      </c>
      <c r="Q63" s="60" t="s">
        <v>452</v>
      </c>
      <c r="R63" s="60" t="s">
        <v>453</v>
      </c>
      <c r="S63" s="60" t="s">
        <v>454</v>
      </c>
      <c r="T63" s="60">
        <v>100</v>
      </c>
      <c r="U63" s="60" t="s">
        <v>816</v>
      </c>
      <c r="V63" s="60" t="s">
        <v>455</v>
      </c>
      <c r="W63" s="68">
        <v>45504</v>
      </c>
      <c r="X63" s="60" t="s">
        <v>40</v>
      </c>
      <c r="Y63" s="60" t="s">
        <v>41</v>
      </c>
      <c r="Z63" s="69" t="s">
        <v>456</v>
      </c>
      <c r="AA63" s="64" t="s">
        <v>55</v>
      </c>
      <c r="AB63" s="90" t="s">
        <v>457</v>
      </c>
      <c r="AC63" s="66" t="str">
        <f t="shared" ref="AC63:AC85" ca="1" si="8">IF(AA63="Abierta", DATE(LEFT(W63,4), MID(W63,6,2), RIGHT(W63,2)) - TODAY(), "")</f>
        <v/>
      </c>
      <c r="AD63" s="67">
        <f t="shared" ref="AD63:AD85" ca="1" si="9">IF(AND($AA63="Abierta", $AC63&lt;=10, $AC63&gt;0), 1, 0)</f>
        <v>0</v>
      </c>
      <c r="AE63" s="67">
        <f t="shared" ref="AE63:AE85" ca="1" si="10">IF(AND($AA63="Abierta", $AC63&lt;=20, $AC63&gt;10), 1, 0)</f>
        <v>0</v>
      </c>
      <c r="AF63" s="67">
        <f t="shared" ca="1" si="3"/>
        <v>0</v>
      </c>
      <c r="AG63" s="67">
        <f t="shared" ca="1" si="4"/>
        <v>0</v>
      </c>
      <c r="AH63" s="92"/>
      <c r="AI63" s="98">
        <v>45504</v>
      </c>
      <c r="AJ63" s="67">
        <v>1</v>
      </c>
    </row>
    <row r="64" spans="1:36" ht="273.60000000000002" hidden="1">
      <c r="A64" s="59">
        <v>125</v>
      </c>
      <c r="B64" s="60" t="s">
        <v>439</v>
      </c>
      <c r="C64" s="60" t="s">
        <v>27</v>
      </c>
      <c r="D64" s="60" t="s">
        <v>28</v>
      </c>
      <c r="E64" s="60" t="s">
        <v>29</v>
      </c>
      <c r="F64" s="60">
        <v>2023</v>
      </c>
      <c r="G64" s="60">
        <v>88</v>
      </c>
      <c r="H64" s="60" t="s">
        <v>458</v>
      </c>
      <c r="I64" s="61">
        <v>1</v>
      </c>
      <c r="J64" s="61" t="s">
        <v>31</v>
      </c>
      <c r="K64" s="62"/>
      <c r="L64" s="60" t="s">
        <v>399</v>
      </c>
      <c r="M64" s="60" t="s">
        <v>400</v>
      </c>
      <c r="N64" s="60" t="s">
        <v>401</v>
      </c>
      <c r="O64" s="60" t="s">
        <v>459</v>
      </c>
      <c r="P64" s="60" t="s">
        <v>460</v>
      </c>
      <c r="Q64" s="60" t="s">
        <v>461</v>
      </c>
      <c r="R64" s="60" t="s">
        <v>462</v>
      </c>
      <c r="S64" s="60" t="s">
        <v>463</v>
      </c>
      <c r="T64" s="60">
        <v>100</v>
      </c>
      <c r="U64" s="60" t="s">
        <v>817</v>
      </c>
      <c r="V64" s="60" t="s">
        <v>455</v>
      </c>
      <c r="W64" s="68">
        <v>45443</v>
      </c>
      <c r="X64" s="60" t="s">
        <v>40</v>
      </c>
      <c r="Y64" s="60" t="s">
        <v>464</v>
      </c>
      <c r="Z64" s="70" t="s">
        <v>465</v>
      </c>
      <c r="AA64" s="71" t="s">
        <v>55</v>
      </c>
      <c r="AB64" s="73" t="s">
        <v>466</v>
      </c>
      <c r="AC64" s="66" t="str">
        <f t="shared" ca="1" si="8"/>
        <v/>
      </c>
      <c r="AD64" s="67">
        <f t="shared" ca="1" si="9"/>
        <v>0</v>
      </c>
      <c r="AE64" s="67">
        <f t="shared" ca="1" si="10"/>
        <v>0</v>
      </c>
      <c r="AF64" s="67">
        <f t="shared" ca="1" si="3"/>
        <v>0</v>
      </c>
      <c r="AG64" s="67">
        <f t="shared" ca="1" si="4"/>
        <v>0</v>
      </c>
      <c r="AH64" s="92"/>
      <c r="AI64" s="98">
        <v>45443</v>
      </c>
      <c r="AJ64" s="67">
        <v>1</v>
      </c>
    </row>
    <row r="65" spans="1:36" ht="171" hidden="1">
      <c r="A65" s="59">
        <v>184</v>
      </c>
      <c r="B65" s="60" t="s">
        <v>439</v>
      </c>
      <c r="C65" s="60" t="s">
        <v>27</v>
      </c>
      <c r="D65" s="60" t="s">
        <v>28</v>
      </c>
      <c r="E65" s="60" t="s">
        <v>29</v>
      </c>
      <c r="F65" s="60">
        <v>2023</v>
      </c>
      <c r="G65" s="60">
        <v>88</v>
      </c>
      <c r="H65" s="60" t="s">
        <v>62</v>
      </c>
      <c r="I65" s="61">
        <v>1</v>
      </c>
      <c r="J65" s="61" t="s">
        <v>31</v>
      </c>
      <c r="K65" s="62"/>
      <c r="L65" s="60" t="s">
        <v>399</v>
      </c>
      <c r="M65" s="60" t="s">
        <v>467</v>
      </c>
      <c r="N65" s="60" t="s">
        <v>468</v>
      </c>
      <c r="O65" s="60" t="s">
        <v>469</v>
      </c>
      <c r="P65" s="60" t="s">
        <v>470</v>
      </c>
      <c r="Q65" s="60" t="s">
        <v>471</v>
      </c>
      <c r="R65" s="60" t="s">
        <v>472</v>
      </c>
      <c r="S65" s="60" t="s">
        <v>473</v>
      </c>
      <c r="T65" s="60">
        <v>100</v>
      </c>
      <c r="U65" s="60" t="s">
        <v>800</v>
      </c>
      <c r="V65" s="60" t="s">
        <v>455</v>
      </c>
      <c r="W65" s="68">
        <v>45504</v>
      </c>
      <c r="X65" s="60" t="s">
        <v>40</v>
      </c>
      <c r="Y65" s="60" t="s">
        <v>41</v>
      </c>
      <c r="Z65" s="70" t="s">
        <v>474</v>
      </c>
      <c r="AA65" s="71" t="s">
        <v>55</v>
      </c>
      <c r="AB65" s="73" t="s">
        <v>475</v>
      </c>
      <c r="AC65" s="66" t="str">
        <f t="shared" ca="1" si="8"/>
        <v/>
      </c>
      <c r="AD65" s="67">
        <f t="shared" ca="1" si="9"/>
        <v>0</v>
      </c>
      <c r="AE65" s="67">
        <f t="shared" ca="1" si="10"/>
        <v>0</v>
      </c>
      <c r="AF65" s="67">
        <f t="shared" ca="1" si="3"/>
        <v>0</v>
      </c>
      <c r="AG65" s="67">
        <f t="shared" ca="1" si="4"/>
        <v>0</v>
      </c>
      <c r="AH65" s="91" t="s">
        <v>639</v>
      </c>
      <c r="AI65" s="98">
        <v>45504</v>
      </c>
      <c r="AJ65" s="67">
        <v>1</v>
      </c>
    </row>
    <row r="66" spans="1:36" ht="205.2" hidden="1">
      <c r="A66" s="59">
        <v>186</v>
      </c>
      <c r="B66" s="60" t="s">
        <v>439</v>
      </c>
      <c r="C66" s="60" t="s">
        <v>27</v>
      </c>
      <c r="D66" s="60" t="s">
        <v>28</v>
      </c>
      <c r="E66" s="60" t="s">
        <v>29</v>
      </c>
      <c r="F66" s="60">
        <v>2023</v>
      </c>
      <c r="G66" s="60">
        <v>88</v>
      </c>
      <c r="H66" s="60" t="s">
        <v>80</v>
      </c>
      <c r="I66" s="61">
        <v>1</v>
      </c>
      <c r="J66" s="61" t="s">
        <v>31</v>
      </c>
      <c r="K66" s="62"/>
      <c r="L66" s="60" t="s">
        <v>399</v>
      </c>
      <c r="M66" s="60" t="s">
        <v>467</v>
      </c>
      <c r="N66" s="60" t="s">
        <v>468</v>
      </c>
      <c r="O66" s="60" t="s">
        <v>476</v>
      </c>
      <c r="P66" s="60" t="s">
        <v>477</v>
      </c>
      <c r="Q66" s="60" t="s">
        <v>478</v>
      </c>
      <c r="R66" s="60" t="s">
        <v>479</v>
      </c>
      <c r="S66" s="60" t="s">
        <v>480</v>
      </c>
      <c r="T66" s="60">
        <v>100</v>
      </c>
      <c r="U66" s="60" t="s">
        <v>800</v>
      </c>
      <c r="V66" s="60" t="s">
        <v>446</v>
      </c>
      <c r="W66" s="68">
        <v>45382</v>
      </c>
      <c r="X66" s="60" t="s">
        <v>40</v>
      </c>
      <c r="Y66" s="60" t="s">
        <v>464</v>
      </c>
      <c r="Z66" s="70" t="s">
        <v>481</v>
      </c>
      <c r="AA66" s="71" t="s">
        <v>55</v>
      </c>
      <c r="AB66" s="73" t="s">
        <v>482</v>
      </c>
      <c r="AC66" s="66" t="str">
        <f t="shared" ca="1" si="8"/>
        <v/>
      </c>
      <c r="AD66" s="67">
        <f t="shared" ca="1" si="9"/>
        <v>0</v>
      </c>
      <c r="AE66" s="67">
        <f t="shared" ca="1" si="10"/>
        <v>0</v>
      </c>
      <c r="AF66" s="67">
        <f t="shared" ref="AF66:AF85" ca="1" si="11">IF(AND($AA66="Abierta", $AC66&lt;=30, $AC66&gt;20), 1, 0)</f>
        <v>0</v>
      </c>
      <c r="AG66" s="67">
        <f t="shared" ref="AG66:AG85" ca="1" si="12">IF(AND($AA66="Abierta", $AC66&lt;=5, $AC66&gt;0), 1, 0)</f>
        <v>0</v>
      </c>
      <c r="AH66" s="91" t="s">
        <v>639</v>
      </c>
      <c r="AI66" s="98">
        <v>45382</v>
      </c>
      <c r="AJ66" s="67">
        <v>1</v>
      </c>
    </row>
    <row r="67" spans="1:36" ht="171" hidden="1">
      <c r="A67" s="59">
        <v>187</v>
      </c>
      <c r="B67" s="60" t="s">
        <v>439</v>
      </c>
      <c r="C67" s="60" t="s">
        <v>27</v>
      </c>
      <c r="D67" s="60" t="s">
        <v>28</v>
      </c>
      <c r="E67" s="60" t="s">
        <v>29</v>
      </c>
      <c r="F67" s="60">
        <v>2023</v>
      </c>
      <c r="G67" s="60">
        <v>88</v>
      </c>
      <c r="H67" s="60" t="s">
        <v>88</v>
      </c>
      <c r="I67" s="61">
        <v>1</v>
      </c>
      <c r="J67" s="61" t="s">
        <v>31</v>
      </c>
      <c r="K67" s="62"/>
      <c r="L67" s="60" t="s">
        <v>399</v>
      </c>
      <c r="M67" s="60" t="s">
        <v>467</v>
      </c>
      <c r="N67" s="60" t="s">
        <v>468</v>
      </c>
      <c r="O67" s="60" t="s">
        <v>483</v>
      </c>
      <c r="P67" s="60" t="s">
        <v>484</v>
      </c>
      <c r="Q67" s="60" t="s">
        <v>485</v>
      </c>
      <c r="R67" s="60" t="s">
        <v>138</v>
      </c>
      <c r="S67" s="60" t="s">
        <v>486</v>
      </c>
      <c r="T67" s="60">
        <v>100</v>
      </c>
      <c r="U67" s="60" t="s">
        <v>800</v>
      </c>
      <c r="V67" s="60" t="s">
        <v>455</v>
      </c>
      <c r="W67" s="68">
        <v>45504</v>
      </c>
      <c r="X67" s="60" t="s">
        <v>40</v>
      </c>
      <c r="Y67" s="60" t="s">
        <v>41</v>
      </c>
      <c r="Z67" s="70" t="s">
        <v>487</v>
      </c>
      <c r="AA67" s="71" t="s">
        <v>55</v>
      </c>
      <c r="AB67" s="73" t="s">
        <v>488</v>
      </c>
      <c r="AC67" s="66" t="str">
        <f t="shared" ca="1" si="8"/>
        <v/>
      </c>
      <c r="AD67" s="67">
        <f t="shared" ca="1" si="9"/>
        <v>0</v>
      </c>
      <c r="AE67" s="67">
        <f t="shared" ca="1" si="10"/>
        <v>0</v>
      </c>
      <c r="AF67" s="67">
        <f t="shared" ca="1" si="11"/>
        <v>0</v>
      </c>
      <c r="AG67" s="67">
        <f t="shared" ca="1" si="12"/>
        <v>0</v>
      </c>
      <c r="AH67" s="91" t="s">
        <v>639</v>
      </c>
      <c r="AI67" s="98">
        <v>45504</v>
      </c>
      <c r="AJ67" s="67">
        <v>1</v>
      </c>
    </row>
    <row r="68" spans="1:36" ht="171" hidden="1">
      <c r="A68" s="59">
        <v>188</v>
      </c>
      <c r="B68" s="60" t="s">
        <v>439</v>
      </c>
      <c r="C68" s="60" t="s">
        <v>27</v>
      </c>
      <c r="D68" s="60" t="s">
        <v>28</v>
      </c>
      <c r="E68" s="60" t="s">
        <v>29</v>
      </c>
      <c r="F68" s="60">
        <v>2023</v>
      </c>
      <c r="G68" s="60">
        <v>88</v>
      </c>
      <c r="H68" s="60" t="s">
        <v>103</v>
      </c>
      <c r="I68" s="61">
        <v>1</v>
      </c>
      <c r="J68" s="61" t="s">
        <v>31</v>
      </c>
      <c r="K68" s="62"/>
      <c r="L68" s="60" t="s">
        <v>399</v>
      </c>
      <c r="M68" s="60" t="s">
        <v>467</v>
      </c>
      <c r="N68" s="60" t="s">
        <v>468</v>
      </c>
      <c r="O68" s="60" t="s">
        <v>489</v>
      </c>
      <c r="P68" s="60" t="s">
        <v>490</v>
      </c>
      <c r="Q68" s="60" t="s">
        <v>491</v>
      </c>
      <c r="R68" s="60" t="s">
        <v>138</v>
      </c>
      <c r="S68" s="60" t="s">
        <v>486</v>
      </c>
      <c r="T68" s="60">
        <v>100</v>
      </c>
      <c r="U68" s="60" t="s">
        <v>800</v>
      </c>
      <c r="V68" s="60" t="s">
        <v>455</v>
      </c>
      <c r="W68" s="68">
        <v>45504</v>
      </c>
      <c r="X68" s="60" t="s">
        <v>40</v>
      </c>
      <c r="Y68" s="60" t="s">
        <v>41</v>
      </c>
      <c r="Z68" s="70" t="s">
        <v>492</v>
      </c>
      <c r="AA68" s="71" t="s">
        <v>55</v>
      </c>
      <c r="AB68" s="73" t="s">
        <v>493</v>
      </c>
      <c r="AC68" s="66" t="str">
        <f t="shared" ca="1" si="8"/>
        <v/>
      </c>
      <c r="AD68" s="67">
        <f t="shared" ca="1" si="9"/>
        <v>0</v>
      </c>
      <c r="AE68" s="67">
        <f t="shared" ca="1" si="10"/>
        <v>0</v>
      </c>
      <c r="AF68" s="67">
        <f t="shared" ca="1" si="11"/>
        <v>0</v>
      </c>
      <c r="AG68" s="67">
        <f t="shared" ca="1" si="12"/>
        <v>0</v>
      </c>
      <c r="AH68" s="91" t="s">
        <v>639</v>
      </c>
      <c r="AI68" s="98">
        <v>45504</v>
      </c>
      <c r="AJ68" s="67">
        <v>1</v>
      </c>
    </row>
    <row r="69" spans="1:36" ht="193.8" hidden="1">
      <c r="A69" s="59">
        <v>213</v>
      </c>
      <c r="B69" s="60" t="s">
        <v>439</v>
      </c>
      <c r="C69" s="60" t="s">
        <v>27</v>
      </c>
      <c r="D69" s="60" t="s">
        <v>28</v>
      </c>
      <c r="E69" s="60" t="s">
        <v>29</v>
      </c>
      <c r="F69" s="60">
        <v>2023</v>
      </c>
      <c r="G69" s="60">
        <v>88</v>
      </c>
      <c r="H69" s="60" t="s">
        <v>494</v>
      </c>
      <c r="I69" s="61">
        <v>1</v>
      </c>
      <c r="J69" s="61" t="s">
        <v>31</v>
      </c>
      <c r="K69" s="62"/>
      <c r="L69" s="60" t="s">
        <v>399</v>
      </c>
      <c r="M69" s="60" t="s">
        <v>400</v>
      </c>
      <c r="N69" s="60" t="s">
        <v>413</v>
      </c>
      <c r="O69" s="60" t="s">
        <v>495</v>
      </c>
      <c r="P69" s="60" t="s">
        <v>496</v>
      </c>
      <c r="Q69" s="60" t="s">
        <v>497</v>
      </c>
      <c r="R69" s="60" t="s">
        <v>498</v>
      </c>
      <c r="S69" s="60" t="s">
        <v>499</v>
      </c>
      <c r="T69" s="60">
        <v>100</v>
      </c>
      <c r="U69" s="60" t="s">
        <v>270</v>
      </c>
      <c r="V69" s="60" t="s">
        <v>500</v>
      </c>
      <c r="W69" s="68">
        <v>45382</v>
      </c>
      <c r="X69" s="60" t="s">
        <v>40</v>
      </c>
      <c r="Y69" s="60" t="s">
        <v>464</v>
      </c>
      <c r="Z69" s="70" t="s">
        <v>501</v>
      </c>
      <c r="AA69" s="71" t="s">
        <v>55</v>
      </c>
      <c r="AB69" s="73" t="s">
        <v>502</v>
      </c>
      <c r="AC69" s="66" t="str">
        <f t="shared" ca="1" si="8"/>
        <v/>
      </c>
      <c r="AD69" s="67">
        <f t="shared" ca="1" si="9"/>
        <v>0</v>
      </c>
      <c r="AE69" s="67">
        <f t="shared" ca="1" si="10"/>
        <v>0</v>
      </c>
      <c r="AF69" s="67">
        <f t="shared" ca="1" si="11"/>
        <v>0</v>
      </c>
      <c r="AG69" s="67">
        <f t="shared" ca="1" si="12"/>
        <v>0</v>
      </c>
      <c r="AH69" s="92"/>
      <c r="AI69" s="98">
        <v>45382</v>
      </c>
      <c r="AJ69" s="67">
        <v>1</v>
      </c>
    </row>
    <row r="70" spans="1:36" ht="228" hidden="1">
      <c r="A70" s="59">
        <v>221</v>
      </c>
      <c r="B70" s="60" t="s">
        <v>439</v>
      </c>
      <c r="C70" s="60" t="s">
        <v>27</v>
      </c>
      <c r="D70" s="60" t="s">
        <v>28</v>
      </c>
      <c r="E70" s="60" t="s">
        <v>29</v>
      </c>
      <c r="F70" s="60">
        <v>2023</v>
      </c>
      <c r="G70" s="60">
        <v>88</v>
      </c>
      <c r="H70" s="60" t="s">
        <v>168</v>
      </c>
      <c r="I70" s="61">
        <v>1</v>
      </c>
      <c r="J70" s="61" t="s">
        <v>31</v>
      </c>
      <c r="K70" s="62"/>
      <c r="L70" s="60" t="s">
        <v>399</v>
      </c>
      <c r="M70" s="60" t="s">
        <v>400</v>
      </c>
      <c r="N70" s="60" t="s">
        <v>413</v>
      </c>
      <c r="O70" s="60" t="s">
        <v>503</v>
      </c>
      <c r="P70" s="60" t="s">
        <v>504</v>
      </c>
      <c r="Q70" s="60" t="s">
        <v>505</v>
      </c>
      <c r="R70" s="60" t="s">
        <v>506</v>
      </c>
      <c r="S70" s="60" t="s">
        <v>507</v>
      </c>
      <c r="T70" s="60">
        <v>100</v>
      </c>
      <c r="U70" s="60" t="s">
        <v>806</v>
      </c>
      <c r="V70" s="60" t="s">
        <v>500</v>
      </c>
      <c r="W70" s="68">
        <v>45566</v>
      </c>
      <c r="X70" s="60" t="s">
        <v>40</v>
      </c>
      <c r="Y70" s="60" t="s">
        <v>41</v>
      </c>
      <c r="Z70" s="70" t="s">
        <v>508</v>
      </c>
      <c r="AA70" s="71" t="s">
        <v>55</v>
      </c>
      <c r="AB70" s="73" t="s">
        <v>509</v>
      </c>
      <c r="AC70" s="66" t="str">
        <f t="shared" ca="1" si="8"/>
        <v/>
      </c>
      <c r="AD70" s="67">
        <f t="shared" ca="1" si="9"/>
        <v>0</v>
      </c>
      <c r="AE70" s="67">
        <f t="shared" ca="1" si="10"/>
        <v>0</v>
      </c>
      <c r="AF70" s="67">
        <f t="shared" ca="1" si="11"/>
        <v>0</v>
      </c>
      <c r="AG70" s="67">
        <f t="shared" ca="1" si="12"/>
        <v>0</v>
      </c>
      <c r="AH70" s="92"/>
      <c r="AI70" s="98">
        <v>45566</v>
      </c>
      <c r="AJ70" s="67">
        <v>1</v>
      </c>
    </row>
    <row r="71" spans="1:36" ht="239.4" hidden="1">
      <c r="A71" s="59">
        <v>222</v>
      </c>
      <c r="B71" s="60" t="s">
        <v>439</v>
      </c>
      <c r="C71" s="60" t="s">
        <v>27</v>
      </c>
      <c r="D71" s="60" t="s">
        <v>28</v>
      </c>
      <c r="E71" s="60" t="s">
        <v>29</v>
      </c>
      <c r="F71" s="60">
        <v>2023</v>
      </c>
      <c r="G71" s="60">
        <v>88</v>
      </c>
      <c r="H71" s="60" t="s">
        <v>179</v>
      </c>
      <c r="I71" s="61">
        <v>1</v>
      </c>
      <c r="J71" s="61" t="s">
        <v>31</v>
      </c>
      <c r="K71" s="62"/>
      <c r="L71" s="60" t="s">
        <v>399</v>
      </c>
      <c r="M71" s="60" t="s">
        <v>400</v>
      </c>
      <c r="N71" s="60" t="s">
        <v>413</v>
      </c>
      <c r="O71" s="60" t="s">
        <v>510</v>
      </c>
      <c r="P71" s="60" t="s">
        <v>511</v>
      </c>
      <c r="Q71" s="60" t="s">
        <v>512</v>
      </c>
      <c r="R71" s="60" t="s">
        <v>513</v>
      </c>
      <c r="S71" s="60" t="s">
        <v>514</v>
      </c>
      <c r="T71" s="60">
        <v>100</v>
      </c>
      <c r="U71" s="60" t="s">
        <v>806</v>
      </c>
      <c r="V71" s="60" t="s">
        <v>500</v>
      </c>
      <c r="W71" s="68">
        <v>45504</v>
      </c>
      <c r="X71" s="60" t="s">
        <v>40</v>
      </c>
      <c r="Y71" s="60" t="s">
        <v>41</v>
      </c>
      <c r="Z71" s="70" t="s">
        <v>515</v>
      </c>
      <c r="AA71" s="71" t="s">
        <v>55</v>
      </c>
      <c r="AB71" s="73" t="s">
        <v>516</v>
      </c>
      <c r="AC71" s="66" t="str">
        <f t="shared" ca="1" si="8"/>
        <v/>
      </c>
      <c r="AD71" s="67">
        <f t="shared" ca="1" si="9"/>
        <v>0</v>
      </c>
      <c r="AE71" s="67">
        <f t="shared" ca="1" si="10"/>
        <v>0</v>
      </c>
      <c r="AF71" s="67">
        <f t="shared" ca="1" si="11"/>
        <v>0</v>
      </c>
      <c r="AG71" s="67">
        <f t="shared" ca="1" si="12"/>
        <v>0</v>
      </c>
      <c r="AH71" s="92"/>
      <c r="AI71" s="98">
        <v>45504</v>
      </c>
      <c r="AJ71" s="67">
        <v>1</v>
      </c>
    </row>
    <row r="72" spans="1:36" ht="228" hidden="1">
      <c r="A72" s="78">
        <v>224</v>
      </c>
      <c r="B72" s="60" t="s">
        <v>439</v>
      </c>
      <c r="C72" s="60" t="s">
        <v>27</v>
      </c>
      <c r="D72" s="60" t="s">
        <v>28</v>
      </c>
      <c r="E72" s="60" t="s">
        <v>29</v>
      </c>
      <c r="F72" s="60">
        <v>2023</v>
      </c>
      <c r="G72" s="60">
        <v>88</v>
      </c>
      <c r="H72" s="60" t="s">
        <v>517</v>
      </c>
      <c r="I72" s="61">
        <v>1</v>
      </c>
      <c r="J72" s="61" t="s">
        <v>31</v>
      </c>
      <c r="K72" s="62"/>
      <c r="L72" s="60" t="s">
        <v>399</v>
      </c>
      <c r="M72" s="60" t="s">
        <v>400</v>
      </c>
      <c r="N72" s="60" t="s">
        <v>413</v>
      </c>
      <c r="O72" s="60" t="s">
        <v>518</v>
      </c>
      <c r="P72" s="60" t="s">
        <v>519</v>
      </c>
      <c r="Q72" s="60" t="s">
        <v>520</v>
      </c>
      <c r="R72" s="60" t="s">
        <v>521</v>
      </c>
      <c r="S72" s="60" t="s">
        <v>522</v>
      </c>
      <c r="T72" s="60">
        <v>100</v>
      </c>
      <c r="U72" s="60" t="s">
        <v>806</v>
      </c>
      <c r="V72" s="60" t="s">
        <v>500</v>
      </c>
      <c r="W72" s="68">
        <v>45504</v>
      </c>
      <c r="X72" s="60" t="s">
        <v>40</v>
      </c>
      <c r="Y72" s="60" t="s">
        <v>41</v>
      </c>
      <c r="Z72" s="69" t="s">
        <v>523</v>
      </c>
      <c r="AA72" s="64" t="s">
        <v>55</v>
      </c>
      <c r="AB72" s="90" t="s">
        <v>524</v>
      </c>
      <c r="AC72" s="66" t="str">
        <f t="shared" ca="1" si="8"/>
        <v/>
      </c>
      <c r="AD72" s="67">
        <f t="shared" ca="1" si="9"/>
        <v>0</v>
      </c>
      <c r="AE72" s="67">
        <f t="shared" ca="1" si="10"/>
        <v>0</v>
      </c>
      <c r="AF72" s="67">
        <f t="shared" ca="1" si="11"/>
        <v>0</v>
      </c>
      <c r="AG72" s="67">
        <f t="shared" ca="1" si="12"/>
        <v>0</v>
      </c>
      <c r="AH72" s="92"/>
      <c r="AI72" s="98">
        <v>45504</v>
      </c>
      <c r="AJ72" s="67">
        <v>1</v>
      </c>
    </row>
    <row r="73" spans="1:36" ht="239.4" hidden="1">
      <c r="A73" s="59">
        <v>225</v>
      </c>
      <c r="B73" s="60" t="s">
        <v>439</v>
      </c>
      <c r="C73" s="60" t="s">
        <v>27</v>
      </c>
      <c r="D73" s="60" t="s">
        <v>28</v>
      </c>
      <c r="E73" s="60" t="s">
        <v>29</v>
      </c>
      <c r="F73" s="60">
        <v>2023</v>
      </c>
      <c r="G73" s="60">
        <v>88</v>
      </c>
      <c r="H73" s="60" t="s">
        <v>190</v>
      </c>
      <c r="I73" s="61">
        <v>1</v>
      </c>
      <c r="J73" s="61" t="s">
        <v>31</v>
      </c>
      <c r="K73" s="62"/>
      <c r="L73" s="60" t="s">
        <v>399</v>
      </c>
      <c r="M73" s="60" t="s">
        <v>400</v>
      </c>
      <c r="N73" s="60" t="s">
        <v>413</v>
      </c>
      <c r="O73" s="60" t="s">
        <v>525</v>
      </c>
      <c r="P73" s="60" t="s">
        <v>526</v>
      </c>
      <c r="Q73" s="60" t="s">
        <v>527</v>
      </c>
      <c r="R73" s="60" t="s">
        <v>528</v>
      </c>
      <c r="S73" s="60" t="s">
        <v>529</v>
      </c>
      <c r="T73" s="60">
        <v>100</v>
      </c>
      <c r="U73" s="60" t="s">
        <v>798</v>
      </c>
      <c r="V73" s="60" t="s">
        <v>500</v>
      </c>
      <c r="W73" s="225">
        <v>45382</v>
      </c>
      <c r="X73" s="60" t="s">
        <v>40</v>
      </c>
      <c r="Y73" s="60" t="s">
        <v>464</v>
      </c>
      <c r="Z73" s="70" t="s">
        <v>530</v>
      </c>
      <c r="AA73" s="71" t="s">
        <v>55</v>
      </c>
      <c r="AB73" s="73" t="s">
        <v>531</v>
      </c>
      <c r="AC73" s="66" t="str">
        <f t="shared" ca="1" si="8"/>
        <v/>
      </c>
      <c r="AD73" s="67">
        <f t="shared" ca="1" si="9"/>
        <v>0</v>
      </c>
      <c r="AE73" s="67">
        <f t="shared" ca="1" si="10"/>
        <v>0</v>
      </c>
      <c r="AF73" s="67">
        <f t="shared" ca="1" si="11"/>
        <v>0</v>
      </c>
      <c r="AG73" s="67">
        <f t="shared" ca="1" si="12"/>
        <v>0</v>
      </c>
      <c r="AH73" s="91" t="s">
        <v>643</v>
      </c>
      <c r="AI73" s="98">
        <v>45382</v>
      </c>
      <c r="AJ73" s="67">
        <v>1</v>
      </c>
    </row>
    <row r="74" spans="1:36" ht="193.8" hidden="1">
      <c r="A74" s="59">
        <v>232</v>
      </c>
      <c r="B74" s="60" t="s">
        <v>439</v>
      </c>
      <c r="C74" s="60" t="s">
        <v>27</v>
      </c>
      <c r="D74" s="60" t="s">
        <v>28</v>
      </c>
      <c r="E74" s="60" t="s">
        <v>29</v>
      </c>
      <c r="F74" s="60">
        <v>2023</v>
      </c>
      <c r="G74" s="60">
        <v>88</v>
      </c>
      <c r="H74" s="60" t="s">
        <v>215</v>
      </c>
      <c r="I74" s="61">
        <v>1</v>
      </c>
      <c r="J74" s="61" t="s">
        <v>31</v>
      </c>
      <c r="K74" s="62"/>
      <c r="L74" s="60" t="s">
        <v>399</v>
      </c>
      <c r="M74" s="60" t="s">
        <v>400</v>
      </c>
      <c r="N74" s="60" t="s">
        <v>413</v>
      </c>
      <c r="O74" s="60" t="s">
        <v>532</v>
      </c>
      <c r="P74" s="60" t="s">
        <v>533</v>
      </c>
      <c r="Q74" s="60" t="s">
        <v>534</v>
      </c>
      <c r="R74" s="60" t="s">
        <v>535</v>
      </c>
      <c r="S74" s="60" t="s">
        <v>536</v>
      </c>
      <c r="T74" s="60">
        <v>100</v>
      </c>
      <c r="U74" s="60" t="s">
        <v>798</v>
      </c>
      <c r="V74" s="60" t="s">
        <v>500</v>
      </c>
      <c r="W74" s="225">
        <v>45382</v>
      </c>
      <c r="X74" s="60" t="s">
        <v>40</v>
      </c>
      <c r="Y74" s="60" t="s">
        <v>464</v>
      </c>
      <c r="Z74" s="70" t="s">
        <v>537</v>
      </c>
      <c r="AA74" s="71" t="s">
        <v>55</v>
      </c>
      <c r="AB74" s="73" t="s">
        <v>538</v>
      </c>
      <c r="AC74" s="66" t="str">
        <f t="shared" ca="1" si="8"/>
        <v/>
      </c>
      <c r="AD74" s="67">
        <f t="shared" ca="1" si="9"/>
        <v>0</v>
      </c>
      <c r="AE74" s="67">
        <f t="shared" ca="1" si="10"/>
        <v>0</v>
      </c>
      <c r="AF74" s="67">
        <f t="shared" ca="1" si="11"/>
        <v>0</v>
      </c>
      <c r="AG74" s="67">
        <f t="shared" ca="1" si="12"/>
        <v>0</v>
      </c>
      <c r="AH74" s="91" t="s">
        <v>643</v>
      </c>
      <c r="AI74" s="98">
        <v>45382</v>
      </c>
      <c r="AJ74" s="67">
        <v>1</v>
      </c>
    </row>
    <row r="75" spans="1:36" ht="182.4" hidden="1">
      <c r="A75" s="59">
        <v>233</v>
      </c>
      <c r="B75" s="60" t="s">
        <v>439</v>
      </c>
      <c r="C75" s="60" t="s">
        <v>27</v>
      </c>
      <c r="D75" s="60" t="s">
        <v>28</v>
      </c>
      <c r="E75" s="60" t="s">
        <v>29</v>
      </c>
      <c r="F75" s="60">
        <v>2023</v>
      </c>
      <c r="G75" s="60">
        <v>88</v>
      </c>
      <c r="H75" s="60" t="s">
        <v>539</v>
      </c>
      <c r="I75" s="61">
        <v>1</v>
      </c>
      <c r="J75" s="61" t="s">
        <v>31</v>
      </c>
      <c r="K75" s="62"/>
      <c r="L75" s="60" t="s">
        <v>399</v>
      </c>
      <c r="M75" s="60" t="s">
        <v>400</v>
      </c>
      <c r="N75" s="60" t="s">
        <v>413</v>
      </c>
      <c r="O75" s="60" t="s">
        <v>540</v>
      </c>
      <c r="P75" s="60" t="s">
        <v>541</v>
      </c>
      <c r="Q75" s="60" t="s">
        <v>542</v>
      </c>
      <c r="R75" s="60" t="s">
        <v>543</v>
      </c>
      <c r="S75" s="60" t="s">
        <v>544</v>
      </c>
      <c r="T75" s="60">
        <v>100</v>
      </c>
      <c r="U75" s="60" t="s">
        <v>818</v>
      </c>
      <c r="V75" s="60" t="s">
        <v>500</v>
      </c>
      <c r="W75" s="68">
        <v>45382</v>
      </c>
      <c r="X75" s="60" t="s">
        <v>40</v>
      </c>
      <c r="Y75" s="60" t="s">
        <v>464</v>
      </c>
      <c r="Z75" s="70" t="s">
        <v>545</v>
      </c>
      <c r="AA75" s="71" t="s">
        <v>55</v>
      </c>
      <c r="AB75" s="73" t="s">
        <v>546</v>
      </c>
      <c r="AC75" s="66" t="str">
        <f t="shared" ca="1" si="8"/>
        <v/>
      </c>
      <c r="AD75" s="67">
        <f t="shared" ca="1" si="9"/>
        <v>0</v>
      </c>
      <c r="AE75" s="67">
        <f t="shared" ca="1" si="10"/>
        <v>0</v>
      </c>
      <c r="AF75" s="67">
        <f t="shared" ca="1" si="11"/>
        <v>0</v>
      </c>
      <c r="AG75" s="67">
        <f t="shared" ca="1" si="12"/>
        <v>0</v>
      </c>
      <c r="AH75" s="92"/>
      <c r="AI75" s="98">
        <v>45382</v>
      </c>
      <c r="AJ75" s="67">
        <v>0.5</v>
      </c>
    </row>
    <row r="76" spans="1:36" ht="262.2" hidden="1">
      <c r="A76" s="59">
        <v>234</v>
      </c>
      <c r="B76" s="60" t="s">
        <v>439</v>
      </c>
      <c r="C76" s="60" t="s">
        <v>27</v>
      </c>
      <c r="D76" s="60" t="s">
        <v>28</v>
      </c>
      <c r="E76" s="60" t="s">
        <v>29</v>
      </c>
      <c r="F76" s="60">
        <v>2023</v>
      </c>
      <c r="G76" s="60">
        <v>88</v>
      </c>
      <c r="H76" s="60" t="s">
        <v>539</v>
      </c>
      <c r="I76" s="61">
        <v>2</v>
      </c>
      <c r="J76" s="61" t="s">
        <v>31</v>
      </c>
      <c r="K76" s="62"/>
      <c r="L76" s="60" t="s">
        <v>399</v>
      </c>
      <c r="M76" s="60" t="s">
        <v>400</v>
      </c>
      <c r="N76" s="60" t="s">
        <v>413</v>
      </c>
      <c r="O76" s="60" t="s">
        <v>540</v>
      </c>
      <c r="P76" s="60" t="s">
        <v>541</v>
      </c>
      <c r="Q76" s="60" t="s">
        <v>547</v>
      </c>
      <c r="R76" s="60" t="s">
        <v>548</v>
      </c>
      <c r="S76" s="60" t="s">
        <v>549</v>
      </c>
      <c r="T76" s="60">
        <v>100</v>
      </c>
      <c r="U76" s="60" t="s">
        <v>818</v>
      </c>
      <c r="V76" s="60" t="s">
        <v>500</v>
      </c>
      <c r="W76" s="68">
        <v>45382</v>
      </c>
      <c r="X76" s="60" t="s">
        <v>40</v>
      </c>
      <c r="Y76" s="60" t="s">
        <v>464</v>
      </c>
      <c r="Z76" s="70" t="s">
        <v>550</v>
      </c>
      <c r="AA76" s="71" t="s">
        <v>55</v>
      </c>
      <c r="AB76" s="73" t="s">
        <v>551</v>
      </c>
      <c r="AC76" s="66" t="str">
        <f t="shared" ca="1" si="8"/>
        <v/>
      </c>
      <c r="AD76" s="67">
        <f t="shared" ca="1" si="9"/>
        <v>0</v>
      </c>
      <c r="AE76" s="67">
        <f t="shared" ca="1" si="10"/>
        <v>0</v>
      </c>
      <c r="AF76" s="67">
        <f t="shared" ca="1" si="11"/>
        <v>0</v>
      </c>
      <c r="AG76" s="67">
        <f t="shared" ca="1" si="12"/>
        <v>0</v>
      </c>
      <c r="AH76" s="92"/>
      <c r="AI76" s="98">
        <v>45382</v>
      </c>
      <c r="AJ76" s="67">
        <v>0.5</v>
      </c>
    </row>
    <row r="77" spans="1:36" ht="205.2" hidden="1">
      <c r="A77" s="59">
        <v>235</v>
      </c>
      <c r="B77" s="60" t="s">
        <v>439</v>
      </c>
      <c r="C77" s="60" t="s">
        <v>27</v>
      </c>
      <c r="D77" s="60" t="s">
        <v>28</v>
      </c>
      <c r="E77" s="60" t="s">
        <v>29</v>
      </c>
      <c r="F77" s="60">
        <v>2023</v>
      </c>
      <c r="G77" s="60">
        <v>88</v>
      </c>
      <c r="H77" s="60" t="s">
        <v>552</v>
      </c>
      <c r="I77" s="61">
        <v>1</v>
      </c>
      <c r="J77" s="61" t="s">
        <v>31</v>
      </c>
      <c r="K77" s="62"/>
      <c r="L77" s="60" t="s">
        <v>399</v>
      </c>
      <c r="M77" s="60" t="s">
        <v>400</v>
      </c>
      <c r="N77" s="60" t="s">
        <v>413</v>
      </c>
      <c r="O77" s="60" t="s">
        <v>553</v>
      </c>
      <c r="P77" s="60" t="s">
        <v>554</v>
      </c>
      <c r="Q77" s="60" t="s">
        <v>555</v>
      </c>
      <c r="R77" s="60" t="s">
        <v>556</v>
      </c>
      <c r="S77" s="60" t="s">
        <v>557</v>
      </c>
      <c r="T77" s="60">
        <v>100</v>
      </c>
      <c r="U77" s="60" t="s">
        <v>798</v>
      </c>
      <c r="V77" s="60" t="s">
        <v>500</v>
      </c>
      <c r="W77" s="225">
        <v>45382</v>
      </c>
      <c r="X77" s="60" t="s">
        <v>40</v>
      </c>
      <c r="Y77" s="60" t="s">
        <v>464</v>
      </c>
      <c r="Z77" s="70" t="s">
        <v>558</v>
      </c>
      <c r="AA77" s="71" t="s">
        <v>55</v>
      </c>
      <c r="AB77" s="73" t="s">
        <v>559</v>
      </c>
      <c r="AC77" s="66" t="str">
        <f t="shared" ca="1" si="8"/>
        <v/>
      </c>
      <c r="AD77" s="67">
        <f t="shared" ca="1" si="9"/>
        <v>0</v>
      </c>
      <c r="AE77" s="67">
        <f t="shared" ca="1" si="10"/>
        <v>0</v>
      </c>
      <c r="AF77" s="67">
        <f t="shared" ca="1" si="11"/>
        <v>0</v>
      </c>
      <c r="AG77" s="67">
        <f t="shared" ca="1" si="12"/>
        <v>0</v>
      </c>
      <c r="AH77" s="91" t="s">
        <v>643</v>
      </c>
      <c r="AI77" s="98">
        <v>45382</v>
      </c>
      <c r="AJ77" s="67">
        <v>0.5</v>
      </c>
    </row>
    <row r="78" spans="1:36" ht="262.2" hidden="1">
      <c r="A78" s="59">
        <v>236</v>
      </c>
      <c r="B78" s="60" t="s">
        <v>439</v>
      </c>
      <c r="C78" s="60" t="s">
        <v>27</v>
      </c>
      <c r="D78" s="60" t="s">
        <v>28</v>
      </c>
      <c r="E78" s="60" t="s">
        <v>29</v>
      </c>
      <c r="F78" s="60">
        <v>2023</v>
      </c>
      <c r="G78" s="60">
        <v>88</v>
      </c>
      <c r="H78" s="60" t="s">
        <v>552</v>
      </c>
      <c r="I78" s="61">
        <v>2</v>
      </c>
      <c r="J78" s="61" t="s">
        <v>31</v>
      </c>
      <c r="K78" s="62"/>
      <c r="L78" s="60" t="s">
        <v>399</v>
      </c>
      <c r="M78" s="60" t="s">
        <v>400</v>
      </c>
      <c r="N78" s="60" t="s">
        <v>413</v>
      </c>
      <c r="O78" s="60" t="s">
        <v>553</v>
      </c>
      <c r="P78" s="60" t="s">
        <v>554</v>
      </c>
      <c r="Q78" s="60" t="s">
        <v>560</v>
      </c>
      <c r="R78" s="60" t="s">
        <v>561</v>
      </c>
      <c r="S78" s="60" t="s">
        <v>562</v>
      </c>
      <c r="T78" s="60">
        <v>100</v>
      </c>
      <c r="U78" s="60" t="s">
        <v>798</v>
      </c>
      <c r="V78" s="60" t="s">
        <v>500</v>
      </c>
      <c r="W78" s="225">
        <v>45382</v>
      </c>
      <c r="X78" s="60" t="s">
        <v>40</v>
      </c>
      <c r="Y78" s="60" t="s">
        <v>464</v>
      </c>
      <c r="Z78" s="70" t="s">
        <v>563</v>
      </c>
      <c r="AA78" s="71" t="s">
        <v>55</v>
      </c>
      <c r="AB78" s="73" t="s">
        <v>564</v>
      </c>
      <c r="AC78" s="66" t="str">
        <f t="shared" ca="1" si="8"/>
        <v/>
      </c>
      <c r="AD78" s="67">
        <f t="shared" ca="1" si="9"/>
        <v>0</v>
      </c>
      <c r="AE78" s="67">
        <f t="shared" ca="1" si="10"/>
        <v>0</v>
      </c>
      <c r="AF78" s="67">
        <f t="shared" ca="1" si="11"/>
        <v>0</v>
      </c>
      <c r="AG78" s="67">
        <f t="shared" ca="1" si="12"/>
        <v>0</v>
      </c>
      <c r="AH78" s="91" t="s">
        <v>643</v>
      </c>
      <c r="AI78" s="98">
        <v>45382</v>
      </c>
      <c r="AJ78" s="67">
        <v>0.5</v>
      </c>
    </row>
    <row r="79" spans="1:36" ht="159.6" hidden="1">
      <c r="A79" s="59">
        <v>237</v>
      </c>
      <c r="B79" s="60" t="s">
        <v>439</v>
      </c>
      <c r="C79" s="60" t="s">
        <v>27</v>
      </c>
      <c r="D79" s="60" t="s">
        <v>28</v>
      </c>
      <c r="E79" s="60" t="s">
        <v>29</v>
      </c>
      <c r="F79" s="60">
        <v>2023</v>
      </c>
      <c r="G79" s="60">
        <v>88</v>
      </c>
      <c r="H79" s="60" t="s">
        <v>565</v>
      </c>
      <c r="I79" s="61">
        <v>1</v>
      </c>
      <c r="J79" s="61" t="s">
        <v>31</v>
      </c>
      <c r="K79" s="62"/>
      <c r="L79" s="60" t="s">
        <v>399</v>
      </c>
      <c r="M79" s="60" t="s">
        <v>400</v>
      </c>
      <c r="N79" s="60" t="s">
        <v>413</v>
      </c>
      <c r="O79" s="60" t="s">
        <v>566</v>
      </c>
      <c r="P79" s="60" t="s">
        <v>567</v>
      </c>
      <c r="Q79" s="60" t="s">
        <v>568</v>
      </c>
      <c r="R79" s="60" t="s">
        <v>569</v>
      </c>
      <c r="S79" s="60" t="s">
        <v>570</v>
      </c>
      <c r="T79" s="60">
        <v>100</v>
      </c>
      <c r="U79" s="60" t="s">
        <v>798</v>
      </c>
      <c r="V79" s="60" t="s">
        <v>500</v>
      </c>
      <c r="W79" s="225">
        <v>45382</v>
      </c>
      <c r="X79" s="60" t="s">
        <v>40</v>
      </c>
      <c r="Y79" s="60" t="s">
        <v>464</v>
      </c>
      <c r="Z79" s="70" t="s">
        <v>571</v>
      </c>
      <c r="AA79" s="71" t="s">
        <v>55</v>
      </c>
      <c r="AB79" s="73" t="s">
        <v>572</v>
      </c>
      <c r="AC79" s="66" t="str">
        <f t="shared" ca="1" si="8"/>
        <v/>
      </c>
      <c r="AD79" s="67">
        <f t="shared" ca="1" si="9"/>
        <v>0</v>
      </c>
      <c r="AE79" s="67">
        <f t="shared" ca="1" si="10"/>
        <v>0</v>
      </c>
      <c r="AF79" s="67">
        <f t="shared" ca="1" si="11"/>
        <v>0</v>
      </c>
      <c r="AG79" s="67">
        <f t="shared" ca="1" si="12"/>
        <v>0</v>
      </c>
      <c r="AH79" s="91" t="s">
        <v>643</v>
      </c>
      <c r="AI79" s="98">
        <v>45382</v>
      </c>
      <c r="AJ79" s="67">
        <v>1</v>
      </c>
    </row>
    <row r="80" spans="1:36" ht="205.2" hidden="1">
      <c r="A80" s="59">
        <v>238</v>
      </c>
      <c r="B80" s="60" t="s">
        <v>439</v>
      </c>
      <c r="C80" s="60" t="s">
        <v>27</v>
      </c>
      <c r="D80" s="60" t="s">
        <v>28</v>
      </c>
      <c r="E80" s="60" t="s">
        <v>29</v>
      </c>
      <c r="F80" s="60">
        <v>2023</v>
      </c>
      <c r="G80" s="60">
        <v>88</v>
      </c>
      <c r="H80" s="60" t="s">
        <v>370</v>
      </c>
      <c r="I80" s="61">
        <v>1</v>
      </c>
      <c r="J80" s="61" t="s">
        <v>31</v>
      </c>
      <c r="K80" s="62"/>
      <c r="L80" s="60" t="s">
        <v>399</v>
      </c>
      <c r="M80" s="60" t="s">
        <v>400</v>
      </c>
      <c r="N80" s="60" t="s">
        <v>413</v>
      </c>
      <c r="O80" s="60" t="s">
        <v>573</v>
      </c>
      <c r="P80" s="60" t="s">
        <v>574</v>
      </c>
      <c r="Q80" s="60" t="s">
        <v>575</v>
      </c>
      <c r="R80" s="60" t="s">
        <v>576</v>
      </c>
      <c r="S80" s="60" t="s">
        <v>577</v>
      </c>
      <c r="T80" s="60">
        <v>100</v>
      </c>
      <c r="U80" s="60" t="s">
        <v>799</v>
      </c>
      <c r="V80" s="60" t="s">
        <v>578</v>
      </c>
      <c r="W80" s="68">
        <v>45382</v>
      </c>
      <c r="X80" s="60" t="s">
        <v>40</v>
      </c>
      <c r="Y80" s="60" t="s">
        <v>464</v>
      </c>
      <c r="Z80" s="70" t="s">
        <v>579</v>
      </c>
      <c r="AA80" s="71" t="s">
        <v>55</v>
      </c>
      <c r="AB80" s="73" t="s">
        <v>580</v>
      </c>
      <c r="AC80" s="66" t="str">
        <f t="shared" ca="1" si="8"/>
        <v/>
      </c>
      <c r="AD80" s="67">
        <f t="shared" ca="1" si="9"/>
        <v>0</v>
      </c>
      <c r="AE80" s="67">
        <f t="shared" ca="1" si="10"/>
        <v>0</v>
      </c>
      <c r="AF80" s="67">
        <f t="shared" ca="1" si="11"/>
        <v>0</v>
      </c>
      <c r="AG80" s="67">
        <f t="shared" ca="1" si="12"/>
        <v>0</v>
      </c>
      <c r="AH80" s="92"/>
      <c r="AI80" s="98">
        <v>45382</v>
      </c>
      <c r="AJ80" s="67">
        <v>0.5</v>
      </c>
    </row>
    <row r="81" spans="1:36" ht="250.8" hidden="1">
      <c r="A81" s="59">
        <v>239</v>
      </c>
      <c r="B81" s="60" t="s">
        <v>439</v>
      </c>
      <c r="C81" s="60" t="s">
        <v>27</v>
      </c>
      <c r="D81" s="60" t="s">
        <v>28</v>
      </c>
      <c r="E81" s="60" t="s">
        <v>29</v>
      </c>
      <c r="F81" s="60">
        <v>2023</v>
      </c>
      <c r="G81" s="60">
        <v>88</v>
      </c>
      <c r="H81" s="60" t="s">
        <v>370</v>
      </c>
      <c r="I81" s="61">
        <v>2</v>
      </c>
      <c r="J81" s="61" t="s">
        <v>31</v>
      </c>
      <c r="K81" s="62"/>
      <c r="L81" s="60" t="s">
        <v>399</v>
      </c>
      <c r="M81" s="60" t="s">
        <v>400</v>
      </c>
      <c r="N81" s="60" t="s">
        <v>413</v>
      </c>
      <c r="O81" s="60" t="s">
        <v>573</v>
      </c>
      <c r="P81" s="60" t="s">
        <v>574</v>
      </c>
      <c r="Q81" s="60" t="s">
        <v>581</v>
      </c>
      <c r="R81" s="60" t="s">
        <v>582</v>
      </c>
      <c r="S81" s="60" t="s">
        <v>583</v>
      </c>
      <c r="T81" s="60">
        <v>100</v>
      </c>
      <c r="U81" s="60" t="s">
        <v>798</v>
      </c>
      <c r="V81" s="60" t="s">
        <v>578</v>
      </c>
      <c r="W81" s="68">
        <v>45382</v>
      </c>
      <c r="X81" s="60" t="s">
        <v>40</v>
      </c>
      <c r="Y81" s="60" t="s">
        <v>464</v>
      </c>
      <c r="Z81" s="70" t="s">
        <v>584</v>
      </c>
      <c r="AA81" s="71" t="s">
        <v>55</v>
      </c>
      <c r="AB81" s="73" t="s">
        <v>585</v>
      </c>
      <c r="AC81" s="66" t="str">
        <f t="shared" ca="1" si="8"/>
        <v/>
      </c>
      <c r="AD81" s="67">
        <f t="shared" ca="1" si="9"/>
        <v>0</v>
      </c>
      <c r="AE81" s="67">
        <f t="shared" ca="1" si="10"/>
        <v>0</v>
      </c>
      <c r="AF81" s="67">
        <f t="shared" ca="1" si="11"/>
        <v>0</v>
      </c>
      <c r="AG81" s="67">
        <f t="shared" ca="1" si="12"/>
        <v>0</v>
      </c>
      <c r="AH81" s="92"/>
      <c r="AI81" s="98">
        <v>45382</v>
      </c>
      <c r="AJ81" s="67">
        <v>0.5</v>
      </c>
    </row>
    <row r="82" spans="1:36" ht="125.4" hidden="1">
      <c r="A82" s="59">
        <v>241</v>
      </c>
      <c r="B82" s="60" t="s">
        <v>439</v>
      </c>
      <c r="C82" s="60" t="s">
        <v>27</v>
      </c>
      <c r="D82" s="60" t="s">
        <v>28</v>
      </c>
      <c r="E82" s="60" t="s">
        <v>29</v>
      </c>
      <c r="F82" s="60">
        <v>2023</v>
      </c>
      <c r="G82" s="60">
        <v>88</v>
      </c>
      <c r="H82" s="60" t="s">
        <v>586</v>
      </c>
      <c r="I82" s="61">
        <v>1</v>
      </c>
      <c r="J82" s="61" t="s">
        <v>31</v>
      </c>
      <c r="K82" s="62"/>
      <c r="L82" s="60" t="s">
        <v>399</v>
      </c>
      <c r="M82" s="60" t="s">
        <v>400</v>
      </c>
      <c r="N82" s="60" t="s">
        <v>413</v>
      </c>
      <c r="O82" s="60" t="s">
        <v>587</v>
      </c>
      <c r="P82" s="60" t="s">
        <v>588</v>
      </c>
      <c r="Q82" s="60" t="s">
        <v>589</v>
      </c>
      <c r="R82" s="60" t="s">
        <v>590</v>
      </c>
      <c r="S82" s="60" t="s">
        <v>591</v>
      </c>
      <c r="T82" s="60">
        <v>100</v>
      </c>
      <c r="U82" s="60" t="s">
        <v>799</v>
      </c>
      <c r="V82" s="60" t="s">
        <v>592</v>
      </c>
      <c r="W82" s="68">
        <v>45382</v>
      </c>
      <c r="X82" s="60" t="s">
        <v>40</v>
      </c>
      <c r="Y82" s="60" t="s">
        <v>464</v>
      </c>
      <c r="Z82" s="70" t="s">
        <v>593</v>
      </c>
      <c r="AA82" s="71" t="s">
        <v>55</v>
      </c>
      <c r="AB82" s="73" t="s">
        <v>594</v>
      </c>
      <c r="AC82" s="66" t="str">
        <f t="shared" ca="1" si="8"/>
        <v/>
      </c>
      <c r="AD82" s="67">
        <f t="shared" ca="1" si="9"/>
        <v>0</v>
      </c>
      <c r="AE82" s="67">
        <f t="shared" ca="1" si="10"/>
        <v>0</v>
      </c>
      <c r="AF82" s="67">
        <f t="shared" ca="1" si="11"/>
        <v>0</v>
      </c>
      <c r="AG82" s="67">
        <f t="shared" ca="1" si="12"/>
        <v>0</v>
      </c>
      <c r="AH82" s="92"/>
      <c r="AI82" s="98">
        <v>45382</v>
      </c>
      <c r="AJ82" s="67">
        <v>0.5</v>
      </c>
    </row>
    <row r="83" spans="1:36" ht="114" hidden="1">
      <c r="A83" s="59">
        <v>242</v>
      </c>
      <c r="B83" s="60" t="s">
        <v>439</v>
      </c>
      <c r="C83" s="60" t="s">
        <v>27</v>
      </c>
      <c r="D83" s="60" t="s">
        <v>28</v>
      </c>
      <c r="E83" s="60" t="s">
        <v>29</v>
      </c>
      <c r="F83" s="60">
        <v>2023</v>
      </c>
      <c r="G83" s="60">
        <v>88</v>
      </c>
      <c r="H83" s="60" t="s">
        <v>586</v>
      </c>
      <c r="I83" s="61">
        <v>2</v>
      </c>
      <c r="J83" s="61" t="s">
        <v>31</v>
      </c>
      <c r="K83" s="62"/>
      <c r="L83" s="60" t="s">
        <v>399</v>
      </c>
      <c r="M83" s="60" t="s">
        <v>400</v>
      </c>
      <c r="N83" s="60" t="s">
        <v>413</v>
      </c>
      <c r="O83" s="60" t="s">
        <v>587</v>
      </c>
      <c r="P83" s="60" t="s">
        <v>588</v>
      </c>
      <c r="Q83" s="60" t="s">
        <v>595</v>
      </c>
      <c r="R83" s="60" t="s">
        <v>596</v>
      </c>
      <c r="S83" s="60" t="s">
        <v>597</v>
      </c>
      <c r="T83" s="60">
        <v>100</v>
      </c>
      <c r="U83" s="60" t="s">
        <v>799</v>
      </c>
      <c r="V83" s="60" t="s">
        <v>592</v>
      </c>
      <c r="W83" s="68">
        <v>45382</v>
      </c>
      <c r="X83" s="60" t="s">
        <v>40</v>
      </c>
      <c r="Y83" s="60" t="s">
        <v>464</v>
      </c>
      <c r="Z83" s="70" t="s">
        <v>598</v>
      </c>
      <c r="AA83" s="71" t="s">
        <v>55</v>
      </c>
      <c r="AB83" s="73" t="s">
        <v>599</v>
      </c>
      <c r="AC83" s="66" t="str">
        <f t="shared" ca="1" si="8"/>
        <v/>
      </c>
      <c r="AD83" s="67">
        <f t="shared" ca="1" si="9"/>
        <v>0</v>
      </c>
      <c r="AE83" s="67">
        <f t="shared" ca="1" si="10"/>
        <v>0</v>
      </c>
      <c r="AF83" s="67">
        <f t="shared" ca="1" si="11"/>
        <v>0</v>
      </c>
      <c r="AG83" s="67">
        <f t="shared" ca="1" si="12"/>
        <v>0</v>
      </c>
      <c r="AH83" s="92"/>
      <c r="AI83" s="98">
        <v>45382</v>
      </c>
      <c r="AJ83" s="67">
        <v>0.5</v>
      </c>
    </row>
    <row r="84" spans="1:36" ht="228" hidden="1">
      <c r="A84" s="59">
        <v>243</v>
      </c>
      <c r="B84" s="60" t="s">
        <v>439</v>
      </c>
      <c r="C84" s="60" t="s">
        <v>27</v>
      </c>
      <c r="D84" s="60" t="s">
        <v>28</v>
      </c>
      <c r="E84" s="60" t="s">
        <v>29</v>
      </c>
      <c r="F84" s="60">
        <v>2023</v>
      </c>
      <c r="G84" s="60">
        <v>88</v>
      </c>
      <c r="H84" s="60" t="s">
        <v>600</v>
      </c>
      <c r="I84" s="61">
        <v>1</v>
      </c>
      <c r="J84" s="61" t="s">
        <v>31</v>
      </c>
      <c r="K84" s="62"/>
      <c r="L84" s="60" t="s">
        <v>399</v>
      </c>
      <c r="M84" s="60" t="s">
        <v>400</v>
      </c>
      <c r="N84" s="60" t="s">
        <v>413</v>
      </c>
      <c r="O84" s="60" t="s">
        <v>601</v>
      </c>
      <c r="P84" s="60" t="s">
        <v>602</v>
      </c>
      <c r="Q84" s="60" t="s">
        <v>603</v>
      </c>
      <c r="R84" s="60" t="s">
        <v>590</v>
      </c>
      <c r="S84" s="60" t="s">
        <v>603</v>
      </c>
      <c r="T84" s="60">
        <v>100</v>
      </c>
      <c r="U84" s="60" t="s">
        <v>799</v>
      </c>
      <c r="V84" s="60" t="s">
        <v>592</v>
      </c>
      <c r="W84" s="68">
        <v>45382</v>
      </c>
      <c r="X84" s="60" t="s">
        <v>40</v>
      </c>
      <c r="Y84" s="60" t="s">
        <v>464</v>
      </c>
      <c r="Z84" s="70" t="s">
        <v>604</v>
      </c>
      <c r="AA84" s="71" t="s">
        <v>55</v>
      </c>
      <c r="AB84" s="73" t="s">
        <v>605</v>
      </c>
      <c r="AC84" s="66" t="str">
        <f t="shared" ca="1" si="8"/>
        <v/>
      </c>
      <c r="AD84" s="67">
        <f t="shared" ca="1" si="9"/>
        <v>0</v>
      </c>
      <c r="AE84" s="67">
        <f t="shared" ca="1" si="10"/>
        <v>0</v>
      </c>
      <c r="AF84" s="67">
        <f t="shared" ca="1" si="11"/>
        <v>0</v>
      </c>
      <c r="AG84" s="67">
        <f t="shared" ca="1" si="12"/>
        <v>0</v>
      </c>
      <c r="AH84" s="92"/>
      <c r="AI84" s="98">
        <v>45382</v>
      </c>
      <c r="AJ84" s="67">
        <v>0.5</v>
      </c>
    </row>
    <row r="85" spans="1:36" ht="205.2" hidden="1">
      <c r="A85" s="59">
        <v>244</v>
      </c>
      <c r="B85" s="60" t="s">
        <v>439</v>
      </c>
      <c r="C85" s="60" t="s">
        <v>27</v>
      </c>
      <c r="D85" s="60" t="s">
        <v>28</v>
      </c>
      <c r="E85" s="60" t="s">
        <v>29</v>
      </c>
      <c r="F85" s="60">
        <v>2023</v>
      </c>
      <c r="G85" s="60">
        <v>88</v>
      </c>
      <c r="H85" s="60" t="s">
        <v>600</v>
      </c>
      <c r="I85" s="61">
        <v>2</v>
      </c>
      <c r="J85" s="61" t="s">
        <v>31</v>
      </c>
      <c r="K85" s="62"/>
      <c r="L85" s="60" t="s">
        <v>399</v>
      </c>
      <c r="M85" s="60" t="s">
        <v>400</v>
      </c>
      <c r="N85" s="60" t="s">
        <v>413</v>
      </c>
      <c r="O85" s="60" t="s">
        <v>601</v>
      </c>
      <c r="P85" s="60" t="s">
        <v>602</v>
      </c>
      <c r="Q85" s="60" t="s">
        <v>606</v>
      </c>
      <c r="R85" s="60" t="s">
        <v>607</v>
      </c>
      <c r="S85" s="60" t="s">
        <v>608</v>
      </c>
      <c r="T85" s="60">
        <v>100</v>
      </c>
      <c r="U85" s="60" t="s">
        <v>799</v>
      </c>
      <c r="V85" s="60" t="s">
        <v>592</v>
      </c>
      <c r="W85" s="68">
        <v>45382</v>
      </c>
      <c r="X85" s="60" t="s">
        <v>40</v>
      </c>
      <c r="Y85" s="60" t="s">
        <v>464</v>
      </c>
      <c r="Z85" s="70" t="s">
        <v>598</v>
      </c>
      <c r="AA85" s="71" t="s">
        <v>55</v>
      </c>
      <c r="AB85" s="73" t="s">
        <v>609</v>
      </c>
      <c r="AC85" s="66" t="str">
        <f t="shared" ca="1" si="8"/>
        <v/>
      </c>
      <c r="AD85" s="67">
        <f t="shared" ca="1" si="9"/>
        <v>0</v>
      </c>
      <c r="AE85" s="67">
        <f t="shared" ca="1" si="10"/>
        <v>0</v>
      </c>
      <c r="AF85" s="67">
        <f t="shared" ca="1" si="11"/>
        <v>0</v>
      </c>
      <c r="AG85" s="67">
        <f t="shared" ca="1" si="12"/>
        <v>0</v>
      </c>
      <c r="AH85" s="92"/>
      <c r="AI85" s="98">
        <v>45382</v>
      </c>
      <c r="AJ85" s="67">
        <v>0.5</v>
      </c>
    </row>
  </sheetData>
  <phoneticPr fontId="14" type="noConversion"/>
  <hyperlinks>
    <hyperlink ref="AB36" r:id="rId1" xr:uid="{4583D6C2-BD2D-4786-85ED-AF4372643B82}"/>
    <hyperlink ref="AB37" r:id="rId2" xr:uid="{76CA599D-D609-4CBD-AEC1-A9DE3D2DB198}"/>
    <hyperlink ref="AB38" r:id="rId3" xr:uid="{9577E6AF-931D-4E68-B479-484B6FD36445}"/>
    <hyperlink ref="AB39" r:id="rId4" xr:uid="{45C0256C-A9D2-4921-A2C0-370366FE79F9}"/>
    <hyperlink ref="AB40" r:id="rId5" xr:uid="{9832E0BD-E1EC-48B5-8874-BDF6F38CC181}"/>
    <hyperlink ref="AB41" r:id="rId6" xr:uid="{A3E19A9C-640B-4B17-BDC8-5EA0350F12AD}"/>
    <hyperlink ref="AB42" r:id="rId7" xr:uid="{1FF2609D-929D-4FF5-B9AB-D74640EB07E1}"/>
    <hyperlink ref="AB43" r:id="rId8" xr:uid="{41718FD2-7E1C-4753-9167-8B2B50FCFAFC}"/>
    <hyperlink ref="AB44" r:id="rId9" xr:uid="{27ABD78E-3020-48F0-ABCD-F901F286A27F}"/>
    <hyperlink ref="AB45" r:id="rId10" xr:uid="{710C6DBE-C69F-495E-92FF-E531CD765DAB}"/>
    <hyperlink ref="AB46" r:id="rId11" xr:uid="{0045DED7-3742-4478-96C3-46F5D968252E}"/>
    <hyperlink ref="AB48" r:id="rId12" xr:uid="{A71E162B-DC4F-4F18-BD91-E9D7D75F3A70}"/>
    <hyperlink ref="AB51" r:id="rId13" xr:uid="{29DDBFFD-963E-4520-9489-3F3727C4C13C}"/>
    <hyperlink ref="AB55" r:id="rId14" xr:uid="{FF4A3303-9D48-4472-925C-4FC65182E587}"/>
    <hyperlink ref="AB56" r:id="rId15" xr:uid="{39F679C8-0612-416D-8346-625E83609830}"/>
    <hyperlink ref="AB57" r:id="rId16" xr:uid="{E4408269-4523-42A5-915C-9376D5F80579}"/>
    <hyperlink ref="AB58" r:id="rId17" xr:uid="{61B66ABA-FC08-47AC-91BD-B9622DE0764C}"/>
    <hyperlink ref="AB59" r:id="rId18" xr:uid="{23406A32-54D9-498D-90D1-52CC6E8BE554}"/>
    <hyperlink ref="AB60" r:id="rId19" xr:uid="{5278D403-7281-4772-B1DF-BA6FC9BB3464}"/>
    <hyperlink ref="AB61" r:id="rId20" xr:uid="{1FCC8CEB-B123-4B3D-8C6B-79129520538D}"/>
    <hyperlink ref="AB47" r:id="rId21" xr:uid="{EE3F9327-F483-4AC1-9B4C-58E202D77C3C}"/>
    <hyperlink ref="AB52" r:id="rId22" xr:uid="{D52FF1F4-E30D-4738-BF78-6F7D83E4C1D0}"/>
    <hyperlink ref="AB54" r:id="rId23" xr:uid="{7B1E9B64-8ABA-4741-8E55-FDE551323502}"/>
    <hyperlink ref="AB53" r:id="rId24" xr:uid="{2D867DC6-37AE-4945-B472-9492CF6B6B4C}"/>
    <hyperlink ref="AB62" r:id="rId25" xr:uid="{65E7C156-D9A0-490C-8999-4DA0E991C8CE}"/>
    <hyperlink ref="AB63" r:id="rId26" xr:uid="{E94CA0A9-03EE-4C7A-818C-7141F50019D4}"/>
    <hyperlink ref="AB64" r:id="rId27" xr:uid="{974525F1-65B4-4EBD-BCBE-621034C2DD33}"/>
    <hyperlink ref="AB65" r:id="rId28" xr:uid="{554ACFAF-8E76-41C0-A50A-B949A37A32B9}"/>
    <hyperlink ref="AB66" r:id="rId29" xr:uid="{98D01D5C-FBF5-4472-A5BD-114215239FD3}"/>
    <hyperlink ref="AB67" r:id="rId30" xr:uid="{05E40A6A-C76A-4D7C-B399-5FBD0C1FDC04}"/>
    <hyperlink ref="AB68" r:id="rId31" xr:uid="{36651B6D-FEEF-4EB3-95EE-FEBC7A3F7E25}"/>
    <hyperlink ref="AB70" r:id="rId32" xr:uid="{C512E98C-B1FD-470A-AE5E-A061C850F646}"/>
    <hyperlink ref="AB71" r:id="rId33" xr:uid="{E84D218F-C59D-46EE-A1FE-D9325C7317FE}"/>
    <hyperlink ref="AB72" r:id="rId34" xr:uid="{4B28F340-EAB1-4356-9791-A532C0AAEB4D}"/>
    <hyperlink ref="AB73" r:id="rId35" xr:uid="{271431DD-ECF6-43D0-A7BA-E78551037DC3}"/>
    <hyperlink ref="AB74" r:id="rId36" xr:uid="{16FF2B48-8974-4B0F-B178-5D3ACE03422A}"/>
    <hyperlink ref="AB75" r:id="rId37" xr:uid="{842BA990-E976-438C-8F0E-748DB3381191}"/>
    <hyperlink ref="AB76" r:id="rId38" xr:uid="{1932E25B-BB54-4B24-A7CC-6C2788BFE956}"/>
    <hyperlink ref="AB77" r:id="rId39" xr:uid="{CC686896-703B-4F25-BA0C-77D8EB16CF98}"/>
    <hyperlink ref="AB78" r:id="rId40" xr:uid="{874D5F12-6799-4984-A0AC-E3C637D8D613}"/>
    <hyperlink ref="AB80" r:id="rId41" xr:uid="{16C9C4E0-EF35-451D-98DE-31AFA5833213}"/>
    <hyperlink ref="AB81" r:id="rId42" xr:uid="{181EF091-2DE4-41DB-AB39-1E83ABCFE4EF}"/>
    <hyperlink ref="AB82" r:id="rId43" xr:uid="{6667EF83-F145-40BE-9A46-F39A33C14BAB}"/>
    <hyperlink ref="AB83" r:id="rId44" xr:uid="{8BAEC1DB-E2C5-4210-BE4F-5C7965B07070}"/>
    <hyperlink ref="AB84" r:id="rId45" xr:uid="{A0573364-F321-423B-AD49-421AB14E5D86}"/>
    <hyperlink ref="AB85" r:id="rId46" xr:uid="{62A0DB95-0E4B-4A75-85B8-F99D947A4857}"/>
    <hyperlink ref="AB49" r:id="rId47" xr:uid="{6C28DFB4-EAE0-4ECD-81DD-154007B2CC64}"/>
    <hyperlink ref="AB69" r:id="rId48" xr:uid="{96FFEE20-DF4B-42A4-A870-E00A5057A439}"/>
    <hyperlink ref="AB2" r:id="rId49" xr:uid="{363E6838-FB12-4B29-B8BA-CE7C7501A176}"/>
    <hyperlink ref="AB3" r:id="rId50" xr:uid="{17568778-8003-4989-98C0-9D2D04E292B1}"/>
    <hyperlink ref="AB5" r:id="rId51" xr:uid="{53F6010E-CD67-4CC9-946E-2DCDEADF5E2C}"/>
    <hyperlink ref="AB6" r:id="rId52" xr:uid="{603770BC-AE6F-404D-ABC8-20FE6FC59BAF}"/>
    <hyperlink ref="AB7" r:id="rId53" xr:uid="{8D4E6586-6438-4F33-9811-D9578B72B354}"/>
    <hyperlink ref="AB8" r:id="rId54" xr:uid="{AE20F252-0FC5-425B-B003-E9FEE8F998B6}"/>
    <hyperlink ref="AB9" r:id="rId55" xr:uid="{050E790B-B0F1-4E47-ADAB-668806B11B9B}"/>
    <hyperlink ref="AB10" r:id="rId56" xr:uid="{CB10FBE3-30EF-48CE-987D-5A9598D88790}"/>
    <hyperlink ref="AB11" r:id="rId57" xr:uid="{3C926EB4-B275-45F8-B6F5-0699EA276C72}"/>
    <hyperlink ref="AB12" r:id="rId58" xr:uid="{F1E338AB-085C-4734-8B52-A293BAB5FDF4}"/>
    <hyperlink ref="AB13" r:id="rId59" xr:uid="{ABFEAD10-A4BE-4695-9CF9-2FD7A215A2D6}"/>
    <hyperlink ref="AB14" r:id="rId60" xr:uid="{8B11D794-40DD-488D-B15F-39395A9E60E9}"/>
    <hyperlink ref="AB16" r:id="rId61" xr:uid="{11AFA2EB-6C33-4735-8784-677404C8C629}"/>
    <hyperlink ref="AB17" r:id="rId62" xr:uid="{E88BB96E-59CD-4A3F-A85A-C307B0367EFF}"/>
    <hyperlink ref="AB18" r:id="rId63" xr:uid="{3B09644A-7BD7-4A42-BB9D-16488BC38D5B}"/>
    <hyperlink ref="AB19" r:id="rId64" xr:uid="{5E685FF8-3C90-428E-8334-15156776DFDC}"/>
    <hyperlink ref="AB20" r:id="rId65" xr:uid="{AF8727CE-21FA-4C1D-AC1B-149FDF529AC7}"/>
    <hyperlink ref="AB21" r:id="rId66" xr:uid="{201D6051-5B50-4BCC-91BB-68E918635B53}"/>
    <hyperlink ref="AB22" r:id="rId67" xr:uid="{09F4260E-AAFC-4A14-BE91-8B4FE6584689}"/>
    <hyperlink ref="AB23" r:id="rId68" xr:uid="{BA839141-72D9-4C02-A38F-EA1EE27F2907}"/>
    <hyperlink ref="AB24" r:id="rId69" xr:uid="{CC1C5B1B-ABEA-4655-ADC2-60211B585FED}"/>
    <hyperlink ref="AB25" r:id="rId70" xr:uid="{60214E81-E41B-4DA2-AAB2-9C63B27FC311}"/>
    <hyperlink ref="AB26" r:id="rId71" xr:uid="{89AD859E-7301-4E2B-A650-00558FF21E69}"/>
    <hyperlink ref="AB27" r:id="rId72" xr:uid="{270B8393-0865-4450-9605-3ADE9FA91B3F}"/>
    <hyperlink ref="AB28" r:id="rId73" xr:uid="{A204ACD1-4C94-4572-9DFF-74DCFAC5F093}"/>
    <hyperlink ref="AB29" r:id="rId74" xr:uid="{6A355ECD-D4AA-448D-8FA2-47F50ACD711D}"/>
    <hyperlink ref="AB30" r:id="rId75" xr:uid="{FB4B7FC8-D2FD-4EC2-99EC-CFD349BFC5C7}"/>
    <hyperlink ref="AB31" r:id="rId76" xr:uid="{112C7788-87CF-4581-9A55-66BF0C23B15A}"/>
    <hyperlink ref="AB32" r:id="rId77" xr:uid="{9121B4F3-B1EF-4AD8-96E7-577EA26AC043}"/>
    <hyperlink ref="AB33" r:id="rId78" xr:uid="{A11E814A-D705-4ADD-8893-615CE7962927}"/>
    <hyperlink ref="AB34" r:id="rId79" xr:uid="{A17A449D-2A90-47CF-AB67-0CEC45700E8E}"/>
    <hyperlink ref="AB35" r:id="rId80" xr:uid="{1DA703D2-1EB2-414B-A576-7FF4F0AEDB0B}"/>
    <hyperlink ref="AB4" r:id="rId81" xr:uid="{6C2F6DE5-DEE4-4CFD-8B5E-8AFC3D6828C3}"/>
    <hyperlink ref="AH2" r:id="rId82" xr:uid="{B40ACE16-6FC9-484D-BEA7-01B2F63C595B}"/>
    <hyperlink ref="AH3" r:id="rId83" xr:uid="{1F5F3360-F2BD-49DA-97D0-0DD1A549E1BD}"/>
    <hyperlink ref="AH4" r:id="rId84" xr:uid="{70D0C0C7-5186-4782-A1B7-B1E06995A47E}"/>
    <hyperlink ref="AH11" r:id="rId85" xr:uid="{99F40641-CDBF-4E61-8456-2EDF9082EE55}"/>
    <hyperlink ref="AH14" r:id="rId86" xr:uid="{3CEF7911-0C1E-4D4F-B882-1125A1186D08}"/>
    <hyperlink ref="AH15" r:id="rId87" xr:uid="{32633DEB-B2A2-4190-BA17-757A4347D173}"/>
    <hyperlink ref="AH18" r:id="rId88" xr:uid="{305EBD43-B534-4DC6-9882-4AAA8A28B65B}"/>
    <hyperlink ref="AH19" r:id="rId89" xr:uid="{C74C867A-AFAB-48D0-A796-AE0D15792A0A}"/>
    <hyperlink ref="AH20" r:id="rId90" xr:uid="{30A78E00-A6B8-419D-BF87-3B771BE759C8}"/>
    <hyperlink ref="AH32" r:id="rId91" xr:uid="{127B561E-D371-4719-8E19-2665DC271942}"/>
    <hyperlink ref="AH33" r:id="rId92" xr:uid="{A506C91D-6256-48CB-8DC1-C92A419CE414}"/>
    <hyperlink ref="AH36" r:id="rId93" xr:uid="{CEE6CB04-0D7C-435A-895B-2D4874B5617E}"/>
    <hyperlink ref="AH42" r:id="rId94" xr:uid="{333E797B-A530-45CA-8149-939DEFA00FF5}"/>
    <hyperlink ref="AH65" r:id="rId95" xr:uid="{AF38F97A-0C6D-4E49-9B9B-E0FD2F5B527E}"/>
    <hyperlink ref="AH66" r:id="rId96" xr:uid="{12647428-C2B2-4E13-A3CF-BC8A4FD99A5E}"/>
    <hyperlink ref="AH67" r:id="rId97" xr:uid="{57E9613E-FF45-4119-BF43-1F20A9DB5D28}"/>
    <hyperlink ref="AH68" r:id="rId98" xr:uid="{1A4237AF-A644-4AC6-9412-8BF789D38221}"/>
    <hyperlink ref="AH17" r:id="rId99" xr:uid="{4767457C-5129-4864-8E0A-EF53D07D2FB6}"/>
    <hyperlink ref="AH6" r:id="rId100" xr:uid="{FCAC14E2-DCA3-4336-981C-9EB31EF1BFEC}"/>
    <hyperlink ref="AH7" r:id="rId101" xr:uid="{326A024D-4323-456B-89C5-28F344D09923}"/>
    <hyperlink ref="AH8" r:id="rId102" xr:uid="{EECEFAE2-6B18-4B8D-95C7-97C0DD60C8C6}"/>
    <hyperlink ref="AH34" r:id="rId103" xr:uid="{BC1E8942-3952-4F83-8B16-E4A0218EC765}"/>
    <hyperlink ref="AH41" r:id="rId104" xr:uid="{A4D930BD-FA48-475C-9DC6-91AD5F069CD4}"/>
    <hyperlink ref="AH73" r:id="rId105" xr:uid="{CBB098C3-AF77-4496-B987-AFC4C7DFFD26}"/>
    <hyperlink ref="AH74" r:id="rId106" xr:uid="{1635B41A-4A92-4837-BC97-20E9C65B56A2}"/>
    <hyperlink ref="AH77" r:id="rId107" xr:uid="{55E809EB-3DD4-4BE8-AD46-5ECEE69C0C13}"/>
    <hyperlink ref="AH78" r:id="rId108" xr:uid="{5B359B71-62C2-48B2-BFEF-CF71E6D8AF89}"/>
    <hyperlink ref="AH79" r:id="rId109" xr:uid="{52718CAD-1D5D-4255-AD9F-6E39CB30FBBE}"/>
    <hyperlink ref="AH28" r:id="rId110" xr:uid="{BCA7209F-8662-45EF-A30E-52610AD69D6C}"/>
    <hyperlink ref="AH30" r:id="rId111" xr:uid="{0D48C3A3-261C-43B5-BE36-24566660B1C2}"/>
    <hyperlink ref="AH10" r:id="rId112" xr:uid="{582EE290-45CF-4D48-A91D-FF82CA45E9CE}"/>
    <hyperlink ref="AH13" r:id="rId113" xr:uid="{C8AEA7B1-7C99-464E-8477-79CC78AF0804}"/>
    <hyperlink ref="AH9" r:id="rId114" xr:uid="{7E3B381C-784C-4F31-97A0-54D4865FE8B0}"/>
    <hyperlink ref="AH25" r:id="rId115" xr:uid="{3BDDB846-39D6-4FF6-BB00-BE11F8173773}"/>
    <hyperlink ref="AH26" r:id="rId116" xr:uid="{CE53DFEC-9D2B-4267-8C82-A2B8C8C968DC}"/>
    <hyperlink ref="AH27" r:id="rId117" xr:uid="{F226C389-95EF-4F74-9D34-0AADD1C21962}"/>
    <hyperlink ref="AH21" r:id="rId118" xr:uid="{A7401C61-486B-4270-B413-C4AD52751E62}"/>
    <hyperlink ref="AH22" r:id="rId119" xr:uid="{A4B6DE1B-CE1C-411B-88C8-FCE9DC1EB2DC}"/>
    <hyperlink ref="AH23" r:id="rId120" xr:uid="{D908C859-2375-47A1-9E5D-C90EEB52C8C5}"/>
    <hyperlink ref="AH39" r:id="rId121" xr:uid="{B3BB5A22-E856-48F0-8FA8-AAA30EEBD409}"/>
    <hyperlink ref="AH43" r:id="rId122" xr:uid="{63A30FEB-C9BD-4D3C-993A-AB811BC7426A}"/>
    <hyperlink ref="AH48" r:id="rId123" xr:uid="{EFC4DF88-D8C0-4E4A-9C46-AD034244ED41}"/>
    <hyperlink ref="AH24" r:id="rId124" xr:uid="{E5282AA5-B4E8-43B2-ACF2-C2F020D92B5F}"/>
    <hyperlink ref="AH35" r:id="rId125" xr:uid="{D914A0EE-B1CE-4F10-AF9E-9CD0E1794EB5}"/>
    <hyperlink ref="AH12" r:id="rId126" xr:uid="{16F29CD4-3EEC-4323-970F-FAEA98E718FF}"/>
    <hyperlink ref="AH16" r:id="rId127" xr:uid="{2C03C8B9-42C0-4806-B78C-418E4D7A1868}"/>
    <hyperlink ref="AH29" r:id="rId128" xr:uid="{DB581916-DCE9-48E3-AA44-DD7205D5AE91}"/>
    <hyperlink ref="AH31" r:id="rId129" xr:uid="{136F3971-7FCA-46BC-957F-DE8DE1D6FB6E}"/>
    <hyperlink ref="AB15" r:id="rId130" xr:uid="{7A6CE801-D547-4257-9C58-8EA768DD05FF}"/>
  </hyperlinks>
  <pageMargins left="0.7" right="0.7" top="0.75" bottom="0.75" header="0.3" footer="0.3"/>
  <tableParts count="1">
    <tablePart r:id="rId13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74FC2-BD66-4B35-8F27-CB6DD00D4B21}">
  <dimension ref="A1:C105"/>
  <sheetViews>
    <sheetView workbookViewId="0">
      <selection activeCell="C7" sqref="C7"/>
    </sheetView>
  </sheetViews>
  <sheetFormatPr baseColWidth="10" defaultRowHeight="14.4"/>
  <cols>
    <col min="1" max="1" width="23.21875" style="164" customWidth="1"/>
    <col min="2" max="2" width="37.33203125" style="164" customWidth="1"/>
    <col min="3" max="3" width="68.6640625" style="164" bestFit="1" customWidth="1"/>
  </cols>
  <sheetData>
    <row r="1" spans="1:3">
      <c r="A1" s="20" t="s">
        <v>780</v>
      </c>
      <c r="B1" s="20" t="s">
        <v>781</v>
      </c>
      <c r="C1" s="20" t="s">
        <v>782</v>
      </c>
    </row>
    <row r="2" spans="1:3" ht="43.2">
      <c r="A2" s="206" t="s">
        <v>785</v>
      </c>
      <c r="B2" s="166" t="s">
        <v>784</v>
      </c>
      <c r="C2" s="207" t="s">
        <v>783</v>
      </c>
    </row>
    <row r="3" spans="1:3" ht="28.8">
      <c r="A3" s="206" t="s">
        <v>786</v>
      </c>
      <c r="B3" s="166" t="s">
        <v>787</v>
      </c>
      <c r="C3" s="207" t="s">
        <v>788</v>
      </c>
    </row>
    <row r="4" spans="1:3" ht="43.2">
      <c r="A4" s="206" t="s">
        <v>789</v>
      </c>
      <c r="B4" s="166" t="s">
        <v>790</v>
      </c>
      <c r="C4" s="208" t="s">
        <v>791</v>
      </c>
    </row>
    <row r="5" spans="1:3">
      <c r="A5" s="206"/>
      <c r="B5" s="206"/>
      <c r="C5" s="206"/>
    </row>
    <row r="6" spans="1:3">
      <c r="A6" s="206"/>
      <c r="B6" s="206"/>
      <c r="C6" s="206"/>
    </row>
    <row r="7" spans="1:3">
      <c r="A7" s="206"/>
      <c r="B7" s="206"/>
      <c r="C7" s="206"/>
    </row>
    <row r="8" spans="1:3">
      <c r="A8" s="206"/>
      <c r="B8" s="206"/>
      <c r="C8" s="206"/>
    </row>
    <row r="9" spans="1:3">
      <c r="A9" s="206"/>
      <c r="B9" s="206"/>
      <c r="C9" s="206"/>
    </row>
    <row r="10" spans="1:3">
      <c r="A10" s="206"/>
      <c r="B10" s="206"/>
      <c r="C10" s="206"/>
    </row>
    <row r="11" spans="1:3">
      <c r="A11" s="206"/>
      <c r="B11" s="206"/>
      <c r="C11" s="206"/>
    </row>
    <row r="12" spans="1:3">
      <c r="A12" s="206"/>
      <c r="B12" s="206"/>
      <c r="C12" s="206"/>
    </row>
    <row r="13" spans="1:3">
      <c r="A13" s="206"/>
      <c r="B13" s="206"/>
      <c r="C13" s="206"/>
    </row>
    <row r="14" spans="1:3">
      <c r="A14" s="206"/>
      <c r="B14" s="206"/>
      <c r="C14" s="206"/>
    </row>
    <row r="15" spans="1:3">
      <c r="A15" s="206"/>
      <c r="B15" s="206"/>
      <c r="C15" s="206"/>
    </row>
    <row r="16" spans="1:3">
      <c r="A16" s="206"/>
      <c r="B16" s="206"/>
      <c r="C16" s="206"/>
    </row>
    <row r="17" spans="1:3">
      <c r="A17" s="206"/>
      <c r="B17" s="206"/>
      <c r="C17" s="206"/>
    </row>
    <row r="18" spans="1:3">
      <c r="A18" s="206"/>
      <c r="B18" s="206"/>
      <c r="C18" s="206"/>
    </row>
    <row r="19" spans="1:3">
      <c r="A19" s="206"/>
      <c r="B19" s="206"/>
      <c r="C19" s="206"/>
    </row>
    <row r="20" spans="1:3">
      <c r="A20" s="206"/>
      <c r="B20" s="206"/>
      <c r="C20" s="206"/>
    </row>
    <row r="21" spans="1:3">
      <c r="A21" s="206"/>
      <c r="B21" s="206"/>
      <c r="C21" s="206"/>
    </row>
    <row r="22" spans="1:3">
      <c r="A22" s="206"/>
      <c r="B22" s="206"/>
      <c r="C22" s="206"/>
    </row>
    <row r="23" spans="1:3">
      <c r="A23" s="206"/>
      <c r="B23" s="206"/>
      <c r="C23" s="206"/>
    </row>
    <row r="24" spans="1:3">
      <c r="A24" s="206"/>
      <c r="B24" s="206"/>
      <c r="C24" s="206"/>
    </row>
    <row r="25" spans="1:3">
      <c r="A25" s="206"/>
      <c r="B25" s="206"/>
      <c r="C25" s="206"/>
    </row>
    <row r="26" spans="1:3">
      <c r="A26" s="206"/>
      <c r="B26" s="206"/>
      <c r="C26" s="206"/>
    </row>
    <row r="27" spans="1:3">
      <c r="A27" s="206"/>
      <c r="B27" s="206"/>
      <c r="C27" s="206"/>
    </row>
    <row r="28" spans="1:3">
      <c r="A28" s="206"/>
      <c r="B28" s="206"/>
      <c r="C28" s="206"/>
    </row>
    <row r="29" spans="1:3">
      <c r="A29" s="206"/>
      <c r="B29" s="206"/>
      <c r="C29" s="206"/>
    </row>
    <row r="30" spans="1:3">
      <c r="A30" s="206"/>
      <c r="B30" s="206"/>
      <c r="C30" s="206"/>
    </row>
    <row r="31" spans="1:3">
      <c r="A31" s="206"/>
      <c r="B31" s="206"/>
      <c r="C31" s="206"/>
    </row>
    <row r="32" spans="1:3">
      <c r="A32" s="206"/>
      <c r="B32" s="206"/>
      <c r="C32" s="206"/>
    </row>
    <row r="33" spans="1:3">
      <c r="A33" s="206"/>
      <c r="B33" s="206"/>
      <c r="C33" s="206"/>
    </row>
    <row r="34" spans="1:3">
      <c r="A34" s="206"/>
      <c r="B34" s="206"/>
      <c r="C34" s="206"/>
    </row>
    <row r="35" spans="1:3">
      <c r="A35" s="206"/>
      <c r="B35" s="206"/>
      <c r="C35" s="206"/>
    </row>
    <row r="36" spans="1:3">
      <c r="A36" s="206"/>
      <c r="B36" s="206"/>
      <c r="C36" s="206"/>
    </row>
    <row r="37" spans="1:3">
      <c r="A37" s="206"/>
      <c r="B37" s="206"/>
      <c r="C37" s="206"/>
    </row>
    <row r="38" spans="1:3">
      <c r="A38" s="206"/>
      <c r="B38" s="206"/>
      <c r="C38" s="206"/>
    </row>
    <row r="39" spans="1:3">
      <c r="A39" s="206"/>
      <c r="B39" s="206"/>
      <c r="C39" s="206"/>
    </row>
    <row r="40" spans="1:3">
      <c r="A40" s="206"/>
      <c r="B40" s="206"/>
      <c r="C40" s="206"/>
    </row>
    <row r="41" spans="1:3">
      <c r="A41" s="206"/>
      <c r="B41" s="206"/>
      <c r="C41" s="206"/>
    </row>
    <row r="42" spans="1:3">
      <c r="A42" s="206"/>
      <c r="B42" s="206"/>
      <c r="C42" s="206"/>
    </row>
    <row r="43" spans="1:3">
      <c r="A43" s="206"/>
      <c r="B43" s="206"/>
      <c r="C43" s="206"/>
    </row>
    <row r="44" spans="1:3">
      <c r="A44" s="206"/>
      <c r="B44" s="206"/>
      <c r="C44" s="206"/>
    </row>
    <row r="45" spans="1:3">
      <c r="A45" s="206"/>
      <c r="B45" s="206"/>
      <c r="C45" s="206"/>
    </row>
    <row r="46" spans="1:3">
      <c r="A46" s="206"/>
      <c r="B46" s="206"/>
      <c r="C46" s="206"/>
    </row>
    <row r="47" spans="1:3">
      <c r="A47" s="206"/>
      <c r="B47" s="206"/>
      <c r="C47" s="206"/>
    </row>
    <row r="48" spans="1:3">
      <c r="A48" s="206"/>
      <c r="B48" s="206"/>
      <c r="C48" s="206"/>
    </row>
    <row r="49" spans="1:3">
      <c r="A49" s="206"/>
      <c r="B49" s="206"/>
      <c r="C49" s="206"/>
    </row>
    <row r="50" spans="1:3">
      <c r="A50" s="206"/>
      <c r="B50" s="206"/>
      <c r="C50" s="206"/>
    </row>
    <row r="51" spans="1:3">
      <c r="A51" s="206"/>
      <c r="B51" s="206"/>
      <c r="C51" s="206"/>
    </row>
    <row r="52" spans="1:3">
      <c r="A52" s="206"/>
      <c r="B52" s="206"/>
      <c r="C52" s="206"/>
    </row>
    <row r="53" spans="1:3">
      <c r="A53" s="206"/>
      <c r="B53" s="206"/>
      <c r="C53" s="206"/>
    </row>
    <row r="54" spans="1:3">
      <c r="A54" s="206"/>
      <c r="B54" s="206"/>
      <c r="C54" s="206"/>
    </row>
    <row r="55" spans="1:3">
      <c r="A55" s="206"/>
      <c r="B55" s="206"/>
      <c r="C55" s="206"/>
    </row>
    <row r="56" spans="1:3">
      <c r="A56" s="206"/>
      <c r="B56" s="206"/>
      <c r="C56" s="206"/>
    </row>
    <row r="57" spans="1:3">
      <c r="A57" s="206"/>
      <c r="B57" s="206"/>
      <c r="C57" s="206"/>
    </row>
    <row r="58" spans="1:3">
      <c r="A58" s="206"/>
      <c r="B58" s="206"/>
      <c r="C58" s="206"/>
    </row>
    <row r="59" spans="1:3">
      <c r="A59" s="206"/>
      <c r="B59" s="206"/>
      <c r="C59" s="206"/>
    </row>
    <row r="60" spans="1:3">
      <c r="A60" s="206"/>
      <c r="B60" s="206"/>
      <c r="C60" s="206"/>
    </row>
    <row r="61" spans="1:3">
      <c r="A61" s="206"/>
      <c r="B61" s="206"/>
      <c r="C61" s="206"/>
    </row>
    <row r="62" spans="1:3">
      <c r="A62" s="206"/>
      <c r="B62" s="206"/>
      <c r="C62" s="206"/>
    </row>
    <row r="63" spans="1:3">
      <c r="A63" s="206"/>
      <c r="B63" s="206"/>
      <c r="C63" s="206"/>
    </row>
    <row r="64" spans="1:3">
      <c r="A64" s="206"/>
      <c r="B64" s="206"/>
      <c r="C64" s="206"/>
    </row>
    <row r="65" spans="1:3">
      <c r="A65" s="206"/>
      <c r="B65" s="206"/>
      <c r="C65" s="206"/>
    </row>
    <row r="66" spans="1:3">
      <c r="A66" s="206"/>
      <c r="B66" s="206"/>
      <c r="C66" s="206"/>
    </row>
    <row r="67" spans="1:3">
      <c r="A67" s="206"/>
      <c r="B67" s="206"/>
      <c r="C67" s="206"/>
    </row>
    <row r="68" spans="1:3">
      <c r="A68" s="206"/>
      <c r="B68" s="206"/>
      <c r="C68" s="206"/>
    </row>
    <row r="69" spans="1:3">
      <c r="A69" s="206"/>
      <c r="B69" s="206"/>
      <c r="C69" s="206"/>
    </row>
    <row r="70" spans="1:3">
      <c r="A70" s="206"/>
      <c r="B70" s="206"/>
      <c r="C70" s="206"/>
    </row>
    <row r="71" spans="1:3">
      <c r="A71" s="206"/>
      <c r="B71" s="206"/>
      <c r="C71" s="206"/>
    </row>
    <row r="72" spans="1:3">
      <c r="A72" s="206"/>
      <c r="B72" s="206"/>
      <c r="C72" s="206"/>
    </row>
    <row r="73" spans="1:3">
      <c r="A73" s="206"/>
      <c r="B73" s="206"/>
      <c r="C73" s="206"/>
    </row>
    <row r="74" spans="1:3">
      <c r="A74" s="206"/>
      <c r="B74" s="206"/>
      <c r="C74" s="206"/>
    </row>
    <row r="75" spans="1:3">
      <c r="A75" s="206"/>
      <c r="B75" s="206"/>
      <c r="C75" s="206"/>
    </row>
    <row r="76" spans="1:3">
      <c r="A76" s="206"/>
      <c r="B76" s="206"/>
      <c r="C76" s="206"/>
    </row>
    <row r="77" spans="1:3">
      <c r="A77" s="206"/>
      <c r="B77" s="206"/>
      <c r="C77" s="206"/>
    </row>
    <row r="78" spans="1:3">
      <c r="A78" s="206"/>
      <c r="B78" s="206"/>
      <c r="C78" s="206"/>
    </row>
    <row r="79" spans="1:3">
      <c r="A79" s="206"/>
      <c r="B79" s="206"/>
      <c r="C79" s="206"/>
    </row>
    <row r="80" spans="1:3">
      <c r="A80" s="206"/>
      <c r="B80" s="206"/>
      <c r="C80" s="206"/>
    </row>
    <row r="81" spans="1:3">
      <c r="A81" s="206"/>
      <c r="B81" s="206"/>
      <c r="C81" s="206"/>
    </row>
    <row r="82" spans="1:3">
      <c r="A82" s="206"/>
      <c r="B82" s="206"/>
      <c r="C82" s="206"/>
    </row>
    <row r="83" spans="1:3">
      <c r="A83" s="206"/>
      <c r="B83" s="206"/>
      <c r="C83" s="206"/>
    </row>
    <row r="84" spans="1:3">
      <c r="A84" s="206"/>
      <c r="B84" s="206"/>
      <c r="C84" s="206"/>
    </row>
    <row r="85" spans="1:3">
      <c r="A85" s="206"/>
      <c r="B85" s="206"/>
      <c r="C85" s="206"/>
    </row>
    <row r="86" spans="1:3">
      <c r="A86" s="206"/>
      <c r="B86" s="206"/>
      <c r="C86" s="206"/>
    </row>
    <row r="87" spans="1:3">
      <c r="A87" s="206"/>
      <c r="B87" s="206"/>
      <c r="C87" s="206"/>
    </row>
    <row r="88" spans="1:3">
      <c r="A88" s="206"/>
      <c r="B88" s="206"/>
      <c r="C88" s="206"/>
    </row>
    <row r="89" spans="1:3">
      <c r="A89" s="206"/>
      <c r="B89" s="206"/>
      <c r="C89" s="206"/>
    </row>
    <row r="90" spans="1:3">
      <c r="A90" s="206"/>
      <c r="B90" s="206"/>
      <c r="C90" s="206"/>
    </row>
    <row r="91" spans="1:3">
      <c r="A91" s="206"/>
      <c r="B91" s="206"/>
      <c r="C91" s="206"/>
    </row>
    <row r="92" spans="1:3">
      <c r="A92" s="206"/>
      <c r="B92" s="206"/>
      <c r="C92" s="206"/>
    </row>
    <row r="93" spans="1:3">
      <c r="A93" s="206"/>
      <c r="B93" s="206"/>
      <c r="C93" s="206"/>
    </row>
    <row r="94" spans="1:3">
      <c r="A94" s="206"/>
      <c r="B94" s="206"/>
      <c r="C94" s="206"/>
    </row>
    <row r="95" spans="1:3">
      <c r="A95" s="206"/>
      <c r="B95" s="206"/>
      <c r="C95" s="206"/>
    </row>
    <row r="96" spans="1:3">
      <c r="A96" s="206"/>
      <c r="B96" s="206"/>
      <c r="C96" s="206"/>
    </row>
    <row r="97" spans="1:3">
      <c r="A97" s="206"/>
      <c r="B97" s="206"/>
      <c r="C97" s="206"/>
    </row>
    <row r="98" spans="1:3">
      <c r="A98" s="206"/>
      <c r="B98" s="206"/>
      <c r="C98" s="206"/>
    </row>
    <row r="99" spans="1:3">
      <c r="A99" s="206"/>
      <c r="B99" s="206"/>
      <c r="C99" s="206"/>
    </row>
    <row r="100" spans="1:3">
      <c r="A100" s="206"/>
      <c r="B100" s="206"/>
      <c r="C100" s="206"/>
    </row>
    <row r="101" spans="1:3">
      <c r="A101" s="206"/>
      <c r="B101" s="206"/>
      <c r="C101" s="206"/>
    </row>
    <row r="102" spans="1:3">
      <c r="A102" s="206"/>
      <c r="B102" s="206"/>
      <c r="C102" s="206"/>
    </row>
    <row r="103" spans="1:3">
      <c r="A103" s="206"/>
      <c r="B103" s="206"/>
      <c r="C103" s="206"/>
    </row>
    <row r="104" spans="1:3">
      <c r="A104" s="206"/>
      <c r="B104" s="206"/>
      <c r="C104" s="206"/>
    </row>
    <row r="105" spans="1:3">
      <c r="A105" s="206"/>
      <c r="B105" s="206"/>
      <c r="C105" s="206"/>
    </row>
  </sheetData>
  <hyperlinks>
    <hyperlink ref="C2" r:id="rId1" xr:uid="{89386E12-4C8F-4898-8882-A7E5AE74C24C}"/>
    <hyperlink ref="C3" r:id="rId2" xr:uid="{F498949F-1D31-4693-8C36-7C60DD4FCF71}"/>
    <hyperlink ref="C4" r:id="rId3" xr:uid="{B6B2E46D-F350-4F55-88FE-79FD624E7D57}"/>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CFBCC-97BE-43AA-8755-E8029D42D9C7}">
  <sheetPr codeName="Hoja9"/>
  <dimension ref="C2:J10"/>
  <sheetViews>
    <sheetView workbookViewId="0">
      <selection activeCell="D17" sqref="D17"/>
    </sheetView>
  </sheetViews>
  <sheetFormatPr baseColWidth="10" defaultRowHeight="14.4"/>
  <cols>
    <col min="10" max="10" width="15.33203125" bestFit="1" customWidth="1"/>
  </cols>
  <sheetData>
    <row r="2" spans="3:10">
      <c r="C2" t="s">
        <v>700</v>
      </c>
      <c r="D2" t="s">
        <v>701</v>
      </c>
      <c r="E2" s="121">
        <v>0.25</v>
      </c>
      <c r="F2" t="s">
        <v>702</v>
      </c>
      <c r="I2" t="s">
        <v>704</v>
      </c>
    </row>
    <row r="4" spans="3:10">
      <c r="C4" t="s">
        <v>703</v>
      </c>
    </row>
    <row r="6" spans="3:10">
      <c r="C6" t="s">
        <v>705</v>
      </c>
      <c r="H6" s="122" t="s">
        <v>707</v>
      </c>
      <c r="I6" t="s">
        <v>708</v>
      </c>
      <c r="J6" s="123">
        <v>85141264</v>
      </c>
    </row>
    <row r="8" spans="3:10">
      <c r="C8" t="s">
        <v>706</v>
      </c>
    </row>
    <row r="10" spans="3:10">
      <c r="C10" t="s">
        <v>709</v>
      </c>
      <c r="F10" t="s">
        <v>710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58B18-6732-4661-826E-4F36939F10AB}">
  <sheetPr codeName="Hoja10">
    <tabColor rgb="FFFFC000"/>
  </sheetPr>
  <dimension ref="A1:N58"/>
  <sheetViews>
    <sheetView showGridLines="0" topLeftCell="A36" zoomScale="80" zoomScaleNormal="80" workbookViewId="0">
      <selection activeCell="J43" sqref="J43"/>
    </sheetView>
  </sheetViews>
  <sheetFormatPr baseColWidth="10" defaultRowHeight="14.4"/>
  <cols>
    <col min="1" max="1" width="0.6640625" style="102" customWidth="1"/>
    <col min="2" max="2" width="2.44140625" customWidth="1"/>
    <col min="3" max="3" width="37.77734375" customWidth="1"/>
    <col min="4" max="4" width="48.21875" customWidth="1"/>
    <col min="5" max="5" width="17.109375" customWidth="1"/>
    <col min="6" max="6" width="18.6640625" customWidth="1"/>
    <col min="7" max="7" width="34.33203125" bestFit="1" customWidth="1"/>
    <col min="8" max="8" width="30" bestFit="1" customWidth="1"/>
    <col min="9" max="9" width="36.44140625" customWidth="1"/>
    <col min="10" max="10" width="45.109375" customWidth="1"/>
    <col min="11" max="11" width="18.6640625" customWidth="1"/>
    <col min="12" max="12" width="24.5546875" customWidth="1"/>
    <col min="13" max="13" width="11.77734375" bestFit="1" customWidth="1"/>
    <col min="14" max="14" width="36.6640625" customWidth="1"/>
    <col min="15" max="15" width="13.88671875" customWidth="1"/>
    <col min="16" max="16" width="17.6640625" customWidth="1"/>
    <col min="18" max="18" width="42.77734375" customWidth="1"/>
    <col min="19" max="19" width="20.44140625" customWidth="1"/>
  </cols>
  <sheetData>
    <row r="1" spans="3:14" s="102" customFormat="1" ht="3.6" customHeight="1"/>
    <row r="4" spans="3:14">
      <c r="C4" s="103" t="s">
        <v>682</v>
      </c>
      <c r="D4" s="104"/>
      <c r="E4" s="104"/>
    </row>
    <row r="5" spans="3:14">
      <c r="C5" s="16" t="s">
        <v>683</v>
      </c>
      <c r="D5" s="16"/>
      <c r="E5" s="16"/>
    </row>
    <row r="6" spans="3:14">
      <c r="C6" s="16"/>
      <c r="D6" s="16"/>
      <c r="E6" s="16"/>
    </row>
    <row r="7" spans="3:14" ht="76.2" customHeight="1">
      <c r="C7" s="240" t="s">
        <v>684</v>
      </c>
      <c r="D7" s="240"/>
      <c r="E7" s="240"/>
      <c r="F7" s="240"/>
      <c r="G7" s="240"/>
    </row>
    <row r="8" spans="3:14">
      <c r="C8" s="105" t="s">
        <v>5</v>
      </c>
      <c r="D8" s="105" t="s">
        <v>6</v>
      </c>
      <c r="E8" s="105" t="s">
        <v>7</v>
      </c>
      <c r="F8" s="105" t="s">
        <v>8</v>
      </c>
      <c r="G8" s="105" t="s">
        <v>13</v>
      </c>
      <c r="H8" s="105" t="s">
        <v>14</v>
      </c>
      <c r="I8" s="105" t="s">
        <v>15</v>
      </c>
      <c r="J8" s="111" t="s">
        <v>685</v>
      </c>
      <c r="K8" s="105" t="s">
        <v>20</v>
      </c>
      <c r="L8" s="105" t="s">
        <v>21</v>
      </c>
      <c r="M8" s="105" t="s">
        <v>24</v>
      </c>
      <c r="N8" s="105" t="s">
        <v>25</v>
      </c>
    </row>
    <row r="9" spans="3:14" ht="146.4" customHeight="1">
      <c r="C9" s="112">
        <v>2025</v>
      </c>
      <c r="D9" s="112">
        <v>90</v>
      </c>
      <c r="E9" s="135" t="s">
        <v>115</v>
      </c>
      <c r="F9" s="112">
        <v>1</v>
      </c>
      <c r="G9" s="99" t="s">
        <v>116</v>
      </c>
      <c r="H9" s="99" t="s">
        <v>117</v>
      </c>
      <c r="I9" s="99" t="s">
        <v>118</v>
      </c>
      <c r="J9" s="118" t="s">
        <v>689</v>
      </c>
      <c r="K9" s="99" t="s">
        <v>38</v>
      </c>
      <c r="L9" s="99" t="s">
        <v>121</v>
      </c>
      <c r="M9" s="64" t="s">
        <v>55</v>
      </c>
      <c r="N9" s="97" t="s">
        <v>122</v>
      </c>
    </row>
    <row r="10" spans="3:14" ht="99" customHeight="1">
      <c r="C10" s="112">
        <v>2025</v>
      </c>
      <c r="D10" s="112">
        <v>90</v>
      </c>
      <c r="E10" s="135" t="s">
        <v>134</v>
      </c>
      <c r="F10" s="112">
        <v>1</v>
      </c>
      <c r="G10" s="99" t="s">
        <v>135</v>
      </c>
      <c r="H10" s="99" t="s">
        <v>136</v>
      </c>
      <c r="I10" s="99" t="s">
        <v>137</v>
      </c>
      <c r="J10" s="118" t="s">
        <v>690</v>
      </c>
      <c r="K10" s="99" t="s">
        <v>38</v>
      </c>
      <c r="L10" s="99" t="s">
        <v>109</v>
      </c>
      <c r="M10" s="64" t="s">
        <v>55</v>
      </c>
      <c r="N10" s="65" t="s">
        <v>140</v>
      </c>
    </row>
    <row r="11" spans="3:14" ht="99.6" customHeight="1">
      <c r="C11" s="112">
        <v>2025</v>
      </c>
      <c r="D11" s="112">
        <v>90</v>
      </c>
      <c r="E11" s="135" t="s">
        <v>141</v>
      </c>
      <c r="F11" s="112">
        <v>1</v>
      </c>
      <c r="G11" s="99" t="s">
        <v>142</v>
      </c>
      <c r="H11" s="99" t="s">
        <v>143</v>
      </c>
      <c r="I11" s="99" t="s">
        <v>144</v>
      </c>
      <c r="J11" s="118" t="s">
        <v>691</v>
      </c>
      <c r="K11" s="99" t="s">
        <v>38</v>
      </c>
      <c r="L11" s="99" t="s">
        <v>109</v>
      </c>
      <c r="M11" s="64" t="s">
        <v>55</v>
      </c>
      <c r="N11" s="65" t="s">
        <v>147</v>
      </c>
    </row>
    <row r="12" spans="3:14" ht="114">
      <c r="C12" s="114">
        <v>2025</v>
      </c>
      <c r="D12" s="114">
        <v>90</v>
      </c>
      <c r="E12" s="136" t="s">
        <v>148</v>
      </c>
      <c r="F12" s="114">
        <v>1</v>
      </c>
      <c r="G12" s="115" t="s">
        <v>149</v>
      </c>
      <c r="H12" s="115" t="s">
        <v>150</v>
      </c>
      <c r="I12" s="115" t="s">
        <v>137</v>
      </c>
      <c r="J12" s="119" t="s">
        <v>690</v>
      </c>
      <c r="K12" s="115" t="s">
        <v>38</v>
      </c>
      <c r="L12" s="115" t="s">
        <v>109</v>
      </c>
      <c r="M12" s="116" t="s">
        <v>55</v>
      </c>
      <c r="N12" s="117" t="s">
        <v>151</v>
      </c>
    </row>
    <row r="13" spans="3:14" ht="182.4">
      <c r="C13" s="99">
        <v>2025</v>
      </c>
      <c r="D13" s="99">
        <v>90</v>
      </c>
      <c r="E13" s="135" t="s">
        <v>127</v>
      </c>
      <c r="F13" s="112">
        <v>1</v>
      </c>
      <c r="G13" s="99" t="s">
        <v>128</v>
      </c>
      <c r="H13" s="99" t="s">
        <v>129</v>
      </c>
      <c r="I13" s="99" t="s">
        <v>130</v>
      </c>
      <c r="J13" s="107"/>
      <c r="K13" s="99" t="s">
        <v>38</v>
      </c>
      <c r="L13" s="99" t="s">
        <v>109</v>
      </c>
      <c r="M13" s="64" t="s">
        <v>174</v>
      </c>
      <c r="N13" s="97" t="s">
        <v>133</v>
      </c>
    </row>
    <row r="15" spans="3:14">
      <c r="C15" s="103" t="s">
        <v>686</v>
      </c>
      <c r="D15" s="104"/>
      <c r="E15" s="104"/>
    </row>
    <row r="16" spans="3:14">
      <c r="C16" s="16" t="s">
        <v>687</v>
      </c>
      <c r="D16" s="16"/>
      <c r="E16" s="16"/>
    </row>
    <row r="17" spans="3:14">
      <c r="C17" s="16"/>
      <c r="D17" s="16"/>
      <c r="E17" s="16"/>
    </row>
    <row r="18" spans="3:14" ht="85.2" customHeight="1">
      <c r="C18" s="241" t="s">
        <v>688</v>
      </c>
      <c r="D18" s="241"/>
      <c r="E18" s="241"/>
      <c r="F18" s="241"/>
      <c r="G18" s="241"/>
    </row>
    <row r="19" spans="3:14">
      <c r="C19" s="108" t="s">
        <v>5</v>
      </c>
      <c r="D19" s="108" t="s">
        <v>6</v>
      </c>
      <c r="E19" s="108" t="s">
        <v>7</v>
      </c>
      <c r="F19" s="109" t="s">
        <v>8</v>
      </c>
      <c r="G19" s="108" t="s">
        <v>13</v>
      </c>
      <c r="H19" s="108" t="s">
        <v>14</v>
      </c>
      <c r="I19" s="108" t="s">
        <v>15</v>
      </c>
      <c r="J19" s="106" t="s">
        <v>685</v>
      </c>
      <c r="K19" s="108" t="s">
        <v>20</v>
      </c>
      <c r="L19" s="108" t="s">
        <v>21</v>
      </c>
      <c r="M19" s="110" t="s">
        <v>24</v>
      </c>
      <c r="N19" s="110" t="s">
        <v>25</v>
      </c>
    </row>
    <row r="20" spans="3:14" ht="79.8">
      <c r="C20" s="112">
        <v>2024</v>
      </c>
      <c r="D20" s="112">
        <v>90</v>
      </c>
      <c r="E20" s="112" t="s">
        <v>257</v>
      </c>
      <c r="F20" s="112">
        <v>1</v>
      </c>
      <c r="G20" s="99" t="s">
        <v>258</v>
      </c>
      <c r="H20" s="99" t="s">
        <v>259</v>
      </c>
      <c r="I20" s="126" t="s">
        <v>260</v>
      </c>
      <c r="J20" s="127" t="s">
        <v>718</v>
      </c>
      <c r="K20" s="112" t="s">
        <v>244</v>
      </c>
      <c r="L20" s="112" t="s">
        <v>263</v>
      </c>
      <c r="M20" s="64" t="s">
        <v>174</v>
      </c>
      <c r="N20" s="72" t="s">
        <v>265</v>
      </c>
    </row>
    <row r="21" spans="3:14" ht="79.8">
      <c r="C21" s="112">
        <v>2024</v>
      </c>
      <c r="D21" s="112">
        <v>90</v>
      </c>
      <c r="E21" s="112" t="s">
        <v>279</v>
      </c>
      <c r="F21" s="112">
        <v>2</v>
      </c>
      <c r="G21" s="99" t="s">
        <v>280</v>
      </c>
      <c r="H21" s="99" t="s">
        <v>287</v>
      </c>
      <c r="I21" s="99" t="s">
        <v>288</v>
      </c>
      <c r="J21" s="113" t="s">
        <v>712</v>
      </c>
      <c r="K21" s="112" t="s">
        <v>244</v>
      </c>
      <c r="L21" s="112" t="s">
        <v>263</v>
      </c>
      <c r="M21" s="64" t="s">
        <v>174</v>
      </c>
      <c r="N21" s="72" t="s">
        <v>286</v>
      </c>
    </row>
    <row r="22" spans="3:14" ht="74.400000000000006" customHeight="1">
      <c r="J22" s="125" t="s">
        <v>714</v>
      </c>
    </row>
    <row r="24" spans="3:14">
      <c r="C24" s="103" t="s">
        <v>693</v>
      </c>
      <c r="D24" s="104"/>
      <c r="E24" s="104"/>
      <c r="J24" t="s">
        <v>713</v>
      </c>
    </row>
    <row r="25" spans="3:14">
      <c r="C25" s="16" t="s">
        <v>694</v>
      </c>
      <c r="D25" s="16"/>
      <c r="E25" s="16"/>
    </row>
    <row r="26" spans="3:14">
      <c r="C26" s="16"/>
      <c r="D26" s="16"/>
      <c r="E26" s="16"/>
      <c r="J26" t="s">
        <v>719</v>
      </c>
    </row>
    <row r="27" spans="3:14" ht="58.2" customHeight="1">
      <c r="C27" s="240" t="s">
        <v>692</v>
      </c>
      <c r="D27" s="240"/>
      <c r="E27" s="240"/>
      <c r="F27" s="240"/>
      <c r="G27" s="240"/>
      <c r="J27" s="203" t="s">
        <v>774</v>
      </c>
    </row>
    <row r="28" spans="3:14">
      <c r="C28" s="105" t="s">
        <v>5</v>
      </c>
      <c r="D28" s="105" t="s">
        <v>6</v>
      </c>
      <c r="E28" s="105" t="s">
        <v>7</v>
      </c>
      <c r="F28" s="105" t="s">
        <v>8</v>
      </c>
      <c r="G28" s="105" t="s">
        <v>13</v>
      </c>
      <c r="H28" s="105" t="s">
        <v>14</v>
      </c>
      <c r="I28" s="105" t="s">
        <v>15</v>
      </c>
      <c r="J28" s="111" t="s">
        <v>685</v>
      </c>
      <c r="K28" s="105" t="s">
        <v>20</v>
      </c>
      <c r="L28" s="105" t="s">
        <v>21</v>
      </c>
      <c r="M28" s="105" t="s">
        <v>24</v>
      </c>
      <c r="N28" s="105" t="s">
        <v>25</v>
      </c>
    </row>
    <row r="29" spans="3:14" ht="102.6">
      <c r="C29" s="112">
        <v>2024</v>
      </c>
      <c r="D29" s="112">
        <v>90</v>
      </c>
      <c r="E29" s="112" t="s">
        <v>302</v>
      </c>
      <c r="F29" s="112">
        <v>3</v>
      </c>
      <c r="G29" s="99" t="s">
        <v>303</v>
      </c>
      <c r="H29" s="99" t="s">
        <v>315</v>
      </c>
      <c r="I29" s="99" t="s">
        <v>316</v>
      </c>
      <c r="J29" s="113" t="s">
        <v>695</v>
      </c>
      <c r="K29" s="112" t="s">
        <v>244</v>
      </c>
      <c r="L29" s="112" t="s">
        <v>276</v>
      </c>
      <c r="M29" s="64" t="s">
        <v>174</v>
      </c>
      <c r="N29" s="95" t="s">
        <v>319</v>
      </c>
    </row>
    <row r="32" spans="3:14">
      <c r="C32" s="103" t="s">
        <v>696</v>
      </c>
      <c r="D32" s="104"/>
      <c r="E32" s="104"/>
    </row>
    <row r="33" spans="3:14">
      <c r="C33" s="16" t="s">
        <v>697</v>
      </c>
      <c r="D33" s="16"/>
      <c r="E33" s="16"/>
    </row>
    <row r="34" spans="3:14" ht="7.8" customHeight="1">
      <c r="C34" s="16"/>
      <c r="D34" s="16"/>
      <c r="E34" s="16"/>
    </row>
    <row r="35" spans="3:14" ht="71.400000000000006" customHeight="1">
      <c r="C35" s="240" t="s">
        <v>698</v>
      </c>
      <c r="D35" s="240"/>
      <c r="E35" s="240"/>
      <c r="F35" s="240"/>
      <c r="G35" s="240"/>
    </row>
    <row r="36" spans="3:14" ht="26.4" customHeight="1">
      <c r="C36" s="105" t="s">
        <v>5</v>
      </c>
      <c r="D36" s="105" t="s">
        <v>6</v>
      </c>
      <c r="E36" s="105" t="s">
        <v>7</v>
      </c>
      <c r="F36" s="105" t="s">
        <v>8</v>
      </c>
      <c r="G36" s="105" t="s">
        <v>13</v>
      </c>
      <c r="H36" s="105" t="s">
        <v>14</v>
      </c>
      <c r="I36" s="105" t="s">
        <v>15</v>
      </c>
      <c r="J36" s="111" t="s">
        <v>685</v>
      </c>
      <c r="K36" s="105" t="s">
        <v>20</v>
      </c>
      <c r="L36" s="105" t="s">
        <v>21</v>
      </c>
      <c r="M36" s="105" t="s">
        <v>24</v>
      </c>
      <c r="N36" s="105" t="s">
        <v>25</v>
      </c>
    </row>
    <row r="37" spans="3:14" ht="136.80000000000001">
      <c r="C37" s="112">
        <v>2025</v>
      </c>
      <c r="D37" s="112">
        <v>90</v>
      </c>
      <c r="E37" s="112" t="s">
        <v>62</v>
      </c>
      <c r="F37" s="112">
        <v>1</v>
      </c>
      <c r="G37" s="99" t="s">
        <v>63</v>
      </c>
      <c r="H37" s="99" t="s">
        <v>64</v>
      </c>
      <c r="I37" s="99" t="s">
        <v>65</v>
      </c>
      <c r="J37" s="120" t="s">
        <v>699</v>
      </c>
      <c r="K37" s="112" t="s">
        <v>38</v>
      </c>
      <c r="L37" s="112" t="s">
        <v>68</v>
      </c>
      <c r="M37" s="64" t="s">
        <v>174</v>
      </c>
      <c r="N37" s="97" t="s">
        <v>69</v>
      </c>
    </row>
    <row r="40" spans="3:14">
      <c r="C40" s="103" t="s">
        <v>717</v>
      </c>
      <c r="D40" s="104"/>
      <c r="E40" s="104"/>
    </row>
    <row r="41" spans="3:14">
      <c r="C41" s="16" t="s">
        <v>697</v>
      </c>
      <c r="D41" s="16"/>
      <c r="E41" s="16"/>
    </row>
    <row r="42" spans="3:14">
      <c r="C42" s="16"/>
      <c r="D42" s="16"/>
      <c r="E42" s="16"/>
    </row>
    <row r="43" spans="3:14" ht="108.6" customHeight="1">
      <c r="C43" s="240" t="s">
        <v>711</v>
      </c>
      <c r="D43" s="240"/>
      <c r="E43" s="240"/>
      <c r="F43" s="240"/>
      <c r="G43" s="240"/>
    </row>
    <row r="45" spans="3:14">
      <c r="C45" s="108" t="s">
        <v>5</v>
      </c>
      <c r="D45" s="108" t="s">
        <v>6</v>
      </c>
      <c r="E45" s="108" t="s">
        <v>7</v>
      </c>
      <c r="F45" s="109" t="s">
        <v>8</v>
      </c>
      <c r="G45" s="108" t="s">
        <v>13</v>
      </c>
      <c r="H45" s="108" t="s">
        <v>14</v>
      </c>
      <c r="I45" s="108" t="s">
        <v>15</v>
      </c>
      <c r="J45" s="124" t="s">
        <v>685</v>
      </c>
      <c r="K45" s="108" t="s">
        <v>20</v>
      </c>
      <c r="L45" s="108" t="s">
        <v>21</v>
      </c>
      <c r="M45" s="110" t="s">
        <v>24</v>
      </c>
      <c r="N45" s="110" t="s">
        <v>25</v>
      </c>
    </row>
    <row r="46" spans="3:14" ht="148.19999999999999">
      <c r="C46" s="112">
        <v>2025</v>
      </c>
      <c r="D46" s="112">
        <v>90</v>
      </c>
      <c r="E46" s="112" t="s">
        <v>168</v>
      </c>
      <c r="F46" s="112">
        <v>1</v>
      </c>
      <c r="G46" s="99" t="s">
        <v>169</v>
      </c>
      <c r="H46" s="99" t="s">
        <v>170</v>
      </c>
      <c r="I46" s="126" t="s">
        <v>171</v>
      </c>
      <c r="J46" s="1" t="s">
        <v>772</v>
      </c>
      <c r="K46" s="112" t="s">
        <v>38</v>
      </c>
      <c r="L46" s="112" t="s">
        <v>77</v>
      </c>
      <c r="M46" s="64" t="s">
        <v>174</v>
      </c>
      <c r="N46" s="97" t="s">
        <v>175</v>
      </c>
    </row>
    <row r="49" spans="3:14">
      <c r="C49" s="103" t="s">
        <v>715</v>
      </c>
      <c r="D49" s="104"/>
      <c r="E49" s="104"/>
    </row>
    <row r="50" spans="3:14">
      <c r="C50" s="16" t="s">
        <v>697</v>
      </c>
      <c r="D50" s="16"/>
      <c r="E50" s="16"/>
    </row>
    <row r="51" spans="3:14">
      <c r="C51" s="16"/>
      <c r="D51" s="16"/>
      <c r="E51" s="16"/>
      <c r="L51" t="s">
        <v>773</v>
      </c>
    </row>
    <row r="52" spans="3:14" ht="70.8" customHeight="1">
      <c r="C52" s="240" t="s">
        <v>716</v>
      </c>
      <c r="D52" s="240"/>
      <c r="E52" s="240"/>
      <c r="F52" s="240"/>
      <c r="G52" s="240"/>
    </row>
    <row r="54" spans="3:14">
      <c r="C54" s="105" t="s">
        <v>5</v>
      </c>
      <c r="D54" s="105" t="s">
        <v>6</v>
      </c>
      <c r="E54" s="105" t="s">
        <v>7</v>
      </c>
      <c r="F54" s="105" t="s">
        <v>8</v>
      </c>
      <c r="G54" s="105" t="s">
        <v>13</v>
      </c>
      <c r="H54" s="105" t="s">
        <v>14</v>
      </c>
      <c r="I54" s="105" t="s">
        <v>15</v>
      </c>
      <c r="J54" s="111" t="s">
        <v>685</v>
      </c>
      <c r="K54" s="105" t="s">
        <v>20</v>
      </c>
      <c r="L54" s="105" t="s">
        <v>21</v>
      </c>
      <c r="M54" s="105" t="s">
        <v>24</v>
      </c>
      <c r="N54" s="105" t="s">
        <v>25</v>
      </c>
    </row>
    <row r="55" spans="3:14" ht="171">
      <c r="C55" s="99">
        <v>2025</v>
      </c>
      <c r="D55" s="99">
        <v>90</v>
      </c>
      <c r="E55" s="99" t="s">
        <v>88</v>
      </c>
      <c r="F55" s="99">
        <v>3</v>
      </c>
      <c r="G55" s="99" t="s">
        <v>89</v>
      </c>
      <c r="H55" s="99" t="s">
        <v>90</v>
      </c>
      <c r="I55" s="99" t="s">
        <v>99</v>
      </c>
      <c r="J55" s="107"/>
      <c r="K55" s="99" t="s">
        <v>38</v>
      </c>
      <c r="L55" s="99" t="s">
        <v>86</v>
      </c>
      <c r="M55" s="64" t="s">
        <v>42</v>
      </c>
      <c r="N55" s="97" t="s">
        <v>102</v>
      </c>
    </row>
    <row r="56" spans="3:14" ht="159.6">
      <c r="C56" s="99">
        <v>2025</v>
      </c>
      <c r="D56" s="99">
        <v>90</v>
      </c>
      <c r="E56" s="99" t="s">
        <v>115</v>
      </c>
      <c r="F56" s="99">
        <v>2</v>
      </c>
      <c r="G56" s="99" t="s">
        <v>116</v>
      </c>
      <c r="H56" s="99" t="s">
        <v>117</v>
      </c>
      <c r="I56" s="99" t="s">
        <v>123</v>
      </c>
      <c r="J56" s="107"/>
      <c r="K56" s="99" t="s">
        <v>38</v>
      </c>
      <c r="L56" s="99" t="s">
        <v>86</v>
      </c>
      <c r="M56" s="64" t="s">
        <v>42</v>
      </c>
      <c r="N56" s="97" t="s">
        <v>126</v>
      </c>
    </row>
    <row r="57" spans="3:14" ht="68.400000000000006">
      <c r="C57" s="99">
        <v>2025</v>
      </c>
      <c r="D57" s="99">
        <v>90</v>
      </c>
      <c r="E57" s="99" t="s">
        <v>197</v>
      </c>
      <c r="F57" s="99">
        <v>1</v>
      </c>
      <c r="G57" s="99" t="s">
        <v>198</v>
      </c>
      <c r="H57" s="99" t="s">
        <v>199</v>
      </c>
      <c r="I57" s="99" t="s">
        <v>200</v>
      </c>
      <c r="J57" s="107"/>
      <c r="K57" s="99" t="s">
        <v>38</v>
      </c>
      <c r="L57" s="99" t="s">
        <v>86</v>
      </c>
      <c r="M57" s="64" t="s">
        <v>42</v>
      </c>
      <c r="N57" s="97" t="s">
        <v>203</v>
      </c>
    </row>
    <row r="58" spans="3:14" ht="91.2">
      <c r="C58" s="99">
        <v>2025</v>
      </c>
      <c r="D58" s="99">
        <v>90</v>
      </c>
      <c r="E58" s="99" t="s">
        <v>204</v>
      </c>
      <c r="F58" s="99">
        <v>2</v>
      </c>
      <c r="G58" s="99" t="s">
        <v>205</v>
      </c>
      <c r="H58" s="99" t="s">
        <v>206</v>
      </c>
      <c r="I58" s="99" t="s">
        <v>211</v>
      </c>
      <c r="J58" s="107"/>
      <c r="K58" s="99" t="s">
        <v>38</v>
      </c>
      <c r="L58" s="99" t="s">
        <v>121</v>
      </c>
      <c r="M58" s="64" t="s">
        <v>174</v>
      </c>
      <c r="N58" s="97" t="s">
        <v>214</v>
      </c>
    </row>
  </sheetData>
  <mergeCells count="6">
    <mergeCell ref="C52:G52"/>
    <mergeCell ref="C7:G7"/>
    <mergeCell ref="C18:G18"/>
    <mergeCell ref="C27:G27"/>
    <mergeCell ref="C35:G35"/>
    <mergeCell ref="C43:G43"/>
  </mergeCells>
  <hyperlinks>
    <hyperlink ref="N9" r:id="rId1" xr:uid="{95D7C577-2C94-4E1E-861D-932F793E504E}"/>
    <hyperlink ref="N10" r:id="rId2" xr:uid="{69C2D977-8BD1-4604-80C3-814096A40792}"/>
    <hyperlink ref="N11" r:id="rId3" xr:uid="{00422F7E-DA01-48A2-B01D-A00B5CCEBAE2}"/>
    <hyperlink ref="N12" r:id="rId4" xr:uid="{BCE0FEEB-6A72-47FA-9999-0C8BC9CB9998}"/>
    <hyperlink ref="N20" r:id="rId5" xr:uid="{623AADAB-0802-494D-8154-B663A8C930F6}"/>
    <hyperlink ref="N21" r:id="rId6" xr:uid="{803D1D22-1E6D-4F3D-8C00-2B1D5672E6A7}"/>
    <hyperlink ref="N13" r:id="rId7" xr:uid="{6A829F80-515D-4E9B-98AD-01F56AA93259}"/>
    <hyperlink ref="N29" r:id="rId8" xr:uid="{341A32D8-22F2-4C41-A8E7-F42B7B3F87B7}"/>
    <hyperlink ref="N37" r:id="rId9" xr:uid="{15C48EB6-7D8B-4F13-87D1-BE02B1C2CBAB}"/>
    <hyperlink ref="N46" r:id="rId10" xr:uid="{50E15CA7-FF26-43DA-B35A-520F6CAE1BE3}"/>
    <hyperlink ref="N55" r:id="rId11" xr:uid="{927E9E35-6BCC-494C-AC39-31489813DE0C}"/>
    <hyperlink ref="N56" r:id="rId12" xr:uid="{D3656ECA-B177-4A96-BC6B-97F326D20B0A}"/>
    <hyperlink ref="N57" r:id="rId13" xr:uid="{ECD19E77-BBE6-40CC-806D-4FB76E459363}"/>
    <hyperlink ref="N58" r:id="rId14" xr:uid="{BE10D0B7-FEF9-49FE-AB5E-D7DE3AF4BB54}"/>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FF0AA-7584-4052-9219-58E9E2460C78}">
  <sheetPr codeName="Hoja6"/>
  <dimension ref="A1:AF4"/>
  <sheetViews>
    <sheetView workbookViewId="0">
      <selection activeCell="M11" sqref="M11"/>
    </sheetView>
  </sheetViews>
  <sheetFormatPr baseColWidth="10" defaultRowHeight="14.4"/>
  <sheetData>
    <row r="1" spans="1:32" ht="297.60000000000002">
      <c r="A1" s="47">
        <v>70</v>
      </c>
      <c r="B1" s="6" t="s">
        <v>397</v>
      </c>
      <c r="C1" s="6" t="s">
        <v>27</v>
      </c>
      <c r="D1" s="6" t="s">
        <v>28</v>
      </c>
      <c r="E1" s="6" t="s">
        <v>29</v>
      </c>
      <c r="F1" s="6">
        <v>2013</v>
      </c>
      <c r="G1" s="6">
        <v>836</v>
      </c>
      <c r="H1" s="6" t="s">
        <v>398</v>
      </c>
      <c r="I1" s="8">
        <v>2</v>
      </c>
      <c r="J1" s="8" t="s">
        <v>31</v>
      </c>
      <c r="K1" s="44"/>
      <c r="L1" s="6" t="s">
        <v>399</v>
      </c>
      <c r="M1" s="6" t="s">
        <v>400</v>
      </c>
      <c r="N1" s="6" t="s">
        <v>401</v>
      </c>
      <c r="O1" s="6" t="s">
        <v>402</v>
      </c>
      <c r="P1" s="6" t="s">
        <v>403</v>
      </c>
      <c r="Q1" s="6" t="s">
        <v>404</v>
      </c>
      <c r="R1" s="6" t="s">
        <v>405</v>
      </c>
      <c r="S1" s="6" t="s">
        <v>406</v>
      </c>
      <c r="T1" s="6">
        <v>0.4</v>
      </c>
      <c r="U1" s="6" t="s">
        <v>407</v>
      </c>
      <c r="V1" s="6" t="s">
        <v>408</v>
      </c>
      <c r="W1" s="6" t="s">
        <v>409</v>
      </c>
      <c r="X1" s="6" t="s">
        <v>40</v>
      </c>
      <c r="Y1" s="8" t="s">
        <v>410</v>
      </c>
      <c r="Z1" s="7"/>
      <c r="AA1" s="2"/>
      <c r="AB1" s="3"/>
      <c r="AC1" s="21" t="str">
        <f ca="1">IF(AA1="Abierta", DATE(LEFT(W1,4), MID(W1,6,2), RIGHT(W1,2)) - TODAY(), "")</f>
        <v/>
      </c>
      <c r="AD1" s="20">
        <f ca="1">IF(AND($AA1="Abierta", $AC1&lt;=10, $AC1&gt;0), 1, 0)</f>
        <v>0</v>
      </c>
      <c r="AE1" s="20">
        <f ca="1">IF(AND($AA1="Abierta", $AC1&lt;=20, $AC1&gt;10), 1, 0)</f>
        <v>0</v>
      </c>
      <c r="AF1" s="20">
        <f ca="1">IF(AND($AA1="Abierta", $AC1&lt;=30, $AC1&gt;20), 1, 0)</f>
        <v>0</v>
      </c>
    </row>
    <row r="2" spans="1:32" ht="230.4">
      <c r="A2" s="48">
        <v>113</v>
      </c>
      <c r="B2" s="9" t="s">
        <v>411</v>
      </c>
      <c r="C2" s="9" t="s">
        <v>27</v>
      </c>
      <c r="D2" s="9" t="s">
        <v>28</v>
      </c>
      <c r="E2" s="9" t="s">
        <v>29</v>
      </c>
      <c r="F2" s="9">
        <v>2022</v>
      </c>
      <c r="G2" s="9">
        <v>508</v>
      </c>
      <c r="H2" s="9" t="s">
        <v>30</v>
      </c>
      <c r="I2" s="10">
        <v>2</v>
      </c>
      <c r="J2" s="10" t="s">
        <v>31</v>
      </c>
      <c r="K2" s="45"/>
      <c r="L2" s="9" t="s">
        <v>412</v>
      </c>
      <c r="M2" s="9" t="s">
        <v>400</v>
      </c>
      <c r="N2" s="9" t="s">
        <v>413</v>
      </c>
      <c r="O2" s="9" t="s">
        <v>414</v>
      </c>
      <c r="P2" s="9" t="s">
        <v>415</v>
      </c>
      <c r="Q2" s="9" t="s">
        <v>416</v>
      </c>
      <c r="R2" s="9" t="s">
        <v>417</v>
      </c>
      <c r="S2" s="9" t="s">
        <v>418</v>
      </c>
      <c r="T2" s="9">
        <v>1</v>
      </c>
      <c r="U2" s="9" t="s">
        <v>270</v>
      </c>
      <c r="V2" s="9" t="s">
        <v>419</v>
      </c>
      <c r="W2" s="9" t="s">
        <v>420</v>
      </c>
      <c r="X2" s="9" t="s">
        <v>40</v>
      </c>
      <c r="Y2" s="10" t="s">
        <v>421</v>
      </c>
      <c r="Z2" s="11"/>
      <c r="AA2" s="12"/>
      <c r="AB2" s="13" t="s">
        <v>422</v>
      </c>
      <c r="AC2" s="21" t="str">
        <f ca="1">IF(AA2="Abierta", DATE(LEFT(W2,4), MID(W2,6,2), RIGHT(W2,2)) - TODAY(), "")</f>
        <v/>
      </c>
      <c r="AD2" s="20">
        <f ca="1">IF(AND($AA2="Abierta", $AC2&lt;=10, $AC2&gt;0), 1, 0)</f>
        <v>0</v>
      </c>
      <c r="AE2" s="20">
        <f ca="1">IF(AND($AA2="Abierta", $AC2&lt;=20, $AC2&gt;10), 1, 0)</f>
        <v>0</v>
      </c>
      <c r="AF2" s="20">
        <f ca="1">IF(AND($AA2="Abierta", $AC2&lt;=30, $AC2&gt;20), 1, 0)</f>
        <v>0</v>
      </c>
    </row>
    <row r="3" spans="1:32" ht="297.60000000000002">
      <c r="A3" s="48">
        <v>114</v>
      </c>
      <c r="B3" s="9" t="s">
        <v>411</v>
      </c>
      <c r="C3" s="9" t="s">
        <v>27</v>
      </c>
      <c r="D3" s="9" t="s">
        <v>28</v>
      </c>
      <c r="E3" s="9" t="s">
        <v>29</v>
      </c>
      <c r="F3" s="9">
        <v>2022</v>
      </c>
      <c r="G3" s="9">
        <v>508</v>
      </c>
      <c r="H3" s="9" t="s">
        <v>30</v>
      </c>
      <c r="I3" s="10">
        <v>3</v>
      </c>
      <c r="J3" s="10" t="s">
        <v>31</v>
      </c>
      <c r="K3" s="45"/>
      <c r="L3" s="9" t="s">
        <v>412</v>
      </c>
      <c r="M3" s="9" t="s">
        <v>400</v>
      </c>
      <c r="N3" s="9" t="s">
        <v>413</v>
      </c>
      <c r="O3" s="9" t="s">
        <v>414</v>
      </c>
      <c r="P3" s="9" t="s">
        <v>423</v>
      </c>
      <c r="Q3" s="9" t="s">
        <v>424</v>
      </c>
      <c r="R3" s="9" t="s">
        <v>425</v>
      </c>
      <c r="S3" s="9" t="s">
        <v>426</v>
      </c>
      <c r="T3" s="9">
        <v>15</v>
      </c>
      <c r="U3" s="9" t="s">
        <v>270</v>
      </c>
      <c r="V3" s="9" t="s">
        <v>419</v>
      </c>
      <c r="W3" s="9" t="s">
        <v>420</v>
      </c>
      <c r="X3" s="9" t="s">
        <v>40</v>
      </c>
      <c r="Y3" s="10" t="s">
        <v>421</v>
      </c>
      <c r="Z3" s="11"/>
      <c r="AA3" s="12"/>
      <c r="AB3" s="13" t="s">
        <v>427</v>
      </c>
      <c r="AC3" s="21" t="str">
        <f ca="1">IF(AA3="Abierta", DATE(LEFT(W3,4), MID(W3,6,2), RIGHT(W3,2)) - TODAY(), "")</f>
        <v/>
      </c>
      <c r="AD3" s="20">
        <f ca="1">IF(AND($AA3="Abierta", $AC3&lt;=10, $AC3&gt;0), 1, 0)</f>
        <v>0</v>
      </c>
      <c r="AE3" s="20">
        <f ca="1">IF(AND($AA3="Abierta", $AC3&lt;=20, $AC3&gt;10), 1, 0)</f>
        <v>0</v>
      </c>
      <c r="AF3" s="20">
        <f ca="1">IF(AND($AA3="Abierta", $AC3&lt;=30, $AC3&gt;20), 1, 0)</f>
        <v>0</v>
      </c>
    </row>
    <row r="4" spans="1:32" ht="297.60000000000002">
      <c r="A4" s="47">
        <v>185</v>
      </c>
      <c r="B4" s="6" t="s">
        <v>428</v>
      </c>
      <c r="C4" s="6" t="s">
        <v>27</v>
      </c>
      <c r="D4" s="6" t="s">
        <v>28</v>
      </c>
      <c r="E4" s="6" t="s">
        <v>29</v>
      </c>
      <c r="F4" s="6">
        <v>2018</v>
      </c>
      <c r="G4" s="6">
        <v>89</v>
      </c>
      <c r="H4" s="6" t="s">
        <v>62</v>
      </c>
      <c r="I4" s="8">
        <v>1</v>
      </c>
      <c r="J4" s="8" t="s">
        <v>31</v>
      </c>
      <c r="K4" s="44"/>
      <c r="L4" s="6" t="s">
        <v>399</v>
      </c>
      <c r="M4" s="6" t="s">
        <v>429</v>
      </c>
      <c r="N4" s="6" t="s">
        <v>430</v>
      </c>
      <c r="O4" s="6" t="s">
        <v>431</v>
      </c>
      <c r="P4" s="6" t="s">
        <v>432</v>
      </c>
      <c r="Q4" s="6" t="s">
        <v>433</v>
      </c>
      <c r="R4" s="6" t="s">
        <v>434</v>
      </c>
      <c r="S4" s="6" t="s">
        <v>435</v>
      </c>
      <c r="T4" s="6">
        <v>100</v>
      </c>
      <c r="U4" s="6" t="s">
        <v>436</v>
      </c>
      <c r="V4" s="6" t="s">
        <v>437</v>
      </c>
      <c r="W4" s="6" t="s">
        <v>438</v>
      </c>
      <c r="X4" s="6" t="s">
        <v>40</v>
      </c>
      <c r="Y4" s="8" t="s">
        <v>421</v>
      </c>
      <c r="Z4" s="7"/>
      <c r="AA4" s="2"/>
      <c r="AB4" s="1"/>
      <c r="AC4" s="21" t="str">
        <f ca="1">IF(AA4="Abierta", DATE(LEFT(W4,4), MID(W4,6,2), RIGHT(W4,2)) - TODAY(), "")</f>
        <v/>
      </c>
      <c r="AD4" s="20">
        <f ca="1">IF(AND($AA4="Abierta", $AC4&lt;=10, $AC4&gt;0), 1, 0)</f>
        <v>0</v>
      </c>
      <c r="AE4" s="20">
        <f ca="1">IF(AND($AA4="Abierta", $AC4&lt;=20, $AC4&gt;10), 1, 0)</f>
        <v>0</v>
      </c>
      <c r="AF4" s="20">
        <f ca="1">IF(AND($AA4="Abierta", $AC4&lt;=30, $AC4&gt;20), 1, 0)</f>
        <v>0</v>
      </c>
    </row>
  </sheetData>
  <hyperlinks>
    <hyperlink ref="AB2" r:id="rId1" xr:uid="{E4970A27-9FBB-4782-9B20-D617A61B71D1}"/>
    <hyperlink ref="AB3" r:id="rId2" xr:uid="{48380551-4E42-453F-B125-AF013ECF7CD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15</vt:i4>
      </vt:variant>
    </vt:vector>
  </HeadingPairs>
  <TitlesOfParts>
    <vt:vector size="15" baseType="lpstr">
      <vt:lpstr>Tablero</vt:lpstr>
      <vt:lpstr>Calculos 2</vt:lpstr>
      <vt:lpstr>Hoja5</vt:lpstr>
      <vt:lpstr>Detalle</vt:lpstr>
      <vt:lpstr>Vencidos</vt:lpstr>
      <vt:lpstr>Abiertos</vt:lpstr>
      <vt:lpstr>Hoja4</vt:lpstr>
      <vt:lpstr>Resumen</vt:lpstr>
      <vt:lpstr>Cálculos</vt:lpstr>
      <vt:lpstr>Hoja1</vt:lpstr>
      <vt:lpstr>Base de Datos</vt:lpstr>
      <vt:lpstr>Enlace PDF</vt:lpstr>
      <vt:lpstr>Hoja3</vt:lpstr>
      <vt:lpstr>Compromisos 1 trimestre</vt:lpstr>
      <vt:lpstr>Hoja2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Diego Raul Vasquez</dc:creator>
  <cp:lastModifiedBy>diego vasquez osorio</cp:lastModifiedBy>
  <dcterms:created xsi:type="dcterms:W3CDTF">2026-03-27T18:29:02Z</dcterms:created>
  <dcterms:modified xsi:type="dcterms:W3CDTF">2026-10-19T15:57:47Z</dcterms:modified>
</cp:coreProperties>
</file>