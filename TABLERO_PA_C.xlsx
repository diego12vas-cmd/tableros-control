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479" documentId="13_ncr:1_{5037B3AD-B0A2-4521-8F49-D3B2F1605E79}" xr6:coauthVersionLast="47" xr6:coauthVersionMax="47" xr10:uidLastSave="{4FE71772-2C62-4A59-A5D9-553FC6ECAD8A}"/>
  <bookViews>
    <workbookView xWindow="-108" yWindow="-108" windowWidth="23256" windowHeight="13896" firstSheet="1"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<sst xmlns="http://schemas.openxmlformats.org/spreadsheetml/2006/main" count="2577" uniqueCount="823">
  <si>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</si>
  <si>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</si>
  <si>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</si>
  <si>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</si>
  <si>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</si>
  <si>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</si>
  <si>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</si>
  <si>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</si>
  <si>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</si>
  <si>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</si>
  <si>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</si>
  <si>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</si>
  <si>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</si>
  <si>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</si>
  <si>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</si>
  <si>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</si>
  <si>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</si>
  <si>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</si>
  <si>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</si>
  <si>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</si>
  <si>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</si>
  <si>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</si>
  <si>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</si>
  <si>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</si>
  <si>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</si>
  <si>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</si>
  <si>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</si>
  <si>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</si>
  <si>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</si>
  <si>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</si>
  <si>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</si>
  <si>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</si>
  <si>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</si>
  <si>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</si>
  <si>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</si>
  <si>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</si>
  <si>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</si>
  <si>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</si>
  <si>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</si>
  <si>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</si>
  <si>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</si>
  <si>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</si>
  <si>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</si>
  <si>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</si>
  <si>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</si>
  <si>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</si>
  <si>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</si>
  <si>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</si>
  <si>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</si>
  <si>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</si>
  <si>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</si>
  <si>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</si>
  <si>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</si>
  <si>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</si>
  <si>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</si>
  <si>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</si>
  <si>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</si>
  <si>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</si>
  <si>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</si>
  <si>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</si>
  <si>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</si>
  <si>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</si>
  <si>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</si>
  <si>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</si>
  <si>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</si>
  <si>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</si>
  <si>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</si>
  <si>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</si>
  <si>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</si>
  <si>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</si>
  <si>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</si>
  <si>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</si>
  <si>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</si>
  <si>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</si>
  <si>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</si>
  <si>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</si>
  <si>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</si>
  <si>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</si>
  <si>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</si>
  <si>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</si>
  <si>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</si>
  <si>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</si>
  <si>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</si>
  <si>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</si>
  <si>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</si>
  <si>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</si>
  <si>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</si>
  <si>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</si>
  <si>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</si>
  <si>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</si>
  <si>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</si>
  <si>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</si>
  <si>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</si>
  <si>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</si>
  <si>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</si>
  <si>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</si>
  <si>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</si>
  <si>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</si>
  <si>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</si>
  <si>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</si>
  <si>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</si>
  <si>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</si>
  <si>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</si>
  <si>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</si>
  <si>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</si>
  <si>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</si>
  <si>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</si>
  <si>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</si>
  <si>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</si>
  <si>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</si>
  <si>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</si>
  <si>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</si>
  <si>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</si>
  <si>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</si>
  <si>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</si>
  <si>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</si>
  <si>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</si>
  <si>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</si>
  <si>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</si>
  <si>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</si>
  <si>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</si>
  <si>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</si>
  <si>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</si>
  <si>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</si>
  <si>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</si>
  <si>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</si>
  <si>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</si>
  <si>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</si>
  <si>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</si>
  <si>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</si>
  <si>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</si>
  <si>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</si>
  <si>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</si>
  <si>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</si>
  <si>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</si>
  <si>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</si>
  <si>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</si>
  <si>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</si>
  <si>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</si>
  <si>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</si>
  <si>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</si>
  <si>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</si>
  <si>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</si>
  <si>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</si>
  <si>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</si>
  <si>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</si>
  <si>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</si>
  <si>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</si>
  <si>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</si>
  <si>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</si>
  <si>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</si>
  <si>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</si>
  <si>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</si>
  <si>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</si>
  <si>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</si>
  <si>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</si>
  <si>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</si>
  <si>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</si>
  <si>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</si>
  <si>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</si>
  <si>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</si>
  <si>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</si>
  <si>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</si>
  <si>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</si>
  <si>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</si>
  <si>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</si>
  <si>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</si>
  <si>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</si>
  <si>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</si>
  <si>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</si>
  <si>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</si>
  <si>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</si>
  <si>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</si>
  <si>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</si>
  <si>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</si>
  <si>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</si>
  <si>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</si>
  <si>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</si>
  <si>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</si>
  <si>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</si>
  <si>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</si>
  <si>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</si>
  <si>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</si>
  <si>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</si>
  <si>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</si>
  <si>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</si>
  <si>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</si>
  <si>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</si>
  <si>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</si>
  <si>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</si>
  <si>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</si>
  <si>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</si>
  <si>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</si>
  <si>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</si>
  <si>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</si>
  <si>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</si>
  <si>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</si>
  <si>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</si>
  <si>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</si>
  <si>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</si>
  <si>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</si>
  <si>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</si>
  <si>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</si>
  <si>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</si>
  <si>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</si>
  <si>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</si>
  <si>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</si>
  <si>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</si>
  <si>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</si>
  <si>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</si>
  <si>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</si>
  <si>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</si>
  <si>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</si>
  <si>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</si>
  <si>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</si>
  <si>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</si>
  <si>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</si>
  <si>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</si>
  <si>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</si>
  <si>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</si>
  <si>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</si>
  <si>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</si>
  <si>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</si>
  <si>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</si>
  <si>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</si>
  <si>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</si>
  <si>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</si>
  <si>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</si>
  <si>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</si>
  <si>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</si>
  <si>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</si>
  <si>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</si>
  <si>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</si>
  <si>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</si>
  <si>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</si>
  <si>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</si>
  <si>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</si>
  <si>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</si>
  <si>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</si>
  <si>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</si>
  <si>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</si>
  <si>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</si>
  <si>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</si>
  <si>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</si>
  <si>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</si>
  <si>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</si>
  <si>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</si>
  <si>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</si>
  <si>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</si>
  <si>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</si>
  <si>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</si>
  <si>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</si>
  <si>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</si>
  <si>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</si>
  <si>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</si>
  <si>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</si>
  <si>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</si>
  <si>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</si>
  <si>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</si>
  <si>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</si>
  <si>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</si>
  <si>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</si>
  <si>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</si>
  <si>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</si>
  <si>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</si>
  <si>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</si>
  <si>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</si>
  <si>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</si>
  <si>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</si>
  <si>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</si>
  <si>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</si>
  <si>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</si>
  <si>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</si>
  <si>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</si>
  <si>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</si>
  <si>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</si>
  <si>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</si>
  <si>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</si>
  <si>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</si>
  <si>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</si>
  <si>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</si>
  <si>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</si>
  <si>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</si>
  <si>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</si>
  <si>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</si>
  <si>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</si>
  <si>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</si>
  <si>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</si>
  <si>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</si>
  <si>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</si>
  <si>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</si>
  <si>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</si>
  <si>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</si>
  <si>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</si>
  <si>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</si>
  <si>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</si>
  <si>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</si>
  <si>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</si>
  <si>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</si>
  <si>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</si>
  <si>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</si>
  <si>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</si>
  <si>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</si>
  <si>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</si>
  <si>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</si>
  <si>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</si>
  <si>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</si>
  <si>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</si>
  <si>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</si>
  <si>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</si>
  <si>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</si>
  <si>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</si>
  <si>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</si>
  <si>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</si>
  <si>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</si>
  <si>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</si>
  <si>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</si>
  <si>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</si>
  <si>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</si>
  <si>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</si>
  <si>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</si>
  <si>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</si>
  <si>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</si>
  <si>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</si>
  <si>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</si>
  <si>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</si>
  <si>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</si>
  <si>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</si>
  <si>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</si>
  <si>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</si>
  <si>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</si>
  <si>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</si>
  <si>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</si>
  <si>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</si>
  <si>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</si>
  <si>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</si>
  <si>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</si>
  <si>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</si>
  <si>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</si>
  <si>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</si>
  <si>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</si>
  <si>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</si>
  <si>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</si>
  <si>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</si>
  <si>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</si>
  <si>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</si>
  <si>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</si>
  <si>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</si>
  <si>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</si>
  <si>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</si>
  <si>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</si>
  <si>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</si>
  <si>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</si>
  <si>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</si>
  <si>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</si>
  <si>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</si>
  <si>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</si>
  <si>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</si>
  <si>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</si>
  <si>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</si>
  <si>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</si>
  <si>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</si>
  <si>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</si>
  <si>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</si>
  <si>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</si>
  <si>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</si>
  <si>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</si>
  <si>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</si>
  <si>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</si>
  <si>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</si>
  <si>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</si>
  <si>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</si>
  <si>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</si>
  <si>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</si>
  <si>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</si>
  <si>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</si>
  <si>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</si>
  <si>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</si>
  <si>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</si>
  <si>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</si>
  <si>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</si>
  <si>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</si>
  <si>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</si>
  <si>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</si>
  <si>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</si>
  <si>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</si>
  <si>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</si>
  <si>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</si>
  <si>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</si>
  <si>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</si>
  <si>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</si>
  <si>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</si>
  <si>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</si>
  <si>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</si>
  <si>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</si>
  <si>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</si>
  <si>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</si>
  <si>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</si>
  <si>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</si>
  <si>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</si>
  <si>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</si>
  <si>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</si>
  <si>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</si>
  <si>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</si>
  <si>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</si>
  <si>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</si>
  <si>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</si>
  <si>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</si>
  <si>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</si>
  <si>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</si>
  <si>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</si>
  <si>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</si>
  <si>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</si>
  <si>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</si>
  <si>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</si>
  <si>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</si>
  <si>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</si>
  <si>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</si>
  <si>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</si>
  <si>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</si>
  <si>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</si>
  <si>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</si>
  <si>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</si>
  <si>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</si>
  <si>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</si>
  <si>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</si>
  <si>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</si>
  <si>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</si>
  <si>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</si>
  <si>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</si>
  <si>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</si>
  <si>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</si>
  <si>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</si>
  <si>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</si>
  <si>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</si>
  <si>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</si>
  <si>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</si>
  <si>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</si>
  <si>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</si>
  <si>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</si>
  <si>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</si>
  <si>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</si>
  <si>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</si>
  <si>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</si>
  <si>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</si>
  <si>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</si>
  <si>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</si>
  <si>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</si>
  <si>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</si>
  <si>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</si>
  <si>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</si>
  <si>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</si>
  <si>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</si>
  <si>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</si>
  <si>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</si>
  <si>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</si>
  <si>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</si>
  <si>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</si>
  <si>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</si>
  <si>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</si>
  <si>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</si>
  <si>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</si>
  <si>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</si>
  <si>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</si>
  <si>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</si>
  <si>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</si>
  <si>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</si>
  <si>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</si>
  <si>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</si>
  <si>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</si>
  <si>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</si>
  <si>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</si>
  <si>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</si>
  <si>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</si>
  <si>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</si>
  <si>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</si>
  <si>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</si>
  <si>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</si>
  <si>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</si>
  <si>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</si>
  <si>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</si>
  <si>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</si>
  <si>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</si>
  <si>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</si>
  <si>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</si>
  <si>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</si>
  <si>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</si>
  <si>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</si>
  <si>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</si>
  <si>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</si>
  <si>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</si>
  <si>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</si>
  <si>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</si>
  <si>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</si>
  <si>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</si>
  <si>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</si>
  <si>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</si>
  <si>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</si>
  <si>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</si>
  <si>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</si>
  <si>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</si>
  <si>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</si>
  <si>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</si>
  <si>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</si>
  <si>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</si>
  <si>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</si>
  <si>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</si>
  <si>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</si>
  <si>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</si>
  <si>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</si>
  <si>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</si>
  <si>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</si>
  <si>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</si>
  <si>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</si>
  <si>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</si>
  <si>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</si>
  <si>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</si>
  <si>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</si>
  <si>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</si>
  <si>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</si>
  <si>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</si>
  <si>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</si>
  <si>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</si>
  <si>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</si>
  <si>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</si>
  <si>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</si>
  <si>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</si>
  <si>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</si>
  <si>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</si>
  <si>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</si>
  <si>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</si>
  <si>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</si>
  <si>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</si>
  <si>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</si>
  <si>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</si>
  <si>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</si>
  <si>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</si>
  <si>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</si>
  <si>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</si>
  <si>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</si>
  <si>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</si>
  <si>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</si>
  <si>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</si>
  <si>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</si>
  <si>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</si>
  <si>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</si>
  <si>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</si>
  <si>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</si>
  <si>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</si>
  <si>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</si>
  <si>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</si>
  <si>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</si>
  <si>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</si>
  <si>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</si>
  <si>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</si>
  <si>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</si>
  <si>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</si>
  <si>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</si>
  <si>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</si>
  <si>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</si>
  <si>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</si>
  <si>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</si>
  <si>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</si>
  <si>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</si>
  <si>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</si>
  <si>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</si>
  <si>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</si>
  <si>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</si>
  <si>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</si>
  <si>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</si>
  <si>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</si>
  <si>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</si>
  <si>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</si>
  <si>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</si>
  <si>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</si>
  <si>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</si>
  <si>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</si>
  <si>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</si>
  <si>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</si>
  <si>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</si>
  <si>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</si>
  <si>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</si>
  <si>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</si>
  <si>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</si>
  <si>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</si>
  <si>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</si>
  <si>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</si>
  <si>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</si>
  <si>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</si>
  <si>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</si>
  <si>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</si>
  <si>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</si>
  <si>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</si>
  <si>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</si>
  <si>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</si>
  <si>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</si>
  <si>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</si>
  <si>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</si>
  <si>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</si>
  <si>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</si>
  <si>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</si>
  <si>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</si>
  <si>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</si>
  <si>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</si>
  <si>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</si>
  <si>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</si>
  <si>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</si>
  <si>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</si>
  <si>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</si>
  <si>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</si>
  <si>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</si>
  <si>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</si>
  <si>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</si>
  <si>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</si>
  <si>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</si>
  <si>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</si>
  <si>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</si>
  <si>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</si>
  <si>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</si>
  <si>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</si>
  <si>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</si>
  <si>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</si>
  <si>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</si>
  <si>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</si>
  <si>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</si>
  <si>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</si>
  <si>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</si>
  <si>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</si>
  <si>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</si>
  <si>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</si>
  <si>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</si>
  <si>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</si>
  <si>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</si>
  <si>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</si>
  <si>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</si>
  <si>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</si>
  <si>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</si>
  <si>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</si>
  <si>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</si>
  <si>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</si>
  <si>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</si>
  <si>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</si>
  <si>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</si>
  <si>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</si>
  <si>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</si>
  <si>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</si>
  <si>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</si>
  <si>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</si>
  <si>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</si>
  <si>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</si>
  <si>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</si>
  <si>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</si>
  <si>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</si>
  <si>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</si>
  <si>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</si>
  <si>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</si>
  <si>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</si>
  <si>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</si>
  <si>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</si>
  <si>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</si>
  <si>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</si>
  <si>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</si>
  <si>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</si>
  <si>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</si>
  <si>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</si>
  <si>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</si>
  <si>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</si>
  <si>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</si>
  <si>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</si>
  <si>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</si>
  <si>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</si>
  <si>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</si>
  <si>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</si>
  <si>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</si>
  <si>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</si>
  <si>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</si>
  <si>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</si>
  <si>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</si>
  <si>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</si>
  <si>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</si>
  <si>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</si>
  <si>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</si>
  <si>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</si>
  <si>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</si>
  <si>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</si>
  <si>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</si>
  <si>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</si>
  <si>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</si>
  <si>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</si>
  <si>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</si>
  <si>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</si>
  <si>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</si>
  <si>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</si>
  <si>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</si>
  <si>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</si>
  <si>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</si>
  <si>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</si>
  <si>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</si>
  <si>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</si>
  <si>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</si>
  <si>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</si>
  <si>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</si>
  <si>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</si>
  <si>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</si>
  <si>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</si>
  <si>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</si>
  <si>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</si>
  <si>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</si>
  <si>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</si>
  <si>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</si>
  <si>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</si>
  <si>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</si>
  <si>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</si>
  <si>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</si>
  <si>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</si>
  <si>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</si>
  <si>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</si>
  <si>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</si>
  <si>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</si>
  <si>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</si>
  <si>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</si>
  <si>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</si>
  <si>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</si>
  <si>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</si>
  <si>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</si>
  <si>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</si>
  <si>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</si>
  <si>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</si>
  <si>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</si>
  <si>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</si>
  <si>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</si>
  <si>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</si>
  <si>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</si>
  <si>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</si>
  <si>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</si>
  <si>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</si>
  <si>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</si>
  <si>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</si>
  <si>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</si>
  <si>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</si>
  <si>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</si>
  <si>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</si>
  <si>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</si>
  <si>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</si>
  <si>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</si>
  <si>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</si>
  <si>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</si>
  <si>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</si>
  <si>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</si>
  <si>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</si>
  <si>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</si>
  <si>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</si>
  <si>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</si>
  <si>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</si>
  <si>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</si>
  <si>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</si>
  <si>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</si>
  <si>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</si>
  <si>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</si>
  <si>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</si>
  <si>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</si>
  <si>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</si>
  <si>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</si>
  <si>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</si>
  <si>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</si>
  <si>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</si>
  <si>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</si>
  <si>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</si>
  <si>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</si>
  <si>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</si>
  <si>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</si>
  <si>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</si>
  <si>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</si>
  <si>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</si>
  <si>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</si>
  <si>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</si>
  <si>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</si>
  <si>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</si>
  <si>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</si>
  <si>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</si>
  <si>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</si>
  <si>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</si>
  <si>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</si>
  <si>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</si>
  <si>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</si>
  <si>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</si>
  <si>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</si>
  <si>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</si>
  <si>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</si>
  <si>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</si>
  <si>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</si>
  <si>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</si>
  <si>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</si>
  <si>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</si>
  <si>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</si>
  <si>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</si>
  <si>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</si>
  <si>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</si>
  <si>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implementa el Manual Gestión Inmobiliaria Código: GIM-MN01, con el fin de proporcionar al personal involucrado en el proces, una guía que regule su accionar en las actividades administrativas y de control inherentes a los bienes inmuebles de la TTSA.</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</si>
  <si>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</si>
  <si>
    <t>DIRECCIÓN DE GESTIÓN FINANCIERA 
DIRECCIÓN DE RECURSOS FÍSICOS Y NEGOCIOS</t>
  </si>
  <si>
    <t xml:space="preserve">DIRECCIÓN DE GESTIÓN FINANCIERA </t>
  </si>
  <si>
    <t>DIRECCIÓN DE RECURSOS FÍSICOS Y NEGOCIOS</t>
  </si>
  <si>
    <t>DIRECCIÓN DE GESTIÓN HUMANA</t>
  </si>
  <si>
    <t>DIRECCIÓN DE RECURSOS FÍSICOS Y NEGOCIOS SUBGERENCIAJ URÍDICA</t>
  </si>
  <si>
    <t>SUBGERENCIA JURÍDICA</t>
  </si>
  <si>
    <t>DIRECCIÓN DE GESTIÓN FINANCIERA SUBGERENCIAJURÍDICA</t>
  </si>
  <si>
    <t>DIRECCIÓN DE GESTIÓN FINANCIERA</t>
  </si>
  <si>
    <t>SUBGERENCIA CORPORATIVA 
DIRECCIÓN DE GESTIÓN FINANCIERA</t>
  </si>
  <si>
    <t>SUBGERENCIA CORPORATIVA</t>
  </si>
  <si>
    <t>DIRECCIÓN DE INFRAESTRUCTURA</t>
  </si>
  <si>
    <t>SUBGERENCIA DE SERVICIOS OPERACIONALES E INFRAESTRUCTURA</t>
  </si>
  <si>
    <t>SUBGERENCIA CORPORATIVA 
DIRECCIÓN DE RECURSOS TECNOLÓGICOS</t>
  </si>
  <si>
    <t>DIRECCIÓN DE SERVICIO AL TRANSPORTADOR</t>
  </si>
  <si>
    <t>DIRECCIÓN DE SEGURIDAD OPERACIONAL</t>
  </si>
  <si>
    <t>SUBGERENCIA JURÍDICA 
DIRECCIÓN DE GESTIÓN HUMANA</t>
  </si>
  <si>
    <t>SUBGERENCIA DE PLANEACIÓN Y PROYECTOS DIRECCIÓN DE RECURSOS FÍSICOS Y NEGOCIOS</t>
  </si>
  <si>
    <t>SUBGERENCIA CORPORATIVA 
DIRECCIÓN DE GESTIÓN FINANCIERA 
DIRECCIÓN DE RECURSOS TECNOLÓGICOS</t>
  </si>
  <si>
    <t>SUB GERENCIA DE SERVICIOS OPERACIONALES E INFRAESTRUCTURA</t>
  </si>
  <si>
    <t>SUBGERENCIA DE PLANEACIÓN Y PROYECTOS DIRECCIÓN DE GESTIÓN HUMANA</t>
  </si>
  <si>
    <t>DIRECCIÓN DE SERVICIO AL TRANSPORTADOR DIRECCIÓN DE RECURSOS TECNOLÓGICOS</t>
  </si>
  <si>
    <t>DIRECCIÓN DE RECURSOS TECNOLÓGICOS
DIRECCIÓN DE GESTIÓN FINANCIERA</t>
  </si>
  <si>
    <t>OFICINA DE AUDITORÍA INTERNA 
SUBGERENCIA JURÍDICA 
DIRECCIÓN DE GESTIÓN FINANCIERA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</si>
</sst>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3">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35">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2" borderId="1"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55">
      <pivotArea type="all" dataOnly="0" outline="0" fieldPosition="0"/>
    </format>
    <format dxfId="254">
      <pivotArea outline="0" collapsedLevelsAreSubtotals="1" fieldPosition="0"/>
    </format>
    <format dxfId="253">
      <pivotArea field="1" type="button" dataOnly="0" labelOnly="1" outline="0"/>
    </format>
    <format dxfId="252">
      <pivotArea dataOnly="0" labelOnly="1" grandRow="1" outline="0" fieldPosition="0"/>
    </format>
    <format dxfId="251">
      <pivotArea dataOnly="0" labelOnly="1" fieldPosition="0">
        <references count="1">
          <reference field="3" count="0"/>
        </references>
      </pivotArea>
    </format>
    <format dxfId="250">
      <pivotArea collapsedLevelsAreSubtotals="1" fieldPosition="0">
        <references count="1">
          <reference field="3" count="0"/>
        </references>
      </pivotArea>
    </format>
    <format dxfId="249">
      <pivotArea dataOnly="0" labelOnly="1" fieldPosition="0">
        <references count="1">
          <reference field="3" count="0"/>
        </references>
      </pivotArea>
    </format>
    <format dxfId="248">
      <pivotArea dataOnly="0" fieldPosition="0">
        <references count="1">
          <reference field="3" count="1">
            <x v="13"/>
          </reference>
        </references>
      </pivotArea>
    </format>
    <format dxfId="247">
      <pivotArea dataOnly="0" fieldPosition="0">
        <references count="1">
          <reference field="3" count="1">
            <x v="14"/>
          </reference>
        </references>
      </pivotArea>
    </format>
    <format dxfId="246">
      <pivotArea dataOnly="0" fieldPosition="0">
        <references count="1">
          <reference field="3" count="1">
            <x v="19"/>
          </reference>
        </references>
      </pivotArea>
    </format>
    <format dxfId="245">
      <pivotArea dataOnly="0" fieldPosition="0">
        <references count="1">
          <reference field="3" count="1">
            <x v="20"/>
          </reference>
        </references>
      </pivotArea>
    </format>
    <format dxfId="244">
      <pivotArea dataOnly="0" fieldPosition="0">
        <references count="1">
          <reference field="3" count="1">
            <x v="23"/>
          </reference>
        </references>
      </pivotArea>
    </format>
    <format dxfId="243">
      <pivotArea dataOnly="0" fieldPosition="0">
        <references count="1">
          <reference field="3" count="1">
            <x v="25"/>
          </reference>
        </references>
      </pivotArea>
    </format>
    <format dxfId="242">
      <pivotArea dataOnly="0" fieldPosition="0">
        <references count="1">
          <reference field="3" count="1">
            <x v="42"/>
          </reference>
        </references>
      </pivotArea>
    </format>
    <format dxfId="241">
      <pivotArea dataOnly="0" fieldPosition="0">
        <references count="1">
          <reference field="3" count="1">
            <x v="43"/>
          </reference>
        </references>
      </pivotArea>
    </format>
    <format dxfId="240">
      <pivotArea dataOnly="0" fieldPosition="0">
        <references count="1">
          <reference field="3" count="1">
            <x v="44"/>
          </reference>
        </references>
      </pivotArea>
    </format>
    <format dxfId="239">
      <pivotArea dataOnly="0" fieldPosition="0">
        <references count="1">
          <reference field="3" count="1">
            <x v="46"/>
          </reference>
        </references>
      </pivotArea>
    </format>
    <format dxfId="238">
      <pivotArea dataOnly="0" fieldPosition="0">
        <references count="1">
          <reference field="3" count="1">
            <x v="47"/>
          </reference>
        </references>
      </pivotArea>
    </format>
    <format dxfId="237">
      <pivotArea dataOnly="0" fieldPosition="0">
        <references count="1">
          <reference field="3" count="1">
            <x v="50"/>
          </reference>
        </references>
      </pivotArea>
    </format>
    <format dxfId="236">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
      <pivotArea outline="0" collapsedLevelsAreSubtotals="1" fieldPosition="0"/>
    </format>
    <format dxfId="4">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filterColumn colId="20">
      <filters>
        <filter val="DIRECCIÓN DE RECURSOS FÍSICOS"/>
        <filter val="DIRECCIÓN DE RECURSOS TECNOLÓGICOS_x000a_DIRECCIÓNDEGESTIÓNFINANCIERA"/>
        <filter val="DIRECCIÓN DE SERVICIO AL TRANSPORTADOR DIRECCIÓN DE RECURSOST ECNOLÓGICOS"/>
        <filter val="DIRECCIÓN DE SERVICIO ALTRANSPORTADOR"/>
        <filter val="DIRECCIÓNDEGESTIÓNFINANCIERA"/>
        <filter val="OFICINA DE AUDITORÍA INTERNA _x000a_SUBGERENCIA JURÍDICA _x000a_DIRECCIÓNFINANCIERA"/>
        <filter val="SUBGERENCIA DE SERVICIOS PERACIONALES E INFRAESTRUCTURA"/>
        <filter val="SUBGERENCIA PLANEACIÓN Y PROYECTOS"/>
        <filter val="SUBGERENCIAJ URÍDICA"/>
      </filters>
    </filterColumn>
  </autoFilter>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1">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733</v>
      </c>
      <c r="C3" s="46" t="s">
        <v>628</v>
      </c>
      <c r="D3" s="46" t="s">
        <v>625</v>
      </c>
      <c r="E3" s="46" t="s">
        <v>626</v>
      </c>
      <c r="F3" s="46" t="s">
        <v>627</v>
      </c>
      <c r="G3" s="46" t="s">
        <v>751</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659</v>
      </c>
      <c r="B10" s="205">
        <v>15</v>
      </c>
      <c r="C10" s="205">
        <v>1</v>
      </c>
      <c r="D10" s="205">
        <v>1</v>
      </c>
      <c r="E10" s="205">
        <v>13</v>
      </c>
    </row>
    <row r="11" spans="1:7">
      <c r="A11" s="187" t="s">
        <v>678</v>
      </c>
      <c r="B11" s="204">
        <v>1</v>
      </c>
      <c r="C11" s="204">
        <v>1</v>
      </c>
      <c r="D11" s="204">
        <v>0</v>
      </c>
      <c r="E11" s="204">
        <v>0</v>
      </c>
    </row>
    <row r="12" spans="1:7">
      <c r="A12" s="187" t="s">
        <v>680</v>
      </c>
      <c r="B12" s="204">
        <v>1</v>
      </c>
      <c r="C12" s="204">
        <v>0</v>
      </c>
      <c r="D12" s="204">
        <v>0</v>
      </c>
      <c r="E12" s="204">
        <v>1</v>
      </c>
    </row>
    <row r="13" spans="1:7">
      <c r="A13" s="39" t="s">
        <v>661</v>
      </c>
      <c r="B13" s="46">
        <v>10</v>
      </c>
      <c r="C13" s="46">
        <v>0</v>
      </c>
      <c r="D13" s="46">
        <v>0</v>
      </c>
      <c r="E13" s="46">
        <v>10</v>
      </c>
    </row>
    <row r="14" spans="1:7">
      <c r="A14" s="39" t="s">
        <v>665</v>
      </c>
      <c r="B14" s="46">
        <v>2</v>
      </c>
      <c r="C14" s="46">
        <v>1</v>
      </c>
      <c r="D14" s="46">
        <v>0</v>
      </c>
      <c r="E14" s="46">
        <v>1</v>
      </c>
    </row>
    <row r="15" spans="1:7">
      <c r="A15" s="39" t="s">
        <v>669</v>
      </c>
      <c r="B15" s="46">
        <v>2</v>
      </c>
      <c r="C15" s="46">
        <v>0</v>
      </c>
      <c r="D15" s="46">
        <v>0</v>
      </c>
      <c r="E15" s="46">
        <v>2</v>
      </c>
    </row>
    <row r="16" spans="1:7">
      <c r="A16" s="39" t="s">
        <v>660</v>
      </c>
      <c r="B16" s="46">
        <v>4</v>
      </c>
      <c r="C16" s="46">
        <v>1</v>
      </c>
      <c r="D16" s="46">
        <v>0</v>
      </c>
      <c r="E16" s="46">
        <v>3</v>
      </c>
    </row>
    <row r="17" spans="1:5">
      <c r="A17" s="187" t="s">
        <v>679</v>
      </c>
      <c r="B17" s="204">
        <v>1</v>
      </c>
      <c r="C17" s="204">
        <v>1</v>
      </c>
      <c r="D17" s="204">
        <v>0</v>
      </c>
      <c r="E17" s="204">
        <v>0</v>
      </c>
    </row>
    <row r="18" spans="1:5">
      <c r="A18" s="187" t="s">
        <v>666</v>
      </c>
      <c r="B18" s="204">
        <v>1</v>
      </c>
      <c r="C18" s="204">
        <v>0</v>
      </c>
      <c r="D18" s="204">
        <v>0</v>
      </c>
      <c r="E18" s="204">
        <v>1</v>
      </c>
    </row>
    <row r="19" spans="1:5">
      <c r="A19" s="39" t="s">
        <v>670</v>
      </c>
      <c r="B19" s="46">
        <v>1</v>
      </c>
      <c r="C19" s="46">
        <v>0</v>
      </c>
      <c r="D19" s="46">
        <v>0</v>
      </c>
      <c r="E19" s="46">
        <v>1</v>
      </c>
    </row>
    <row r="20" spans="1:5">
      <c r="A20" s="39" t="s">
        <v>668</v>
      </c>
      <c r="B20" s="46">
        <v>2</v>
      </c>
      <c r="C20" s="46">
        <v>0</v>
      </c>
      <c r="D20" s="46">
        <v>0</v>
      </c>
      <c r="E20" s="46">
        <v>2</v>
      </c>
    </row>
    <row r="21" spans="1:5">
      <c r="A21" s="187" t="s">
        <v>682</v>
      </c>
      <c r="B21" s="204">
        <v>1</v>
      </c>
      <c r="C21" s="204">
        <v>0</v>
      </c>
      <c r="D21" s="204">
        <v>0</v>
      </c>
      <c r="E21" s="204">
        <v>1</v>
      </c>
    </row>
    <row r="22" spans="1:5">
      <c r="A22" s="187" t="s">
        <v>674</v>
      </c>
      <c r="B22" s="204">
        <v>1</v>
      </c>
      <c r="C22" s="204">
        <v>0</v>
      </c>
      <c r="D22" s="204">
        <v>0</v>
      </c>
      <c r="E22" s="204">
        <v>1</v>
      </c>
    </row>
    <row r="23" spans="1:5">
      <c r="A23" s="39" t="s">
        <v>664</v>
      </c>
      <c r="B23" s="46">
        <v>3</v>
      </c>
      <c r="C23" s="46">
        <v>2</v>
      </c>
      <c r="D23" s="46">
        <v>0</v>
      </c>
      <c r="E23" s="46">
        <v>1</v>
      </c>
    </row>
    <row r="24" spans="1:5">
      <c r="A24" s="187" t="s">
        <v>681</v>
      </c>
      <c r="B24" s="204">
        <v>3</v>
      </c>
      <c r="C24" s="204">
        <v>0</v>
      </c>
      <c r="D24" s="204">
        <v>3</v>
      </c>
      <c r="E24" s="204">
        <v>0</v>
      </c>
    </row>
    <row r="25" spans="1:5">
      <c r="A25" s="187" t="s">
        <v>683</v>
      </c>
      <c r="B25" s="204">
        <v>2</v>
      </c>
      <c r="C25" s="204">
        <v>0</v>
      </c>
      <c r="D25" s="204">
        <v>2</v>
      </c>
      <c r="E25" s="204">
        <v>0</v>
      </c>
    </row>
    <row r="26" spans="1:5">
      <c r="A26" s="187" t="s">
        <v>673</v>
      </c>
      <c r="B26" s="204">
        <v>1</v>
      </c>
      <c r="C26" s="204">
        <v>0</v>
      </c>
      <c r="D26" s="204">
        <v>0</v>
      </c>
      <c r="E26" s="204">
        <v>1</v>
      </c>
    </row>
    <row r="27" spans="1:5">
      <c r="A27" s="39" t="s">
        <v>667</v>
      </c>
      <c r="B27" s="46">
        <v>13</v>
      </c>
      <c r="C27" s="46">
        <v>0</v>
      </c>
      <c r="D27" s="46">
        <v>0</v>
      </c>
      <c r="E27" s="46">
        <v>13</v>
      </c>
    </row>
    <row r="28" spans="1:5">
      <c r="A28" s="187" t="s">
        <v>677</v>
      </c>
      <c r="B28" s="204">
        <v>2</v>
      </c>
      <c r="C28" s="204">
        <v>0</v>
      </c>
      <c r="D28" s="204">
        <v>0</v>
      </c>
      <c r="E28" s="204">
        <v>2</v>
      </c>
    </row>
    <row r="29" spans="1:5">
      <c r="A29" s="187" t="s">
        <v>672</v>
      </c>
      <c r="B29" s="204">
        <v>1</v>
      </c>
      <c r="C29" s="204">
        <v>0</v>
      </c>
      <c r="D29" s="204">
        <v>0</v>
      </c>
      <c r="E29" s="204">
        <v>1</v>
      </c>
    </row>
    <row r="30" spans="1:5">
      <c r="A30" s="39" t="s">
        <v>663</v>
      </c>
      <c r="B30" s="46">
        <v>2</v>
      </c>
      <c r="C30" s="46">
        <v>1</v>
      </c>
      <c r="D30" s="46">
        <v>0</v>
      </c>
      <c r="E30" s="46">
        <v>1</v>
      </c>
    </row>
    <row r="31" spans="1:5">
      <c r="A31" s="39" t="s">
        <v>662</v>
      </c>
      <c r="B31" s="46">
        <v>10</v>
      </c>
      <c r="C31" s="46">
        <v>3</v>
      </c>
      <c r="D31" s="46">
        <v>0</v>
      </c>
      <c r="E31" s="46">
        <v>7</v>
      </c>
    </row>
    <row r="32" spans="1:5">
      <c r="A32" s="187" t="s">
        <v>671</v>
      </c>
      <c r="B32" s="204">
        <v>1</v>
      </c>
      <c r="C32" s="204">
        <v>0</v>
      </c>
      <c r="D32" s="204">
        <v>0</v>
      </c>
      <c r="E32" s="204">
        <v>1</v>
      </c>
    </row>
    <row r="33" spans="1:5">
      <c r="A33" s="39" t="s">
        <v>675</v>
      </c>
      <c r="B33" s="46">
        <v>1</v>
      </c>
      <c r="C33" s="46">
        <v>0</v>
      </c>
      <c r="D33" s="46">
        <v>0</v>
      </c>
      <c r="E33" s="46">
        <v>1</v>
      </c>
    </row>
    <row r="34" spans="1:5">
      <c r="A34" s="39" t="s">
        <v>676</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753</v>
      </c>
      <c r="K3" s="176" t="s">
        <v>754</v>
      </c>
    </row>
    <row r="5" spans="3:15" ht="27" customHeight="1">
      <c r="C5" s="184" t="s">
        <v>610</v>
      </c>
      <c r="D5" s="184" t="s">
        <v>750</v>
      </c>
      <c r="E5" s="184" t="s">
        <v>749</v>
      </c>
      <c r="F5" s="179" t="s">
        <v>735</v>
      </c>
      <c r="G5" s="179" t="s">
        <v>736</v>
      </c>
      <c r="H5" s="180" t="s">
        <v>737</v>
      </c>
      <c r="I5" s="180" t="s">
        <v>738</v>
      </c>
      <c r="K5" s="178" t="s">
        <v>734</v>
      </c>
      <c r="L5" s="179" t="s">
        <v>735</v>
      </c>
      <c r="M5" s="179" t="s">
        <v>736</v>
      </c>
      <c r="N5" s="180" t="s">
        <v>737</v>
      </c>
      <c r="O5" s="180" t="s">
        <v>738</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739</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740</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741</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29" t="s">
        <v>752</v>
      </c>
      <c r="D9" s="229"/>
      <c r="E9" s="229"/>
      <c r="F9" s="185">
        <f>SUM(F6:F8)</f>
        <v>84</v>
      </c>
      <c r="G9" s="185">
        <f>SUM(G6:G8)</f>
        <v>11</v>
      </c>
      <c r="H9" s="185">
        <f>SUM(H6:H8)</f>
        <v>6</v>
      </c>
      <c r="I9" s="185">
        <f>SUM(I6:I8)</f>
        <v>67</v>
      </c>
      <c r="K9" s="182" t="s">
        <v>742</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743</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744</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745</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746</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747</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748</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752</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756</v>
      </c>
    </row>
    <row r="20" spans="4:15" ht="24">
      <c r="K20" s="178" t="s">
        <v>734</v>
      </c>
      <c r="L20" s="179" t="s">
        <v>735</v>
      </c>
      <c r="M20" s="179" t="s">
        <v>736</v>
      </c>
      <c r="N20" s="180" t="s">
        <v>737</v>
      </c>
      <c r="O20" s="180" t="s">
        <v>738</v>
      </c>
    </row>
    <row r="21" spans="4:15" ht="22.8">
      <c r="K21" s="188" t="s">
        <v>757</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758</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759</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760</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761</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762</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763</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764</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765</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766</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767</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768</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752</v>
      </c>
      <c r="L33" s="185">
        <f>SUM(L21:L32)</f>
        <v>16</v>
      </c>
      <c r="M33" s="185">
        <f>SUM(M21:M32)</f>
        <v>2</v>
      </c>
      <c r="N33" s="185">
        <f>SUM(N21:N32)</f>
        <v>5</v>
      </c>
      <c r="O33" s="185">
        <f>SUM(O21:O32)</f>
        <v>9</v>
      </c>
    </row>
    <row r="36" spans="11:19">
      <c r="K36" s="177" t="s">
        <v>770</v>
      </c>
      <c r="L36" s="30"/>
      <c r="M36" s="30"/>
      <c r="N36" s="30"/>
      <c r="O36" s="30"/>
      <c r="P36" s="30"/>
      <c r="Q36" s="30"/>
      <c r="S36" s="177"/>
    </row>
    <row r="37" spans="11:19">
      <c r="K37" s="177"/>
      <c r="L37" s="30"/>
      <c r="M37" s="30"/>
      <c r="N37" s="30"/>
      <c r="O37" s="30"/>
      <c r="P37" s="30"/>
      <c r="Q37" s="30"/>
      <c r="S37" s="177"/>
    </row>
    <row r="38" spans="11:19" ht="24">
      <c r="K38" s="230" t="s">
        <v>735</v>
      </c>
      <c r="L38" s="179" t="s">
        <v>735</v>
      </c>
      <c r="M38" s="179" t="s">
        <v>736</v>
      </c>
      <c r="N38" s="180" t="s">
        <v>737</v>
      </c>
      <c r="O38" s="180" t="s">
        <v>738</v>
      </c>
      <c r="P38" s="189"/>
      <c r="Q38" s="189" t="s">
        <v>769</v>
      </c>
      <c r="S38" s="177"/>
    </row>
    <row r="39" spans="11:19" ht="12">
      <c r="K39" s="231"/>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678</v>
      </c>
      <c r="G5" s="165" t="s">
        <v>39</v>
      </c>
      <c r="H5" s="164" t="s">
        <v>42</v>
      </c>
      <c r="I5" s="20">
        <v>0</v>
      </c>
      <c r="J5" s="20">
        <v>0</v>
      </c>
      <c r="K5" s="20">
        <v>0</v>
      </c>
      <c r="L5">
        <v>0</v>
      </c>
    </row>
    <row r="6" spans="1:20" ht="172.8">
      <c r="A6" s="165"/>
      <c r="B6" s="20"/>
      <c r="C6" s="20" t="s">
        <v>80</v>
      </c>
      <c r="D6" s="166" t="s">
        <v>81</v>
      </c>
      <c r="E6" s="166" t="s">
        <v>83</v>
      </c>
      <c r="F6" s="166" t="s">
        <v>679</v>
      </c>
      <c r="G6" s="165" t="s">
        <v>86</v>
      </c>
      <c r="H6" s="164" t="s">
        <v>42</v>
      </c>
      <c r="I6" s="20">
        <v>0</v>
      </c>
      <c r="J6" s="20">
        <v>0</v>
      </c>
      <c r="K6" s="20">
        <v>0</v>
      </c>
      <c r="L6">
        <v>0</v>
      </c>
    </row>
    <row r="7" spans="1:20" ht="216">
      <c r="A7" s="165"/>
      <c r="B7" s="20"/>
      <c r="C7" s="20" t="s">
        <v>88</v>
      </c>
      <c r="D7" s="166" t="s">
        <v>89</v>
      </c>
      <c r="E7" s="166" t="s">
        <v>99</v>
      </c>
      <c r="F7" s="166" t="s">
        <v>662</v>
      </c>
      <c r="G7" s="165" t="s">
        <v>86</v>
      </c>
      <c r="H7" s="164" t="s">
        <v>42</v>
      </c>
      <c r="I7" s="20">
        <v>0</v>
      </c>
      <c r="J7" s="20">
        <v>0</v>
      </c>
      <c r="K7" s="20">
        <v>0</v>
      </c>
      <c r="L7">
        <v>0</v>
      </c>
    </row>
    <row r="8" spans="1:20" ht="72">
      <c r="A8" s="165"/>
      <c r="B8" s="20"/>
      <c r="C8" s="20"/>
      <c r="D8" s="166"/>
      <c r="E8" s="166" t="s">
        <v>91</v>
      </c>
      <c r="F8" s="166" t="s">
        <v>660</v>
      </c>
      <c r="G8" s="165" t="s">
        <v>86</v>
      </c>
      <c r="H8" s="164" t="s">
        <v>42</v>
      </c>
      <c r="I8" s="20">
        <v>0</v>
      </c>
      <c r="J8" s="20">
        <v>0</v>
      </c>
      <c r="K8" s="20">
        <v>0</v>
      </c>
      <c r="L8">
        <v>0</v>
      </c>
    </row>
    <row r="9" spans="1:20" ht="72">
      <c r="A9" s="165"/>
      <c r="B9" s="20"/>
      <c r="C9" s="20"/>
      <c r="D9" s="166"/>
      <c r="E9" s="166" t="s">
        <v>95</v>
      </c>
      <c r="F9" s="166" t="s">
        <v>659</v>
      </c>
      <c r="G9" s="165" t="s">
        <v>86</v>
      </c>
      <c r="H9" s="164" t="s">
        <v>42</v>
      </c>
      <c r="I9" s="20">
        <v>0</v>
      </c>
      <c r="J9" s="20">
        <v>0</v>
      </c>
      <c r="K9" s="20">
        <v>0</v>
      </c>
      <c r="L9">
        <v>0</v>
      </c>
    </row>
    <row r="10" spans="1:20" ht="201.6">
      <c r="A10" s="165"/>
      <c r="B10" s="20"/>
      <c r="C10" s="20" t="s">
        <v>115</v>
      </c>
      <c r="D10" s="166" t="s">
        <v>116</v>
      </c>
      <c r="E10" s="166" t="s">
        <v>123</v>
      </c>
      <c r="F10" s="166" t="s">
        <v>662</v>
      </c>
      <c r="G10" s="165" t="s">
        <v>86</v>
      </c>
      <c r="H10" s="164" t="s">
        <v>42</v>
      </c>
      <c r="I10" s="20">
        <v>0</v>
      </c>
      <c r="J10" s="20">
        <v>0</v>
      </c>
      <c r="K10" s="20">
        <v>0</v>
      </c>
      <c r="L10">
        <v>0</v>
      </c>
    </row>
    <row r="11" spans="1:20" ht="144">
      <c r="A11" s="165"/>
      <c r="B11" s="20"/>
      <c r="C11" s="20" t="s">
        <v>179</v>
      </c>
      <c r="D11" s="166" t="s">
        <v>180</v>
      </c>
      <c r="E11" s="166" t="s">
        <v>182</v>
      </c>
      <c r="F11" s="166" t="s">
        <v>664</v>
      </c>
      <c r="G11" s="165" t="s">
        <v>86</v>
      </c>
      <c r="H11" s="164" t="s">
        <v>42</v>
      </c>
      <c r="I11" s="20">
        <v>0</v>
      </c>
      <c r="J11" s="20">
        <v>0</v>
      </c>
      <c r="K11" s="20">
        <v>0</v>
      </c>
      <c r="L11">
        <v>0</v>
      </c>
      <c r="T11" s="186" t="s">
        <v>755</v>
      </c>
    </row>
    <row r="12" spans="1:20" ht="57.6">
      <c r="A12" s="165"/>
      <c r="B12" s="20"/>
      <c r="C12" s="20"/>
      <c r="D12" s="166"/>
      <c r="E12" s="166" t="s">
        <v>186</v>
      </c>
      <c r="F12" s="166" t="s">
        <v>664</v>
      </c>
      <c r="G12" s="165" t="s">
        <v>86</v>
      </c>
      <c r="H12" s="164" t="s">
        <v>42</v>
      </c>
      <c r="I12" s="20">
        <v>0</v>
      </c>
      <c r="J12" s="20">
        <v>0</v>
      </c>
      <c r="K12" s="20">
        <v>0</v>
      </c>
      <c r="L12">
        <v>0</v>
      </c>
    </row>
    <row r="13" spans="1:20" ht="115.2">
      <c r="A13" s="165"/>
      <c r="B13" s="20"/>
      <c r="C13" s="20" t="s">
        <v>190</v>
      </c>
      <c r="D13" s="166" t="s">
        <v>191</v>
      </c>
      <c r="E13" s="166" t="s">
        <v>193</v>
      </c>
      <c r="F13" s="166" t="s">
        <v>665</v>
      </c>
      <c r="G13" s="165" t="s">
        <v>86</v>
      </c>
      <c r="H13" s="164" t="s">
        <v>42</v>
      </c>
      <c r="I13" s="20">
        <v>0</v>
      </c>
      <c r="J13" s="20">
        <v>0</v>
      </c>
      <c r="K13" s="20">
        <v>0</v>
      </c>
      <c r="L13">
        <v>0</v>
      </c>
    </row>
    <row r="14" spans="1:20" ht="100.8">
      <c r="A14" s="165"/>
      <c r="B14" s="20"/>
      <c r="C14" s="20" t="s">
        <v>197</v>
      </c>
      <c r="D14" s="166" t="s">
        <v>198</v>
      </c>
      <c r="E14" s="166" t="s">
        <v>200</v>
      </c>
      <c r="F14" s="166" t="s">
        <v>662</v>
      </c>
      <c r="G14" s="165" t="s">
        <v>86</v>
      </c>
      <c r="H14" s="164" t="s">
        <v>42</v>
      </c>
      <c r="I14" s="20">
        <v>0</v>
      </c>
      <c r="J14" s="20">
        <v>0</v>
      </c>
      <c r="K14" s="20">
        <v>0</v>
      </c>
      <c r="L14">
        <v>0</v>
      </c>
    </row>
    <row r="15" spans="1:20" ht="172.8">
      <c r="A15" s="165"/>
      <c r="B15" s="20"/>
      <c r="C15" s="20" t="s">
        <v>229</v>
      </c>
      <c r="D15" s="166" t="s">
        <v>230</v>
      </c>
      <c r="E15" s="166" t="s">
        <v>232</v>
      </c>
      <c r="F15" s="166" t="s">
        <v>663</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771</v>
      </c>
      <c r="C2" s="198" t="s">
        <v>750</v>
      </c>
      <c r="D2" s="198" t="s">
        <v>7</v>
      </c>
      <c r="E2" s="198" t="s">
        <v>13</v>
      </c>
      <c r="F2" s="198" t="s">
        <v>15</v>
      </c>
      <c r="G2" s="198" t="s">
        <v>19</v>
      </c>
      <c r="H2" s="198" t="s">
        <v>21</v>
      </c>
      <c r="I2" s="193" t="s">
        <v>774</v>
      </c>
    </row>
    <row r="3" spans="2:9" ht="61.2">
      <c r="B3" s="196">
        <v>2024</v>
      </c>
      <c r="C3" s="194">
        <v>90</v>
      </c>
      <c r="D3" s="194" t="s">
        <v>257</v>
      </c>
      <c r="E3" s="195" t="s">
        <v>258</v>
      </c>
      <c r="F3" s="195" t="s">
        <v>260</v>
      </c>
      <c r="G3" s="195" t="s">
        <v>683</v>
      </c>
      <c r="H3" s="196" t="s">
        <v>263</v>
      </c>
      <c r="I3" s="72" t="s">
        <v>265</v>
      </c>
    </row>
    <row r="4" spans="2:9" ht="61.2">
      <c r="B4" s="196">
        <v>2024</v>
      </c>
      <c r="C4" s="194">
        <v>90</v>
      </c>
      <c r="D4" s="194" t="s">
        <v>279</v>
      </c>
      <c r="E4" s="195" t="s">
        <v>280</v>
      </c>
      <c r="F4" s="195" t="s">
        <v>288</v>
      </c>
      <c r="G4" s="195" t="s">
        <v>683</v>
      </c>
      <c r="H4" s="196" t="s">
        <v>263</v>
      </c>
      <c r="I4" s="72" t="s">
        <v>286</v>
      </c>
    </row>
    <row r="5" spans="2:9" ht="72">
      <c r="B5" s="196">
        <v>2025</v>
      </c>
      <c r="C5" s="194">
        <v>90</v>
      </c>
      <c r="D5" s="194" t="s">
        <v>152</v>
      </c>
      <c r="E5" s="195" t="s">
        <v>153</v>
      </c>
      <c r="F5" s="195" t="s">
        <v>155</v>
      </c>
      <c r="G5" s="195" t="s">
        <v>681</v>
      </c>
      <c r="H5" s="197">
        <v>46142</v>
      </c>
      <c r="I5" s="97" t="s">
        <v>159</v>
      </c>
    </row>
    <row r="6" spans="2:9" ht="51">
      <c r="B6" s="196">
        <v>2025</v>
      </c>
      <c r="C6" s="194">
        <v>90</v>
      </c>
      <c r="D6" s="194" t="s">
        <v>160</v>
      </c>
      <c r="E6" s="195" t="s">
        <v>161</v>
      </c>
      <c r="F6" s="195" t="s">
        <v>155</v>
      </c>
      <c r="G6" s="195" t="s">
        <v>681</v>
      </c>
      <c r="H6" s="196" t="s">
        <v>158</v>
      </c>
      <c r="I6" s="65" t="s">
        <v>163</v>
      </c>
    </row>
    <row r="7" spans="2:9" ht="61.2">
      <c r="B7" s="196">
        <v>2025</v>
      </c>
      <c r="C7" s="194">
        <v>90</v>
      </c>
      <c r="D7" s="194" t="s">
        <v>164</v>
      </c>
      <c r="E7" s="195" t="s">
        <v>165</v>
      </c>
      <c r="F7" s="195" t="s">
        <v>155</v>
      </c>
      <c r="G7" s="195" t="s">
        <v>681</v>
      </c>
      <c r="H7" s="196" t="s">
        <v>158</v>
      </c>
      <c r="I7" s="65" t="s">
        <v>167</v>
      </c>
    </row>
    <row r="8" spans="2:9" ht="112.2">
      <c r="B8" s="196">
        <v>2025</v>
      </c>
      <c r="C8" s="194">
        <v>90</v>
      </c>
      <c r="D8" s="194" t="s">
        <v>168</v>
      </c>
      <c r="E8" s="195" t="s">
        <v>169</v>
      </c>
      <c r="F8" s="195" t="s">
        <v>171</v>
      </c>
      <c r="G8" s="195" t="s">
        <v>663</v>
      </c>
      <c r="H8" s="196" t="s">
        <v>77</v>
      </c>
      <c r="I8" s="97" t="s">
        <v>175</v>
      </c>
    </row>
    <row r="9" spans="2:9" ht="72">
      <c r="B9" s="196">
        <v>2025</v>
      </c>
      <c r="C9" s="194">
        <v>90</v>
      </c>
      <c r="D9" s="194" t="s">
        <v>204</v>
      </c>
      <c r="E9" s="195" t="s">
        <v>205</v>
      </c>
      <c r="F9" s="195" t="s">
        <v>211</v>
      </c>
      <c r="G9" s="195" t="s">
        <v>662</v>
      </c>
      <c r="H9" s="196" t="s">
        <v>121</v>
      </c>
      <c r="I9" s="97" t="s">
        <v>214</v>
      </c>
    </row>
    <row r="10" spans="2:9" ht="102">
      <c r="B10" s="196">
        <v>2025</v>
      </c>
      <c r="C10" s="194">
        <v>90</v>
      </c>
      <c r="D10" s="194" t="s">
        <v>215</v>
      </c>
      <c r="E10" s="195" t="s">
        <v>216</v>
      </c>
      <c r="F10" s="195" t="s">
        <v>218</v>
      </c>
      <c r="G10" s="195" t="s">
        <v>659</v>
      </c>
      <c r="H10" s="196" t="s">
        <v>158</v>
      </c>
      <c r="I10" s="65" t="s">
        <v>221</v>
      </c>
    </row>
    <row r="11" spans="2:9" ht="102">
      <c r="B11" s="196">
        <v>2025</v>
      </c>
      <c r="C11" s="194">
        <v>90</v>
      </c>
      <c r="D11" s="194" t="s">
        <v>215</v>
      </c>
      <c r="E11" s="195" t="s">
        <v>216</v>
      </c>
      <c r="F11" s="195" t="s">
        <v>222</v>
      </c>
      <c r="G11" s="195" t="s">
        <v>659</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772</v>
      </c>
      <c r="C2" s="193" t="s">
        <v>773</v>
      </c>
      <c r="D2" s="193" t="s">
        <v>7</v>
      </c>
      <c r="E2" s="193" t="s">
        <v>13</v>
      </c>
      <c r="F2" s="193" t="s">
        <v>15</v>
      </c>
      <c r="G2" s="193" t="s">
        <v>19</v>
      </c>
      <c r="H2" s="193" t="s">
        <v>21</v>
      </c>
      <c r="I2" s="193" t="s">
        <v>774</v>
      </c>
    </row>
    <row r="3" spans="2:9" ht="61.2">
      <c r="B3" s="200">
        <v>2025</v>
      </c>
      <c r="C3" s="201">
        <v>90</v>
      </c>
      <c r="D3" s="194" t="s">
        <v>30</v>
      </c>
      <c r="E3" s="202" t="s">
        <v>33</v>
      </c>
      <c r="F3" s="195" t="s">
        <v>35</v>
      </c>
      <c r="G3" s="202" t="s">
        <v>678</v>
      </c>
      <c r="H3" s="196" t="s">
        <v>39</v>
      </c>
      <c r="I3" s="97" t="s">
        <v>43</v>
      </c>
    </row>
    <row r="4" spans="2:9" ht="122.4">
      <c r="B4" s="200">
        <v>2025</v>
      </c>
      <c r="C4" s="201">
        <v>90</v>
      </c>
      <c r="D4" s="194" t="s">
        <v>80</v>
      </c>
      <c r="E4" s="202" t="s">
        <v>81</v>
      </c>
      <c r="F4" s="195" t="s">
        <v>83</v>
      </c>
      <c r="G4" s="202" t="s">
        <v>679</v>
      </c>
      <c r="H4" s="196" t="s">
        <v>86</v>
      </c>
      <c r="I4" s="97" t="s">
        <v>87</v>
      </c>
    </row>
    <row r="5" spans="2:9" ht="163.19999999999999">
      <c r="B5" s="200">
        <v>2025</v>
      </c>
      <c r="C5" s="201">
        <v>90</v>
      </c>
      <c r="D5" s="194" t="s">
        <v>88</v>
      </c>
      <c r="E5" s="202" t="s">
        <v>89</v>
      </c>
      <c r="F5" s="195" t="s">
        <v>99</v>
      </c>
      <c r="G5" s="202" t="s">
        <v>662</v>
      </c>
      <c r="H5" s="196" t="s">
        <v>86</v>
      </c>
      <c r="I5" s="97" t="s">
        <v>94</v>
      </c>
    </row>
    <row r="6" spans="2:9" ht="163.19999999999999">
      <c r="B6" s="200">
        <v>2025</v>
      </c>
      <c r="C6" s="201">
        <v>90</v>
      </c>
      <c r="D6" s="194" t="s">
        <v>88</v>
      </c>
      <c r="E6" s="202" t="s">
        <v>89</v>
      </c>
      <c r="F6" s="195" t="s">
        <v>91</v>
      </c>
      <c r="G6" s="202" t="s">
        <v>660</v>
      </c>
      <c r="H6" s="196" t="s">
        <v>86</v>
      </c>
      <c r="I6" s="97" t="s">
        <v>98</v>
      </c>
    </row>
    <row r="7" spans="2:9" ht="163.19999999999999">
      <c r="B7" s="200">
        <v>2025</v>
      </c>
      <c r="C7" s="201">
        <v>90</v>
      </c>
      <c r="D7" s="194" t="s">
        <v>88</v>
      </c>
      <c r="E7" s="202" t="s">
        <v>89</v>
      </c>
      <c r="F7" s="195" t="s">
        <v>95</v>
      </c>
      <c r="G7" s="202" t="s">
        <v>659</v>
      </c>
      <c r="H7" s="196" t="s">
        <v>86</v>
      </c>
      <c r="I7" s="97" t="s">
        <v>102</v>
      </c>
    </row>
    <row r="8" spans="2:9" ht="153">
      <c r="B8" s="200">
        <v>2025</v>
      </c>
      <c r="C8" s="201">
        <v>90</v>
      </c>
      <c r="D8" s="194" t="s">
        <v>115</v>
      </c>
      <c r="E8" s="202" t="s">
        <v>116</v>
      </c>
      <c r="F8" s="195" t="s">
        <v>123</v>
      </c>
      <c r="G8" s="202" t="s">
        <v>662</v>
      </c>
      <c r="H8" s="196" t="s">
        <v>86</v>
      </c>
      <c r="I8" s="97" t="s">
        <v>126</v>
      </c>
    </row>
    <row r="9" spans="2:9" ht="102">
      <c r="B9" s="200">
        <v>2025</v>
      </c>
      <c r="C9" s="201">
        <v>90</v>
      </c>
      <c r="D9" s="194" t="s">
        <v>179</v>
      </c>
      <c r="E9" s="202" t="s">
        <v>180</v>
      </c>
      <c r="F9" s="195" t="s">
        <v>182</v>
      </c>
      <c r="G9" s="202" t="s">
        <v>664</v>
      </c>
      <c r="H9" s="196" t="s">
        <v>86</v>
      </c>
      <c r="I9" s="97" t="s">
        <v>185</v>
      </c>
    </row>
    <row r="10" spans="2:9" ht="102">
      <c r="B10" s="200">
        <v>2025</v>
      </c>
      <c r="C10" s="201">
        <v>90</v>
      </c>
      <c r="D10" s="194" t="s">
        <v>179</v>
      </c>
      <c r="E10" s="202" t="s">
        <v>180</v>
      </c>
      <c r="F10" s="195" t="s">
        <v>186</v>
      </c>
      <c r="G10" s="202" t="s">
        <v>664</v>
      </c>
      <c r="H10" s="196" t="s">
        <v>86</v>
      </c>
      <c r="I10" s="97" t="s">
        <v>189</v>
      </c>
    </row>
    <row r="11" spans="2:9" ht="91.8">
      <c r="B11" s="200">
        <v>2025</v>
      </c>
      <c r="C11" s="201">
        <v>90</v>
      </c>
      <c r="D11" s="194" t="s">
        <v>190</v>
      </c>
      <c r="E11" s="202" t="s">
        <v>191</v>
      </c>
      <c r="F11" s="195" t="s">
        <v>193</v>
      </c>
      <c r="G11" s="202" t="s">
        <v>665</v>
      </c>
      <c r="H11" s="196" t="s">
        <v>86</v>
      </c>
      <c r="I11" s="97" t="s">
        <v>196</v>
      </c>
    </row>
    <row r="12" spans="2:9" ht="81.599999999999994">
      <c r="B12" s="200">
        <v>2025</v>
      </c>
      <c r="C12" s="201">
        <v>90</v>
      </c>
      <c r="D12" s="194" t="s">
        <v>197</v>
      </c>
      <c r="E12" s="202" t="s">
        <v>198</v>
      </c>
      <c r="F12" s="195" t="s">
        <v>200</v>
      </c>
      <c r="G12" s="202" t="s">
        <v>662</v>
      </c>
      <c r="H12" s="196" t="s">
        <v>86</v>
      </c>
      <c r="I12" s="97" t="s">
        <v>203</v>
      </c>
    </row>
    <row r="13" spans="2:9" ht="132.6">
      <c r="B13" s="200">
        <v>2025</v>
      </c>
      <c r="C13" s="201">
        <v>90</v>
      </c>
      <c r="D13" s="194" t="s">
        <v>229</v>
      </c>
      <c r="E13" s="202" t="s">
        <v>230</v>
      </c>
      <c r="F13" s="195" t="s">
        <v>232</v>
      </c>
      <c r="G13" s="202" t="s">
        <v>663</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683</v>
      </c>
      <c r="H3" s="28" t="s">
        <v>263</v>
      </c>
    </row>
    <row r="4" spans="2:8" ht="68.400000000000006">
      <c r="B4" s="170">
        <v>2024</v>
      </c>
      <c r="C4" s="170">
        <v>90</v>
      </c>
      <c r="D4" s="28" t="s">
        <v>279</v>
      </c>
      <c r="E4" s="171" t="s">
        <v>280</v>
      </c>
      <c r="F4" s="171" t="s">
        <v>288</v>
      </c>
      <c r="G4" s="172" t="s">
        <v>683</v>
      </c>
      <c r="H4" s="28" t="s">
        <v>263</v>
      </c>
    </row>
    <row r="5" spans="2:8" ht="68.400000000000006">
      <c r="B5" s="170">
        <v>2025</v>
      </c>
      <c r="C5" s="170">
        <v>90</v>
      </c>
      <c r="D5" s="28" t="s">
        <v>152</v>
      </c>
      <c r="E5" s="171" t="s">
        <v>153</v>
      </c>
      <c r="F5" s="171" t="s">
        <v>155</v>
      </c>
      <c r="G5" s="172" t="s">
        <v>681</v>
      </c>
      <c r="H5" s="173">
        <v>46142</v>
      </c>
    </row>
    <row r="6" spans="2:8" ht="68.400000000000006">
      <c r="B6" s="170">
        <v>2025</v>
      </c>
      <c r="C6" s="170"/>
      <c r="D6" s="28" t="s">
        <v>160</v>
      </c>
      <c r="E6" s="171" t="s">
        <v>161</v>
      </c>
      <c r="F6" s="171" t="s">
        <v>155</v>
      </c>
      <c r="G6" s="172" t="s">
        <v>681</v>
      </c>
      <c r="H6" s="28" t="s">
        <v>158</v>
      </c>
    </row>
    <row r="7" spans="2:8" ht="68.400000000000006">
      <c r="B7" s="170">
        <v>2025</v>
      </c>
      <c r="C7" s="170"/>
      <c r="D7" s="28" t="s">
        <v>164</v>
      </c>
      <c r="E7" s="171" t="s">
        <v>165</v>
      </c>
      <c r="F7" s="171" t="s">
        <v>155</v>
      </c>
      <c r="G7" s="172" t="s">
        <v>681</v>
      </c>
      <c r="H7" s="28" t="s">
        <v>158</v>
      </c>
    </row>
    <row r="8" spans="2:8" ht="125.4">
      <c r="B8" s="170">
        <v>2025</v>
      </c>
      <c r="C8" s="170"/>
      <c r="D8" s="28" t="s">
        <v>168</v>
      </c>
      <c r="E8" s="171" t="s">
        <v>169</v>
      </c>
      <c r="F8" s="171" t="s">
        <v>171</v>
      </c>
      <c r="G8" s="172" t="s">
        <v>663</v>
      </c>
      <c r="H8" s="28" t="s">
        <v>77</v>
      </c>
    </row>
    <row r="9" spans="2:8" ht="91.2">
      <c r="B9" s="170">
        <v>2025</v>
      </c>
      <c r="C9" s="170"/>
      <c r="D9" s="28" t="s">
        <v>204</v>
      </c>
      <c r="E9" s="171" t="s">
        <v>205</v>
      </c>
      <c r="F9" s="171" t="s">
        <v>211</v>
      </c>
      <c r="G9" s="172" t="s">
        <v>662</v>
      </c>
      <c r="H9" s="28" t="s">
        <v>121</v>
      </c>
    </row>
    <row r="10" spans="2:8" ht="97.2" customHeight="1">
      <c r="B10" s="170">
        <v>2025</v>
      </c>
      <c r="C10" s="170"/>
      <c r="D10" s="28" t="s">
        <v>215</v>
      </c>
      <c r="E10" s="232" t="s">
        <v>216</v>
      </c>
      <c r="F10" s="171" t="s">
        <v>218</v>
      </c>
      <c r="G10" s="172" t="s">
        <v>659</v>
      </c>
      <c r="H10" s="28" t="s">
        <v>158</v>
      </c>
    </row>
    <row r="11" spans="2:8" ht="22.8">
      <c r="B11" s="170">
        <v>2025</v>
      </c>
      <c r="C11" s="170"/>
      <c r="D11" s="28" t="s">
        <v>215</v>
      </c>
      <c r="E11" s="232"/>
      <c r="F11" s="171" t="s">
        <v>222</v>
      </c>
      <c r="G11" s="172" t="s">
        <v>659</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727</v>
      </c>
      <c r="Q3" s="174" t="s">
        <v>728</v>
      </c>
      <c r="R3" s="174" t="s">
        <v>732</v>
      </c>
      <c r="S3" s="174" t="s">
        <v>729</v>
      </c>
      <c r="T3" s="174" t="s">
        <v>730</v>
      </c>
      <c r="U3" s="174" t="s">
        <v>731</v>
      </c>
    </row>
    <row r="4" spans="1:21">
      <c r="C4" s="4">
        <v>2025</v>
      </c>
      <c r="D4" s="4">
        <v>90</v>
      </c>
      <c r="E4" s="4" t="s">
        <v>30</v>
      </c>
      <c r="F4" s="5" t="s">
        <v>678</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0</v>
      </c>
      <c r="I4" s="29">
        <f>COUNTIFS('Base de Datos'!$F:$F,$C4,'Base de Datos'!$G:$G,$D4,'Base de Datos'!$H:$H,$E4,'Base de Datos'!$U:$U,$F4,'Base de Datos'!$AA:$AA,"Abierta")</f>
        <v>0</v>
      </c>
      <c r="J4" s="29">
        <f>COUNTIFS('Base de Datos'!$F:$F,$C4,'Base de Datos'!$G:$G,$D4,'Base de Datos'!$H:$H,$E4,'Base de Datos'!$U:$U,$F4,'Base de Datos'!$AA:$AA,"Vencida")</f>
        <v>0</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659</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0</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0</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660</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0</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0</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661</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0</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0</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679</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0</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0</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660</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0</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0</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659</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0</v>
      </c>
      <c r="I10" s="29">
        <f>COUNTIFS('Base de Datos'!$F:$F,$C10,'Base de Datos'!$G:$G,$D10,'Base de Datos'!$H:$H,$E10,'Base de Datos'!$U:$U,$F10,'Base de Datos'!$AA:$AA,"Abierta")</f>
        <v>0</v>
      </c>
      <c r="J10" s="29">
        <f>COUNTIFS('Base de Datos'!$F:$F,$C10,'Base de Datos'!$G:$G,$D10,'Base de Datos'!$H:$H,$E10,'Base de Datos'!$U:$U,$F10,'Base de Datos'!$AA:$AA,"Vencida")</f>
        <v>0</v>
      </c>
      <c r="K10" s="29">
        <f>COUNTIFS('Base de Datos'!$F:$F,$C10,'Base de Datos'!$G:$G,$D10,'Base de Datos'!$H:$H,$E10,'Base de Datos'!$U:$U,$F10,'Base de Datos'!$AA:$AA,"Finalizada")</f>
        <v>0</v>
      </c>
      <c r="L10" s="29">
        <f>COUNTIFS('Base de Datos'!$F:$F,$C10,'Base de Datos'!$G:$G,$D10,'Base de Datos'!$H:$H,$E10,'Base de Datos'!$U:$U,$F10,'Base de Datos'!$AA:$AA,"Abierta",'Base de Datos'!$AC:$AC,"&lt;=10",'Base de Datos'!$AC:$AC,"&gt;0")</f>
        <v>0</v>
      </c>
      <c r="M10" s="29">
        <f>COUNTIFS('Base de Datos'!$F:$F,$C10,'Base de Datos'!$G:$G,$D10,'Base de Datos'!$H:$H,$E10,'Base de Datos'!$U:$U,$F10,'Base de Datos'!$AA:$AA,"Abierta",'Base de Datos'!$AC:$AC,"&lt;=20",'Base de Datos'!$AC:$AC,"&gt;10")</f>
        <v>0</v>
      </c>
      <c r="N10" s="32">
        <f>COUNTIFS('Base de Datos'!$F:$F,$C10,'Base de Datos'!$G:$G,$D10,'Base de Datos'!$H:$H,$E10,'Base de Datos'!$U:$U,$F10,'Base de Datos'!$AA:$AA,"Abierta",'Base de Datos'!$AC:$AC,"&lt;=30",'Base de Datos'!$AC:$AC,"&gt;20")</f>
        <v>0</v>
      </c>
      <c r="O10" s="29">
        <f>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662</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0</v>
      </c>
      <c r="I11" s="29">
        <f>COUNTIFS('Base de Datos'!$F:$F,$C11,'Base de Datos'!$G:$G,$D11,'Base de Datos'!$H:$H,$E11,'Base de Datos'!$U:$U,$F11,'Base de Datos'!$AA:$AA,"Abierta")</f>
        <v>0</v>
      </c>
      <c r="J11" s="29">
        <f>COUNTIFS('Base de Datos'!$F:$F,$C11,'Base de Datos'!$G:$G,$D11,'Base de Datos'!$H:$H,$E11,'Base de Datos'!$U:$U,$F11,'Base de Datos'!$AA:$AA,"Vencida")</f>
        <v>0</v>
      </c>
      <c r="K11" s="29">
        <f>COUNTIFS('Base de Datos'!$F:$F,$C11,'Base de Datos'!$G:$G,$D11,'Base de Datos'!$H:$H,$E11,'Base de Datos'!$U:$U,$F11,'Base de Datos'!$AA:$AA,"Finalizada")</f>
        <v>0</v>
      </c>
      <c r="L11" s="29">
        <f>COUNTIFS('Base de Datos'!$F:$F,$C11,'Base de Datos'!$G:$G,$D11,'Base de Datos'!$H:$H,$E11,'Base de Datos'!$U:$U,$F11,'Base de Datos'!$AA:$AA,"Abierta",'Base de Datos'!$AC:$AC,"&lt;=10",'Base de Datos'!$AC:$AC,"&gt;0")</f>
        <v>0</v>
      </c>
      <c r="M11" s="29">
        <f>COUNTIFS('Base de Datos'!$F:$F,$C11,'Base de Datos'!$G:$G,$D11,'Base de Datos'!$H:$H,$E11,'Base de Datos'!$U:$U,$F11,'Base de Datos'!$AA:$AA,"Abierta",'Base de Datos'!$AC:$AC,"&lt;=20",'Base de Datos'!$AC:$AC,"&gt;10")</f>
        <v>0</v>
      </c>
      <c r="N11" s="32">
        <f>COUNTIFS('Base de Datos'!$F:$F,$C11,'Base de Datos'!$G:$G,$D11,'Base de Datos'!$H:$H,$E11,'Base de Datos'!$U:$U,$F11,'Base de Datos'!$AA:$AA,"Abierta",'Base de Datos'!$AC:$AC,"&lt;=30",'Base de Datos'!$AC:$AC,"&gt;20")</f>
        <v>0</v>
      </c>
      <c r="O11" s="29">
        <f>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660</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0</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0</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659</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0</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0</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659</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0</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0</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662</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0</v>
      </c>
      <c r="I15" s="29">
        <f>COUNTIFS('Base de Datos'!$F:$F,$C15,'Base de Datos'!$G:$G,$D15,'Base de Datos'!$H:$H,$E15,'Base de Datos'!$U:$U,$F15,'Base de Datos'!$AA:$AA,"Abierta")</f>
        <v>0</v>
      </c>
      <c r="J15" s="29">
        <f>COUNTIFS('Base de Datos'!$F:$F,$C15,'Base de Datos'!$G:$G,$D15,'Base de Datos'!$H:$H,$E15,'Base de Datos'!$U:$U,$F15,'Base de Datos'!$AA:$AA,"Vencida")</f>
        <v>0</v>
      </c>
      <c r="K15" s="29">
        <f>COUNTIFS('Base de Datos'!$F:$F,$C15,'Base de Datos'!$G:$G,$D15,'Base de Datos'!$H:$H,$E15,'Base de Datos'!$U:$U,$F15,'Base de Datos'!$AA:$AA,"Finalizada")</f>
        <v>0</v>
      </c>
      <c r="L15" s="29">
        <f>COUNTIFS('Base de Datos'!$F:$F,$C15,'Base de Datos'!$G:$G,$D15,'Base de Datos'!$H:$H,$E15,'Base de Datos'!$U:$U,$F15,'Base de Datos'!$AA:$AA,"Abierta",'Base de Datos'!$AC:$AC,"&lt;=10",'Base de Datos'!$AC:$AC,"&gt;0")</f>
        <v>0</v>
      </c>
      <c r="M15" s="29">
        <f>COUNTIFS('Base de Datos'!$F:$F,$C15,'Base de Datos'!$G:$G,$D15,'Base de Datos'!$H:$H,$E15,'Base de Datos'!$U:$U,$F15,'Base de Datos'!$AA:$AA,"Abierta",'Base de Datos'!$AC:$AC,"&lt;=20",'Base de Datos'!$AC:$AC,"&gt;10")</f>
        <v>0</v>
      </c>
      <c r="N15" s="32">
        <f>COUNTIFS('Base de Datos'!$F:$F,$C15,'Base de Datos'!$G:$G,$D15,'Base de Datos'!$H:$H,$E15,'Base de Datos'!$U:$U,$F15,'Base de Datos'!$AA:$AA,"Abierta",'Base de Datos'!$AC:$AC,"&lt;=30",'Base de Datos'!$AC:$AC,"&gt;20")</f>
        <v>0</v>
      </c>
      <c r="O15" s="29">
        <f>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680</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0</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0</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659</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0</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0</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659</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0</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0</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659</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0</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0</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681</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0</v>
      </c>
      <c r="I20" s="29">
        <f>COUNTIFS('Base de Datos'!$F:$F,$C20,'Base de Datos'!$G:$G,$D20,'Base de Datos'!$H:$H,$E20,'Base de Datos'!$U:$U,$F20,'Base de Datos'!$AA:$AA,"Abierta")</f>
        <v>0</v>
      </c>
      <c r="J20" s="29">
        <f>COUNTIFS('Base de Datos'!$F:$F,$C20,'Base de Datos'!$G:$G,$D20,'Base de Datos'!$H:$H,$E20,'Base de Datos'!$U:$U,$F20,'Base de Datos'!$AA:$AA,"Vencida")</f>
        <v>0</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681</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0</v>
      </c>
      <c r="I21" s="29">
        <f>COUNTIFS('Base de Datos'!$F:$F,$C21,'Base de Datos'!$G:$G,$D21,'Base de Datos'!$H:$H,$E21,'Base de Datos'!$U:$U,$F21,'Base de Datos'!$AA:$AA,"Abierta")</f>
        <v>0</v>
      </c>
      <c r="J21" s="29">
        <f>COUNTIFS('Base de Datos'!$F:$F,$C21,'Base de Datos'!$G:$G,$D21,'Base de Datos'!$H:$H,$E21,'Base de Datos'!$U:$U,$F21,'Base de Datos'!$AA:$AA,"Vencida")</f>
        <v>0</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681</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0</v>
      </c>
      <c r="I22" s="29">
        <f>COUNTIFS('Base de Datos'!$F:$F,$C22,'Base de Datos'!$G:$G,$D22,'Base de Datos'!$H:$H,$E22,'Base de Datos'!$U:$U,$F22,'Base de Datos'!$AA:$AA,"Abierta")</f>
        <v>0</v>
      </c>
      <c r="J22" s="29">
        <f>COUNTIFS('Base de Datos'!$F:$F,$C22,'Base de Datos'!$G:$G,$D22,'Base de Datos'!$H:$H,$E22,'Base de Datos'!$U:$U,$F22,'Base de Datos'!$AA:$AA,"Vencida")</f>
        <v>0</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663</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0</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0</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682</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0</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0</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664</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0</v>
      </c>
      <c r="I25" s="29">
        <f>COUNTIFS('Base de Datos'!$F:$F,$C25,'Base de Datos'!$G:$G,$D25,'Base de Datos'!$H:$H,$E25,'Base de Datos'!$U:$U,$F25,'Base de Datos'!$AA:$AA,"Abierta")</f>
        <v>0</v>
      </c>
      <c r="J25" s="29">
        <f>COUNTIFS('Base de Datos'!$F:$F,$C25,'Base de Datos'!$G:$G,$D25,'Base de Datos'!$H:$H,$E25,'Base de Datos'!$U:$U,$F25,'Base de Datos'!$AA:$AA,"Vencida")</f>
        <v>0</v>
      </c>
      <c r="K25" s="29">
        <f>COUNTIFS('Base de Datos'!$F:$F,$C25,'Base de Datos'!$G:$G,$D25,'Base de Datos'!$H:$H,$E25,'Base de Datos'!$U:$U,$F25,'Base de Datos'!$AA:$AA,"Finalizada")</f>
        <v>0</v>
      </c>
      <c r="L25" s="29">
        <f>COUNTIFS('Base de Datos'!$F:$F,$C25,'Base de Datos'!$G:$G,$D25,'Base de Datos'!$H:$H,$E25,'Base de Datos'!$U:$U,$F25,'Base de Datos'!$AA:$AA,"Abierta",'Base de Datos'!$AC:$AC,"&lt;=10",'Base de Datos'!$AC:$AC,"&gt;0")</f>
        <v>0</v>
      </c>
      <c r="M25" s="29">
        <f>COUNTIFS('Base de Datos'!$F:$F,$C25,'Base de Datos'!$G:$G,$D25,'Base de Datos'!$H:$H,$E25,'Base de Datos'!$U:$U,$F25,'Base de Datos'!$AA:$AA,"Abierta",'Base de Datos'!$AC:$AC,"&lt;=20",'Base de Datos'!$AC:$AC,"&gt;10")</f>
        <v>0</v>
      </c>
      <c r="N25" s="32">
        <f>COUNTIFS('Base de Datos'!$F:$F,$C25,'Base de Datos'!$G:$G,$D25,'Base de Datos'!$H:$H,$E25,'Base de Datos'!$U:$U,$F25,'Base de Datos'!$AA:$AA,"Abierta",'Base de Datos'!$AC:$AC,"&lt;=30",'Base de Datos'!$AC:$AC,"&gt;20")</f>
        <v>0</v>
      </c>
      <c r="O25" s="29">
        <f>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665</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0</v>
      </c>
      <c r="I26" s="29">
        <f>COUNTIFS('Base de Datos'!$F:$F,$C26,'Base de Datos'!$G:$G,$D26,'Base de Datos'!$H:$H,$E26,'Base de Datos'!$U:$U,$F26,'Base de Datos'!$AA:$AA,"Abierta")</f>
        <v>0</v>
      </c>
      <c r="J26" s="29">
        <f>COUNTIFS('Base de Datos'!$F:$F,$C26,'Base de Datos'!$G:$G,$D26,'Base de Datos'!$H:$H,$E26,'Base de Datos'!$U:$U,$F26,'Base de Datos'!$AA:$AA,"Vencida")</f>
        <v>0</v>
      </c>
      <c r="K26" s="29">
        <f>COUNTIFS('Base de Datos'!$F:$F,$C26,'Base de Datos'!$G:$G,$D26,'Base de Datos'!$H:$H,$E26,'Base de Datos'!$U:$U,$F26,'Base de Datos'!$AA:$AA,"Finalizada")</f>
        <v>0</v>
      </c>
      <c r="L26" s="29">
        <f>COUNTIFS('Base de Datos'!$F:$F,$C26,'Base de Datos'!$G:$G,$D26,'Base de Datos'!$H:$H,$E26,'Base de Datos'!$U:$U,$F26,'Base de Datos'!$AA:$AA,"Abierta",'Base de Datos'!$AC:$AC,"&lt;=10",'Base de Datos'!$AC:$AC,"&gt;0")</f>
        <v>0</v>
      </c>
      <c r="M26" s="29">
        <f>COUNTIFS('Base de Datos'!$F:$F,$C26,'Base de Datos'!$G:$G,$D26,'Base de Datos'!$H:$H,$E26,'Base de Datos'!$U:$U,$F26,'Base de Datos'!$AA:$AA,"Abierta",'Base de Datos'!$AC:$AC,"&lt;=20",'Base de Datos'!$AC:$AC,"&gt;10")</f>
        <v>0</v>
      </c>
      <c r="N26" s="32">
        <f>COUNTIFS('Base de Datos'!$F:$F,$C26,'Base de Datos'!$G:$G,$D26,'Base de Datos'!$H:$H,$E26,'Base de Datos'!$U:$U,$F26,'Base de Datos'!$AA:$AA,"Abierta",'Base de Datos'!$AC:$AC,"&lt;=30",'Base de Datos'!$AC:$AC,"&gt;20")</f>
        <v>0</v>
      </c>
      <c r="O26" s="29">
        <f>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662</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0</v>
      </c>
      <c r="I27" s="29">
        <f>COUNTIFS('Base de Datos'!$F:$F,$C27,'Base de Datos'!$G:$G,$D27,'Base de Datos'!$H:$H,$E27,'Base de Datos'!$U:$U,$F27,'Base de Datos'!$AA:$AA,"Abierta")</f>
        <v>0</v>
      </c>
      <c r="J27" s="29">
        <f>COUNTIFS('Base de Datos'!$F:$F,$C27,'Base de Datos'!$G:$G,$D27,'Base de Datos'!$H:$H,$E27,'Base de Datos'!$U:$U,$F27,'Base de Datos'!$AA:$AA,"Vencida")</f>
        <v>0</v>
      </c>
      <c r="K27" s="29">
        <f>COUNTIFS('Base de Datos'!$F:$F,$C27,'Base de Datos'!$G:$G,$D27,'Base de Datos'!$H:$H,$E27,'Base de Datos'!$U:$U,$F27,'Base de Datos'!$AA:$AA,"Finalizada")</f>
        <v>0</v>
      </c>
      <c r="L27" s="29">
        <f>COUNTIFS('Base de Datos'!$F:$F,$C27,'Base de Datos'!$G:$G,$D27,'Base de Datos'!$H:$H,$E27,'Base de Datos'!$U:$U,$F27,'Base de Datos'!$AA:$AA,"Abierta",'Base de Datos'!$AC:$AC,"&lt;=10",'Base de Datos'!$AC:$AC,"&gt;0")</f>
        <v>0</v>
      </c>
      <c r="M27" s="29">
        <f>COUNTIFS('Base de Datos'!$F:$F,$C27,'Base de Datos'!$G:$G,$D27,'Base de Datos'!$H:$H,$E27,'Base de Datos'!$U:$U,$F27,'Base de Datos'!$AA:$AA,"Abierta",'Base de Datos'!$AC:$AC,"&lt;=20",'Base de Datos'!$AC:$AC,"&gt;10")</f>
        <v>0</v>
      </c>
      <c r="N27" s="32">
        <f>COUNTIFS('Base de Datos'!$F:$F,$C27,'Base de Datos'!$G:$G,$D27,'Base de Datos'!$H:$H,$E27,'Base de Datos'!$U:$U,$F27,'Base de Datos'!$AA:$AA,"Abierta",'Base de Datos'!$AC:$AC,"&lt;=30",'Base de Datos'!$AC:$AC,"&gt;20")</f>
        <v>0</v>
      </c>
      <c r="O27" s="29">
        <f>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665</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0</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0</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662</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0</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0</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659</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0</v>
      </c>
      <c r="I30" s="29">
        <f>COUNTIFS('Base de Datos'!$F:$F,$C30,'Base de Datos'!$G:$G,$D30,'Base de Datos'!$H:$H,$E30,'Base de Datos'!$U:$U,$F30,'Base de Datos'!$AA:$AA,"Abierta")</f>
        <v>0</v>
      </c>
      <c r="J30" s="29">
        <f>COUNTIFS('Base de Datos'!$F:$F,$C30,'Base de Datos'!$G:$G,$D30,'Base de Datos'!$H:$H,$E30,'Base de Datos'!$U:$U,$F30,'Base de Datos'!$AA:$AA,"Vencida")</f>
        <v>0</v>
      </c>
      <c r="K30" s="29">
        <f>COUNTIFS('Base de Datos'!$F:$F,$C30,'Base de Datos'!$G:$G,$D30,'Base de Datos'!$H:$H,$E30,'Base de Datos'!$U:$U,$F30,'Base de Datos'!$AA:$AA,"Finalizada")</f>
        <v>0</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661</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0</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0</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663</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0</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0</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659</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0</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0</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666</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0</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0</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664</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0</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0</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683</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0</v>
      </c>
      <c r="I36" s="29">
        <f>COUNTIFS('Base de Datos'!$F:$F,$C36,'Base de Datos'!$G:$G,$D36,'Base de Datos'!$H:$H,$E36,'Base de Datos'!$U:$U,$F36,'Base de Datos'!$AA:$AA,"Abierta")</f>
        <v>0</v>
      </c>
      <c r="J36" s="29">
        <f>COUNTIFS('Base de Datos'!$F:$F,$C36,'Base de Datos'!$G:$G,$D36,'Base de Datos'!$H:$H,$E36,'Base de Datos'!$U:$U,$F36,'Base de Datos'!$AA:$AA,"Vencida")</f>
        <v>0</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667</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0</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0</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661</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0</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0</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659</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0</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0</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683</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0</v>
      </c>
      <c r="I40" s="29">
        <f>COUNTIFS('Base de Datos'!$F:$F,$C40,'Base de Datos'!$G:$G,$D40,'Base de Datos'!$H:$H,$E40,'Base de Datos'!$U:$U,$F40,'Base de Datos'!$AA:$AA,"Abierta")</f>
        <v>0</v>
      </c>
      <c r="J40" s="29">
        <f>COUNTIFS('Base de Datos'!$F:$F,$C40,'Base de Datos'!$G:$G,$D40,'Base de Datos'!$H:$H,$E40,'Base de Datos'!$U:$U,$F40,'Base de Datos'!$AA:$AA,"Vencida")</f>
        <v>0</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668</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0</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0</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667</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0</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0</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669</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0</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0</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670</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0</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0</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667</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0</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0</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667</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0</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0</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667</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0</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0</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671</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0</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0</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667</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0</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0</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667</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0</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0</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672</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0</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0</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667</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0</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0</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673</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0</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0</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674</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0</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0</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659</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0</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0</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659</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0</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0</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659</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0</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0</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659</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0</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0</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675</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0</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0</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676</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0</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0</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676</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0</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0</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676</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0</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0</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661</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0</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0</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661</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0</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0</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677</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0</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0</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661</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0</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0</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661</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0</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0</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662</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0</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0</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662</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0</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0</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662</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0</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0</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I69" zoomScale="80" zoomScaleNormal="80" workbookViewId="0">
      <selection activeCell="V80" sqref="V80"/>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hidden="1" customWidth="1"/>
    <col min="25" max="25" width="20.33203125" style="58" hidden="1"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227" t="s">
        <v>13</v>
      </c>
      <c r="P1" s="210" t="s">
        <v>14</v>
      </c>
      <c r="Q1" s="56" t="s">
        <v>15</v>
      </c>
      <c r="R1" s="55" t="s">
        <v>16</v>
      </c>
      <c r="S1" s="55" t="s">
        <v>17</v>
      </c>
      <c r="T1" s="55" t="s">
        <v>18</v>
      </c>
      <c r="U1" s="56" t="s">
        <v>19</v>
      </c>
      <c r="V1" s="56" t="s">
        <v>20</v>
      </c>
      <c r="W1" s="56" t="s">
        <v>21</v>
      </c>
      <c r="X1" s="210" t="s">
        <v>795</v>
      </c>
      <c r="Y1" s="211" t="s">
        <v>22</v>
      </c>
      <c r="Z1" s="212" t="s">
        <v>23</v>
      </c>
      <c r="AA1" s="215" t="s">
        <v>24</v>
      </c>
      <c r="AB1" s="215" t="s">
        <v>25</v>
      </c>
      <c r="AC1" s="213" t="s">
        <v>621</v>
      </c>
      <c r="AD1" s="216" t="s">
        <v>618</v>
      </c>
      <c r="AE1" s="216" t="s">
        <v>619</v>
      </c>
      <c r="AF1" s="216" t="s">
        <v>620</v>
      </c>
      <c r="AG1" s="216" t="s">
        <v>636</v>
      </c>
      <c r="AH1" s="213" t="s">
        <v>638</v>
      </c>
      <c r="AI1" s="213" t="s">
        <v>656</v>
      </c>
      <c r="AJ1" s="226" t="s">
        <v>796</v>
      </c>
    </row>
    <row r="2" spans="1:36" ht="79.8" hidden="1">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800</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hidden="1">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801</v>
      </c>
      <c r="V3" s="138">
        <v>45957</v>
      </c>
      <c r="W3" s="138">
        <v>46172</v>
      </c>
      <c r="X3" s="60" t="s">
        <v>40</v>
      </c>
      <c r="Y3" s="60" t="s">
        <v>41</v>
      </c>
      <c r="Z3" s="126" t="s">
        <v>722</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hidden="1">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802</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hidden="1">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802</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hidden="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803</v>
      </c>
      <c r="V6" s="137" t="s">
        <v>38</v>
      </c>
      <c r="W6" s="219">
        <v>46112</v>
      </c>
      <c r="X6" s="60" t="s">
        <v>40</v>
      </c>
      <c r="Y6" s="60" t="s">
        <v>41</v>
      </c>
      <c r="Z6" s="129" t="s">
        <v>725</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hidden="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803</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hidden="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803</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hidden="1">
      <c r="A9" s="141">
        <v>193</v>
      </c>
      <c r="B9" s="75" t="s">
        <v>26</v>
      </c>
      <c r="C9" s="75" t="s">
        <v>27</v>
      </c>
      <c r="D9" s="75" t="s">
        <v>28</v>
      </c>
      <c r="E9" s="75" t="s">
        <v>29</v>
      </c>
      <c r="F9" s="75">
        <v>2025</v>
      </c>
      <c r="G9" s="75">
        <v>90</v>
      </c>
      <c r="H9" s="75" t="s">
        <v>80</v>
      </c>
      <c r="I9" s="75">
        <v>1</v>
      </c>
      <c r="J9" s="162" t="s">
        <v>31</v>
      </c>
      <c r="K9" s="228"/>
      <c r="L9" s="75" t="s">
        <v>32</v>
      </c>
      <c r="M9" s="75"/>
      <c r="N9" s="75"/>
      <c r="O9" s="75" t="s">
        <v>81</v>
      </c>
      <c r="P9" s="75" t="s">
        <v>82</v>
      </c>
      <c r="Q9" s="75" t="s">
        <v>83</v>
      </c>
      <c r="R9" s="75" t="s">
        <v>84</v>
      </c>
      <c r="S9" s="75" t="s">
        <v>85</v>
      </c>
      <c r="T9" s="75">
        <v>100</v>
      </c>
      <c r="U9" s="75" t="s">
        <v>804</v>
      </c>
      <c r="V9" s="142" t="s">
        <v>38</v>
      </c>
      <c r="W9" s="142" t="s">
        <v>86</v>
      </c>
      <c r="X9" s="75" t="s">
        <v>40</v>
      </c>
      <c r="Y9" s="75" t="s">
        <v>41</v>
      </c>
      <c r="Z9" s="144" t="s">
        <v>798</v>
      </c>
      <c r="AA9" s="145" t="s">
        <v>55</v>
      </c>
      <c r="AB9" s="146" t="s">
        <v>87</v>
      </c>
      <c r="AC9" s="147" t="str">
        <f t="shared" ca="1" si="0"/>
        <v/>
      </c>
      <c r="AD9" s="148">
        <f t="shared" ca="1" si="1"/>
        <v>0</v>
      </c>
      <c r="AE9" s="148">
        <f t="shared" ca="1" si="2"/>
        <v>0</v>
      </c>
      <c r="AF9" s="148">
        <f t="shared" ca="1" si="3"/>
        <v>0</v>
      </c>
      <c r="AG9" s="148">
        <f t="shared" ca="1" si="4"/>
        <v>0</v>
      </c>
      <c r="AH9" s="149" t="s">
        <v>646</v>
      </c>
      <c r="AI9" s="220">
        <v>46293</v>
      </c>
      <c r="AJ9" s="148">
        <v>1</v>
      </c>
    </row>
    <row r="10" spans="1:36" ht="171" hidden="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802</v>
      </c>
      <c r="V10" s="137" t="s">
        <v>38</v>
      </c>
      <c r="W10" s="137" t="s">
        <v>86</v>
      </c>
      <c r="X10" s="60" t="s">
        <v>40</v>
      </c>
      <c r="Y10" s="60" t="s">
        <v>41</v>
      </c>
      <c r="Z10" s="129" t="s">
        <v>799</v>
      </c>
      <c r="AA10" s="64" t="s">
        <v>55</v>
      </c>
      <c r="AB10" s="97" t="s">
        <v>94</v>
      </c>
      <c r="AC10" s="66" t="str">
        <f t="shared" ca="1" si="0"/>
        <v/>
      </c>
      <c r="AD10" s="67">
        <f t="shared" ca="1" si="1"/>
        <v>0</v>
      </c>
      <c r="AE10" s="67">
        <f t="shared" ca="1" si="2"/>
        <v>0</v>
      </c>
      <c r="AF10" s="67">
        <f t="shared" ca="1" si="3"/>
        <v>0</v>
      </c>
      <c r="AG10" s="67">
        <f t="shared" ca="1" si="4"/>
        <v>0</v>
      </c>
      <c r="AH10" s="94" t="s">
        <v>645</v>
      </c>
      <c r="AI10" s="98">
        <v>46293</v>
      </c>
      <c r="AJ10" s="67">
        <v>0.33</v>
      </c>
    </row>
    <row r="11" spans="1:36" ht="171" hidden="1">
      <c r="A11" s="59">
        <v>197</v>
      </c>
      <c r="B11" s="60" t="s">
        <v>26</v>
      </c>
      <c r="C11" s="60" t="s">
        <v>27</v>
      </c>
      <c r="D11" s="60" t="s">
        <v>28</v>
      </c>
      <c r="E11" s="60" t="s">
        <v>29</v>
      </c>
      <c r="F11" s="60">
        <v>2025</v>
      </c>
      <c r="G11" s="60">
        <v>90</v>
      </c>
      <c r="H11" s="60" t="s">
        <v>88</v>
      </c>
      <c r="I11" s="60">
        <v>2</v>
      </c>
      <c r="J11" s="61" t="s">
        <v>31</v>
      </c>
      <c r="K11" s="62"/>
      <c r="L11" s="60" t="s">
        <v>32</v>
      </c>
      <c r="M11" s="60"/>
      <c r="N11" s="60"/>
      <c r="O11" s="60" t="s">
        <v>89</v>
      </c>
      <c r="P11" s="60" t="s">
        <v>90</v>
      </c>
      <c r="Q11" s="96" t="s">
        <v>95</v>
      </c>
      <c r="R11" s="60" t="s">
        <v>96</v>
      </c>
      <c r="S11" s="60" t="s">
        <v>97</v>
      </c>
      <c r="T11" s="60">
        <v>100</v>
      </c>
      <c r="U11" s="60" t="s">
        <v>801</v>
      </c>
      <c r="V11" s="137" t="s">
        <v>38</v>
      </c>
      <c r="W11" s="137" t="s">
        <v>86</v>
      </c>
      <c r="X11" s="60" t="s">
        <v>40</v>
      </c>
      <c r="Y11" s="60" t="s">
        <v>41</v>
      </c>
      <c r="Z11" s="129"/>
      <c r="AA11" s="64" t="s">
        <v>42</v>
      </c>
      <c r="AB11" s="97" t="s">
        <v>98</v>
      </c>
      <c r="AC11" s="66">
        <f t="shared" ca="1" si="0"/>
        <v>13</v>
      </c>
      <c r="AD11" s="67">
        <f t="shared" ca="1" si="1"/>
        <v>0</v>
      </c>
      <c r="AE11" s="67">
        <f t="shared" ca="1" si="2"/>
        <v>1</v>
      </c>
      <c r="AF11" s="67">
        <f t="shared" ca="1" si="3"/>
        <v>0</v>
      </c>
      <c r="AG11" s="67">
        <f t="shared" ca="1" si="4"/>
        <v>0</v>
      </c>
      <c r="AH11" s="94" t="s">
        <v>639</v>
      </c>
      <c r="AI11" s="67"/>
      <c r="AJ11" s="67">
        <v>0.33</v>
      </c>
    </row>
    <row r="12" spans="1:36" ht="171" hidden="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805</v>
      </c>
      <c r="V12" s="137" t="s">
        <v>38</v>
      </c>
      <c r="W12" s="137" t="s">
        <v>86</v>
      </c>
      <c r="X12" s="60" t="s">
        <v>40</v>
      </c>
      <c r="Y12" s="60" t="s">
        <v>41</v>
      </c>
      <c r="Z12" s="129"/>
      <c r="AA12" s="64" t="s">
        <v>42</v>
      </c>
      <c r="AB12" s="97" t="s">
        <v>102</v>
      </c>
      <c r="AC12" s="66">
        <f t="shared" ca="1" si="0"/>
        <v>13</v>
      </c>
      <c r="AD12" s="67">
        <f t="shared" ca="1" si="1"/>
        <v>0</v>
      </c>
      <c r="AE12" s="67">
        <f t="shared" ca="1" si="2"/>
        <v>1</v>
      </c>
      <c r="AF12" s="67">
        <f t="shared" ca="1" si="3"/>
        <v>0</v>
      </c>
      <c r="AG12" s="67">
        <f t="shared" ca="1" si="4"/>
        <v>0</v>
      </c>
      <c r="AH12" s="94" t="s">
        <v>653</v>
      </c>
      <c r="AI12" s="67"/>
      <c r="AJ12" s="67">
        <v>0.34</v>
      </c>
    </row>
    <row r="13" spans="1:36" ht="91.2" hidden="1">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802</v>
      </c>
      <c r="V13" s="137" t="s">
        <v>38</v>
      </c>
      <c r="W13" s="137" t="s">
        <v>109</v>
      </c>
      <c r="X13" s="60" t="s">
        <v>40</v>
      </c>
      <c r="Y13" s="60" t="s">
        <v>41</v>
      </c>
      <c r="Z13" s="129" t="s">
        <v>655</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25.4" hidden="1">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801</v>
      </c>
      <c r="V14" s="137" t="s">
        <v>38</v>
      </c>
      <c r="W14" s="137" t="s">
        <v>109</v>
      </c>
      <c r="X14" s="60" t="s">
        <v>40</v>
      </c>
      <c r="Y14" s="60" t="s">
        <v>41</v>
      </c>
      <c r="Z14" s="129" t="s">
        <v>657</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807</v>
      </c>
      <c r="V15" s="137" t="s">
        <v>38</v>
      </c>
      <c r="W15" s="138">
        <v>46081</v>
      </c>
      <c r="X15" s="60" t="s">
        <v>40</v>
      </c>
      <c r="Y15" s="60" t="s">
        <v>41</v>
      </c>
      <c r="Z15" s="129" t="s">
        <v>723</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hidden="1">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805</v>
      </c>
      <c r="V16" s="137" t="s">
        <v>38</v>
      </c>
      <c r="W16" s="137" t="s">
        <v>86</v>
      </c>
      <c r="X16" s="60" t="s">
        <v>40</v>
      </c>
      <c r="Y16" s="60" t="s">
        <v>41</v>
      </c>
      <c r="Z16" s="129"/>
      <c r="AA16" s="64" t="s">
        <v>42</v>
      </c>
      <c r="AB16" s="97" t="s">
        <v>126</v>
      </c>
      <c r="AC16" s="66">
        <f t="shared" ca="1" si="0"/>
        <v>13</v>
      </c>
      <c r="AD16" s="67">
        <f t="shared" ca="1" si="1"/>
        <v>0</v>
      </c>
      <c r="AE16" s="67">
        <f t="shared" ca="1" si="2"/>
        <v>1</v>
      </c>
      <c r="AF16" s="67">
        <f t="shared" ca="1" si="3"/>
        <v>0</v>
      </c>
      <c r="AG16" s="67">
        <f t="shared" ca="1" si="4"/>
        <v>0</v>
      </c>
      <c r="AH16" s="94" t="s">
        <v>653</v>
      </c>
      <c r="AI16" s="67"/>
      <c r="AJ16" s="67">
        <v>0.5</v>
      </c>
    </row>
    <row r="17" spans="1:36" ht="182.4" hidden="1">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806</v>
      </c>
      <c r="V17" s="137" t="s">
        <v>38</v>
      </c>
      <c r="W17" s="138">
        <v>46068</v>
      </c>
      <c r="X17" s="60" t="s">
        <v>40</v>
      </c>
      <c r="Y17" s="60" t="s">
        <v>41</v>
      </c>
      <c r="Z17" s="129" t="s">
        <v>722</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hidden="1">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807</v>
      </c>
      <c r="V18" s="137" t="s">
        <v>38</v>
      </c>
      <c r="W18" s="138">
        <v>46068</v>
      </c>
      <c r="X18" s="60" t="s">
        <v>40</v>
      </c>
      <c r="Y18" s="60" t="s">
        <v>41</v>
      </c>
      <c r="Z18" s="129" t="s">
        <v>722</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hidden="1">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807</v>
      </c>
      <c r="V19" s="137" t="s">
        <v>38</v>
      </c>
      <c r="W19" s="138">
        <v>46068</v>
      </c>
      <c r="X19" s="60" t="s">
        <v>40</v>
      </c>
      <c r="Y19" s="60" t="s">
        <v>41</v>
      </c>
      <c r="Z19" s="129" t="s">
        <v>693</v>
      </c>
      <c r="AA19" s="64" t="s">
        <v>55</v>
      </c>
      <c r="AB19" s="65"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hidden="1">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807</v>
      </c>
      <c r="V20" s="137" t="s">
        <v>38</v>
      </c>
      <c r="W20" s="138">
        <v>46068</v>
      </c>
      <c r="X20" s="60" t="s">
        <v>40</v>
      </c>
      <c r="Y20" s="60" t="s">
        <v>41</v>
      </c>
      <c r="Z20" s="129" t="s">
        <v>722</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hidden="1">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808</v>
      </c>
      <c r="V21" s="142" t="s">
        <v>38</v>
      </c>
      <c r="W21" s="143" t="s">
        <v>778</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hidden="1">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808</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hidden="1">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808</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811</v>
      </c>
      <c r="V24" s="142" t="s">
        <v>38</v>
      </c>
      <c r="W24" s="143">
        <v>46022</v>
      </c>
      <c r="X24" s="75" t="s">
        <v>40</v>
      </c>
      <c r="Y24" s="75" t="s">
        <v>41</v>
      </c>
      <c r="Z24" s="144" t="s">
        <v>779</v>
      </c>
      <c r="AA24" s="145" t="s">
        <v>55</v>
      </c>
      <c r="AB24" s="146" t="s">
        <v>175</v>
      </c>
      <c r="AC24" s="147" t="str">
        <f t="shared" ca="1" si="0"/>
        <v/>
      </c>
      <c r="AD24" s="148">
        <f t="shared" ca="1" si="1"/>
        <v>0</v>
      </c>
      <c r="AE24" s="148">
        <f t="shared" ca="1" si="2"/>
        <v>0</v>
      </c>
      <c r="AF24" s="148">
        <f t="shared" ca="1" si="3"/>
        <v>0</v>
      </c>
      <c r="AG24" s="148">
        <f t="shared" ca="1" si="4"/>
        <v>0</v>
      </c>
      <c r="AH24" s="149" t="s">
        <v>651</v>
      </c>
      <c r="AI24" s="220">
        <v>46022</v>
      </c>
      <c r="AJ24" s="67">
        <v>0.5</v>
      </c>
    </row>
    <row r="25" spans="1:36" ht="193.8">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820</v>
      </c>
      <c r="V25" s="137" t="s">
        <v>38</v>
      </c>
      <c r="W25" s="138">
        <v>46081</v>
      </c>
      <c r="X25" s="60" t="s">
        <v>40</v>
      </c>
      <c r="Y25" s="60" t="s">
        <v>41</v>
      </c>
      <c r="Z25" s="99" t="s">
        <v>658</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36.80000000000001" hidden="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809</v>
      </c>
      <c r="V26" s="137" t="s">
        <v>38</v>
      </c>
      <c r="W26" s="137" t="s">
        <v>86</v>
      </c>
      <c r="X26" s="60" t="s">
        <v>40</v>
      </c>
      <c r="Y26" s="60" t="s">
        <v>41</v>
      </c>
      <c r="Z26" s="99"/>
      <c r="AA26" s="64" t="s">
        <v>42</v>
      </c>
      <c r="AB26" s="97" t="s">
        <v>185</v>
      </c>
      <c r="AC26" s="66">
        <f t="shared" ca="1" si="0"/>
        <v>13</v>
      </c>
      <c r="AD26" s="67">
        <f t="shared" ca="1" si="1"/>
        <v>0</v>
      </c>
      <c r="AE26" s="67">
        <f t="shared" ca="1" si="2"/>
        <v>1</v>
      </c>
      <c r="AF26" s="67">
        <f t="shared" ca="1" si="3"/>
        <v>0</v>
      </c>
      <c r="AG26" s="67">
        <f t="shared" ca="1" si="4"/>
        <v>0</v>
      </c>
      <c r="AH26" s="94" t="s">
        <v>648</v>
      </c>
      <c r="AI26" s="67"/>
      <c r="AJ26" s="67" t="s">
        <v>797</v>
      </c>
    </row>
    <row r="27" spans="1:36" ht="193.8" hidden="1">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809</v>
      </c>
      <c r="V27" s="137" t="s">
        <v>38</v>
      </c>
      <c r="W27" s="137" t="s">
        <v>86</v>
      </c>
      <c r="X27" s="60" t="s">
        <v>40</v>
      </c>
      <c r="Y27" s="60" t="s">
        <v>41</v>
      </c>
      <c r="Z27" s="99"/>
      <c r="AA27" s="64" t="s">
        <v>42</v>
      </c>
      <c r="AB27" s="97" t="s">
        <v>189</v>
      </c>
      <c r="AC27" s="66">
        <f t="shared" ca="1" si="0"/>
        <v>13</v>
      </c>
      <c r="AD27" s="67">
        <f t="shared" ca="1" si="1"/>
        <v>0</v>
      </c>
      <c r="AE27" s="67">
        <f t="shared" ca="1" si="2"/>
        <v>1</v>
      </c>
      <c r="AF27" s="67">
        <f t="shared" ca="1" si="3"/>
        <v>0</v>
      </c>
      <c r="AG27" s="67">
        <f t="shared" ca="1" si="4"/>
        <v>0</v>
      </c>
      <c r="AH27" s="94" t="s">
        <v>648</v>
      </c>
      <c r="AI27" s="67"/>
      <c r="AJ27" s="67" t="s">
        <v>797</v>
      </c>
    </row>
    <row r="28" spans="1:36" ht="91.2" hidden="1">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810</v>
      </c>
      <c r="V28" s="137" t="s">
        <v>38</v>
      </c>
      <c r="W28" s="137" t="s">
        <v>86</v>
      </c>
      <c r="X28" s="60" t="s">
        <v>40</v>
      </c>
      <c r="Y28" s="60" t="s">
        <v>41</v>
      </c>
      <c r="Z28" s="99"/>
      <c r="AA28" s="64" t="s">
        <v>42</v>
      </c>
      <c r="AB28" s="97" t="s">
        <v>196</v>
      </c>
      <c r="AC28" s="66">
        <f t="shared" ca="1" si="0"/>
        <v>13</v>
      </c>
      <c r="AD28" s="67">
        <f t="shared" ca="1" si="1"/>
        <v>0</v>
      </c>
      <c r="AE28" s="67">
        <f t="shared" ca="1" si="2"/>
        <v>1</v>
      </c>
      <c r="AF28" s="67">
        <f t="shared" ca="1" si="3"/>
        <v>0</v>
      </c>
      <c r="AG28" s="67">
        <f t="shared" ca="1" si="4"/>
        <v>0</v>
      </c>
      <c r="AH28" s="94" t="s">
        <v>644</v>
      </c>
      <c r="AI28" s="67"/>
      <c r="AJ28" s="67">
        <v>1</v>
      </c>
    </row>
    <row r="29" spans="1:36" ht="102.6" hidden="1">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805</v>
      </c>
      <c r="V29" s="137" t="s">
        <v>38</v>
      </c>
      <c r="W29" s="137" t="s">
        <v>86</v>
      </c>
      <c r="X29" s="60" t="s">
        <v>40</v>
      </c>
      <c r="Y29" s="60" t="s">
        <v>41</v>
      </c>
      <c r="Z29" s="99"/>
      <c r="AA29" s="64" t="s">
        <v>42</v>
      </c>
      <c r="AB29" s="97" t="s">
        <v>203</v>
      </c>
      <c r="AC29" s="66">
        <f t="shared" ca="1" si="0"/>
        <v>13</v>
      </c>
      <c r="AD29" s="67">
        <f t="shared" ca="1" si="1"/>
        <v>0</v>
      </c>
      <c r="AE29" s="67">
        <f t="shared" ca="1" si="2"/>
        <v>1</v>
      </c>
      <c r="AF29" s="67">
        <f t="shared" ca="1" si="3"/>
        <v>0</v>
      </c>
      <c r="AG29" s="67">
        <f t="shared" ca="1" si="4"/>
        <v>0</v>
      </c>
      <c r="AH29" s="94" t="s">
        <v>653</v>
      </c>
      <c r="AI29" s="67"/>
      <c r="AJ29" s="67">
        <v>1</v>
      </c>
    </row>
    <row r="30" spans="1:36" ht="91.2" hidden="1">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810</v>
      </c>
      <c r="V30" s="153" t="s">
        <v>38</v>
      </c>
      <c r="W30" s="221">
        <v>46203</v>
      </c>
      <c r="X30" s="152" t="s">
        <v>40</v>
      </c>
      <c r="Y30" s="152" t="s">
        <v>41</v>
      </c>
      <c r="Z30" s="154" t="s">
        <v>726</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hidden="1">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805</v>
      </c>
      <c r="V31" s="142" t="s">
        <v>38</v>
      </c>
      <c r="W31" s="143">
        <v>46081</v>
      </c>
      <c r="X31" s="75" t="s">
        <v>40</v>
      </c>
      <c r="Y31" s="75" t="s">
        <v>41</v>
      </c>
      <c r="Z31" s="160" t="s">
        <v>780</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hidden="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807</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hidden="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807</v>
      </c>
      <c r="V33" s="142" t="s">
        <v>38</v>
      </c>
      <c r="W33" s="143">
        <v>46142</v>
      </c>
      <c r="X33" s="75" t="s">
        <v>40</v>
      </c>
      <c r="Y33" s="75" t="s">
        <v>41</v>
      </c>
      <c r="Z33" s="160" t="s">
        <v>781</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hidden="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803</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hidden="1">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811</v>
      </c>
      <c r="V35" s="137" t="s">
        <v>38</v>
      </c>
      <c r="W35" s="138">
        <v>46203</v>
      </c>
      <c r="X35" s="60" t="s">
        <v>40</v>
      </c>
      <c r="Y35" s="60" t="s">
        <v>41</v>
      </c>
      <c r="Z35" s="99" t="s">
        <v>782</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hidden="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807</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821</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hidden="1">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809</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hidden="1">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812</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hidden="1">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270</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hidden="1">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803</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hidden="1">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807</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hidden="1">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812</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813</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25.4" hidden="1">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813</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hidden="1">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270</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hidden="1">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270</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hidden="1"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270</v>
      </c>
      <c r="V48" s="137" t="s">
        <v>244</v>
      </c>
      <c r="W48" s="138">
        <v>45930</v>
      </c>
      <c r="X48" s="60" t="s">
        <v>40</v>
      </c>
      <c r="Y48" s="61" t="s">
        <v>41</v>
      </c>
      <c r="Z48" s="129" t="s">
        <v>724</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802</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05.2">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802</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hidden="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814</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hidden="1">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270</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hidden="1">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270</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hidden="1">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270</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25.4" hidden="1">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270</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hidden="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270</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hidden="1">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815</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hidden="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270</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hidden="1">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270</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hidden="1">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270</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hidden="1">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816</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hidden="1">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270</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hidden="1">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817</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822</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71" hidden="1">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807</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05.2" hidden="1">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807</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71" hidden="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807</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71" hidden="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807</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270</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28" hidden="1">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818</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39.4" hidden="1">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818</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28" hidden="1">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818</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hidden="1">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803</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193.8" hidden="1">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803</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hidden="1">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819</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62.2" hidden="1">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819</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hidden="1">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803</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62.2" hidden="1">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803</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59.6" hidden="1">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803</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805</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hidden="1">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803</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25.4" hidden="1">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805</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hidden="1">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805</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28" hidden="1">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805</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05.2" hidden="1">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805</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783</v>
      </c>
      <c r="B1" s="20" t="s">
        <v>784</v>
      </c>
      <c r="C1" s="20" t="s">
        <v>785</v>
      </c>
    </row>
    <row r="2" spans="1:3" ht="43.2">
      <c r="A2" s="206" t="s">
        <v>788</v>
      </c>
      <c r="B2" s="166" t="s">
        <v>787</v>
      </c>
      <c r="C2" s="207" t="s">
        <v>786</v>
      </c>
    </row>
    <row r="3" spans="1:3" ht="28.8">
      <c r="A3" s="206" t="s">
        <v>789</v>
      </c>
      <c r="B3" s="166" t="s">
        <v>790</v>
      </c>
      <c r="C3" s="207" t="s">
        <v>791</v>
      </c>
    </row>
    <row r="4" spans="1:3" ht="43.2">
      <c r="A4" s="206" t="s">
        <v>792</v>
      </c>
      <c r="B4" s="166" t="s">
        <v>793</v>
      </c>
      <c r="C4" s="208" t="s">
        <v>794</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702</v>
      </c>
      <c r="D2" t="s">
        <v>703</v>
      </c>
      <c r="E2" s="121">
        <v>0.25</v>
      </c>
      <c r="F2" t="s">
        <v>704</v>
      </c>
      <c r="I2" t="s">
        <v>706</v>
      </c>
    </row>
    <row r="4" spans="3:10">
      <c r="C4" t="s">
        <v>705</v>
      </c>
    </row>
    <row r="6" spans="3:10">
      <c r="C6" t="s">
        <v>707</v>
      </c>
      <c r="H6" s="122" t="s">
        <v>709</v>
      </c>
      <c r="I6" t="s">
        <v>710</v>
      </c>
      <c r="J6" s="123">
        <v>85141264</v>
      </c>
    </row>
    <row r="8" spans="3:10">
      <c r="C8" t="s">
        <v>708</v>
      </c>
    </row>
    <row r="10" spans="3:10">
      <c r="C10" t="s">
        <v>711</v>
      </c>
      <c r="F10" t="s">
        <v>712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684</v>
      </c>
      <c r="D4" s="104"/>
      <c r="E4" s="104"/>
    </row>
    <row r="5" spans="3:14">
      <c r="C5" s="16" t="s">
        <v>685</v>
      </c>
      <c r="D5" s="16"/>
      <c r="E5" s="16"/>
    </row>
    <row r="6" spans="3:14">
      <c r="C6" s="16"/>
      <c r="D6" s="16"/>
      <c r="E6" s="16"/>
    </row>
    <row r="7" spans="3:14" ht="76.2" customHeight="1">
      <c r="C7" s="233" t="s">
        <v>686</v>
      </c>
      <c r="D7" s="233"/>
      <c r="E7" s="233"/>
      <c r="F7" s="233"/>
      <c r="G7" s="233"/>
    </row>
    <row r="8" spans="3:14">
      <c r="C8" s="105" t="s">
        <v>5</v>
      </c>
      <c r="D8" s="105" t="s">
        <v>6</v>
      </c>
      <c r="E8" s="105" t="s">
        <v>7</v>
      </c>
      <c r="F8" s="105" t="s">
        <v>8</v>
      </c>
      <c r="G8" s="105" t="s">
        <v>13</v>
      </c>
      <c r="H8" s="105" t="s">
        <v>14</v>
      </c>
      <c r="I8" s="105" t="s">
        <v>15</v>
      </c>
      <c r="J8" s="111" t="s">
        <v>687</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691</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692</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693</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692</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688</v>
      </c>
      <c r="D15" s="104"/>
      <c r="E15" s="104"/>
    </row>
    <row r="16" spans="3:14">
      <c r="C16" s="16" t="s">
        <v>689</v>
      </c>
      <c r="D16" s="16"/>
      <c r="E16" s="16"/>
    </row>
    <row r="17" spans="3:14">
      <c r="C17" s="16"/>
      <c r="D17" s="16"/>
      <c r="E17" s="16"/>
    </row>
    <row r="18" spans="3:14" ht="85.2" customHeight="1">
      <c r="C18" s="234" t="s">
        <v>690</v>
      </c>
      <c r="D18" s="234"/>
      <c r="E18" s="234"/>
      <c r="F18" s="234"/>
      <c r="G18" s="234"/>
    </row>
    <row r="19" spans="3:14">
      <c r="C19" s="108" t="s">
        <v>5</v>
      </c>
      <c r="D19" s="108" t="s">
        <v>6</v>
      </c>
      <c r="E19" s="108" t="s">
        <v>7</v>
      </c>
      <c r="F19" s="109" t="s">
        <v>8</v>
      </c>
      <c r="G19" s="108" t="s">
        <v>13</v>
      </c>
      <c r="H19" s="108" t="s">
        <v>14</v>
      </c>
      <c r="I19" s="108" t="s">
        <v>15</v>
      </c>
      <c r="J19" s="106" t="s">
        <v>687</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720</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714</v>
      </c>
      <c r="K21" s="112" t="s">
        <v>244</v>
      </c>
      <c r="L21" s="112" t="s">
        <v>263</v>
      </c>
      <c r="M21" s="64" t="s">
        <v>174</v>
      </c>
      <c r="N21" s="72" t="s">
        <v>286</v>
      </c>
    </row>
    <row r="22" spans="3:14" ht="74.400000000000006" customHeight="1">
      <c r="J22" s="125" t="s">
        <v>716</v>
      </c>
    </row>
    <row r="24" spans="3:14">
      <c r="C24" s="103" t="s">
        <v>695</v>
      </c>
      <c r="D24" s="104"/>
      <c r="E24" s="104"/>
      <c r="J24" t="s">
        <v>715</v>
      </c>
    </row>
    <row r="25" spans="3:14">
      <c r="C25" s="16" t="s">
        <v>696</v>
      </c>
      <c r="D25" s="16"/>
      <c r="E25" s="16"/>
    </row>
    <row r="26" spans="3:14">
      <c r="C26" s="16"/>
      <c r="D26" s="16"/>
      <c r="E26" s="16"/>
      <c r="J26" t="s">
        <v>721</v>
      </c>
    </row>
    <row r="27" spans="3:14" ht="58.2" customHeight="1">
      <c r="C27" s="233" t="s">
        <v>694</v>
      </c>
      <c r="D27" s="233"/>
      <c r="E27" s="233"/>
      <c r="F27" s="233"/>
      <c r="G27" s="233"/>
      <c r="J27" s="203" t="s">
        <v>777</v>
      </c>
    </row>
    <row r="28" spans="3:14">
      <c r="C28" s="105" t="s">
        <v>5</v>
      </c>
      <c r="D28" s="105" t="s">
        <v>6</v>
      </c>
      <c r="E28" s="105" t="s">
        <v>7</v>
      </c>
      <c r="F28" s="105" t="s">
        <v>8</v>
      </c>
      <c r="G28" s="105" t="s">
        <v>13</v>
      </c>
      <c r="H28" s="105" t="s">
        <v>14</v>
      </c>
      <c r="I28" s="105" t="s">
        <v>15</v>
      </c>
      <c r="J28" s="111" t="s">
        <v>687</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697</v>
      </c>
      <c r="K29" s="112" t="s">
        <v>244</v>
      </c>
      <c r="L29" s="112" t="s">
        <v>276</v>
      </c>
      <c r="M29" s="64" t="s">
        <v>174</v>
      </c>
      <c r="N29" s="95" t="s">
        <v>319</v>
      </c>
    </row>
    <row r="32" spans="3:14">
      <c r="C32" s="103" t="s">
        <v>698</v>
      </c>
      <c r="D32" s="104"/>
      <c r="E32" s="104"/>
    </row>
    <row r="33" spans="3:14">
      <c r="C33" s="16" t="s">
        <v>699</v>
      </c>
      <c r="D33" s="16"/>
      <c r="E33" s="16"/>
    </row>
    <row r="34" spans="3:14" ht="7.8" customHeight="1">
      <c r="C34" s="16"/>
      <c r="D34" s="16"/>
      <c r="E34" s="16"/>
    </row>
    <row r="35" spans="3:14" ht="71.400000000000006" customHeight="1">
      <c r="C35" s="233" t="s">
        <v>700</v>
      </c>
      <c r="D35" s="233"/>
      <c r="E35" s="233"/>
      <c r="F35" s="233"/>
      <c r="G35" s="233"/>
    </row>
    <row r="36" spans="3:14" ht="26.4" customHeight="1">
      <c r="C36" s="105" t="s">
        <v>5</v>
      </c>
      <c r="D36" s="105" t="s">
        <v>6</v>
      </c>
      <c r="E36" s="105" t="s">
        <v>7</v>
      </c>
      <c r="F36" s="105" t="s">
        <v>8</v>
      </c>
      <c r="G36" s="105" t="s">
        <v>13</v>
      </c>
      <c r="H36" s="105" t="s">
        <v>14</v>
      </c>
      <c r="I36" s="105" t="s">
        <v>15</v>
      </c>
      <c r="J36" s="111" t="s">
        <v>687</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701</v>
      </c>
      <c r="K37" s="112" t="s">
        <v>38</v>
      </c>
      <c r="L37" s="112" t="s">
        <v>68</v>
      </c>
      <c r="M37" s="64" t="s">
        <v>174</v>
      </c>
      <c r="N37" s="97" t="s">
        <v>69</v>
      </c>
    </row>
    <row r="40" spans="3:14">
      <c r="C40" s="103" t="s">
        <v>719</v>
      </c>
      <c r="D40" s="104"/>
      <c r="E40" s="104"/>
    </row>
    <row r="41" spans="3:14">
      <c r="C41" s="16" t="s">
        <v>699</v>
      </c>
      <c r="D41" s="16"/>
      <c r="E41" s="16"/>
    </row>
    <row r="42" spans="3:14">
      <c r="C42" s="16"/>
      <c r="D42" s="16"/>
      <c r="E42" s="16"/>
    </row>
    <row r="43" spans="3:14" ht="108.6" customHeight="1">
      <c r="C43" s="233" t="s">
        <v>713</v>
      </c>
      <c r="D43" s="233"/>
      <c r="E43" s="233"/>
      <c r="F43" s="233"/>
      <c r="G43" s="233"/>
    </row>
    <row r="45" spans="3:14">
      <c r="C45" s="108" t="s">
        <v>5</v>
      </c>
      <c r="D45" s="108" t="s">
        <v>6</v>
      </c>
      <c r="E45" s="108" t="s">
        <v>7</v>
      </c>
      <c r="F45" s="109" t="s">
        <v>8</v>
      </c>
      <c r="G45" s="108" t="s">
        <v>13</v>
      </c>
      <c r="H45" s="108" t="s">
        <v>14</v>
      </c>
      <c r="I45" s="108" t="s">
        <v>15</v>
      </c>
      <c r="J45" s="124" t="s">
        <v>687</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775</v>
      </c>
      <c r="K46" s="112" t="s">
        <v>38</v>
      </c>
      <c r="L46" s="112" t="s">
        <v>77</v>
      </c>
      <c r="M46" s="64" t="s">
        <v>174</v>
      </c>
      <c r="N46" s="97" t="s">
        <v>175</v>
      </c>
    </row>
    <row r="49" spans="3:14">
      <c r="C49" s="103" t="s">
        <v>717</v>
      </c>
      <c r="D49" s="104"/>
      <c r="E49" s="104"/>
    </row>
    <row r="50" spans="3:14">
      <c r="C50" s="16" t="s">
        <v>699</v>
      </c>
      <c r="D50" s="16"/>
      <c r="E50" s="16"/>
    </row>
    <row r="51" spans="3:14">
      <c r="C51" s="16"/>
      <c r="D51" s="16"/>
      <c r="E51" s="16"/>
      <c r="L51" t="s">
        <v>776</v>
      </c>
    </row>
    <row r="52" spans="3:14" ht="70.8" customHeight="1">
      <c r="C52" s="233" t="s">
        <v>718</v>
      </c>
      <c r="D52" s="233"/>
      <c r="E52" s="233"/>
      <c r="F52" s="233"/>
      <c r="G52" s="233"/>
    </row>
    <row r="54" spans="3:14">
      <c r="C54" s="105" t="s">
        <v>5</v>
      </c>
      <c r="D54" s="105" t="s">
        <v>6</v>
      </c>
      <c r="E54" s="105" t="s">
        <v>7</v>
      </c>
      <c r="F54" s="105" t="s">
        <v>8</v>
      </c>
      <c r="G54" s="105" t="s">
        <v>13</v>
      </c>
      <c r="H54" s="105" t="s">
        <v>14</v>
      </c>
      <c r="I54" s="105" t="s">
        <v>15</v>
      </c>
      <c r="J54" s="111" t="s">
        <v>687</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2026-10-01T03:43:52Z</dcterms:modified>
</cp:coreProperties>
</file>